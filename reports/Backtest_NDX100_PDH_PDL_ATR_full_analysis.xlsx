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Yearly" sheetId="3" state="visible" r:id="rId5"/>
    <sheet name="Monthly" sheetId="4" state="visible" r:id="rId6"/>
    <sheet name="Calendar" sheetId="5" state="visible" r:id="rId7"/>
    <sheet name="Weekly" sheetId="6" state="visible" r:id="rId8"/>
    <sheet name="Daily" sheetId="7" state="visible" r:id="rId9"/>
    <sheet name="Trades" sheetId="8" state="visible" r:id="rId10"/>
    <sheet name="Breakdown" sheetId="9" state="visible" r:id="rId11"/>
    <sheet name="Drawdowns &amp; Streaks" sheetId="10" state="visible" r:id="rId12"/>
    <sheet name="MT5 Report" sheetId="11" state="visible" r:id="rId13"/>
    <sheet name="Setting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BREACH = the day's net loss reached the daily loss limit (Summary C7) of the start-of-day balance.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Take profit = TP hit. Initial stop loss = SL at its original level. Breakeven stop = SL had been moved to entry or beyond. Moved stop (loss side) = SL moved but still below entry.</t>
        </r>
      </text>
    </comment>
    <comment ref="X1" authorId="0">
      <text>
        <r>
          <rPr>
            <sz val="10"/>
            <rFont val="Arial"/>
            <family val="2"/>
          </rPr>
          <t xml:space="preserve">Profit + commission + swap from the MT5 deals list (blue = source data).</t>
        </r>
      </text>
    </comment>
    <comment ref="Y1" authorId="0">
      <text>
        <r>
          <rPr>
            <sz val="10"/>
            <rFont val="Arial"/>
            <family val="2"/>
          </rPr>
          <t xml:space="preserve">Net profit / planned risk (SL distance x lots x $ per point per lot).</t>
        </r>
      </text>
    </comment>
  </commentList>
</comments>
</file>

<file path=xl/sharedStrings.xml><?xml version="1.0" encoding="utf-8"?>
<sst xmlns="http://schemas.openxmlformats.org/spreadsheetml/2006/main" count="5019" uniqueCount="435">
  <si>
    <t xml:space="preserve">How to read this workbook</t>
  </si>
  <si>
    <t xml:space="preserve">Summary</t>
  </si>
  <si>
    <t xml:space="preserve">Key numbers next to the MT5 report's own figures, verdicts, findings, balance and drawdown charts.</t>
  </si>
  <si>
    <t xml:space="preserve">Yearly / Monthly / Weekly / Daily</t>
  </si>
  <si>
    <t xml:space="preserve">One row per period: trades, wins, win rate, net, profit factor, best/worst trade, total R, start/end balance and return. Daily flags days that hit the daily loss limit.</t>
  </si>
  <si>
    <t xml:space="preserve">Calendar</t>
  </si>
  <si>
    <t xml:space="preserve">Year x month grid of net profit (colour scale), trades per month and win rate per month.</t>
  </si>
  <si>
    <t xml:space="preserve">Trades</t>
  </si>
  <si>
    <t xml:space="preserve">Every trade on one row: entry deal matched to its exit, SL/TP, planned risk, exit reason, R, hold time, balance and drawdown. Use the filter arrows in the header row.</t>
  </si>
  <si>
    <t xml:space="preserve">Breakdown</t>
  </si>
  <si>
    <t xml:space="preserve">Results split by side, setup, exit reason, weekday, entry hour, hold time, SL size, year, and the R distribution.</t>
  </si>
  <si>
    <t xml:space="preserve">Drawdowns &amp; Streaks</t>
  </si>
  <si>
    <t xml:space="preserve">The 10 deepest drawdown periods with dates and recovery time, longest win/loss streaks.</t>
  </si>
  <si>
    <t xml:space="preserve">MT5 Report / Settings</t>
  </si>
  <si>
    <t xml:space="preserve">The tester's original statistics and the EA inputs used.</t>
  </si>
  <si>
    <t xml:space="preserve">Dates</t>
  </si>
  <si>
    <t xml:space="preserve">Profit is booked on the trade's CLOSE date/time (broker server time).</t>
  </si>
  <si>
    <t xml:space="preserve">R multiple</t>
  </si>
  <si>
    <t xml:space="preserve">Net profit / planned risk. Planned risk = SL distance x lots x $ per point per lot (Summary C6).</t>
  </si>
  <si>
    <t xml:space="preserve">Win / Loss</t>
  </si>
  <si>
    <t xml:space="preserve">Breakeven stops that close a few dollars negative (slippage/commission) count as losses, as in MT5.</t>
  </si>
  <si>
    <t xml:space="preserve">Colours</t>
  </si>
  <si>
    <t xml:space="preserve">Blue = data from the MT5 report or inputs you may change. Black = formulas. Yellow = inputs.</t>
  </si>
  <si>
    <t xml:space="preserve">Source</t>
  </si>
  <si>
    <t xml:space="preserve">MT5 Strategy Tester report: Pdh pdl m1 atr on NDX100.m_S0, 883 trades. Net profit here matches the report's Total Net Profit (17717.69).</t>
  </si>
  <si>
    <t xml:space="preserve">Backtest analysis</t>
  </si>
  <si>
    <t xml:space="preserve">Pdh pdl m1 atr | NDX100.m_S0 | M1 (2023.04.01 - 2026.10.01) | 100% real ticks</t>
  </si>
  <si>
    <t xml:space="preserve">Blue cells are inputs: change them and every sheet recalculates.</t>
  </si>
  <si>
    <t xml:space="preserve">Starting balance</t>
  </si>
  <si>
    <t xml:space="preserve">From the report (Initial Deposit).</t>
  </si>
  <si>
    <t xml:space="preserve">$ per 1.00 point per 1.00 lot</t>
  </si>
  <si>
    <t xml:space="preserve">Measured from the trades (profit / points / lots, median). NDX100.m_S0: 1 lot moving 1 point = $20.</t>
  </si>
  <si>
    <t xml:space="preserve">Daily loss limit (prop rule)</t>
  </si>
  <si>
    <t xml:space="preserve">Used for the breach checks on Daily. Matches the EA input DailyLossPct when present.</t>
  </si>
  <si>
    <t xml:space="preserve">Max drawdown limit (prop rule)</t>
  </si>
  <si>
    <t xml:space="preserve">Typical prop-firm overall limit.</t>
  </si>
  <si>
    <t xml:space="preserve">Metric</t>
  </si>
  <si>
    <t xml:space="preserve">Value</t>
  </si>
  <si>
    <t xml:space="preserve">MT5 report</t>
  </si>
  <si>
    <t xml:space="preserve">Verdict</t>
  </si>
  <si>
    <t xml:space="preserve">What it means</t>
  </si>
  <si>
    <t xml:space="preserve">RESULT</t>
  </si>
  <si>
    <t xml:space="preserve">Net profit</t>
  </si>
  <si>
    <t xml:space="preserve">Total money made over the whole test, after commission and swap.</t>
  </si>
  <si>
    <t xml:space="preserve">Final balance</t>
  </si>
  <si>
    <t xml:space="preserve">Return on starting balance</t>
  </si>
  <si>
    <t xml:space="preserve">Gross profit</t>
  </si>
  <si>
    <t xml:space="preserve">Sum of all winning trades.</t>
  </si>
  <si>
    <t xml:space="preserve">Gross loss</t>
  </si>
  <si>
    <t xml:space="preserve">Sum of all losing trades.</t>
  </si>
  <si>
    <t xml:space="preserve">Profit factor</t>
  </si>
  <si>
    <t xml:space="preserve">Gross profit / gross loss. 1.2+ is decent for an intraday system, 1.5+ strong.</t>
  </si>
  <si>
    <t xml:space="preserve">Expectancy per trade $</t>
  </si>
  <si>
    <t xml:space="preserve">What one trade earns on average.</t>
  </si>
  <si>
    <t xml:space="preserve">TRADES</t>
  </si>
  <si>
    <t xml:space="preserve">Total trades</t>
  </si>
  <si>
    <t xml:space="preserve">Wins</t>
  </si>
  <si>
    <t xml:space="preserve">290 (32.84%)</t>
  </si>
  <si>
    <t xml:space="preserve">Losses</t>
  </si>
  <si>
    <t xml:space="preserve">593 (67.16%)</t>
  </si>
  <si>
    <t xml:space="preserve">Includes breakeven stops that lost a little to slippage.</t>
  </si>
  <si>
    <t xml:space="preserve">Win rate</t>
  </si>
  <si>
    <t xml:space="preserve">Average win</t>
  </si>
  <si>
    <t xml:space="preserve">Average loss</t>
  </si>
  <si>
    <t xml:space="preserve">Win/loss size ratio</t>
  </si>
  <si>
    <t xml:space="preserve">Average win / average loss.</t>
  </si>
  <si>
    <t xml:space="preserve">Break-even win rate needed</t>
  </si>
  <si>
    <t xml:space="preserve">Win rate needed to break even with these win/loss sizes.</t>
  </si>
  <si>
    <t xml:space="preserve">Largest win</t>
  </si>
  <si>
    <t xml:space="preserve">Largest loss</t>
  </si>
  <si>
    <t xml:space="preserve">Long trades / net</t>
  </si>
  <si>
    <t xml:space="preserve">508 (35.24%)</t>
  </si>
  <si>
    <t xml:space="preserve">Verdict column = net $ of longs.</t>
  </si>
  <si>
    <t xml:space="preserve">Short trades / net</t>
  </si>
  <si>
    <t xml:space="preserve">375 (29.60%)</t>
  </si>
  <si>
    <t xml:space="preserve">Verdict column = net $ of shorts.</t>
  </si>
  <si>
    <t xml:space="preserve">RISK (R multiples)</t>
  </si>
  <si>
    <t xml:space="preserve">Average planned risk per trade $</t>
  </si>
  <si>
    <t xml:space="preserve">SL distance x lots x $ per point.</t>
  </si>
  <si>
    <t xml:space="preserve">Average planned risk % of balance</t>
  </si>
  <si>
    <t xml:space="preserve">Compare with the EA's RiskPercent.</t>
  </si>
  <si>
    <t xml:space="preserve">Average SL distance (points)</t>
  </si>
  <si>
    <t xml:space="preserve">Average R per trade</t>
  </si>
  <si>
    <t xml:space="preserve">Expectancy in units of risk.</t>
  </si>
  <si>
    <t xml:space="preserve">Total R</t>
  </si>
  <si>
    <t xml:space="preserve">Average R of full stop losses</t>
  </si>
  <si>
    <t xml:space="preserve">-1.00R = lost exactly the plan. Below -1.05R = slippage.</t>
  </si>
  <si>
    <t xml:space="preserve">Average R of take profits</t>
  </si>
  <si>
    <t xml:space="preserve">DRAWDOWN &amp; PROP RULES</t>
  </si>
  <si>
    <t xml:space="preserve">Max closed-trade drawdown $</t>
  </si>
  <si>
    <t xml:space="preserve">2 246.72 (1.92%)</t>
  </si>
  <si>
    <t xml:space="preserve">Peak-to-low of the balance.</t>
  </si>
  <si>
    <t xml:space="preserve">Max closed-trade drawdown %</t>
  </si>
  <si>
    <t xml:space="preserve">2 470.08 (2.11%)</t>
  </si>
  <si>
    <t xml:space="preserve">MT5 report column shows the equity drawdown (includes open trades).</t>
  </si>
  <si>
    <t xml:space="preserve">Worst day $</t>
  </si>
  <si>
    <t xml:space="preserve">See Daily sheet.</t>
  </si>
  <si>
    <t xml:space="preserve">Worst day % of start balance</t>
  </si>
  <si>
    <t xml:space="preserve">Compared with the daily loss limit.</t>
  </si>
  <si>
    <t xml:space="preserve">Days breaching daily loss limit</t>
  </si>
  <si>
    <t xml:space="preserve">Worst week $</t>
  </si>
  <si>
    <t xml:space="preserve">Worst month $</t>
  </si>
  <si>
    <t xml:space="preserve">Recovery factor</t>
  </si>
  <si>
    <t xml:space="preserve">Net profit / max drawdown. 3+ is good.</t>
  </si>
  <si>
    <t xml:space="preserve">CONSISTENCY</t>
  </si>
  <si>
    <t xml:space="preserve">Trading days</t>
  </si>
  <si>
    <t xml:space="preserve">Days with at least one closed trade.</t>
  </si>
  <si>
    <t xml:space="preserve">Green days %</t>
  </si>
  <si>
    <t xml:space="preserve">Average day $</t>
  </si>
  <si>
    <t xml:space="preserve">Months profitable</t>
  </si>
  <si>
    <t xml:space="preserve">Average month $</t>
  </si>
  <si>
    <t xml:space="preserve">Best day share of total profit</t>
  </si>
  <si>
    <t xml:space="preserve">Prop consistency rules often require the best day &lt; 30-50% of total profit.</t>
  </si>
  <si>
    <t xml:space="preserve">Median hold (minutes)</t>
  </si>
  <si>
    <t xml:space="preserve">0:38:54</t>
  </si>
  <si>
    <t xml:space="preserve">MT5 column = average.</t>
  </si>
  <si>
    <t xml:space="preserve">Sharpe ratio (MT5)</t>
  </si>
  <si>
    <t xml:space="preserve">As reported by MT5.</t>
  </si>
  <si>
    <t xml:space="preserve">Z-score (MT5)</t>
  </si>
  <si>
    <t xml:space="preserve">1.91 (94.39%)</t>
  </si>
  <si>
    <t xml:space="preserve">Near +/-2 = wins/losses cluster in streaks; near 0 = random order.</t>
  </si>
  <si>
    <t xml:space="preserve">FINDINGS (computed from this report)</t>
  </si>
  <si>
    <t xml:space="preserve">1. Result: 883 trades, net $17,718 (17.7% on $100,000), profit factor 1.38, win rate 31.9%, average +0.200R per trade.</t>
  </si>
  <si>
    <t xml:space="preserve">2. Exits: Initial stop loss 386 (44%), net $-45,673 | Take profit 282 (32%), net $64,335 | Breakeven stop 215 (24%), net $-944.</t>
  </si>
  <si>
    <t xml:space="preserve">3. Breakeven stops: 215 trades (24%) reached +1R then came back to entry; together they cost $944 (exit slippage, swap, commission). They are counted as losses by MT5, which is why the win rate looks low while the system is profitable.</t>
  </si>
  <si>
    <t xml:space="preserve">4. Full stop losses average -1.03R (worst -1.46R). Take profits average 2.05R.</t>
  </si>
  <si>
    <t xml:space="preserve">5. 776 trading days, 34% of them green; worst day 2026-03-23 $-864; 28 of 42 months profitable; best month 2025-04 ($2,502), worst 2025-12 ($-746).</t>
  </si>
  <si>
    <t xml:space="preserve">6. Deepest closed-trade drawdown $2,247 (1.92% of the peak), from 2026-03-19 to the low on 2026-04-13, recovered 2026-09-01. Prop limits used here: daily 2.5%, max 10% - far away.</t>
  </si>
  <si>
    <t xml:space="preserve">7. Longs $9,003 vs shorts $8,715. Best entry hours (server): 01:00 $10,454, 16:00 $1,989, 12:00 $785; worst: 02:00 $-834, 17:00 $-374, 15:00 $-137.</t>
  </si>
  <si>
    <t xml:space="preserve">8. Median hold 11 min, 23 trades closed within 1 minute (those are mostly decided by noise/spread). Commission total $0.00, swap $-230.01.</t>
  </si>
  <si>
    <t xml:space="preserve">9. Concentration: entries in the 01:00 server hour made $10,454 = 59% of the total profit from 176 trades. All other hours together: 707 trades, net $7,263, profit factor 1.20. Check that this hour is tradable live (session open gaps, spread on this zero-spread test symbol).</t>
  </si>
  <si>
    <t xml:space="preserve">10. Position size: the trades risked 0.11% of balance on average (SL distance x lots x $20), while RiskPercent = 0.5%. The EA sizes positions much smaller than the setting - check its tick value / lot step / margin cap on this symbol; returns and drawdowns scale with it.</t>
  </si>
  <si>
    <t xml:space="preserve">Year</t>
  </si>
  <si>
    <t xml:space="preserve">Best trade</t>
  </si>
  <si>
    <t xml:space="preserve">Worst trade</t>
  </si>
  <si>
    <t xml:space="preserve">Start balance</t>
  </si>
  <si>
    <t xml:space="preserve">Return %</t>
  </si>
  <si>
    <t xml:space="preserve">Limit check</t>
  </si>
  <si>
    <t xml:space="preserve">End balance</t>
  </si>
  <si>
    <t xml:space="preserve">Cumulative net</t>
  </si>
  <si>
    <t xml:space="preserve">TOTAL</t>
  </si>
  <si>
    <t xml:space="preserve">Partial years: the test period decides the first and last year's length.</t>
  </si>
  <si>
    <t xml:space="preserve">Month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</si>
  <si>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</si>
  <si>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</si>
  <si>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</si>
  <si>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</si>
  <si>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</si>
  <si>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</si>
  <si>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</si>
  <si>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</si>
  <si>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</si>
  <si>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</si>
  <si>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</si>
  <si>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</si>
  <si>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</si>
  <si>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</si>
  <si>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</si>
  <si>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</si>
  <si>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</si>
  <si>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</si>
  <si>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</si>
  <si>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</si>
  <si>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</si>
  <si>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</si>
  <si>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</si>
  <si>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</si>
  <si>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</si>
  <si>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</si>
  <si>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</si>
  <si>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</si>
  <si>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</si>
  <si>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</si>
  <si>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</si>
  <si>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</si>
  <si>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</si>
  <si>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</si>
  <si>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</si>
  <si>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</si>
  <si>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</si>
  <si>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</si>
  <si>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</si>
  <si>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</si>
  <si>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</si>
  <si>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</si>
  <si>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Net profit by month ($) - green = profit, red = loss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</si>
  <si>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</si>
  <si>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</si>
  <si>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</si>
  <si>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</si>
  <si>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</si>
  <si>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</si>
  <si>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</si>
  <si>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</si>
  <si>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</si>
  <si>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</si>
  <si>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</si>
  <si>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</si>
  <si>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</si>
  <si>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Trades per month</t>
  </si>
  <si>
    <t xml:space="preserve">Win rate per month</t>
  </si>
  <si>
    <t xml:space="preserve">Week (Mon)</t>
  </si>
  <si>
    <t xml:space="preserve">Date</t>
  </si>
  <si>
    <t xml:space="preserve">Weekday</t>
  </si>
  <si>
    <t xml:space="preserve">#</t>
  </si>
  <si>
    <t xml:space="preserve">Entry time</t>
  </si>
  <si>
    <t xml:space="preserve">Close time</t>
  </si>
  <si>
    <t xml:space="preserve">Close date</t>
  </si>
  <si>
    <t xml:space="preserve">Entry hour</t>
  </si>
  <si>
    <t xml:space="preserve">Side</t>
  </si>
  <si>
    <t xml:space="preserve">Setup</t>
  </si>
  <si>
    <t xml:space="preserve">Lots</t>
  </si>
  <si>
    <t xml:space="preserve">Entry price</t>
  </si>
  <si>
    <t xml:space="preserve">Initial SL</t>
  </si>
  <si>
    <t xml:space="preserve">Take profit</t>
  </si>
  <si>
    <t xml:space="preserve">SL distance (pts)</t>
  </si>
  <si>
    <t xml:space="preserve">TP distance (pts)</t>
  </si>
  <si>
    <t xml:space="preserve">Planned risk $</t>
  </si>
  <si>
    <t xml:space="preserve">Exit price</t>
  </si>
  <si>
    <t xml:space="preserve">Exit reason</t>
  </si>
  <si>
    <t xml:space="preserve">Points made</t>
  </si>
  <si>
    <t xml:space="preserve">Commission $</t>
  </si>
  <si>
    <t xml:space="preserve">Swap $</t>
  </si>
  <si>
    <t xml:space="preserve">Net profit $</t>
  </si>
  <si>
    <t xml:space="preserve">Result</t>
  </si>
  <si>
    <t xml:space="preserve">Hold (min)</t>
  </si>
  <si>
    <t xml:space="preserve">Hold bucket</t>
  </si>
  <si>
    <t xml:space="preserve">SL bucket (pts)</t>
  </si>
  <si>
    <t xml:space="preserve">Balance after</t>
  </si>
  <si>
    <t xml:space="preserve">Peak balance</t>
  </si>
  <si>
    <t xml:space="preserve">Drawdown $</t>
  </si>
  <si>
    <t xml:space="preserve">Drawdown %</t>
  </si>
  <si>
    <t xml:space="preserve">Tue</t>
  </si>
  <si>
    <t xml:space="preserve">BUY</t>
  </si>
  <si>
    <t xml:space="preserve">PDH breakout</t>
  </si>
  <si>
    <t xml:space="preserve">Wed</t>
  </si>
  <si>
    <t xml:space="preserve">SELL</t>
  </si>
  <si>
    <t xml:space="preserve">PDL breakout</t>
  </si>
  <si>
    <t xml:space="preserve">Breakeven stop</t>
  </si>
  <si>
    <t xml:space="preserve">Thu</t>
  </si>
  <si>
    <t xml:space="preserve">Mon</t>
  </si>
  <si>
    <t xml:space="preserve">Initial stop loss</t>
  </si>
  <si>
    <t xml:space="preserve">Fri</t>
  </si>
  <si>
    <t xml:space="preserve">Where the money is made and lost</t>
  </si>
  <si>
    <t xml:space="preserve">By side</t>
  </si>
  <si>
    <t xml:space="preserve">Is one direction worse than the other?</t>
  </si>
  <si>
    <t xml:space="preserve">side</t>
  </si>
  <si>
    <t xml:space="preserve">Avg per trade</t>
  </si>
  <si>
    <t xml:space="preserve">Avg R</t>
  </si>
  <si>
    <t xml:space="preserve">Total</t>
  </si>
  <si>
    <t xml:space="preserve">By setup</t>
  </si>
  <si>
    <t xml:space="preserve">Entry comment written by the EA.</t>
  </si>
  <si>
    <t xml:space="preserve">setup</t>
  </si>
  <si>
    <t xml:space="preserve">By exit reason</t>
  </si>
  <si>
    <t xml:space="preserve">Breakeven stop = price reached the breakeven trigger, then came back to entry. Small losses there are slippage/commission.</t>
  </si>
  <si>
    <t xml:space="preserve">exit reason</t>
  </si>
  <si>
    <t xml:space="preserve">Moved stop (loss side)</t>
  </si>
  <si>
    <t xml:space="preserve">Closed by EA</t>
  </si>
  <si>
    <t xml:space="preserve">By weekday (entry)</t>
  </si>
  <si>
    <t xml:space="preserve">Day of the week the trade was entered (server time).</t>
  </si>
  <si>
    <t xml:space="preserve">weekday (entry)</t>
  </si>
  <si>
    <t xml:space="preserve">By entry hour (server)</t>
  </si>
  <si>
    <t xml:space="preserve">Server hour of entry. Hours with a clearly negative total are candidates for a no-trade window.</t>
  </si>
  <si>
    <t xml:space="preserve">entry hour (server)</t>
  </si>
  <si>
    <t xml:space="preserve">By hold time</t>
  </si>
  <si>
    <t xml:space="preserve">How long trades stayed open.</t>
  </si>
  <si>
    <t xml:space="preserve">hold time</t>
  </si>
  <si>
    <t xml:space="preserve">a) &lt;1 min</t>
  </si>
  <si>
    <t xml:space="preserve">b) 1-10 min</t>
  </si>
  <si>
    <t xml:space="preserve">c) 10-60 min</t>
  </si>
  <si>
    <t xml:space="preserve">d) 1-4 h</t>
  </si>
  <si>
    <t xml:space="preserve">e) 4 h+</t>
  </si>
  <si>
    <t xml:space="preserve">By SL distance (points)</t>
  </si>
  <si>
    <t xml:space="preserve">ATR-based stops: very small stops are easily hit by noise, very large ones mean volatile days.</t>
  </si>
  <si>
    <t xml:space="preserve">SL distance (points)</t>
  </si>
  <si>
    <t xml:space="preserve">a) &lt;10</t>
  </si>
  <si>
    <t xml:space="preserve">b) 10-20</t>
  </si>
  <si>
    <t xml:space="preserve">c) 20-40</t>
  </si>
  <si>
    <t xml:space="preserve">d) 40-80</t>
  </si>
  <si>
    <t xml:space="preserve">e) 80+</t>
  </si>
  <si>
    <t xml:space="preserve">By year</t>
  </si>
  <si>
    <t xml:space="preserve">Same as the Yearly sheet, for side-by-side reading.</t>
  </si>
  <si>
    <t xml:space="preserve">year</t>
  </si>
  <si>
    <t xml:space="preserve">R distribution</t>
  </si>
  <si>
    <t xml:space="preserve">How many trades ended in each R range.</t>
  </si>
  <si>
    <t xml:space="preserve">R range</t>
  </si>
  <si>
    <t xml:space="preserve">Share</t>
  </si>
  <si>
    <t xml:space="preserve">worse than -1.05R</t>
  </si>
  <si>
    <t xml:space="preserve">-1R (full stop)</t>
  </si>
  <si>
    <t xml:space="preserve">-0.95R to -0.05R</t>
  </si>
  <si>
    <t xml:space="preserve">about 0R (breakeven)</t>
  </si>
  <si>
    <t xml:space="preserve">0 to +1R</t>
  </si>
  <si>
    <t xml:space="preserve">+1R to +2R</t>
  </si>
  <si>
    <t xml:space="preserve">+2R to +3R</t>
  </si>
  <si>
    <t xml:space="preserve">+3R and more</t>
  </si>
  <si>
    <t xml:space="preserve">Top 10 drawdown periods (closed trades)</t>
  </si>
  <si>
    <t xml:space="preserve">Computed from the trade list when the workbook was built (values, not formulas).</t>
  </si>
  <si>
    <t xml:space="preserve">Started (peak)</t>
  </si>
  <si>
    <t xml:space="preserve">Lowest point</t>
  </si>
  <si>
    <t xml:space="preserve">Recovered</t>
  </si>
  <si>
    <t xml:space="preserve">Depth $</t>
  </si>
  <si>
    <t xml:space="preserve">Depth %</t>
  </si>
  <si>
    <t xml:space="preserve">Days to recover</t>
  </si>
  <si>
    <t xml:space="preserve">Longest streaks</t>
  </si>
  <si>
    <t xml:space="preserve">Streak</t>
  </si>
  <si>
    <t xml:space="preserve">Net $</t>
  </si>
  <si>
    <t xml:space="preserve">Started</t>
  </si>
  <si>
    <t xml:space="preserve">Winning</t>
  </si>
  <si>
    <t xml:space="preserve">Losing</t>
  </si>
  <si>
    <t xml:space="preserve">Losing days in a row</t>
  </si>
  <si>
    <t xml:space="preserve">Figures exactly as the MT5 Strategy Tester reported them</t>
  </si>
  <si>
    <t xml:space="preserve">History Quality</t>
  </si>
  <si>
    <t xml:space="preserve">100% real ticks</t>
  </si>
  <si>
    <t xml:space="preserve">Bars</t>
  </si>
  <si>
    <t xml:space="preserve">Ticks</t>
  </si>
  <si>
    <t xml:space="preserve">Symbols</t>
  </si>
  <si>
    <t xml:space="preserve">Total Net Profit</t>
  </si>
  <si>
    <t xml:space="preserve">Balance Drawdown Absolute</t>
  </si>
  <si>
    <t xml:space="preserve">Equity Drawdown Absolute</t>
  </si>
  <si>
    <t xml:space="preserve">Gross Profit</t>
  </si>
  <si>
    <t xml:space="preserve">Balance Drawdown Maximal</t>
  </si>
  <si>
    <t xml:space="preserve">Equity Drawdown Maximal</t>
  </si>
  <si>
    <t xml:space="preserve">Gross Loss</t>
  </si>
  <si>
    <t xml:space="preserve">Balance Drawdown Relative</t>
  </si>
  <si>
    <t xml:space="preserve">1.92% (2 246.72)</t>
  </si>
  <si>
    <t xml:space="preserve">Equity Drawdown Relative</t>
  </si>
  <si>
    <t xml:space="preserve">2.11% (2 470.08)</t>
  </si>
  <si>
    <t xml:space="preserve">Profit Factor</t>
  </si>
  <si>
    <t xml:space="preserve">Expected Payoff</t>
  </si>
  <si>
    <t xml:space="preserve">Margin Level</t>
  </si>
  <si>
    <t xml:space="preserve">110.87%</t>
  </si>
  <si>
    <t xml:space="preserve">Recovery Factor</t>
  </si>
  <si>
    <t xml:space="preserve">Sharpe Ratio</t>
  </si>
  <si>
    <t xml:space="preserve">Z-Score</t>
  </si>
  <si>
    <t xml:space="preserve">AHPR</t>
  </si>
  <si>
    <t xml:space="preserve">1.0002 (0.02%)</t>
  </si>
  <si>
    <t xml:space="preserve">LR Correlation</t>
  </si>
  <si>
    <t xml:space="preserve">OnTester result</t>
  </si>
  <si>
    <t xml:space="preserve">0</t>
  </si>
  <si>
    <t xml:space="preserve">GHPR</t>
  </si>
  <si>
    <t xml:space="preserve">LR Standard Error</t>
  </si>
  <si>
    <t xml:space="preserve">Correlation (Profits,MFE)</t>
  </si>
  <si>
    <t xml:space="preserve">Correlation (Profits,MAE)</t>
  </si>
  <si>
    <t xml:space="preserve">Correlation (MFE,MAE)</t>
  </si>
  <si>
    <t xml:space="preserve">Minimal position holding time</t>
  </si>
  <si>
    <t xml:space="preserve">0:00:03</t>
  </si>
  <si>
    <t xml:space="preserve">Maximal position holding time</t>
  </si>
  <si>
    <t xml:space="preserve">35:42:41</t>
  </si>
  <si>
    <t xml:space="preserve">Average position holding time</t>
  </si>
  <si>
    <t xml:space="preserve">Total Trades</t>
  </si>
  <si>
    <t xml:space="preserve">Short Trades (won %)</t>
  </si>
  <si>
    <t xml:space="preserve">Long Trades (won %)</t>
  </si>
  <si>
    <t xml:space="preserve">Total Deals</t>
  </si>
  <si>
    <t xml:space="preserve">Profit Trades (% of total)</t>
  </si>
  <si>
    <t xml:space="preserve">Loss Trades (% of total)</t>
  </si>
  <si>
    <t xml:space="preserve">Largest profit trade</t>
  </si>
  <si>
    <t xml:space="preserve">Largest loss trade</t>
  </si>
  <si>
    <t xml:space="preserve">Average profit trade</t>
  </si>
  <si>
    <t xml:space="preserve">Average loss trade</t>
  </si>
  <si>
    <t xml:space="preserve">Maximum consecutive wins ($)</t>
  </si>
  <si>
    <t xml:space="preserve">4 (1 153.43)</t>
  </si>
  <si>
    <t xml:space="preserve">Maximum consecutive losses ($)</t>
  </si>
  <si>
    <t xml:space="preserve">13 (-1 066.13)</t>
  </si>
  <si>
    <t xml:space="preserve">Maximal consecutive profit (count)</t>
  </si>
  <si>
    <t xml:space="preserve">1 176.97 (3)</t>
  </si>
  <si>
    <t xml:space="preserve">Maximal consecutive loss (count)</t>
  </si>
  <si>
    <t xml:space="preserve">-1 525.78 (10)</t>
  </si>
  <si>
    <t xml:space="preserve">Average consecutive wins</t>
  </si>
  <si>
    <t xml:space="preserve">Average consecutive losses</t>
  </si>
  <si>
    <t xml:space="preserve">Test settings and EA inputs</t>
  </si>
  <si>
    <t xml:space="preserve">Expert</t>
  </si>
  <si>
    <t xml:space="preserve">Pdh pdl m1 atr</t>
  </si>
  <si>
    <t xml:space="preserve">Symbol</t>
  </si>
  <si>
    <t xml:space="preserve">NDX100.m_S0</t>
  </si>
  <si>
    <t xml:space="preserve">Period</t>
  </si>
  <si>
    <t xml:space="preserve">M1 (2023.04.01 - 2026.10.01)</t>
  </si>
  <si>
    <t xml:space="preserve">Company</t>
  </si>
  <si>
    <t xml:space="preserve">FundingPips Corp</t>
  </si>
  <si>
    <t xml:space="preserve">Currency</t>
  </si>
  <si>
    <t xml:space="preserve">USD</t>
  </si>
  <si>
    <t xml:space="preserve">Initial Deposit</t>
  </si>
  <si>
    <t xml:space="preserve">Leverage</t>
  </si>
  <si>
    <t xml:space="preserve">1:500</t>
  </si>
  <si>
    <t xml:space="preserve">History quality</t>
  </si>
  <si>
    <t xml:space="preserve">Input</t>
  </si>
  <si>
    <t xml:space="preserve">Entry</t>
  </si>
  <si>
    <t xml:space="preserve">TradeBuys</t>
  </si>
  <si>
    <t xml:space="preserve">true</t>
  </si>
  <si>
    <t xml:space="preserve">TradeSells</t>
  </si>
  <si>
    <t xml:space="preserve">Stop Loss / Take Profit (ATR)</t>
  </si>
  <si>
    <t xml:space="preserve">ATR_Timeframe</t>
  </si>
  <si>
    <t xml:space="preserve">1</t>
  </si>
  <si>
    <t xml:space="preserve">ATR_Period</t>
  </si>
  <si>
    <t xml:space="preserve">10</t>
  </si>
  <si>
    <t xml:space="preserve">ATR_SL_Mult</t>
  </si>
  <si>
    <t xml:space="preserve">2</t>
  </si>
  <si>
    <t xml:space="preserve">ATR_TP_Mult</t>
  </si>
  <si>
    <t xml:space="preserve">4</t>
  </si>
  <si>
    <t xml:space="preserve">Trade Management</t>
  </si>
  <si>
    <t xml:space="preserve">UseBreakeven</t>
  </si>
  <si>
    <t xml:space="preserve">BreakevenAtR</t>
  </si>
  <si>
    <t xml:space="preserve">1.0</t>
  </si>
  <si>
    <t xml:space="preserve">UseTimeExit</t>
  </si>
  <si>
    <t xml:space="preserve">false</t>
  </si>
  <si>
    <t xml:space="preserve">ExitHour</t>
  </si>
  <si>
    <t xml:space="preserve">22</t>
  </si>
  <si>
    <t xml:space="preserve">ExitMinute</t>
  </si>
  <si>
    <t xml:space="preserve">45</t>
  </si>
  <si>
    <t xml:space="preserve">Position Size</t>
  </si>
  <si>
    <t xml:space="preserve">LotMode</t>
  </si>
  <si>
    <t xml:space="preserve">FixedLots</t>
  </si>
  <si>
    <t xml:space="preserve">0.01</t>
  </si>
  <si>
    <t xml:space="preserve">RiskPercent</t>
  </si>
  <si>
    <t xml:space="preserve">0.5</t>
  </si>
  <si>
    <t xml:space="preserve">MaxMarginUsePct</t>
  </si>
  <si>
    <t xml:space="preserve">90.0</t>
  </si>
  <si>
    <t xml:space="preserve">Loss Limits (whole account, all EA instances)</t>
  </si>
  <si>
    <t xml:space="preserve">DailyLossPct</t>
  </si>
  <si>
    <t xml:space="preserve">2.5</t>
  </si>
  <si>
    <t xml:space="preserve">WeeklyLossPct</t>
  </si>
  <si>
    <t xml:space="preserve">8.5</t>
  </si>
  <si>
    <t xml:space="preserve">LossBaseAmount</t>
  </si>
  <si>
    <t xml:space="preserve">0.0</t>
  </si>
  <si>
    <t xml:space="preserve">Optional Filters (off by default)</t>
  </si>
  <si>
    <t xml:space="preserve">MaxSpreadPoints</t>
  </si>
  <si>
    <t xml:space="preserve">UseSession</t>
  </si>
  <si>
    <t xml:space="preserve">SessionStartHour</t>
  </si>
  <si>
    <t xml:space="preserve">8</t>
  </si>
  <si>
    <t xml:space="preserve">SessionEndHour</t>
  </si>
  <si>
    <t xml:space="preserve">17</t>
  </si>
  <si>
    <t xml:space="preserve">Execution</t>
  </si>
  <si>
    <t xml:space="preserve">MagicNumber</t>
  </si>
  <si>
    <t xml:space="preserve">260514</t>
  </si>
  <si>
    <t xml:space="preserve">SlippagePoints</t>
  </si>
  <si>
    <t xml:space="preserve">30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</si>
</sst>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;[RED]&quot;-$&quot;#,##0.00;\-"/>
    <numFmt numFmtId="166" formatCode="0.00"/>
    <numFmt numFmtId="167" formatCode="0.00%;[RED]\-0.00%;\-"/>
    <numFmt numFmtId="168" formatCode="0"/>
    <numFmt numFmtId="169" formatCode="0.00;[RED]\-0.00;\-"/>
    <numFmt numFmtId="170" formatCode="0.00\R;[RED]\-0.00\R;&quot;0R&quot;"/>
    <numFmt numFmtId="171" formatCode="@"/>
    <numFmt numFmtId="172" formatCode="0.0"/>
    <numFmt numFmtId="173" formatCode="\$#,##0"/>
    <numFmt numFmtId="174" formatCode="0.0%"/>
    <numFmt numFmtId="175" formatCode="General"/>
    <numFmt numFmtId="176" formatCode="0%"/>
    <numFmt numFmtId="177" formatCode="yyyy\-mm\-dd"/>
    <numFmt numFmtId="178" formatCode="yyyy\-mm\-dd\ hh:mm:ss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Trades!AD1</c:f>
              <c:strCache>
                <c:ptCount val="1"/>
                <c:pt idx="0">
                  <c:v>Balance after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Trades!$AD$2:$AD$884</c:f>
              <c:numCache>
                <c:formatCode>\$#,##0.00;[RED]"-$"#,##0.00;\-</c:formatCode>
                <c:ptCount val="883"/>
                <c:pt idx="0">
                  <c:v>100085.68</c:v>
                </c:pt>
                <c:pt idx="1">
                  <c:v>100083.78</c:v>
                </c:pt>
                <c:pt idx="2">
                  <c:v>100224.34</c:v>
                </c:pt>
                <c:pt idx="3">
                  <c:v>100155.05</c:v>
                </c:pt>
                <c:pt idx="4">
                  <c:v>100215.77</c:v>
                </c:pt>
                <c:pt idx="5">
                  <c:v>100180.41</c:v>
                </c:pt>
                <c:pt idx="6">
                  <c:v>100133.08</c:v>
                </c:pt>
                <c:pt idx="7">
                  <c:v>99778.6</c:v>
                </c:pt>
                <c:pt idx="8">
                  <c:v>99743.67</c:v>
                </c:pt>
                <c:pt idx="9">
                  <c:v>99604.47</c:v>
                </c:pt>
                <c:pt idx="10">
                  <c:v>99532.93</c:v>
                </c:pt>
                <c:pt idx="11">
                  <c:v>99656.89</c:v>
                </c:pt>
                <c:pt idx="12">
                  <c:v>99826.96</c:v>
                </c:pt>
                <c:pt idx="13">
                  <c:v>99755.56</c:v>
                </c:pt>
                <c:pt idx="14">
                  <c:v>99545.58</c:v>
                </c:pt>
                <c:pt idx="15">
                  <c:v>99455.96</c:v>
                </c:pt>
                <c:pt idx="16">
                  <c:v>99374.7</c:v>
                </c:pt>
                <c:pt idx="17">
                  <c:v>99361.78</c:v>
                </c:pt>
                <c:pt idx="18">
                  <c:v>99190.43</c:v>
                </c:pt>
                <c:pt idx="19">
                  <c:v>99116.05</c:v>
                </c:pt>
                <c:pt idx="20">
                  <c:v>99427.04</c:v>
                </c:pt>
                <c:pt idx="21">
                  <c:v>99423.69</c:v>
                </c:pt>
                <c:pt idx="22">
                  <c:v>99658.22</c:v>
                </c:pt>
                <c:pt idx="23">
                  <c:v>99590.17</c:v>
                </c:pt>
                <c:pt idx="24">
                  <c:v>99533.94</c:v>
                </c:pt>
                <c:pt idx="25">
                  <c:v>99850.61</c:v>
                </c:pt>
                <c:pt idx="26">
                  <c:v>99792.53</c:v>
                </c:pt>
                <c:pt idx="27">
                  <c:v>99749.83</c:v>
                </c:pt>
                <c:pt idx="28">
                  <c:v>99917.47</c:v>
                </c:pt>
                <c:pt idx="29">
                  <c:v>99916.61</c:v>
                </c:pt>
                <c:pt idx="30">
                  <c:v>99846.58</c:v>
                </c:pt>
                <c:pt idx="31">
                  <c:v>99783.62</c:v>
                </c:pt>
                <c:pt idx="32">
                  <c:v>99912.07</c:v>
                </c:pt>
                <c:pt idx="33">
                  <c:v>99837.51</c:v>
                </c:pt>
                <c:pt idx="34">
                  <c:v>99794.37</c:v>
                </c:pt>
                <c:pt idx="35">
                  <c:v>99792.32</c:v>
                </c:pt>
                <c:pt idx="36">
                  <c:v>99736.58</c:v>
                </c:pt>
                <c:pt idx="37">
                  <c:v>99371.52</c:v>
                </c:pt>
                <c:pt idx="38">
                  <c:v>99368.85</c:v>
                </c:pt>
                <c:pt idx="39">
                  <c:v>99244.42</c:v>
                </c:pt>
                <c:pt idx="40">
                  <c:v>99389.8</c:v>
                </c:pt>
                <c:pt idx="41">
                  <c:v>99386.76</c:v>
                </c:pt>
                <c:pt idx="42">
                  <c:v>99336.29</c:v>
                </c:pt>
                <c:pt idx="43">
                  <c:v>99202.99</c:v>
                </c:pt>
                <c:pt idx="44">
                  <c:v>99360.35</c:v>
                </c:pt>
                <c:pt idx="45">
                  <c:v>99459.11</c:v>
                </c:pt>
                <c:pt idx="46">
                  <c:v>99458.75</c:v>
                </c:pt>
                <c:pt idx="47">
                  <c:v>99634.37</c:v>
                </c:pt>
                <c:pt idx="48">
                  <c:v>99633.35</c:v>
                </c:pt>
                <c:pt idx="49">
                  <c:v>99723.87</c:v>
                </c:pt>
                <c:pt idx="50">
                  <c:v>99675.87</c:v>
                </c:pt>
                <c:pt idx="51">
                  <c:v>99786.69</c:v>
                </c:pt>
                <c:pt idx="52">
                  <c:v>99785.85</c:v>
                </c:pt>
                <c:pt idx="53">
                  <c:v>99674.91</c:v>
                </c:pt>
                <c:pt idx="54">
                  <c:v>99612.85</c:v>
                </c:pt>
                <c:pt idx="55">
                  <c:v>99607.4</c:v>
                </c:pt>
                <c:pt idx="56">
                  <c:v>99553.46</c:v>
                </c:pt>
                <c:pt idx="57">
                  <c:v>99520.34</c:v>
                </c:pt>
                <c:pt idx="58">
                  <c:v>99775.95</c:v>
                </c:pt>
                <c:pt idx="59">
                  <c:v>99775.65</c:v>
                </c:pt>
                <c:pt idx="60">
                  <c:v>99719.1</c:v>
                </c:pt>
                <c:pt idx="61">
                  <c:v>100020.54</c:v>
                </c:pt>
                <c:pt idx="62">
                  <c:v>100333.98</c:v>
                </c:pt>
                <c:pt idx="63">
                  <c:v>100514.28</c:v>
                </c:pt>
                <c:pt idx="64">
                  <c:v>100511.79</c:v>
                </c:pt>
                <c:pt idx="65">
                  <c:v>100575.65</c:v>
                </c:pt>
                <c:pt idx="66">
                  <c:v>100574.49</c:v>
                </c:pt>
                <c:pt idx="67">
                  <c:v>100737.3</c:v>
                </c:pt>
                <c:pt idx="68">
                  <c:v>100689.16</c:v>
                </c:pt>
                <c:pt idx="69">
                  <c:v>100605.1</c:v>
                </c:pt>
                <c:pt idx="70">
                  <c:v>100695.52</c:v>
                </c:pt>
                <c:pt idx="71">
                  <c:v>100680.09</c:v>
                </c:pt>
                <c:pt idx="72">
                  <c:v>100622.79</c:v>
                </c:pt>
                <c:pt idx="73">
                  <c:v>100825.27</c:v>
                </c:pt>
                <c:pt idx="74">
                  <c:v>100791.98</c:v>
                </c:pt>
                <c:pt idx="75">
                  <c:v>100913.5</c:v>
                </c:pt>
                <c:pt idx="76">
                  <c:v>101224.19</c:v>
                </c:pt>
                <c:pt idx="77">
                  <c:v>101052.72</c:v>
                </c:pt>
                <c:pt idx="78">
                  <c:v>101215.51</c:v>
                </c:pt>
                <c:pt idx="79">
                  <c:v>101099.16</c:v>
                </c:pt>
                <c:pt idx="80">
                  <c:v>100837.93</c:v>
                </c:pt>
                <c:pt idx="81">
                  <c:v>100806.03</c:v>
                </c:pt>
                <c:pt idx="82">
                  <c:v>100642.18</c:v>
                </c:pt>
                <c:pt idx="83">
                  <c:v>100642.06</c:v>
                </c:pt>
                <c:pt idx="84">
                  <c:v>100770.58</c:v>
                </c:pt>
                <c:pt idx="85">
                  <c:v>100857.55</c:v>
                </c:pt>
                <c:pt idx="86">
                  <c:v>100857.44</c:v>
                </c:pt>
                <c:pt idx="87">
                  <c:v>100664.3</c:v>
                </c:pt>
                <c:pt idx="88">
                  <c:v>100837.6</c:v>
                </c:pt>
                <c:pt idx="89">
                  <c:v>100760.52</c:v>
                </c:pt>
                <c:pt idx="90">
                  <c:v>100720.67</c:v>
                </c:pt>
                <c:pt idx="91">
                  <c:v>100633.96</c:v>
                </c:pt>
                <c:pt idx="92">
                  <c:v>100900.7</c:v>
                </c:pt>
                <c:pt idx="93">
                  <c:v>100752.86</c:v>
                </c:pt>
                <c:pt idx="94">
                  <c:v>100603.04</c:v>
                </c:pt>
                <c:pt idx="95">
                  <c:v>100887.74</c:v>
                </c:pt>
                <c:pt idx="96">
                  <c:v>100886.06</c:v>
                </c:pt>
                <c:pt idx="97">
                  <c:v>101039.61</c:v>
                </c:pt>
                <c:pt idx="98">
                  <c:v>100968.57</c:v>
                </c:pt>
                <c:pt idx="99">
                  <c:v>100938.09</c:v>
                </c:pt>
                <c:pt idx="100">
                  <c:v>101054.97</c:v>
                </c:pt>
                <c:pt idx="101">
                  <c:v>101177.73</c:v>
                </c:pt>
                <c:pt idx="102">
                  <c:v>101172.81</c:v>
                </c:pt>
                <c:pt idx="103">
                  <c:v>101523.93</c:v>
                </c:pt>
                <c:pt idx="104">
                  <c:v>101946.75</c:v>
                </c:pt>
                <c:pt idx="105">
                  <c:v>101801.67</c:v>
                </c:pt>
                <c:pt idx="106">
                  <c:v>101741.73</c:v>
                </c:pt>
                <c:pt idx="107">
                  <c:v>101853.93</c:v>
                </c:pt>
                <c:pt idx="108">
                  <c:v>101829.57</c:v>
                </c:pt>
                <c:pt idx="109">
                  <c:v>101781.84</c:v>
                </c:pt>
                <c:pt idx="110">
                  <c:v>101741.07</c:v>
                </c:pt>
                <c:pt idx="111">
                  <c:v>101979.51</c:v>
                </c:pt>
                <c:pt idx="112">
                  <c:v>101979.22</c:v>
                </c:pt>
                <c:pt idx="113">
                  <c:v>101925.05</c:v>
                </c:pt>
                <c:pt idx="114">
                  <c:v>102310.4</c:v>
                </c:pt>
                <c:pt idx="115">
                  <c:v>102464.96</c:v>
                </c:pt>
                <c:pt idx="116">
                  <c:v>102464.21</c:v>
                </c:pt>
                <c:pt idx="117">
                  <c:v>102378.17</c:v>
                </c:pt>
                <c:pt idx="118">
                  <c:v>102339.41</c:v>
                </c:pt>
                <c:pt idx="119">
                  <c:v>102310.18</c:v>
                </c:pt>
                <c:pt idx="120">
                  <c:v>102276.77</c:v>
                </c:pt>
                <c:pt idx="121">
                  <c:v>102631.01</c:v>
                </c:pt>
                <c:pt idx="122">
                  <c:v>102762.35</c:v>
                </c:pt>
                <c:pt idx="123">
                  <c:v>102757.85</c:v>
                </c:pt>
                <c:pt idx="124">
                  <c:v>103084.79</c:v>
                </c:pt>
                <c:pt idx="125">
                  <c:v>103034.51</c:v>
                </c:pt>
                <c:pt idx="126">
                  <c:v>103000.53</c:v>
                </c:pt>
                <c:pt idx="127">
                  <c:v>102997.37</c:v>
                </c:pt>
                <c:pt idx="128">
                  <c:v>102996.69</c:v>
                </c:pt>
                <c:pt idx="129">
                  <c:v>102887.14</c:v>
                </c:pt>
                <c:pt idx="130">
                  <c:v>103228.57</c:v>
                </c:pt>
                <c:pt idx="131">
                  <c:v>103180.02</c:v>
                </c:pt>
                <c:pt idx="132">
                  <c:v>103818</c:v>
                </c:pt>
                <c:pt idx="133">
                  <c:v>103754.13</c:v>
                </c:pt>
                <c:pt idx="134">
                  <c:v>103682.21</c:v>
                </c:pt>
                <c:pt idx="135">
                  <c:v>103261.22</c:v>
                </c:pt>
                <c:pt idx="136">
                  <c:v>103650.08</c:v>
                </c:pt>
                <c:pt idx="137">
                  <c:v>103855.92</c:v>
                </c:pt>
                <c:pt idx="138">
                  <c:v>103949.73</c:v>
                </c:pt>
                <c:pt idx="139">
                  <c:v>103799.91</c:v>
                </c:pt>
                <c:pt idx="140">
                  <c:v>103828.83</c:v>
                </c:pt>
                <c:pt idx="141">
                  <c:v>103825.53</c:v>
                </c:pt>
                <c:pt idx="142">
                  <c:v>103820.43</c:v>
                </c:pt>
                <c:pt idx="143">
                  <c:v>103590.53</c:v>
                </c:pt>
                <c:pt idx="144">
                  <c:v>103585.32</c:v>
                </c:pt>
                <c:pt idx="145">
                  <c:v>103794.94</c:v>
                </c:pt>
                <c:pt idx="146">
                  <c:v>103794.51</c:v>
                </c:pt>
                <c:pt idx="147">
                  <c:v>103718.03</c:v>
                </c:pt>
                <c:pt idx="148">
                  <c:v>103541.21</c:v>
                </c:pt>
                <c:pt idx="149">
                  <c:v>103778.11</c:v>
                </c:pt>
                <c:pt idx="150">
                  <c:v>104268.99</c:v>
                </c:pt>
                <c:pt idx="151">
                  <c:v>104268.29</c:v>
                </c:pt>
                <c:pt idx="152">
                  <c:v>104170.5</c:v>
                </c:pt>
                <c:pt idx="153">
                  <c:v>104012.29</c:v>
                </c:pt>
                <c:pt idx="154">
                  <c:v>104167.35</c:v>
                </c:pt>
                <c:pt idx="155">
                  <c:v>104167.16</c:v>
                </c:pt>
                <c:pt idx="156">
                  <c:v>104089.22</c:v>
                </c:pt>
                <c:pt idx="157">
                  <c:v>104215.46</c:v>
                </c:pt>
                <c:pt idx="158">
                  <c:v>104110.58</c:v>
                </c:pt>
                <c:pt idx="159">
                  <c:v>104104.76</c:v>
                </c:pt>
                <c:pt idx="160">
                  <c:v>103957.58</c:v>
                </c:pt>
                <c:pt idx="161">
                  <c:v>103956.32</c:v>
                </c:pt>
                <c:pt idx="162">
                  <c:v>104137.76</c:v>
                </c:pt>
                <c:pt idx="163">
                  <c:v>104194.52</c:v>
                </c:pt>
                <c:pt idx="164">
                  <c:v>104241.85</c:v>
                </c:pt>
                <c:pt idx="165">
                  <c:v>104194.29</c:v>
                </c:pt>
                <c:pt idx="166">
                  <c:v>104155.31</c:v>
                </c:pt>
                <c:pt idx="167">
                  <c:v>104366.78</c:v>
                </c:pt>
                <c:pt idx="168">
                  <c:v>104346.13</c:v>
                </c:pt>
                <c:pt idx="169">
                  <c:v>104554.41</c:v>
                </c:pt>
                <c:pt idx="170">
                  <c:v>104554.06</c:v>
                </c:pt>
                <c:pt idx="171">
                  <c:v>104524.71</c:v>
                </c:pt>
                <c:pt idx="172">
                  <c:v>104522.91</c:v>
                </c:pt>
                <c:pt idx="173">
                  <c:v>104521.63</c:v>
                </c:pt>
                <c:pt idx="174">
                  <c:v>104895.27</c:v>
                </c:pt>
                <c:pt idx="175">
                  <c:v>104807.81</c:v>
                </c:pt>
                <c:pt idx="176">
                  <c:v>104774.23</c:v>
                </c:pt>
                <c:pt idx="177">
                  <c:v>104742.62</c:v>
                </c:pt>
                <c:pt idx="178">
                  <c:v>104660.09</c:v>
                </c:pt>
                <c:pt idx="179">
                  <c:v>104658</c:v>
                </c:pt>
                <c:pt idx="180">
                  <c:v>104495.43</c:v>
                </c:pt>
                <c:pt idx="181">
                  <c:v>104554.45</c:v>
                </c:pt>
                <c:pt idx="182">
                  <c:v>104554.23</c:v>
                </c:pt>
                <c:pt idx="183">
                  <c:v>104596.79</c:v>
                </c:pt>
                <c:pt idx="184">
                  <c:v>104508.37</c:v>
                </c:pt>
                <c:pt idx="185">
                  <c:v>104411.1</c:v>
                </c:pt>
                <c:pt idx="186">
                  <c:v>104354.71</c:v>
                </c:pt>
                <c:pt idx="187">
                  <c:v>104354.33</c:v>
                </c:pt>
                <c:pt idx="188">
                  <c:v>104634.05</c:v>
                </c:pt>
                <c:pt idx="189">
                  <c:v>104602.19</c:v>
                </c:pt>
                <c:pt idx="190">
                  <c:v>104599.49</c:v>
                </c:pt>
                <c:pt idx="191">
                  <c:v>104485.06</c:v>
                </c:pt>
                <c:pt idx="192">
                  <c:v>104513.79</c:v>
                </c:pt>
                <c:pt idx="193">
                  <c:v>104466.65</c:v>
                </c:pt>
                <c:pt idx="194">
                  <c:v>104637.45</c:v>
                </c:pt>
                <c:pt idx="195">
                  <c:v>104741.33</c:v>
                </c:pt>
                <c:pt idx="196">
                  <c:v>104674.35</c:v>
                </c:pt>
                <c:pt idx="197">
                  <c:v>104718.81</c:v>
                </c:pt>
                <c:pt idx="198">
                  <c:v>104953.84</c:v>
                </c:pt>
                <c:pt idx="199">
                  <c:v>105071.66</c:v>
                </c:pt>
                <c:pt idx="200">
                  <c:v>105175.93</c:v>
                </c:pt>
                <c:pt idx="201">
                  <c:v>105139.14</c:v>
                </c:pt>
                <c:pt idx="202">
                  <c:v>105134.6</c:v>
                </c:pt>
                <c:pt idx="203">
                  <c:v>105205.83</c:v>
                </c:pt>
                <c:pt idx="204">
                  <c:v>105094.73</c:v>
                </c:pt>
                <c:pt idx="205">
                  <c:v>105001.43</c:v>
                </c:pt>
                <c:pt idx="206">
                  <c:v>105091.03</c:v>
                </c:pt>
                <c:pt idx="207">
                  <c:v>105065.22</c:v>
                </c:pt>
                <c:pt idx="208">
                  <c:v>104996.75</c:v>
                </c:pt>
                <c:pt idx="209">
                  <c:v>104945.56</c:v>
                </c:pt>
                <c:pt idx="210">
                  <c:v>105138.88</c:v>
                </c:pt>
                <c:pt idx="211">
                  <c:v>104998.75</c:v>
                </c:pt>
                <c:pt idx="212">
                  <c:v>104995.73</c:v>
                </c:pt>
                <c:pt idx="213">
                  <c:v>104951.89</c:v>
                </c:pt>
                <c:pt idx="214">
                  <c:v>104951.73</c:v>
                </c:pt>
                <c:pt idx="215">
                  <c:v>105477.42</c:v>
                </c:pt>
                <c:pt idx="216">
                  <c:v>105960.6</c:v>
                </c:pt>
                <c:pt idx="217">
                  <c:v>105921.13</c:v>
                </c:pt>
                <c:pt idx="218">
                  <c:v>105889.41</c:v>
                </c:pt>
                <c:pt idx="219">
                  <c:v>105887.85</c:v>
                </c:pt>
                <c:pt idx="220">
                  <c:v>105885.93</c:v>
                </c:pt>
                <c:pt idx="221">
                  <c:v>105847.81</c:v>
                </c:pt>
                <c:pt idx="222">
                  <c:v>105972.87</c:v>
                </c:pt>
                <c:pt idx="223">
                  <c:v>105947.81</c:v>
                </c:pt>
                <c:pt idx="224">
                  <c:v>105947.45</c:v>
                </c:pt>
                <c:pt idx="225">
                  <c:v>105946.1</c:v>
                </c:pt>
                <c:pt idx="226">
                  <c:v>105942.36</c:v>
                </c:pt>
                <c:pt idx="227">
                  <c:v>105893.69</c:v>
                </c:pt>
                <c:pt idx="228">
                  <c:v>105763.12</c:v>
                </c:pt>
                <c:pt idx="229">
                  <c:v>106261.85</c:v>
                </c:pt>
                <c:pt idx="230">
                  <c:v>106381.61</c:v>
                </c:pt>
                <c:pt idx="231">
                  <c:v>106379.22</c:v>
                </c:pt>
                <c:pt idx="232">
                  <c:v>106302.42</c:v>
                </c:pt>
                <c:pt idx="233">
                  <c:v>106279.12</c:v>
                </c:pt>
                <c:pt idx="234">
                  <c:v>106495.86</c:v>
                </c:pt>
                <c:pt idx="235">
                  <c:v>106588.89</c:v>
                </c:pt>
                <c:pt idx="236">
                  <c:v>106541.93</c:v>
                </c:pt>
                <c:pt idx="237">
                  <c:v>106541.57</c:v>
                </c:pt>
                <c:pt idx="238">
                  <c:v>106478.86</c:v>
                </c:pt>
                <c:pt idx="239">
                  <c:v>106474.02</c:v>
                </c:pt>
                <c:pt idx="240">
                  <c:v>106231.54</c:v>
                </c:pt>
                <c:pt idx="241">
                  <c:v>106124.21</c:v>
                </c:pt>
                <c:pt idx="242">
                  <c:v>106176.52</c:v>
                </c:pt>
                <c:pt idx="243">
                  <c:v>106132.22</c:v>
                </c:pt>
                <c:pt idx="244">
                  <c:v>106127.59</c:v>
                </c:pt>
                <c:pt idx="245">
                  <c:v>105971.75</c:v>
                </c:pt>
                <c:pt idx="246">
                  <c:v>105802.8</c:v>
                </c:pt>
                <c:pt idx="247">
                  <c:v>105633.28</c:v>
                </c:pt>
                <c:pt idx="248">
                  <c:v>105715.34</c:v>
                </c:pt>
                <c:pt idx="249">
                  <c:v>105710.89</c:v>
                </c:pt>
                <c:pt idx="250">
                  <c:v>105837.35</c:v>
                </c:pt>
                <c:pt idx="251">
                  <c:v>105934.38</c:v>
                </c:pt>
                <c:pt idx="252">
                  <c:v>105877.48</c:v>
                </c:pt>
                <c:pt idx="253">
                  <c:v>105877.27</c:v>
                </c:pt>
                <c:pt idx="254">
                  <c:v>106095.77</c:v>
                </c:pt>
                <c:pt idx="255">
                  <c:v>105972.53</c:v>
                </c:pt>
                <c:pt idx="256">
                  <c:v>105908.41</c:v>
                </c:pt>
                <c:pt idx="257">
                  <c:v>105811.33</c:v>
                </c:pt>
                <c:pt idx="258">
                  <c:v>106216.72</c:v>
                </c:pt>
                <c:pt idx="259">
                  <c:v>106141.01</c:v>
                </c:pt>
                <c:pt idx="260">
                  <c:v>106140.07</c:v>
                </c:pt>
                <c:pt idx="261">
                  <c:v>106138.56</c:v>
                </c:pt>
                <c:pt idx="262">
                  <c:v>106098.21</c:v>
                </c:pt>
                <c:pt idx="263">
                  <c:v>105642.33</c:v>
                </c:pt>
                <c:pt idx="264">
                  <c:v>105832.58</c:v>
                </c:pt>
                <c:pt idx="265">
                  <c:v>106122.48</c:v>
                </c:pt>
                <c:pt idx="266">
                  <c:v>106025.39</c:v>
                </c:pt>
                <c:pt idx="267">
                  <c:v>105843.3</c:v>
                </c:pt>
                <c:pt idx="268">
                  <c:v>105841.14</c:v>
                </c:pt>
                <c:pt idx="269">
                  <c:v>105840.33</c:v>
                </c:pt>
                <c:pt idx="270">
                  <c:v>105710.68</c:v>
                </c:pt>
                <c:pt idx="271">
                  <c:v>105982.46</c:v>
                </c:pt>
                <c:pt idx="272">
                  <c:v>105982.35</c:v>
                </c:pt>
                <c:pt idx="273">
                  <c:v>105562.69</c:v>
                </c:pt>
                <c:pt idx="274">
                  <c:v>105377</c:v>
                </c:pt>
                <c:pt idx="275">
                  <c:v>105338.42</c:v>
                </c:pt>
                <c:pt idx="276">
                  <c:v>105336.65</c:v>
                </c:pt>
                <c:pt idx="277">
                  <c:v>105319.48</c:v>
                </c:pt>
                <c:pt idx="278">
                  <c:v>105593.47</c:v>
                </c:pt>
                <c:pt idx="279">
                  <c:v>105593.21</c:v>
                </c:pt>
                <c:pt idx="280">
                  <c:v>105539.18</c:v>
                </c:pt>
                <c:pt idx="281">
                  <c:v>105492.33</c:v>
                </c:pt>
                <c:pt idx="282">
                  <c:v>105528.89</c:v>
                </c:pt>
                <c:pt idx="283">
                  <c:v>105364.88</c:v>
                </c:pt>
                <c:pt idx="284">
                  <c:v>105225.58</c:v>
                </c:pt>
                <c:pt idx="285">
                  <c:v>105196.68</c:v>
                </c:pt>
                <c:pt idx="286">
                  <c:v>105235.93</c:v>
                </c:pt>
                <c:pt idx="287">
                  <c:v>105235.78</c:v>
                </c:pt>
                <c:pt idx="288">
                  <c:v>105211.38</c:v>
                </c:pt>
                <c:pt idx="289">
                  <c:v>105210.53</c:v>
                </c:pt>
                <c:pt idx="290">
                  <c:v>105190.53</c:v>
                </c:pt>
                <c:pt idx="291">
                  <c:v>105458.28</c:v>
                </c:pt>
                <c:pt idx="292">
                  <c:v>105458.13</c:v>
                </c:pt>
                <c:pt idx="293">
                  <c:v>105511.78</c:v>
                </c:pt>
                <c:pt idx="294">
                  <c:v>105511.08</c:v>
                </c:pt>
                <c:pt idx="295">
                  <c:v>105383.13</c:v>
                </c:pt>
                <c:pt idx="296">
                  <c:v>105322.48</c:v>
                </c:pt>
                <c:pt idx="297">
                  <c:v>105513.08</c:v>
                </c:pt>
                <c:pt idx="298">
                  <c:v>105635.43</c:v>
                </c:pt>
                <c:pt idx="299">
                  <c:v>105630.48</c:v>
                </c:pt>
                <c:pt idx="300">
                  <c:v>105630.48</c:v>
                </c:pt>
                <c:pt idx="301">
                  <c:v>105734.4</c:v>
                </c:pt>
                <c:pt idx="302">
                  <c:v>105729.8</c:v>
                </c:pt>
                <c:pt idx="303">
                  <c:v>105655.54</c:v>
                </c:pt>
                <c:pt idx="304">
                  <c:v>105577.25</c:v>
                </c:pt>
                <c:pt idx="305">
                  <c:v>105614.74</c:v>
                </c:pt>
                <c:pt idx="306">
                  <c:v>105947.96</c:v>
                </c:pt>
                <c:pt idx="307">
                  <c:v>106044.86</c:v>
                </c:pt>
                <c:pt idx="308">
                  <c:v>106042.56</c:v>
                </c:pt>
                <c:pt idx="309">
                  <c:v>105927.01</c:v>
                </c:pt>
                <c:pt idx="310">
                  <c:v>105857.17</c:v>
                </c:pt>
                <c:pt idx="311">
                  <c:v>105857.07</c:v>
                </c:pt>
                <c:pt idx="312">
                  <c:v>105810.03</c:v>
                </c:pt>
                <c:pt idx="313">
                  <c:v>105809.79</c:v>
                </c:pt>
                <c:pt idx="314">
                  <c:v>105645.25</c:v>
                </c:pt>
                <c:pt idx="315">
                  <c:v>105715.4</c:v>
                </c:pt>
                <c:pt idx="316">
                  <c:v>105715.4</c:v>
                </c:pt>
                <c:pt idx="317">
                  <c:v>105504.81</c:v>
                </c:pt>
                <c:pt idx="318">
                  <c:v>105471.78</c:v>
                </c:pt>
                <c:pt idx="319">
                  <c:v>105494.87</c:v>
                </c:pt>
                <c:pt idx="320">
                  <c:v>105469.25</c:v>
                </c:pt>
                <c:pt idx="321">
                  <c:v>105538.99</c:v>
                </c:pt>
                <c:pt idx="322">
                  <c:v>105442.76</c:v>
                </c:pt>
                <c:pt idx="323">
                  <c:v>105436.25</c:v>
                </c:pt>
                <c:pt idx="324">
                  <c:v>105871.23</c:v>
                </c:pt>
                <c:pt idx="325">
                  <c:v>106054.82</c:v>
                </c:pt>
                <c:pt idx="326">
                  <c:v>105875.6</c:v>
                </c:pt>
                <c:pt idx="327">
                  <c:v>106005</c:v>
                </c:pt>
                <c:pt idx="328">
                  <c:v>106003.46</c:v>
                </c:pt>
                <c:pt idx="329">
                  <c:v>106001.68</c:v>
                </c:pt>
                <c:pt idx="330">
                  <c:v>105999.28</c:v>
                </c:pt>
                <c:pt idx="331">
                  <c:v>105837.14</c:v>
                </c:pt>
                <c:pt idx="332">
                  <c:v>106335.86</c:v>
                </c:pt>
                <c:pt idx="333">
                  <c:v>106152.11</c:v>
                </c:pt>
                <c:pt idx="334">
                  <c:v>106255.17</c:v>
                </c:pt>
                <c:pt idx="335">
                  <c:v>106165.07</c:v>
                </c:pt>
                <c:pt idx="336">
                  <c:v>106059.95</c:v>
                </c:pt>
                <c:pt idx="337">
                  <c:v>106176.21</c:v>
                </c:pt>
                <c:pt idx="338">
                  <c:v>106174.81</c:v>
                </c:pt>
                <c:pt idx="339">
                  <c:v>105809.93</c:v>
                </c:pt>
                <c:pt idx="340">
                  <c:v>106071.33</c:v>
                </c:pt>
                <c:pt idx="341">
                  <c:v>106064.53</c:v>
                </c:pt>
                <c:pt idx="342">
                  <c:v>105870.62</c:v>
                </c:pt>
                <c:pt idx="343">
                  <c:v>105570.51</c:v>
                </c:pt>
                <c:pt idx="344">
                  <c:v>105510.31</c:v>
                </c:pt>
                <c:pt idx="345">
                  <c:v>105658.56</c:v>
                </c:pt>
                <c:pt idx="346">
                  <c:v>105579.94</c:v>
                </c:pt>
                <c:pt idx="347">
                  <c:v>105575.24</c:v>
                </c:pt>
                <c:pt idx="348">
                  <c:v>105711.61</c:v>
                </c:pt>
                <c:pt idx="349">
                  <c:v>105633.51</c:v>
                </c:pt>
                <c:pt idx="350">
                  <c:v>105565.01</c:v>
                </c:pt>
                <c:pt idx="351">
                  <c:v>105562.71</c:v>
                </c:pt>
                <c:pt idx="352">
                  <c:v>105521.63</c:v>
                </c:pt>
                <c:pt idx="353">
                  <c:v>105804.35</c:v>
                </c:pt>
                <c:pt idx="354">
                  <c:v>106131.71</c:v>
                </c:pt>
                <c:pt idx="355">
                  <c:v>106025.92</c:v>
                </c:pt>
                <c:pt idx="356">
                  <c:v>106323.14</c:v>
                </c:pt>
                <c:pt idx="357">
                  <c:v>106320.79</c:v>
                </c:pt>
                <c:pt idx="358">
                  <c:v>106233.53</c:v>
                </c:pt>
                <c:pt idx="359">
                  <c:v>106232.52</c:v>
                </c:pt>
                <c:pt idx="360">
                  <c:v>106153.27</c:v>
                </c:pt>
                <c:pt idx="361">
                  <c:v>106371.05</c:v>
                </c:pt>
                <c:pt idx="362">
                  <c:v>106370.45</c:v>
                </c:pt>
                <c:pt idx="363">
                  <c:v>106172.25</c:v>
                </c:pt>
                <c:pt idx="364">
                  <c:v>106172.2</c:v>
                </c:pt>
                <c:pt idx="365">
                  <c:v>106056.2</c:v>
                </c:pt>
                <c:pt idx="366">
                  <c:v>105959.95</c:v>
                </c:pt>
                <c:pt idx="367">
                  <c:v>105957.1</c:v>
                </c:pt>
                <c:pt idx="368">
                  <c:v>105763.95</c:v>
                </c:pt>
                <c:pt idx="369">
                  <c:v>105762.75</c:v>
                </c:pt>
                <c:pt idx="370">
                  <c:v>105717.44</c:v>
                </c:pt>
                <c:pt idx="371">
                  <c:v>105977.94</c:v>
                </c:pt>
                <c:pt idx="372">
                  <c:v>106030.12</c:v>
                </c:pt>
                <c:pt idx="373">
                  <c:v>105802.22</c:v>
                </c:pt>
                <c:pt idx="374">
                  <c:v>105802.08</c:v>
                </c:pt>
                <c:pt idx="375">
                  <c:v>105894.95</c:v>
                </c:pt>
                <c:pt idx="376">
                  <c:v>105892.97</c:v>
                </c:pt>
                <c:pt idx="377">
                  <c:v>105891.64</c:v>
                </c:pt>
                <c:pt idx="378">
                  <c:v>105993.16</c:v>
                </c:pt>
                <c:pt idx="379">
                  <c:v>105943.53</c:v>
                </c:pt>
                <c:pt idx="380">
                  <c:v>106022.6</c:v>
                </c:pt>
                <c:pt idx="381">
                  <c:v>106022.12</c:v>
                </c:pt>
                <c:pt idx="382">
                  <c:v>105809.51</c:v>
                </c:pt>
                <c:pt idx="383">
                  <c:v>105669.72</c:v>
                </c:pt>
                <c:pt idx="384">
                  <c:v>105626.3</c:v>
                </c:pt>
                <c:pt idx="385">
                  <c:v>105448.75</c:v>
                </c:pt>
                <c:pt idx="386">
                  <c:v>105283.38</c:v>
                </c:pt>
                <c:pt idx="387">
                  <c:v>105520.1</c:v>
                </c:pt>
                <c:pt idx="388">
                  <c:v>105513.43</c:v>
                </c:pt>
                <c:pt idx="389">
                  <c:v>105578.06</c:v>
                </c:pt>
                <c:pt idx="390">
                  <c:v>105274.78</c:v>
                </c:pt>
                <c:pt idx="391">
                  <c:v>105271.51</c:v>
                </c:pt>
                <c:pt idx="392">
                  <c:v>105442.17</c:v>
                </c:pt>
                <c:pt idx="393">
                  <c:v>105438.21</c:v>
                </c:pt>
                <c:pt idx="394">
                  <c:v>105351.82</c:v>
                </c:pt>
                <c:pt idx="395">
                  <c:v>105208.9</c:v>
                </c:pt>
                <c:pt idx="396">
                  <c:v>105208.85</c:v>
                </c:pt>
                <c:pt idx="397">
                  <c:v>105148.77</c:v>
                </c:pt>
                <c:pt idx="398">
                  <c:v>105059.02</c:v>
                </c:pt>
                <c:pt idx="399">
                  <c:v>105058.93</c:v>
                </c:pt>
                <c:pt idx="400">
                  <c:v>105615.53</c:v>
                </c:pt>
                <c:pt idx="401">
                  <c:v>105934.68</c:v>
                </c:pt>
                <c:pt idx="402">
                  <c:v>105934.68</c:v>
                </c:pt>
                <c:pt idx="403">
                  <c:v>105888.74</c:v>
                </c:pt>
                <c:pt idx="404">
                  <c:v>105885.48</c:v>
                </c:pt>
                <c:pt idx="405">
                  <c:v>106037.46</c:v>
                </c:pt>
                <c:pt idx="406">
                  <c:v>105934.98</c:v>
                </c:pt>
                <c:pt idx="407">
                  <c:v>105933.57</c:v>
                </c:pt>
                <c:pt idx="408">
                  <c:v>105854.37</c:v>
                </c:pt>
                <c:pt idx="409">
                  <c:v>105711.85</c:v>
                </c:pt>
                <c:pt idx="410">
                  <c:v>105666.13</c:v>
                </c:pt>
                <c:pt idx="411">
                  <c:v>105912.74</c:v>
                </c:pt>
                <c:pt idx="412">
                  <c:v>106053.87</c:v>
                </c:pt>
                <c:pt idx="413">
                  <c:v>106141.68</c:v>
                </c:pt>
                <c:pt idx="414">
                  <c:v>106140.32</c:v>
                </c:pt>
                <c:pt idx="415">
                  <c:v>106140.23</c:v>
                </c:pt>
                <c:pt idx="416">
                  <c:v>106029.32</c:v>
                </c:pt>
                <c:pt idx="417">
                  <c:v>105897.99</c:v>
                </c:pt>
                <c:pt idx="418">
                  <c:v>105956.99</c:v>
                </c:pt>
                <c:pt idx="419">
                  <c:v>105956.73</c:v>
                </c:pt>
                <c:pt idx="420">
                  <c:v>105884.26</c:v>
                </c:pt>
                <c:pt idx="421">
                  <c:v>106024.44</c:v>
                </c:pt>
                <c:pt idx="422">
                  <c:v>106024.44</c:v>
                </c:pt>
                <c:pt idx="423">
                  <c:v>106087.8</c:v>
                </c:pt>
                <c:pt idx="424">
                  <c:v>106327.69</c:v>
                </c:pt>
                <c:pt idx="425">
                  <c:v>106290.42</c:v>
                </c:pt>
                <c:pt idx="426">
                  <c:v>106237.8</c:v>
                </c:pt>
                <c:pt idx="427">
                  <c:v>106127.67</c:v>
                </c:pt>
                <c:pt idx="428">
                  <c:v>106102.81</c:v>
                </c:pt>
                <c:pt idx="429">
                  <c:v>106062.99</c:v>
                </c:pt>
                <c:pt idx="430">
                  <c:v>106062.11</c:v>
                </c:pt>
                <c:pt idx="431">
                  <c:v>106232.92</c:v>
                </c:pt>
                <c:pt idx="432">
                  <c:v>106529.79</c:v>
                </c:pt>
                <c:pt idx="433">
                  <c:v>106529.66</c:v>
                </c:pt>
                <c:pt idx="434">
                  <c:v>106527.64</c:v>
                </c:pt>
                <c:pt idx="435">
                  <c:v>106524.08</c:v>
                </c:pt>
                <c:pt idx="436">
                  <c:v>106846.29</c:v>
                </c:pt>
                <c:pt idx="437">
                  <c:v>106841.67</c:v>
                </c:pt>
                <c:pt idx="438">
                  <c:v>106841.63</c:v>
                </c:pt>
                <c:pt idx="439">
                  <c:v>106762.17</c:v>
                </c:pt>
                <c:pt idx="440">
                  <c:v>106848.94</c:v>
                </c:pt>
                <c:pt idx="441">
                  <c:v>106561.14</c:v>
                </c:pt>
                <c:pt idx="442">
                  <c:v>106558.85</c:v>
                </c:pt>
                <c:pt idx="443">
                  <c:v>106550.84</c:v>
                </c:pt>
                <c:pt idx="444">
                  <c:v>106655.69</c:v>
                </c:pt>
                <c:pt idx="445">
                  <c:v>106543.13</c:v>
                </c:pt>
                <c:pt idx="446">
                  <c:v>106535.78</c:v>
                </c:pt>
                <c:pt idx="447">
                  <c:v>107054.41</c:v>
                </c:pt>
                <c:pt idx="448">
                  <c:v>107185.18</c:v>
                </c:pt>
                <c:pt idx="449">
                  <c:v>107394.4</c:v>
                </c:pt>
                <c:pt idx="450">
                  <c:v>107394.09</c:v>
                </c:pt>
                <c:pt idx="451">
                  <c:v>107390.13</c:v>
                </c:pt>
                <c:pt idx="452">
                  <c:v>107384.19</c:v>
                </c:pt>
                <c:pt idx="453">
                  <c:v>107383.05</c:v>
                </c:pt>
                <c:pt idx="454">
                  <c:v>107839.99</c:v>
                </c:pt>
                <c:pt idx="455">
                  <c:v>107838.67</c:v>
                </c:pt>
                <c:pt idx="456">
                  <c:v>107783.45</c:v>
                </c:pt>
                <c:pt idx="457">
                  <c:v>107884.3</c:v>
                </c:pt>
                <c:pt idx="458">
                  <c:v>107347.07</c:v>
                </c:pt>
                <c:pt idx="459">
                  <c:v>107127.42</c:v>
                </c:pt>
                <c:pt idx="460">
                  <c:v>107294.93</c:v>
                </c:pt>
                <c:pt idx="461">
                  <c:v>107294.53</c:v>
                </c:pt>
                <c:pt idx="462">
                  <c:v>107346.49</c:v>
                </c:pt>
                <c:pt idx="463">
                  <c:v>107058.07</c:v>
                </c:pt>
                <c:pt idx="464">
                  <c:v>106869.79</c:v>
                </c:pt>
                <c:pt idx="465">
                  <c:v>106868.82</c:v>
                </c:pt>
                <c:pt idx="466">
                  <c:v>107075.14</c:v>
                </c:pt>
                <c:pt idx="467">
                  <c:v>107162.71</c:v>
                </c:pt>
                <c:pt idx="468">
                  <c:v>107098.83</c:v>
                </c:pt>
                <c:pt idx="469">
                  <c:v>107173.34</c:v>
                </c:pt>
                <c:pt idx="470">
                  <c:v>107018.07</c:v>
                </c:pt>
                <c:pt idx="471">
                  <c:v>107348.48</c:v>
                </c:pt>
                <c:pt idx="472">
                  <c:v>107311.56</c:v>
                </c:pt>
                <c:pt idx="473">
                  <c:v>107152.76</c:v>
                </c:pt>
                <c:pt idx="474">
                  <c:v>107538.82</c:v>
                </c:pt>
                <c:pt idx="475">
                  <c:v>107659.51</c:v>
                </c:pt>
                <c:pt idx="476">
                  <c:v>108294.13</c:v>
                </c:pt>
                <c:pt idx="477">
                  <c:v>108153.05</c:v>
                </c:pt>
                <c:pt idx="478">
                  <c:v>108151.53</c:v>
                </c:pt>
                <c:pt idx="479">
                  <c:v>108150.1</c:v>
                </c:pt>
                <c:pt idx="480">
                  <c:v>107960.4</c:v>
                </c:pt>
                <c:pt idx="481">
                  <c:v>107960.4</c:v>
                </c:pt>
                <c:pt idx="482">
                  <c:v>107959.49</c:v>
                </c:pt>
                <c:pt idx="483">
                  <c:v>108675.84</c:v>
                </c:pt>
                <c:pt idx="484">
                  <c:v>108492.09</c:v>
                </c:pt>
                <c:pt idx="485">
                  <c:v>108206.83</c:v>
                </c:pt>
                <c:pt idx="486">
                  <c:v>107884.33</c:v>
                </c:pt>
                <c:pt idx="487">
                  <c:v>107764.33</c:v>
                </c:pt>
                <c:pt idx="488">
                  <c:v>107563.07</c:v>
                </c:pt>
                <c:pt idx="489">
                  <c:v>107562.49</c:v>
                </c:pt>
                <c:pt idx="490">
                  <c:v>107562.15</c:v>
                </c:pt>
                <c:pt idx="491">
                  <c:v>107838.44</c:v>
                </c:pt>
                <c:pt idx="492">
                  <c:v>108224.41</c:v>
                </c:pt>
                <c:pt idx="493">
                  <c:v>108224.07</c:v>
                </c:pt>
                <c:pt idx="494">
                  <c:v>108224.07</c:v>
                </c:pt>
                <c:pt idx="495">
                  <c:v>108223.73</c:v>
                </c:pt>
                <c:pt idx="496">
                  <c:v>108486.58</c:v>
                </c:pt>
                <c:pt idx="497">
                  <c:v>108485.86</c:v>
                </c:pt>
                <c:pt idx="498">
                  <c:v>108862.36</c:v>
                </c:pt>
                <c:pt idx="499">
                  <c:v>108782.26</c:v>
                </c:pt>
                <c:pt idx="500">
                  <c:v>108657.81</c:v>
                </c:pt>
                <c:pt idx="501">
                  <c:v>109643.94</c:v>
                </c:pt>
                <c:pt idx="502">
                  <c:v>109642.31</c:v>
                </c:pt>
                <c:pt idx="503">
                  <c:v>109640.22</c:v>
                </c:pt>
                <c:pt idx="504">
                  <c:v>110673.81</c:v>
                </c:pt>
                <c:pt idx="505">
                  <c:v>110568.56</c:v>
                </c:pt>
                <c:pt idx="506">
                  <c:v>110204.72</c:v>
                </c:pt>
                <c:pt idx="507">
                  <c:v>110789.62</c:v>
                </c:pt>
                <c:pt idx="508">
                  <c:v>110480.63</c:v>
                </c:pt>
                <c:pt idx="509">
                  <c:v>110331.81</c:v>
                </c:pt>
                <c:pt idx="510">
                  <c:v>111352.36</c:v>
                </c:pt>
                <c:pt idx="511">
                  <c:v>111351.5</c:v>
                </c:pt>
                <c:pt idx="512">
                  <c:v>111196.7</c:v>
                </c:pt>
                <c:pt idx="513">
                  <c:v>111133.95</c:v>
                </c:pt>
                <c:pt idx="514">
                  <c:v>111080.95</c:v>
                </c:pt>
                <c:pt idx="515">
                  <c:v>111024.55</c:v>
                </c:pt>
                <c:pt idx="516">
                  <c:v>111649.4</c:v>
                </c:pt>
                <c:pt idx="517">
                  <c:v>111363.95</c:v>
                </c:pt>
                <c:pt idx="518">
                  <c:v>111943.1</c:v>
                </c:pt>
                <c:pt idx="519">
                  <c:v>111757.6</c:v>
                </c:pt>
                <c:pt idx="520">
                  <c:v>111631.7</c:v>
                </c:pt>
                <c:pt idx="521">
                  <c:v>111630.85</c:v>
                </c:pt>
                <c:pt idx="522">
                  <c:v>111343.5</c:v>
                </c:pt>
                <c:pt idx="523">
                  <c:v>111028.6</c:v>
                </c:pt>
                <c:pt idx="524">
                  <c:v>111139.1</c:v>
                </c:pt>
                <c:pt idx="525">
                  <c:v>111773.52</c:v>
                </c:pt>
                <c:pt idx="526">
                  <c:v>111635.71</c:v>
                </c:pt>
                <c:pt idx="527">
                  <c:v>111583.45</c:v>
                </c:pt>
                <c:pt idx="528">
                  <c:v>111581.33</c:v>
                </c:pt>
                <c:pt idx="529">
                  <c:v>111578.98</c:v>
                </c:pt>
                <c:pt idx="530">
                  <c:v>111328.83</c:v>
                </c:pt>
                <c:pt idx="531">
                  <c:v>111328.6</c:v>
                </c:pt>
                <c:pt idx="532">
                  <c:v>111407.49</c:v>
                </c:pt>
                <c:pt idx="533">
                  <c:v>111334.99</c:v>
                </c:pt>
                <c:pt idx="534">
                  <c:v>111331.4</c:v>
                </c:pt>
                <c:pt idx="535">
                  <c:v>111715.45</c:v>
                </c:pt>
                <c:pt idx="536">
                  <c:v>111656.48</c:v>
                </c:pt>
                <c:pt idx="537">
                  <c:v>111824.66</c:v>
                </c:pt>
                <c:pt idx="538">
                  <c:v>111932.3</c:v>
                </c:pt>
                <c:pt idx="539">
                  <c:v>112062.48</c:v>
                </c:pt>
                <c:pt idx="540">
                  <c:v>111822.13</c:v>
                </c:pt>
                <c:pt idx="541">
                  <c:v>111722.86</c:v>
                </c:pt>
                <c:pt idx="542">
                  <c:v>111477.82</c:v>
                </c:pt>
                <c:pt idx="543">
                  <c:v>111360.75</c:v>
                </c:pt>
                <c:pt idx="544">
                  <c:v>111360.47</c:v>
                </c:pt>
                <c:pt idx="545">
                  <c:v>111505.42</c:v>
                </c:pt>
                <c:pt idx="546">
                  <c:v>111320.5</c:v>
                </c:pt>
                <c:pt idx="547">
                  <c:v>111153.52</c:v>
                </c:pt>
                <c:pt idx="548">
                  <c:v>111047.22</c:v>
                </c:pt>
                <c:pt idx="549">
                  <c:v>111134.34</c:v>
                </c:pt>
                <c:pt idx="550">
                  <c:v>110989.23</c:v>
                </c:pt>
                <c:pt idx="551">
                  <c:v>111125.06</c:v>
                </c:pt>
                <c:pt idx="552">
                  <c:v>111614.82</c:v>
                </c:pt>
                <c:pt idx="553">
                  <c:v>111995.55</c:v>
                </c:pt>
                <c:pt idx="554">
                  <c:v>112142.66</c:v>
                </c:pt>
                <c:pt idx="555">
                  <c:v>112030.6</c:v>
                </c:pt>
                <c:pt idx="556">
                  <c:v>112137.96</c:v>
                </c:pt>
                <c:pt idx="557">
                  <c:v>111936.34</c:v>
                </c:pt>
                <c:pt idx="558">
                  <c:v>112135.92</c:v>
                </c:pt>
                <c:pt idx="559">
                  <c:v>112134.29</c:v>
                </c:pt>
                <c:pt idx="560">
                  <c:v>112134.29</c:v>
                </c:pt>
                <c:pt idx="561">
                  <c:v>112134.16</c:v>
                </c:pt>
                <c:pt idx="562">
                  <c:v>112068.2</c:v>
                </c:pt>
                <c:pt idx="563">
                  <c:v>112346.06</c:v>
                </c:pt>
                <c:pt idx="564">
                  <c:v>112247.28</c:v>
                </c:pt>
                <c:pt idx="565">
                  <c:v>112206.32</c:v>
                </c:pt>
                <c:pt idx="566">
                  <c:v>112205.62</c:v>
                </c:pt>
                <c:pt idx="567">
                  <c:v>112294.59</c:v>
                </c:pt>
                <c:pt idx="568">
                  <c:v>112292.57</c:v>
                </c:pt>
                <c:pt idx="569">
                  <c:v>112113.05</c:v>
                </c:pt>
                <c:pt idx="570">
                  <c:v>112186.27</c:v>
                </c:pt>
                <c:pt idx="571">
                  <c:v>112364.12</c:v>
                </c:pt>
                <c:pt idx="572">
                  <c:v>112300.41</c:v>
                </c:pt>
                <c:pt idx="573">
                  <c:v>112368.65</c:v>
                </c:pt>
                <c:pt idx="574">
                  <c:v>112368.27</c:v>
                </c:pt>
                <c:pt idx="575">
                  <c:v>112572.35</c:v>
                </c:pt>
                <c:pt idx="576">
                  <c:v>112569.62</c:v>
                </c:pt>
                <c:pt idx="577">
                  <c:v>112396.5</c:v>
                </c:pt>
                <c:pt idx="578">
                  <c:v>112372.94</c:v>
                </c:pt>
                <c:pt idx="579">
                  <c:v>112333.04</c:v>
                </c:pt>
                <c:pt idx="580">
                  <c:v>112551.44</c:v>
                </c:pt>
                <c:pt idx="581">
                  <c:v>112601.08</c:v>
                </c:pt>
                <c:pt idx="582">
                  <c:v>112541.9</c:v>
                </c:pt>
                <c:pt idx="583">
                  <c:v>112309.72</c:v>
                </c:pt>
                <c:pt idx="584">
                  <c:v>112906.03</c:v>
                </c:pt>
                <c:pt idx="585">
                  <c:v>112904.73</c:v>
                </c:pt>
                <c:pt idx="586">
                  <c:v>113034.97</c:v>
                </c:pt>
                <c:pt idx="587">
                  <c:v>113014.2</c:v>
                </c:pt>
                <c:pt idx="588">
                  <c:v>113013.85</c:v>
                </c:pt>
                <c:pt idx="589">
                  <c:v>113146.82</c:v>
                </c:pt>
                <c:pt idx="590">
                  <c:v>113146.48</c:v>
                </c:pt>
                <c:pt idx="591">
                  <c:v>113033.75</c:v>
                </c:pt>
                <c:pt idx="592">
                  <c:v>113009.73</c:v>
                </c:pt>
                <c:pt idx="593">
                  <c:v>112859.62</c:v>
                </c:pt>
                <c:pt idx="594">
                  <c:v>112838.58</c:v>
                </c:pt>
                <c:pt idx="595">
                  <c:v>113099.15</c:v>
                </c:pt>
                <c:pt idx="596">
                  <c:v>112931.36</c:v>
                </c:pt>
                <c:pt idx="597">
                  <c:v>112835.77</c:v>
                </c:pt>
                <c:pt idx="598">
                  <c:v>112831.11</c:v>
                </c:pt>
                <c:pt idx="599">
                  <c:v>112779.2</c:v>
                </c:pt>
                <c:pt idx="600">
                  <c:v>112681.43</c:v>
                </c:pt>
                <c:pt idx="601">
                  <c:v>113199.37</c:v>
                </c:pt>
                <c:pt idx="602">
                  <c:v>113198.11</c:v>
                </c:pt>
                <c:pt idx="603">
                  <c:v>113156.91</c:v>
                </c:pt>
                <c:pt idx="604">
                  <c:v>113023.1</c:v>
                </c:pt>
                <c:pt idx="605">
                  <c:v>112976.4</c:v>
                </c:pt>
                <c:pt idx="606">
                  <c:v>112764.09</c:v>
                </c:pt>
                <c:pt idx="607">
                  <c:v>112763.08</c:v>
                </c:pt>
                <c:pt idx="608">
                  <c:v>112929.48</c:v>
                </c:pt>
                <c:pt idx="609">
                  <c:v>112843</c:v>
                </c:pt>
                <c:pt idx="610">
                  <c:v>112791.63</c:v>
                </c:pt>
                <c:pt idx="611">
                  <c:v>112941.11</c:v>
                </c:pt>
                <c:pt idx="612">
                  <c:v>112875</c:v>
                </c:pt>
                <c:pt idx="613">
                  <c:v>112805.62</c:v>
                </c:pt>
                <c:pt idx="614">
                  <c:v>112740.52</c:v>
                </c:pt>
                <c:pt idx="615">
                  <c:v>112722.59</c:v>
                </c:pt>
                <c:pt idx="616">
                  <c:v>112692.98</c:v>
                </c:pt>
                <c:pt idx="617">
                  <c:v>112692.54</c:v>
                </c:pt>
                <c:pt idx="618">
                  <c:v>112625.82</c:v>
                </c:pt>
                <c:pt idx="619">
                  <c:v>112693.94</c:v>
                </c:pt>
                <c:pt idx="620">
                  <c:v>112554.26</c:v>
                </c:pt>
                <c:pt idx="621">
                  <c:v>112472.26</c:v>
                </c:pt>
                <c:pt idx="622">
                  <c:v>112439.5</c:v>
                </c:pt>
                <c:pt idx="623">
                  <c:v>112570.3</c:v>
                </c:pt>
                <c:pt idx="624">
                  <c:v>112569.34</c:v>
                </c:pt>
                <c:pt idx="625">
                  <c:v>112668.18</c:v>
                </c:pt>
                <c:pt idx="626">
                  <c:v>112786.42</c:v>
                </c:pt>
                <c:pt idx="627">
                  <c:v>112708.38</c:v>
                </c:pt>
                <c:pt idx="628">
                  <c:v>112799.34</c:v>
                </c:pt>
                <c:pt idx="629">
                  <c:v>112777.26</c:v>
                </c:pt>
                <c:pt idx="630">
                  <c:v>113026.98</c:v>
                </c:pt>
                <c:pt idx="631">
                  <c:v>113107.7</c:v>
                </c:pt>
                <c:pt idx="632">
                  <c:v>113192.58</c:v>
                </c:pt>
                <c:pt idx="633">
                  <c:v>113026.34</c:v>
                </c:pt>
                <c:pt idx="634">
                  <c:v>113026.18</c:v>
                </c:pt>
                <c:pt idx="635">
                  <c:v>113099.7</c:v>
                </c:pt>
                <c:pt idx="636">
                  <c:v>112934.18</c:v>
                </c:pt>
                <c:pt idx="637">
                  <c:v>113521.86</c:v>
                </c:pt>
                <c:pt idx="638">
                  <c:v>113660.06</c:v>
                </c:pt>
                <c:pt idx="639">
                  <c:v>113659.78</c:v>
                </c:pt>
                <c:pt idx="640">
                  <c:v>113659.7</c:v>
                </c:pt>
                <c:pt idx="641">
                  <c:v>113466.42</c:v>
                </c:pt>
                <c:pt idx="642">
                  <c:v>113278.7</c:v>
                </c:pt>
                <c:pt idx="643">
                  <c:v>113196.22</c:v>
                </c:pt>
                <c:pt idx="644">
                  <c:v>113087.94</c:v>
                </c:pt>
                <c:pt idx="645">
                  <c:v>113085.94</c:v>
                </c:pt>
                <c:pt idx="646">
                  <c:v>112967.66</c:v>
                </c:pt>
                <c:pt idx="647">
                  <c:v>113117.26</c:v>
                </c:pt>
                <c:pt idx="648">
                  <c:v>113570.6</c:v>
                </c:pt>
                <c:pt idx="649">
                  <c:v>113570.22</c:v>
                </c:pt>
                <c:pt idx="650">
                  <c:v>113570.18</c:v>
                </c:pt>
                <c:pt idx="651">
                  <c:v>113534.08</c:v>
                </c:pt>
                <c:pt idx="652">
                  <c:v>113889.84</c:v>
                </c:pt>
                <c:pt idx="653">
                  <c:v>113889.73</c:v>
                </c:pt>
                <c:pt idx="654">
                  <c:v>114082.13</c:v>
                </c:pt>
                <c:pt idx="655">
                  <c:v>113870.05</c:v>
                </c:pt>
                <c:pt idx="656">
                  <c:v>113773.05</c:v>
                </c:pt>
                <c:pt idx="657">
                  <c:v>113571.41</c:v>
                </c:pt>
                <c:pt idx="658">
                  <c:v>113515.21</c:v>
                </c:pt>
                <c:pt idx="659">
                  <c:v>113581.18</c:v>
                </c:pt>
                <c:pt idx="660">
                  <c:v>113576.26</c:v>
                </c:pt>
                <c:pt idx="661">
                  <c:v>113471.1</c:v>
                </c:pt>
                <c:pt idx="662">
                  <c:v>113618.5</c:v>
                </c:pt>
                <c:pt idx="663">
                  <c:v>113826.34</c:v>
                </c:pt>
                <c:pt idx="664">
                  <c:v>113652.1</c:v>
                </c:pt>
                <c:pt idx="665">
                  <c:v>114352.42</c:v>
                </c:pt>
                <c:pt idx="666">
                  <c:v>114352.34</c:v>
                </c:pt>
                <c:pt idx="667">
                  <c:v>114164.43</c:v>
                </c:pt>
                <c:pt idx="668">
                  <c:v>114478.87</c:v>
                </c:pt>
                <c:pt idx="669">
                  <c:v>114678.99</c:v>
                </c:pt>
                <c:pt idx="670">
                  <c:v>114761.27</c:v>
                </c:pt>
                <c:pt idx="671">
                  <c:v>114813.11</c:v>
                </c:pt>
                <c:pt idx="672">
                  <c:v>114704.19</c:v>
                </c:pt>
                <c:pt idx="673">
                  <c:v>114595.39</c:v>
                </c:pt>
                <c:pt idx="674">
                  <c:v>114900.75</c:v>
                </c:pt>
                <c:pt idx="675">
                  <c:v>114869.67</c:v>
                </c:pt>
                <c:pt idx="676">
                  <c:v>114809.27</c:v>
                </c:pt>
                <c:pt idx="677">
                  <c:v>114784.79</c:v>
                </c:pt>
                <c:pt idx="678">
                  <c:v>114681.91</c:v>
                </c:pt>
                <c:pt idx="679">
                  <c:v>114681.67</c:v>
                </c:pt>
                <c:pt idx="680">
                  <c:v>114553.39</c:v>
                </c:pt>
                <c:pt idx="681">
                  <c:v>114751.51</c:v>
                </c:pt>
                <c:pt idx="682">
                  <c:v>114750.39</c:v>
                </c:pt>
                <c:pt idx="683">
                  <c:v>114529.75</c:v>
                </c:pt>
                <c:pt idx="684">
                  <c:v>114527.51</c:v>
                </c:pt>
                <c:pt idx="685">
                  <c:v>114682.79</c:v>
                </c:pt>
                <c:pt idx="686">
                  <c:v>114435.11</c:v>
                </c:pt>
                <c:pt idx="687">
                  <c:v>114431.39</c:v>
                </c:pt>
                <c:pt idx="688">
                  <c:v>114324.07</c:v>
                </c:pt>
                <c:pt idx="689">
                  <c:v>114223.11</c:v>
                </c:pt>
                <c:pt idx="690">
                  <c:v>114263.87</c:v>
                </c:pt>
                <c:pt idx="691">
                  <c:v>114232.55</c:v>
                </c:pt>
                <c:pt idx="692">
                  <c:v>114151.67</c:v>
                </c:pt>
                <c:pt idx="693">
                  <c:v>114116.11</c:v>
                </c:pt>
                <c:pt idx="694">
                  <c:v>114067.03</c:v>
                </c:pt>
                <c:pt idx="695">
                  <c:v>114065.43</c:v>
                </c:pt>
                <c:pt idx="696">
                  <c:v>114062.03</c:v>
                </c:pt>
                <c:pt idx="697">
                  <c:v>114061.51</c:v>
                </c:pt>
                <c:pt idx="698">
                  <c:v>114009.99</c:v>
                </c:pt>
                <c:pt idx="699">
                  <c:v>114109.83</c:v>
                </c:pt>
                <c:pt idx="700">
                  <c:v>113952.13</c:v>
                </c:pt>
                <c:pt idx="701">
                  <c:v>113950.34</c:v>
                </c:pt>
                <c:pt idx="702">
                  <c:v>113786.29</c:v>
                </c:pt>
                <c:pt idx="703">
                  <c:v>113931.6</c:v>
                </c:pt>
                <c:pt idx="704">
                  <c:v>113928.07</c:v>
                </c:pt>
                <c:pt idx="705">
                  <c:v>114457.19</c:v>
                </c:pt>
                <c:pt idx="706">
                  <c:v>114323.63</c:v>
                </c:pt>
                <c:pt idx="707">
                  <c:v>114501.11</c:v>
                </c:pt>
                <c:pt idx="708">
                  <c:v>114499.67</c:v>
                </c:pt>
                <c:pt idx="709">
                  <c:v>114413.47</c:v>
                </c:pt>
                <c:pt idx="710">
                  <c:v>114750.67</c:v>
                </c:pt>
                <c:pt idx="711">
                  <c:v>114484.59</c:v>
                </c:pt>
                <c:pt idx="712">
                  <c:v>114351.79</c:v>
                </c:pt>
                <c:pt idx="713">
                  <c:v>114403.39</c:v>
                </c:pt>
                <c:pt idx="714">
                  <c:v>114556.91</c:v>
                </c:pt>
                <c:pt idx="715">
                  <c:v>114554.93</c:v>
                </c:pt>
                <c:pt idx="716">
                  <c:v>114953.93</c:v>
                </c:pt>
                <c:pt idx="717">
                  <c:v>115064.21</c:v>
                </c:pt>
                <c:pt idx="718">
                  <c:v>115063.97</c:v>
                </c:pt>
                <c:pt idx="719">
                  <c:v>115063.49</c:v>
                </c:pt>
                <c:pt idx="720">
                  <c:v>115703.11</c:v>
                </c:pt>
                <c:pt idx="721">
                  <c:v>115871.83</c:v>
                </c:pt>
                <c:pt idx="722">
                  <c:v>116189.27</c:v>
                </c:pt>
                <c:pt idx="723">
                  <c:v>116043.15</c:v>
                </c:pt>
                <c:pt idx="724">
                  <c:v>116189.67</c:v>
                </c:pt>
                <c:pt idx="725">
                  <c:v>116069.95</c:v>
                </c:pt>
                <c:pt idx="726">
                  <c:v>116476.95</c:v>
                </c:pt>
                <c:pt idx="727">
                  <c:v>116476.07</c:v>
                </c:pt>
                <c:pt idx="728">
                  <c:v>116475.61</c:v>
                </c:pt>
                <c:pt idx="729">
                  <c:v>116475.06</c:v>
                </c:pt>
                <c:pt idx="730">
                  <c:v>116470.31</c:v>
                </c:pt>
                <c:pt idx="731">
                  <c:v>116124.31</c:v>
                </c:pt>
                <c:pt idx="732">
                  <c:v>115965.38</c:v>
                </c:pt>
                <c:pt idx="733">
                  <c:v>115875.66</c:v>
                </c:pt>
                <c:pt idx="734">
                  <c:v>115832.26</c:v>
                </c:pt>
                <c:pt idx="735">
                  <c:v>115746.7</c:v>
                </c:pt>
                <c:pt idx="736">
                  <c:v>115743.14</c:v>
                </c:pt>
                <c:pt idx="737">
                  <c:v>115741.74</c:v>
                </c:pt>
                <c:pt idx="738">
                  <c:v>115413.38</c:v>
                </c:pt>
                <c:pt idx="739">
                  <c:v>115410.82</c:v>
                </c:pt>
                <c:pt idx="740">
                  <c:v>115767.34</c:v>
                </c:pt>
                <c:pt idx="741">
                  <c:v>115683.5</c:v>
                </c:pt>
                <c:pt idx="742">
                  <c:v>115511.3</c:v>
                </c:pt>
                <c:pt idx="743">
                  <c:v>116232.61</c:v>
                </c:pt>
                <c:pt idx="744">
                  <c:v>116461.13</c:v>
                </c:pt>
                <c:pt idx="745">
                  <c:v>116688.27</c:v>
                </c:pt>
                <c:pt idx="746">
                  <c:v>116595.58</c:v>
                </c:pt>
                <c:pt idx="747">
                  <c:v>116467.61</c:v>
                </c:pt>
                <c:pt idx="748">
                  <c:v>116466.1</c:v>
                </c:pt>
                <c:pt idx="749">
                  <c:v>116465.76</c:v>
                </c:pt>
                <c:pt idx="750">
                  <c:v>116691.26</c:v>
                </c:pt>
                <c:pt idx="751">
                  <c:v>116873.04</c:v>
                </c:pt>
                <c:pt idx="752">
                  <c:v>116866.7</c:v>
                </c:pt>
                <c:pt idx="753">
                  <c:v>116571.06</c:v>
                </c:pt>
                <c:pt idx="754">
                  <c:v>116002.98</c:v>
                </c:pt>
                <c:pt idx="755">
                  <c:v>115852.58</c:v>
                </c:pt>
                <c:pt idx="756">
                  <c:v>115852.45</c:v>
                </c:pt>
                <c:pt idx="757">
                  <c:v>115852.01</c:v>
                </c:pt>
                <c:pt idx="758">
                  <c:v>115695.59</c:v>
                </c:pt>
                <c:pt idx="759">
                  <c:v>115692.55</c:v>
                </c:pt>
                <c:pt idx="760">
                  <c:v>115420.63</c:v>
                </c:pt>
                <c:pt idx="761">
                  <c:v>115347.26</c:v>
                </c:pt>
                <c:pt idx="762">
                  <c:v>115667.17</c:v>
                </c:pt>
                <c:pt idx="763">
                  <c:v>115912.58</c:v>
                </c:pt>
                <c:pt idx="764">
                  <c:v>115723.41</c:v>
                </c:pt>
                <c:pt idx="765">
                  <c:v>115239.32</c:v>
                </c:pt>
                <c:pt idx="766">
                  <c:v>115157.88</c:v>
                </c:pt>
                <c:pt idx="767">
                  <c:v>115100.28</c:v>
                </c:pt>
                <c:pt idx="768">
                  <c:v>114780.44</c:v>
                </c:pt>
                <c:pt idx="769">
                  <c:v>114626.32</c:v>
                </c:pt>
                <c:pt idx="770">
                  <c:v>114739.16</c:v>
                </c:pt>
                <c:pt idx="771">
                  <c:v>114856.92</c:v>
                </c:pt>
                <c:pt idx="772">
                  <c:v>114825.95</c:v>
                </c:pt>
                <c:pt idx="773">
                  <c:v>114789.28</c:v>
                </c:pt>
                <c:pt idx="774">
                  <c:v>114729.89</c:v>
                </c:pt>
                <c:pt idx="775">
                  <c:v>115037.5</c:v>
                </c:pt>
                <c:pt idx="776">
                  <c:v>114945.2</c:v>
                </c:pt>
                <c:pt idx="777">
                  <c:v>114681.82</c:v>
                </c:pt>
                <c:pt idx="778">
                  <c:v>114785.14</c:v>
                </c:pt>
                <c:pt idx="779">
                  <c:v>114869.06</c:v>
                </c:pt>
                <c:pt idx="780">
                  <c:v>114996.93</c:v>
                </c:pt>
                <c:pt idx="781">
                  <c:v>115291.63</c:v>
                </c:pt>
                <c:pt idx="782">
                  <c:v>115169.48</c:v>
                </c:pt>
                <c:pt idx="783">
                  <c:v>115168.94</c:v>
                </c:pt>
                <c:pt idx="784">
                  <c:v>115311</c:v>
                </c:pt>
                <c:pt idx="785">
                  <c:v>115798.26</c:v>
                </c:pt>
                <c:pt idx="786">
                  <c:v>115700.77</c:v>
                </c:pt>
                <c:pt idx="787">
                  <c:v>115581.5</c:v>
                </c:pt>
                <c:pt idx="788">
                  <c:v>115579.19</c:v>
                </c:pt>
                <c:pt idx="789">
                  <c:v>115683.47</c:v>
                </c:pt>
                <c:pt idx="790">
                  <c:v>115681.12</c:v>
                </c:pt>
                <c:pt idx="791">
                  <c:v>115633.55</c:v>
                </c:pt>
                <c:pt idx="792">
                  <c:v>115836.02</c:v>
                </c:pt>
                <c:pt idx="793">
                  <c:v>115832.48</c:v>
                </c:pt>
                <c:pt idx="794">
                  <c:v>115673.72</c:v>
                </c:pt>
                <c:pt idx="795">
                  <c:v>115348.24</c:v>
                </c:pt>
                <c:pt idx="796">
                  <c:v>115347.7</c:v>
                </c:pt>
                <c:pt idx="797">
                  <c:v>115315.74</c:v>
                </c:pt>
                <c:pt idx="798">
                  <c:v>115662.54</c:v>
                </c:pt>
                <c:pt idx="799">
                  <c:v>116027.46</c:v>
                </c:pt>
                <c:pt idx="800">
                  <c:v>115954.46</c:v>
                </c:pt>
                <c:pt idx="801">
                  <c:v>116102.7</c:v>
                </c:pt>
                <c:pt idx="802">
                  <c:v>116101.65</c:v>
                </c:pt>
                <c:pt idx="803">
                  <c:v>116101.21</c:v>
                </c:pt>
                <c:pt idx="804">
                  <c:v>116100.8</c:v>
                </c:pt>
                <c:pt idx="805">
                  <c:v>116035.08</c:v>
                </c:pt>
                <c:pt idx="806">
                  <c:v>116034.23</c:v>
                </c:pt>
                <c:pt idx="807">
                  <c:v>116237.86</c:v>
                </c:pt>
                <c:pt idx="808">
                  <c:v>116139.26</c:v>
                </c:pt>
                <c:pt idx="809">
                  <c:v>115775.37</c:v>
                </c:pt>
                <c:pt idx="810">
                  <c:v>115775.33</c:v>
                </c:pt>
                <c:pt idx="811">
                  <c:v>115424.69</c:v>
                </c:pt>
                <c:pt idx="812">
                  <c:v>115422.51</c:v>
                </c:pt>
                <c:pt idx="813">
                  <c:v>116026.04</c:v>
                </c:pt>
                <c:pt idx="814">
                  <c:v>115937.91</c:v>
                </c:pt>
                <c:pt idx="815">
                  <c:v>116504.11</c:v>
                </c:pt>
                <c:pt idx="816">
                  <c:v>116383.1</c:v>
                </c:pt>
                <c:pt idx="817">
                  <c:v>116381.64</c:v>
                </c:pt>
                <c:pt idx="818">
                  <c:v>116318.71</c:v>
                </c:pt>
                <c:pt idx="819">
                  <c:v>116228.13</c:v>
                </c:pt>
                <c:pt idx="820">
                  <c:v>115921.48</c:v>
                </c:pt>
                <c:pt idx="821">
                  <c:v>115481.62</c:v>
                </c:pt>
                <c:pt idx="822">
                  <c:v>115743.9</c:v>
                </c:pt>
                <c:pt idx="823">
                  <c:v>115630.24</c:v>
                </c:pt>
                <c:pt idx="824">
                  <c:v>115512.43</c:v>
                </c:pt>
                <c:pt idx="825">
                  <c:v>115394.65</c:v>
                </c:pt>
                <c:pt idx="826">
                  <c:v>115393.66</c:v>
                </c:pt>
                <c:pt idx="827">
                  <c:v>115573.04</c:v>
                </c:pt>
                <c:pt idx="828">
                  <c:v>116147.67</c:v>
                </c:pt>
                <c:pt idx="829">
                  <c:v>115997.29</c:v>
                </c:pt>
                <c:pt idx="830">
                  <c:v>115873.09</c:v>
                </c:pt>
                <c:pt idx="831">
                  <c:v>115872.55</c:v>
                </c:pt>
                <c:pt idx="832">
                  <c:v>115869.25</c:v>
                </c:pt>
                <c:pt idx="833">
                  <c:v>115761.67</c:v>
                </c:pt>
                <c:pt idx="834">
                  <c:v>115624.96</c:v>
                </c:pt>
                <c:pt idx="835">
                  <c:v>115545.33</c:v>
                </c:pt>
                <c:pt idx="836">
                  <c:v>115499.94</c:v>
                </c:pt>
                <c:pt idx="837">
                  <c:v>115371.24</c:v>
                </c:pt>
                <c:pt idx="838">
                  <c:v>115365.23</c:v>
                </c:pt>
                <c:pt idx="839">
                  <c:v>115363.9</c:v>
                </c:pt>
                <c:pt idx="840">
                  <c:v>115922.58</c:v>
                </c:pt>
                <c:pt idx="841">
                  <c:v>116040.48</c:v>
                </c:pt>
                <c:pt idx="842">
                  <c:v>115774.9</c:v>
                </c:pt>
                <c:pt idx="843">
                  <c:v>115528.34</c:v>
                </c:pt>
                <c:pt idx="844">
                  <c:v>115336.86</c:v>
                </c:pt>
                <c:pt idx="845">
                  <c:v>115580.04</c:v>
                </c:pt>
                <c:pt idx="846">
                  <c:v>115527.84</c:v>
                </c:pt>
                <c:pt idx="847">
                  <c:v>115597.54</c:v>
                </c:pt>
                <c:pt idx="848">
                  <c:v>115595.6</c:v>
                </c:pt>
                <c:pt idx="849">
                  <c:v>115924.99</c:v>
                </c:pt>
                <c:pt idx="850">
                  <c:v>115832.68</c:v>
                </c:pt>
                <c:pt idx="851">
                  <c:v>115831.39</c:v>
                </c:pt>
                <c:pt idx="852">
                  <c:v>115724.39</c:v>
                </c:pt>
                <c:pt idx="853">
                  <c:v>116096.49</c:v>
                </c:pt>
                <c:pt idx="854">
                  <c:v>116066.71</c:v>
                </c:pt>
                <c:pt idx="855">
                  <c:v>116065.93</c:v>
                </c:pt>
                <c:pt idx="856">
                  <c:v>116019.38</c:v>
                </c:pt>
                <c:pt idx="857">
                  <c:v>115928.26</c:v>
                </c:pt>
                <c:pt idx="858">
                  <c:v>116190.13</c:v>
                </c:pt>
                <c:pt idx="859">
                  <c:v>116133.89</c:v>
                </c:pt>
                <c:pt idx="860">
                  <c:v>116498.34</c:v>
                </c:pt>
                <c:pt idx="861">
                  <c:v>116443.91</c:v>
                </c:pt>
                <c:pt idx="862">
                  <c:v>116611.26</c:v>
                </c:pt>
                <c:pt idx="863">
                  <c:v>116685.82</c:v>
                </c:pt>
                <c:pt idx="864">
                  <c:v>116879.93</c:v>
                </c:pt>
                <c:pt idx="865">
                  <c:v>116872.23</c:v>
                </c:pt>
                <c:pt idx="866">
                  <c:v>116825.03</c:v>
                </c:pt>
                <c:pt idx="867">
                  <c:v>116879.67</c:v>
                </c:pt>
                <c:pt idx="868">
                  <c:v>116830.98</c:v>
                </c:pt>
                <c:pt idx="869">
                  <c:v>116922.68</c:v>
                </c:pt>
                <c:pt idx="870">
                  <c:v>116922.1</c:v>
                </c:pt>
                <c:pt idx="871">
                  <c:v>116840.36</c:v>
                </c:pt>
                <c:pt idx="872">
                  <c:v>117560.5</c:v>
                </c:pt>
                <c:pt idx="873">
                  <c:v>117558.09</c:v>
                </c:pt>
                <c:pt idx="874">
                  <c:v>117558.09</c:v>
                </c:pt>
                <c:pt idx="875">
                  <c:v>117557.59</c:v>
                </c:pt>
                <c:pt idx="876">
                  <c:v>117646.84</c:v>
                </c:pt>
                <c:pt idx="877">
                  <c:v>117645.07</c:v>
                </c:pt>
                <c:pt idx="878">
                  <c:v>117717.35</c:v>
                </c:pt>
                <c:pt idx="879">
                  <c:v>117677.4</c:v>
                </c:pt>
                <c:pt idx="880">
                  <c:v>117496.52</c:v>
                </c:pt>
                <c:pt idx="881">
                  <c:v>117606.58</c:v>
                </c:pt>
                <c:pt idx="882">
                  <c:v>117717.69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664861"/>
        <c:axId val="98750627"/>
      </c:lineChart>
      <c:catAx>
        <c:axId val="77664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50627"/>
        <c:crosses val="autoZero"/>
        <c:auto val="1"/>
        <c:lblAlgn val="ctr"/>
        <c:lblOffset val="100"/>
        <c:noMultiLvlLbl val="0"/>
      </c:catAx>
      <c:valAx>
        <c:axId val="9875062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648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Drawdown %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Trades!AG1</c:f>
              <c:strCache>
                <c:ptCount val="1"/>
                <c:pt idx="0">
                  <c:v>Drawdown %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Trades!$AG$2:$AG$884</c:f>
              <c:numCache>
                <c:formatCode>0.00%;[RED]\-0.00%;\-</c:formatCode>
                <c:ptCount val="883"/>
                <c:pt idx="0">
                  <c:v>0</c:v>
                </c:pt>
                <c:pt idx="1">
                  <c:v>1.898373473602E-005</c:v>
                </c:pt>
                <c:pt idx="2">
                  <c:v>0</c:v>
                </c:pt>
                <c:pt idx="3">
                  <c:v>0.000691349027591437</c:v>
                </c:pt>
                <c:pt idx="4">
                  <c:v>8.55081709691721E-005</c:v>
                </c:pt>
                <c:pt idx="5">
                  <c:v>0.000438316680359212</c:v>
                </c:pt>
                <c:pt idx="6">
                  <c:v>0.000910557255852169</c:v>
                </c:pt>
                <c:pt idx="7">
                  <c:v>0.00444742265202236</c:v>
                </c:pt>
                <c:pt idx="8">
                  <c:v>0.00479594078643968</c:v>
                </c:pt>
                <c:pt idx="9">
                  <c:v>0.00618482496367644</c:v>
                </c:pt>
                <c:pt idx="10">
                  <c:v>0.00689862362775353</c:v>
                </c:pt>
                <c:pt idx="11">
                  <c:v>0.00566179832164519</c:v>
                </c:pt>
                <c:pt idx="12">
                  <c:v>0.00396490513182716</c:v>
                </c:pt>
                <c:pt idx="13">
                  <c:v>0.00467730692963405</c:v>
                </c:pt>
                <c:pt idx="14">
                  <c:v>0.00677240678262381</c:v>
                </c:pt>
                <c:pt idx="15">
                  <c:v>0.0076666007478821</c:v>
                </c:pt>
                <c:pt idx="16">
                  <c:v>0.0084773818415766</c:v>
                </c:pt>
                <c:pt idx="17">
                  <c:v>0.00860629264308448</c:v>
                </c:pt>
                <c:pt idx="18">
                  <c:v>0.0103159571816587</c:v>
                </c:pt>
                <c:pt idx="19">
                  <c:v>0.0110580922757884</c:v>
                </c:pt>
                <c:pt idx="20">
                  <c:v>0.00795515340884263</c:v>
                </c:pt>
                <c:pt idx="21">
                  <c:v>0.00798857842316541</c:v>
                </c:pt>
                <c:pt idx="22">
                  <c:v>0.00564852809207819</c:v>
                </c:pt>
                <c:pt idx="23">
                  <c:v>0.00632750487556215</c:v>
                </c:pt>
                <c:pt idx="24">
                  <c:v>0.0068885462353755</c:v>
                </c:pt>
                <c:pt idx="25">
                  <c:v>0.00372893450832399</c:v>
                </c:pt>
                <c:pt idx="26">
                  <c:v>0.00430843445813659</c:v>
                </c:pt>
                <c:pt idx="27">
                  <c:v>0.00473447867055044</c:v>
                </c:pt>
                <c:pt idx="28">
                  <c:v>0.00306183108813683</c:v>
                </c:pt>
                <c:pt idx="29">
                  <c:v>0.00307041183808241</c:v>
                </c:pt>
                <c:pt idx="30">
                  <c:v>0.00376914430167357</c:v>
                </c:pt>
                <c:pt idx="31">
                  <c:v>0.00439733501861924</c:v>
                </c:pt>
                <c:pt idx="32">
                  <c:v>0.00311571021570199</c:v>
                </c:pt>
                <c:pt idx="33">
                  <c:v>0.00385964128075078</c:v>
                </c:pt>
                <c:pt idx="34">
                  <c:v>0.00429007564429959</c:v>
                </c:pt>
                <c:pt idx="35">
                  <c:v>0.00431052975754183</c:v>
                </c:pt>
                <c:pt idx="36">
                  <c:v>0.00486668208540954</c:v>
                </c:pt>
                <c:pt idx="37">
                  <c:v>0.00850911066114272</c:v>
                </c:pt>
                <c:pt idx="38">
                  <c:v>0.00853575089643884</c:v>
                </c:pt>
                <c:pt idx="39">
                  <c:v>0.00977726568216861</c:v>
                </c:pt>
                <c:pt idx="40">
                  <c:v>0.00832671983671824</c:v>
                </c:pt>
                <c:pt idx="41">
                  <c:v>0.0083570517900143</c:v>
                </c:pt>
                <c:pt idx="42">
                  <c:v>0.0088606220804248</c:v>
                </c:pt>
                <c:pt idx="43">
                  <c:v>0.0101906383219884</c:v>
                </c:pt>
                <c:pt idx="44">
                  <c:v>0.00862056063427298</c:v>
                </c:pt>
                <c:pt idx="45">
                  <c:v>0.00763517125680245</c:v>
                </c:pt>
                <c:pt idx="46">
                  <c:v>0.00763876319864014</c:v>
                </c:pt>
                <c:pt idx="47">
                  <c:v>0.00588649423882463</c:v>
                </c:pt>
                <c:pt idx="48">
                  <c:v>0.00589667140736463</c:v>
                </c:pt>
                <c:pt idx="49">
                  <c:v>0.00499349758751219</c:v>
                </c:pt>
                <c:pt idx="50">
                  <c:v>0.0054724231658697</c:v>
                </c:pt>
                <c:pt idx="51">
                  <c:v>0.00436670373683672</c:v>
                </c:pt>
                <c:pt idx="52">
                  <c:v>0.00437508493445794</c:v>
                </c:pt>
                <c:pt idx="53">
                  <c:v>0.00548200167743677</c:v>
                </c:pt>
                <c:pt idx="54">
                  <c:v>0.00610121253978815</c:v>
                </c:pt>
                <c:pt idx="55">
                  <c:v>0.00615559054816427</c:v>
                </c:pt>
                <c:pt idx="56">
                  <c:v>0.00669378316684341</c:v>
                </c:pt>
                <c:pt idx="57">
                  <c:v>0.00702424181591019</c:v>
                </c:pt>
                <c:pt idx="58">
                  <c:v>0.00447386333499427</c:v>
                </c:pt>
                <c:pt idx="59">
                  <c:v>0.00447685661985903</c:v>
                </c:pt>
                <c:pt idx="60">
                  <c:v>0.00504109081686136</c:v>
                </c:pt>
                <c:pt idx="61">
                  <c:v>0.0020334381847763</c:v>
                </c:pt>
                <c:pt idx="62">
                  <c:v>0</c:v>
                </c:pt>
                <c:pt idx="63">
                  <c:v>0</c:v>
                </c:pt>
                <c:pt idx="64">
                  <c:v>2.47725994754699E-005</c:v>
                </c:pt>
                <c:pt idx="65">
                  <c:v>0</c:v>
                </c:pt>
                <c:pt idx="66">
                  <c:v>1.1533606792389E-005</c:v>
                </c:pt>
                <c:pt idx="67">
                  <c:v>0</c:v>
                </c:pt>
                <c:pt idx="68">
                  <c:v>0.000477876615712347</c:v>
                </c:pt>
                <c:pt idx="69">
                  <c:v>0.00131232423342691</c:v>
                </c:pt>
                <c:pt idx="70">
                  <c:v>0.000414742106449139</c:v>
                </c:pt>
                <c:pt idx="71">
                  <c:v>0.000567912779079908</c:v>
                </c:pt>
                <c:pt idx="72">
                  <c:v>0.00113671897102671</c:v>
                </c:pt>
                <c:pt idx="73">
                  <c:v>0</c:v>
                </c:pt>
                <c:pt idx="74">
                  <c:v>0.000330175163428852</c:v>
                </c:pt>
                <c:pt idx="75">
                  <c:v>0</c:v>
                </c:pt>
                <c:pt idx="76">
                  <c:v>0</c:v>
                </c:pt>
                <c:pt idx="77">
                  <c:v>0.00169396267828867</c:v>
                </c:pt>
                <c:pt idx="78">
                  <c:v>8.57502539660487E-005</c:v>
                </c:pt>
                <c:pt idx="79">
                  <c:v>0.00123517906144765</c:v>
                </c:pt>
                <c:pt idx="80">
                  <c:v>0.00381588630148593</c:v>
                </c:pt>
                <c:pt idx="81">
                  <c:v>0.00413102836387235</c:v>
                </c:pt>
                <c:pt idx="82">
                  <c:v>0.00574971259340291</c:v>
                </c:pt>
                <c:pt idx="83">
                  <c:v>0.00575089808078489</c:v>
                </c:pt>
                <c:pt idx="84">
                  <c:v>0.00448124109464349</c:v>
                </c:pt>
                <c:pt idx="85">
                  <c:v>0.00362205911452588</c:v>
                </c:pt>
                <c:pt idx="86">
                  <c:v>0.00362314581129274</c:v>
                </c:pt>
                <c:pt idx="87">
                  <c:v>0.00553118775265082</c:v>
                </c:pt>
                <c:pt idx="88">
                  <c:v>0.00381914639178636</c:v>
                </c:pt>
                <c:pt idx="89">
                  <c:v>0.00458062445350265</c:v>
                </c:pt>
                <c:pt idx="90">
                  <c:v>0.00497430505494787</c:v>
                </c:pt>
                <c:pt idx="91">
                  <c:v>0.00583091847907102</c:v>
                </c:pt>
                <c:pt idx="92">
                  <c:v>0.00319577761007527</c:v>
                </c:pt>
                <c:pt idx="93">
                  <c:v>0.0046562980647215</c:v>
                </c:pt>
                <c:pt idx="94">
                  <c:v>0.00613637906117114</c:v>
                </c:pt>
                <c:pt idx="95">
                  <c:v>0.00332381024733314</c:v>
                </c:pt>
                <c:pt idx="96">
                  <c:v>0.00334040707068147</c:v>
                </c:pt>
                <c:pt idx="97">
                  <c:v>0.00182347717477415</c:v>
                </c:pt>
                <c:pt idx="98">
                  <c:v>0.00252528570492879</c:v>
                </c:pt>
                <c:pt idx="99">
                  <c:v>0.00282639949996148</c:v>
                </c:pt>
                <c:pt idx="100">
                  <c:v>0.00167173478987583</c:v>
                </c:pt>
                <c:pt idx="101">
                  <c:v>0.000458981198071394</c:v>
                </c:pt>
                <c:pt idx="102">
                  <c:v>0.000507586180734118</c:v>
                </c:pt>
                <c:pt idx="103">
                  <c:v>0</c:v>
                </c:pt>
                <c:pt idx="104">
                  <c:v>0</c:v>
                </c:pt>
                <c:pt idx="105">
                  <c:v>0.00142309588093786</c:v>
                </c:pt>
                <c:pt idx="106">
                  <c:v>0.00201104988633776</c:v>
                </c:pt>
                <c:pt idx="107">
                  <c:v>0.000910475321675355</c:v>
                </c:pt>
                <c:pt idx="108">
                  <c:v>0.00114942359614204</c:v>
                </c:pt>
                <c:pt idx="109">
                  <c:v>0.00161760919303463</c:v>
                </c:pt>
                <c:pt idx="110">
                  <c:v>0.00201752385436508</c:v>
                </c:pt>
                <c:pt idx="111">
                  <c:v>0</c:v>
                </c:pt>
                <c:pt idx="112">
                  <c:v>2.84370850569489E-006</c:v>
                </c:pt>
                <c:pt idx="113">
                  <c:v>0.000534028845598413</c:v>
                </c:pt>
                <c:pt idx="114">
                  <c:v>0</c:v>
                </c:pt>
                <c:pt idx="115">
                  <c:v>0</c:v>
                </c:pt>
                <c:pt idx="116">
                  <c:v>7.3195753943592E-006</c:v>
                </c:pt>
                <c:pt idx="117">
                  <c:v>0.000847021264635326</c:v>
                </c:pt>
                <c:pt idx="118">
                  <c:v>0.00122529692101576</c:v>
                </c:pt>
                <c:pt idx="119">
                  <c:v>0.00151056517271869</c:v>
                </c:pt>
                <c:pt idx="120">
                  <c:v>0.00183662785795263</c:v>
                </c:pt>
                <c:pt idx="121">
                  <c:v>0</c:v>
                </c:pt>
                <c:pt idx="122">
                  <c:v>0</c:v>
                </c:pt>
                <c:pt idx="123">
                  <c:v>4.37903570714372E-005</c:v>
                </c:pt>
                <c:pt idx="124">
                  <c:v>0</c:v>
                </c:pt>
                <c:pt idx="125">
                  <c:v>0.00048775381896785</c:v>
                </c:pt>
                <c:pt idx="126">
                  <c:v>0.000817385377609973</c:v>
                </c:pt>
                <c:pt idx="127">
                  <c:v>0.000848039754458425</c:v>
                </c:pt>
                <c:pt idx="128">
                  <c:v>0.000854636265932067</c:v>
                </c:pt>
                <c:pt idx="129">
                  <c:v>0.00191735366585113</c:v>
                </c:pt>
                <c:pt idx="130">
                  <c:v>0</c:v>
                </c:pt>
                <c:pt idx="131">
                  <c:v>0.000470315533771348</c:v>
                </c:pt>
                <c:pt idx="132">
                  <c:v>0</c:v>
                </c:pt>
                <c:pt idx="133">
                  <c:v>0.000615211235045901</c:v>
                </c:pt>
                <c:pt idx="134">
                  <c:v>0.00130796201044129</c:v>
                </c:pt>
                <c:pt idx="135">
                  <c:v>0.00536303916469205</c:v>
                </c:pt>
                <c:pt idx="136">
                  <c:v>0.00161744591496656</c:v>
                </c:pt>
                <c:pt idx="137">
                  <c:v>0</c:v>
                </c:pt>
                <c:pt idx="138">
                  <c:v>0</c:v>
                </c:pt>
                <c:pt idx="139">
                  <c:v>0.00144127358483752</c:v>
                </c:pt>
                <c:pt idx="140">
                  <c:v>0.00116306218399984</c:v>
                </c:pt>
                <c:pt idx="141">
                  <c:v>0.00119480829820334</c:v>
                </c:pt>
                <c:pt idx="142">
                  <c:v>0.00124387047469967</c:v>
                </c:pt>
                <c:pt idx="143">
                  <c:v>0.00345551643087478</c:v>
                </c:pt>
                <c:pt idx="144">
                  <c:v>0.00350563681117776</c:v>
                </c:pt>
                <c:pt idx="145">
                  <c:v>0.00148908515683488</c:v>
                </c:pt>
                <c:pt idx="146">
                  <c:v>0.00149322177171601</c:v>
                </c:pt>
                <c:pt idx="147">
                  <c:v>0.00222896201846794</c:v>
                </c:pt>
                <c:pt idx="148">
                  <c:v>0.0039299765376975</c:v>
                </c:pt>
                <c:pt idx="149">
                  <c:v>0.0016509903392726</c:v>
                </c:pt>
                <c:pt idx="150">
                  <c:v>0</c:v>
                </c:pt>
                <c:pt idx="151">
                  <c:v>6.71340539513849E-006</c:v>
                </c:pt>
                <c:pt idx="152">
                  <c:v>0.000944576139080327</c:v>
                </c:pt>
                <c:pt idx="153">
                  <c:v>0.00246190166414781</c:v>
                </c:pt>
                <c:pt idx="154">
                  <c:v>0.000974786463357892</c:v>
                </c:pt>
                <c:pt idx="155">
                  <c:v>0.000976608673393708</c:v>
                </c:pt>
                <c:pt idx="156">
                  <c:v>0.00172409841123429</c:v>
                </c:pt>
                <c:pt idx="157">
                  <c:v>0.000513383701136827</c:v>
                </c:pt>
                <c:pt idx="158">
                  <c:v>0.00151924364089461</c:v>
                </c:pt>
                <c:pt idx="159">
                  <c:v>0.00157506081146476</c:v>
                </c:pt>
                <c:pt idx="160">
                  <c:v>0.00298660224866476</c:v>
                </c:pt>
                <c:pt idx="161">
                  <c:v>0.00299868637837576</c:v>
                </c:pt>
                <c:pt idx="162">
                  <c:v>0.00125857169998492</c:v>
                </c:pt>
                <c:pt idx="163">
                  <c:v>0.00071421042823951</c:v>
                </c:pt>
                <c:pt idx="164">
                  <c:v>0.000260288317744321</c:v>
                </c:pt>
                <c:pt idx="165">
                  <c:v>0.000716416261440833</c:v>
                </c:pt>
                <c:pt idx="166">
                  <c:v>0.00109025703615243</c:v>
                </c:pt>
                <c:pt idx="167">
                  <c:v>0</c:v>
                </c:pt>
                <c:pt idx="168">
                  <c:v>0.000197859893732414</c:v>
                </c:pt>
                <c:pt idx="169">
                  <c:v>0</c:v>
                </c:pt>
                <c:pt idx="170">
                  <c:v>3.34753933388195E-006</c:v>
                </c:pt>
                <c:pt idx="171">
                  <c:v>0.000284062623470374</c:v>
                </c:pt>
                <c:pt idx="172">
                  <c:v>0.000301278540044365</c:v>
                </c:pt>
                <c:pt idx="173">
                  <c:v>0.000313520969608062</c:v>
                </c:pt>
                <c:pt idx="174">
                  <c:v>0</c:v>
                </c:pt>
                <c:pt idx="175">
                  <c:v>0.000833784020957345</c:v>
                </c:pt>
                <c:pt idx="176">
                  <c:v>0.00115391285040792</c:v>
                </c:pt>
                <c:pt idx="177">
                  <c:v>0.00145526104275254</c:v>
                </c:pt>
                <c:pt idx="178">
                  <c:v>0.00224204580435331</c:v>
                </c:pt>
                <c:pt idx="179">
                  <c:v>0.00226197043965857</c:v>
                </c:pt>
                <c:pt idx="180">
                  <c:v>0.00381180200022376</c:v>
                </c:pt>
                <c:pt idx="181">
                  <c:v>0.00324914555251163</c:v>
                </c:pt>
                <c:pt idx="182">
                  <c:v>0.00325124288254378</c:v>
                </c:pt>
                <c:pt idx="183">
                  <c:v>0.00284550485450879</c:v>
                </c:pt>
                <c:pt idx="184">
                  <c:v>0.00368844086106083</c:v>
                </c:pt>
                <c:pt idx="185">
                  <c:v>0.00461574673481462</c:v>
                </c:pt>
                <c:pt idx="186">
                  <c:v>0.00515333055532435</c:v>
                </c:pt>
                <c:pt idx="187">
                  <c:v>0.00515695321628899</c:v>
                </c:pt>
                <c:pt idx="188">
                  <c:v>0.00249029341361151</c:v>
                </c:pt>
                <c:pt idx="189">
                  <c:v>0.0027940249355381</c:v>
                </c:pt>
                <c:pt idx="190">
                  <c:v>0.00281976489502338</c:v>
                </c:pt>
                <c:pt idx="191">
                  <c:v>0.00391066251128394</c:v>
                </c:pt>
                <c:pt idx="192">
                  <c:v>0.00363677027572369</c:v>
                </c:pt>
                <c:pt idx="193">
                  <c:v>0.00408617090170043</c:v>
                </c:pt>
                <c:pt idx="194">
                  <c:v>0.00245788013129674</c:v>
                </c:pt>
                <c:pt idx="195">
                  <c:v>0.00146755902339545</c:v>
                </c:pt>
                <c:pt idx="196">
                  <c:v>0.00210610068499751</c:v>
                </c:pt>
                <c:pt idx="197">
                  <c:v>0.00168224935213958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0.000349794862759888</c:v>
                </c:pt>
                <c:pt idx="202">
                  <c:v>0.000392960632722593</c:v>
                </c:pt>
                <c:pt idx="203">
                  <c:v>0</c:v>
                </c:pt>
                <c:pt idx="204">
                  <c:v>0.00105602512712466</c:v>
                </c:pt>
                <c:pt idx="205">
                  <c:v>0.00194285810966948</c:v>
                </c:pt>
                <c:pt idx="206">
                  <c:v>0.00109119428077325</c:v>
                </c:pt>
                <c:pt idx="207">
                  <c:v>0.00133652289041397</c:v>
                </c:pt>
                <c:pt idx="208">
                  <c:v>0.00198734233644658</c:v>
                </c:pt>
                <c:pt idx="209">
                  <c:v>0.00247391232976351</c:v>
                </c:pt>
                <c:pt idx="210">
                  <c:v>0.000636371577506656</c:v>
                </c:pt>
                <c:pt idx="211">
                  <c:v>0.00196833198312301</c:v>
                </c:pt>
                <c:pt idx="212">
                  <c:v>0.00199703761664164</c:v>
                </c:pt>
                <c:pt idx="213">
                  <c:v>0.00241374456149438</c:v>
                </c:pt>
                <c:pt idx="214">
                  <c:v>0.0024152653897603</c:v>
                </c:pt>
                <c:pt idx="215">
                  <c:v>0</c:v>
                </c:pt>
                <c:pt idx="216">
                  <c:v>0</c:v>
                </c:pt>
                <c:pt idx="217">
                  <c:v>0.000372496946978416</c:v>
                </c:pt>
                <c:pt idx="218">
                  <c:v>0.000671853500263327</c:v>
                </c:pt>
                <c:pt idx="219">
                  <c:v>0.000686575953703546</c:v>
                </c:pt>
                <c:pt idx="220">
                  <c:v>0.000704695896399349</c:v>
                </c:pt>
                <c:pt idx="221">
                  <c:v>0.00106445225866981</c:v>
                </c:pt>
                <c:pt idx="222">
                  <c:v>0</c:v>
                </c:pt>
                <c:pt idx="223">
                  <c:v>0.000236475618712579</c:v>
                </c:pt>
                <c:pt idx="224">
                  <c:v>0.000239872714591935</c:v>
                </c:pt>
                <c:pt idx="225">
                  <c:v>0.000252611824139419</c:v>
                </c:pt>
                <c:pt idx="226">
                  <c:v>0.000287903875774948</c:v>
                </c:pt>
                <c:pt idx="227">
                  <c:v>0.000747172365908303</c:v>
                </c:pt>
                <c:pt idx="228">
                  <c:v>0.00197928016859409</c:v>
                </c:pt>
                <c:pt idx="229">
                  <c:v>0</c:v>
                </c:pt>
                <c:pt idx="230">
                  <c:v>0</c:v>
                </c:pt>
                <c:pt idx="231">
                  <c:v>2.24662890512695E-005</c:v>
                </c:pt>
                <c:pt idx="232">
                  <c:v>0.000744395577393521</c:v>
                </c:pt>
                <c:pt idx="233">
                  <c:v>0.000963418395341124</c:v>
                </c:pt>
                <c:pt idx="234">
                  <c:v>0</c:v>
                </c:pt>
                <c:pt idx="235">
                  <c:v>0</c:v>
                </c:pt>
                <c:pt idx="236">
                  <c:v>0.000440571245277124</c:v>
                </c:pt>
                <c:pt idx="237">
                  <c:v>0.000443948707975029</c:v>
                </c:pt>
                <c:pt idx="238">
                  <c:v>0.0010322839462912</c:v>
                </c:pt>
                <c:pt idx="239">
                  <c:v>0.00107769205589809</c:v>
                </c:pt>
                <c:pt idx="240">
                  <c:v>0.0033526008198416</c:v>
                </c:pt>
                <c:pt idx="241">
                  <c:v>0.00435955379589743</c:v>
                </c:pt>
                <c:pt idx="242">
                  <c:v>0.00386878970219125</c:v>
                </c:pt>
                <c:pt idx="243">
                  <c:v>0.00428440525086619</c:v>
                </c:pt>
                <c:pt idx="244">
                  <c:v>0.0043278431738993</c:v>
                </c:pt>
                <c:pt idx="245">
                  <c:v>0.00578990924851548</c:v>
                </c:pt>
                <c:pt idx="246">
                  <c:v>0.00737497125638513</c:v>
                </c:pt>
                <c:pt idx="247">
                  <c:v>0.00896538091352673</c:v>
                </c:pt>
                <c:pt idx="248">
                  <c:v>0.00819550705519124</c:v>
                </c:pt>
                <c:pt idx="249">
                  <c:v>0.00823725624687526</c:v>
                </c:pt>
                <c:pt idx="250">
                  <c:v>0.00705082865578198</c:v>
                </c:pt>
                <c:pt idx="251">
                  <c:v>0.00614050864025317</c:v>
                </c:pt>
                <c:pt idx="252">
                  <c:v>0.00667433538335941</c:v>
                </c:pt>
                <c:pt idx="253">
                  <c:v>0.00667630556993318</c:v>
                </c:pt>
                <c:pt idx="254">
                  <c:v>0.00462637334904224</c:v>
                </c:pt>
                <c:pt idx="255">
                  <c:v>0.00578259141266975</c:v>
                </c:pt>
                <c:pt idx="256">
                  <c:v>0.00638415504655313</c:v>
                </c:pt>
                <c:pt idx="257">
                  <c:v>0.00729494415412336</c:v>
                </c:pt>
                <c:pt idx="258">
                  <c:v>0.00349163970091065</c:v>
                </c:pt>
                <c:pt idx="259">
                  <c:v>0.00420193886998921</c:v>
                </c:pt>
                <c:pt idx="260">
                  <c:v>0.0042107578003673</c:v>
                </c:pt>
                <c:pt idx="261">
                  <c:v>0.00422492438001748</c:v>
                </c:pt>
                <c:pt idx="262">
                  <c:v>0.0046034816574222</c:v>
                </c:pt>
                <c:pt idx="263">
                  <c:v>0.00888047525403443</c:v>
                </c:pt>
                <c:pt idx="264">
                  <c:v>0.00709558003653099</c:v>
                </c:pt>
                <c:pt idx="265">
                  <c:v>0.00437578438052975</c:v>
                </c:pt>
                <c:pt idx="266">
                  <c:v>0.00528666730650821</c:v>
                </c:pt>
                <c:pt idx="267">
                  <c:v>0.00699500670285615</c:v>
                </c:pt>
                <c:pt idx="268">
                  <c:v>0.00701527147904439</c:v>
                </c:pt>
                <c:pt idx="269">
                  <c:v>0.00702287077011495</c:v>
                </c:pt>
                <c:pt idx="270">
                  <c:v>0.00823922643344918</c:v>
                </c:pt>
                <c:pt idx="271">
                  <c:v>0.00568942973324887</c:v>
                </c:pt>
                <c:pt idx="272">
                  <c:v>0.00569046173573994</c:v>
                </c:pt>
                <c:pt idx="273">
                  <c:v>0.00962764505756648</c:v>
                </c:pt>
                <c:pt idx="274">
                  <c:v>0.0113697590808948</c:v>
                </c:pt>
                <c:pt idx="275">
                  <c:v>0.0117317105000343</c:v>
                </c:pt>
                <c:pt idx="276">
                  <c:v>0.0117483163582997</c:v>
                </c:pt>
                <c:pt idx="277">
                  <c:v>0.0119094025653143</c:v>
                </c:pt>
                <c:pt idx="278">
                  <c:v>0.00933887199688446</c:v>
                </c:pt>
                <c:pt idx="279">
                  <c:v>0.00934131127549966</c:v>
                </c:pt>
                <c:pt idx="280">
                  <c:v>0.00984821213542994</c:v>
                </c:pt>
                <c:pt idx="281">
                  <c:v>0.0102877513782159</c:v>
                </c:pt>
                <c:pt idx="282">
                  <c:v>0.00994475127754872</c:v>
                </c:pt>
                <c:pt idx="283">
                  <c:v>0.0114834669917286</c:v>
                </c:pt>
                <c:pt idx="284">
                  <c:v>0.0127903574190518</c:v>
                </c:pt>
                <c:pt idx="285">
                  <c:v>0.0130614926189775</c:v>
                </c:pt>
                <c:pt idx="286">
                  <c:v>0.0126932553664834</c:v>
                </c:pt>
                <c:pt idx="287">
                  <c:v>0.0126946626426075</c:v>
                </c:pt>
                <c:pt idx="288">
                  <c:v>0.0129235795588076</c:v>
                </c:pt>
                <c:pt idx="289">
                  <c:v>0.0129315541235114</c:v>
                </c:pt>
                <c:pt idx="290">
                  <c:v>0.0131191909400689</c:v>
                </c:pt>
                <c:pt idx="291">
                  <c:v>0.0106072030584051</c:v>
                </c:pt>
                <c:pt idx="292">
                  <c:v>0.0106086103345292</c:v>
                </c:pt>
                <c:pt idx="293">
                  <c:v>0.0101052745741137</c:v>
                </c:pt>
                <c:pt idx="294">
                  <c:v>0.0101118418626932</c:v>
                </c:pt>
                <c:pt idx="295">
                  <c:v>0.0113122483966199</c:v>
                </c:pt>
                <c:pt idx="296">
                  <c:v>0.0118812570428307</c:v>
                </c:pt>
                <c:pt idx="297">
                  <c:v>0.0100930781810374</c:v>
                </c:pt>
                <c:pt idx="298">
                  <c:v>0.00894520995574686</c:v>
                </c:pt>
                <c:pt idx="299">
                  <c:v>0.00899165006784482</c:v>
                </c:pt>
                <c:pt idx="300">
                  <c:v>0.00899165006784482</c:v>
                </c:pt>
                <c:pt idx="301">
                  <c:v>0.00801668916901194</c:v>
                </c:pt>
                <c:pt idx="302">
                  <c:v>0.00805984563682009</c:v>
                </c:pt>
                <c:pt idx="303">
                  <c:v>0.00875654113669826</c:v>
                </c:pt>
                <c:pt idx="304">
                  <c:v>0.00949104545511263</c:v>
                </c:pt>
                <c:pt idx="305">
                  <c:v>0.0091393202424755</c:v>
                </c:pt>
                <c:pt idx="306">
                  <c:v>0.0060131032418106</c:v>
                </c:pt>
                <c:pt idx="307">
                  <c:v>0.00510400286558945</c:v>
                </c:pt>
                <c:pt idx="308">
                  <c:v>0.00512558109949359</c:v>
                </c:pt>
                <c:pt idx="309">
                  <c:v>0.00620965280715471</c:v>
                </c:pt>
                <c:pt idx="310">
                  <c:v>0.00686488057057355</c:v>
                </c:pt>
                <c:pt idx="311">
                  <c:v>0.00686581875465625</c:v>
                </c:pt>
                <c:pt idx="312">
                  <c:v>0.00730714054719962</c:v>
                </c:pt>
                <c:pt idx="313">
                  <c:v>0.00730939218899836</c:v>
                </c:pt>
                <c:pt idx="314">
                  <c:v>0.00885308027881705</c:v>
                </c:pt>
                <c:pt idx="315">
                  <c:v>0.00819494414474159</c:v>
                </c:pt>
                <c:pt idx="316">
                  <c:v>0.00819494414474159</c:v>
                </c:pt>
                <c:pt idx="317">
                  <c:v>0.010170666004684</c:v>
                </c:pt>
                <c:pt idx="318">
                  <c:v>0.0104805482072287</c:v>
                </c:pt>
                <c:pt idx="319">
                  <c:v>0.0102639215025131</c:v>
                </c:pt>
                <c:pt idx="320">
                  <c:v>0.0105042842645232</c:v>
                </c:pt>
                <c:pt idx="321">
                  <c:v>0.00984999468518712</c:v>
                </c:pt>
                <c:pt idx="322">
                  <c:v>0.0107528092280537</c:v>
                </c:pt>
                <c:pt idx="323">
                  <c:v>0.0108138850118432</c:v>
                </c:pt>
                <c:pt idx="324">
                  <c:v>0.00673297188853363</c:v>
                </c:pt>
                <c:pt idx="325">
                  <c:v>0.00501055973094375</c:v>
                </c:pt>
                <c:pt idx="326">
                  <c:v>0.00669197324411572</c:v>
                </c:pt>
                <c:pt idx="327">
                  <c:v>0.0054779630409886</c:v>
                </c:pt>
                <c:pt idx="328">
                  <c:v>0.00549241107586347</c:v>
                </c:pt>
                <c:pt idx="329">
                  <c:v>0.00550911075253722</c:v>
                </c:pt>
                <c:pt idx="330">
                  <c:v>0.00553162717052406</c:v>
                </c:pt>
                <c:pt idx="331">
                  <c:v>0.0070527988423559</c:v>
                </c:pt>
                <c:pt idx="332">
                  <c:v>0.00237388718467749</c:v>
                </c:pt>
                <c:pt idx="333">
                  <c:v>0.00409780043679973</c:v>
                </c:pt>
                <c:pt idx="334">
                  <c:v>0.00313090792107884</c:v>
                </c:pt>
                <c:pt idx="335">
                  <c:v>0.0039762117796704</c:v>
                </c:pt>
                <c:pt idx="336">
                  <c:v>0.00496243088749683</c:v>
                </c:pt>
                <c:pt idx="337">
                  <c:v>0.00387169807284786</c:v>
                </c:pt>
                <c:pt idx="338">
                  <c:v>0.00388483265000697</c:v>
                </c:pt>
                <c:pt idx="339">
                  <c:v>0.00730807873128247</c:v>
                </c:pt>
                <c:pt idx="340">
                  <c:v>0.00485566553887556</c:v>
                </c:pt>
                <c:pt idx="341">
                  <c:v>0.00491946205650514</c:v>
                </c:pt>
                <c:pt idx="342">
                  <c:v>0.00673869481143864</c:v>
                </c:pt>
                <c:pt idx="343">
                  <c:v>0.00955427906229256</c:v>
                </c:pt>
                <c:pt idx="344">
                  <c:v>0.0101190658801307</c:v>
                </c:pt>
                <c:pt idx="345">
                  <c:v>0.00872820797739804</c:v>
                </c:pt>
                <c:pt idx="346">
                  <c:v>0.00946580830328562</c:v>
                </c:pt>
                <c:pt idx="347">
                  <c:v>0.00950990295517661</c:v>
                </c:pt>
                <c:pt idx="348">
                  <c:v>0.00823050132147918</c:v>
                </c:pt>
                <c:pt idx="349">
                  <c:v>0.00896322309013636</c:v>
                </c:pt>
                <c:pt idx="350">
                  <c:v>0.00960587918684588</c:v>
                </c:pt>
                <c:pt idx="351">
                  <c:v>0.00962745742074988</c:v>
                </c:pt>
                <c:pt idx="352">
                  <c:v>0.0100128634419591</c:v>
                </c:pt>
                <c:pt idx="353">
                  <c:v>0.0073604294031019</c:v>
                </c:pt>
                <c:pt idx="354">
                  <c:v>0.00428918998968835</c:v>
                </c:pt>
                <c:pt idx="355">
                  <c:v>0.00528169493086945</c:v>
                </c:pt>
                <c:pt idx="356">
                  <c:v>0.00249322420000809</c:v>
                </c:pt>
                <c:pt idx="357">
                  <c:v>0.00251527152595365</c:v>
                </c:pt>
                <c:pt idx="358">
                  <c:v>0.00333393095659407</c:v>
                </c:pt>
                <c:pt idx="359">
                  <c:v>0.00334340661583018</c:v>
                </c:pt>
                <c:pt idx="360">
                  <c:v>0.00408691750143937</c:v>
                </c:pt>
                <c:pt idx="361">
                  <c:v>0.00204374020594451</c:v>
                </c:pt>
                <c:pt idx="362">
                  <c:v>0.00204936931044129</c:v>
                </c:pt>
                <c:pt idx="363">
                  <c:v>0.00390885016252631</c:v>
                </c:pt>
                <c:pt idx="364">
                  <c:v>0.00390931925456774</c:v>
                </c:pt>
                <c:pt idx="365">
                  <c:v>0.00499761279060137</c:v>
                </c:pt>
                <c:pt idx="366">
                  <c:v>0.00590061497028445</c:v>
                </c:pt>
                <c:pt idx="367">
                  <c:v>0.00592735321664381</c:v>
                </c:pt>
                <c:pt idx="368">
                  <c:v>0.00773945577254817</c:v>
                </c:pt>
                <c:pt idx="369">
                  <c:v>0.0077507139815416</c:v>
                </c:pt>
                <c:pt idx="370">
                  <c:v>0.00817580518945264</c:v>
                </c:pt>
                <c:pt idx="371">
                  <c:v>0.00573183565379091</c:v>
                </c:pt>
                <c:pt idx="372">
                  <c:v>0.0052422911993924</c:v>
                </c:pt>
                <c:pt idx="373">
                  <c:v>0.00738041272406532</c:v>
                </c:pt>
                <c:pt idx="374">
                  <c:v>0.00738172618178121</c:v>
                </c:pt>
                <c:pt idx="375">
                  <c:v>0.0065104346240964</c:v>
                </c:pt>
                <c:pt idx="376">
                  <c:v>0.00652901066893555</c:v>
                </c:pt>
                <c:pt idx="377">
                  <c:v>0.00654148851723665</c:v>
                </c:pt>
                <c:pt idx="378">
                  <c:v>0.00558904403639062</c:v>
                </c:pt>
                <c:pt idx="379">
                  <c:v>0.00605466479667816</c:v>
                </c:pt>
                <c:pt idx="380">
                  <c:v>0.00531284264241793</c:v>
                </c:pt>
                <c:pt idx="381">
                  <c:v>0.0053173459260154</c:v>
                </c:pt>
                <c:pt idx="382">
                  <c:v>0.00731201910443016</c:v>
                </c:pt>
                <c:pt idx="383">
                  <c:v>0.00862350663375891</c:v>
                </c:pt>
                <c:pt idx="384">
                  <c:v>0.00903086616250527</c:v>
                </c:pt>
                <c:pt idx="385">
                  <c:v>0.0106966120014947</c:v>
                </c:pt>
                <c:pt idx="386">
                  <c:v>0.0122480870192005</c:v>
                </c:pt>
                <c:pt idx="387">
                  <c:v>0.0100272176584257</c:v>
                </c:pt>
                <c:pt idx="388">
                  <c:v>0.0100897945367477</c:v>
                </c:pt>
                <c:pt idx="389">
                  <c:v>0.00948344616404207</c:v>
                </c:pt>
                <c:pt idx="390">
                  <c:v>0.0123287708503203</c:v>
                </c:pt>
                <c:pt idx="391">
                  <c:v>0.0123594494698275</c:v>
                </c:pt>
                <c:pt idx="392">
                  <c:v>0.0107583445141422</c:v>
                </c:pt>
                <c:pt idx="393">
                  <c:v>0.0107954966038205</c:v>
                </c:pt>
                <c:pt idx="394">
                  <c:v>0.0116059938329407</c:v>
                </c:pt>
                <c:pt idx="395">
                  <c:v>0.0129468465240609</c:v>
                </c:pt>
                <c:pt idx="396">
                  <c:v>0.0129473156161021</c:v>
                </c:pt>
                <c:pt idx="397">
                  <c:v>0.013510976613041</c:v>
                </c:pt>
                <c:pt idx="398">
                  <c:v>0.0143529968273428</c:v>
                </c:pt>
                <c:pt idx="399">
                  <c:v>0.0143538411930175</c:v>
                </c:pt>
                <c:pt idx="400">
                  <c:v>0.00913190858822154</c:v>
                </c:pt>
                <c:pt idx="401">
                  <c:v>0.00613769408800492</c:v>
                </c:pt>
                <c:pt idx="402">
                  <c:v>0.00613769408800492</c:v>
                </c:pt>
                <c:pt idx="403">
                  <c:v>0.00656869585563743</c:v>
                </c:pt>
                <c:pt idx="404">
                  <c:v>0.0065992806567364</c:v>
                </c:pt>
                <c:pt idx="405">
                  <c:v>0.00517342848771568</c:v>
                </c:pt>
                <c:pt idx="406">
                  <c:v>0.00613487953575653</c:v>
                </c:pt>
                <c:pt idx="407">
                  <c:v>0.00614810793132373</c:v>
                </c:pt>
                <c:pt idx="408">
                  <c:v>0.00689114972489163</c:v>
                </c:pt>
                <c:pt idx="409">
                  <c:v>0.00822824967968044</c:v>
                </c:pt>
                <c:pt idx="410">
                  <c:v>0.00865718744233095</c:v>
                </c:pt>
                <c:pt idx="411">
                  <c:v>0.00634353167576841</c:v>
                </c:pt>
                <c:pt idx="412">
                  <c:v>0.00501947247973034</c:v>
                </c:pt>
                <c:pt idx="413">
                  <c:v>0.00419565303663455</c:v>
                </c:pt>
                <c:pt idx="414">
                  <c:v>0.00420841234016033</c:v>
                </c:pt>
                <c:pt idx="415">
                  <c:v>0.00420925670583495</c:v>
                </c:pt>
                <c:pt idx="416">
                  <c:v>0.00524979667205459</c:v>
                </c:pt>
                <c:pt idx="417">
                  <c:v>0.00648191382797958</c:v>
                </c:pt>
                <c:pt idx="418">
                  <c:v>0.00592838521913489</c:v>
                </c:pt>
                <c:pt idx="419">
                  <c:v>0.00593082449775022</c:v>
                </c:pt>
                <c:pt idx="420">
                  <c:v>0.00661072650254642</c:v>
                </c:pt>
                <c:pt idx="421">
                  <c:v>0.00529558005529467</c:v>
                </c:pt>
                <c:pt idx="422">
                  <c:v>0.00529558005529467</c:v>
                </c:pt>
                <c:pt idx="423">
                  <c:v>0.00470114662044043</c:v>
                </c:pt>
                <c:pt idx="424">
                  <c:v>0.00245053682424122</c:v>
                </c:pt>
                <c:pt idx="425">
                  <c:v>0.00280019803189621</c:v>
                </c:pt>
                <c:pt idx="426">
                  <c:v>0.00329387049625901</c:v>
                </c:pt>
                <c:pt idx="427">
                  <c:v>0.00432709262663305</c:v>
                </c:pt>
                <c:pt idx="428">
                  <c:v>0.00456032518961406</c:v>
                </c:pt>
                <c:pt idx="429">
                  <c:v>0.00493391009138001</c:v>
                </c:pt>
                <c:pt idx="430">
                  <c:v>0.00494216611130859</c:v>
                </c:pt>
                <c:pt idx="431">
                  <c:v>0.00333965387949908</c:v>
                </c:pt>
                <c:pt idx="432">
                  <c:v>0.000554466792927535</c:v>
                </c:pt>
                <c:pt idx="433">
                  <c:v>0.000555686432235066</c:v>
                </c:pt>
                <c:pt idx="434">
                  <c:v>0.000574637750707414</c:v>
                </c:pt>
                <c:pt idx="435">
                  <c:v>0.000608037104054632</c:v>
                </c:pt>
                <c:pt idx="436">
                  <c:v>0</c:v>
                </c:pt>
                <c:pt idx="437">
                  <c:v>4.32396857204433E-005</c:v>
                </c:pt>
                <c:pt idx="438">
                  <c:v>4.36140552937209E-005</c:v>
                </c:pt>
                <c:pt idx="439">
                  <c:v>0.000787299212728821</c:v>
                </c:pt>
                <c:pt idx="440">
                  <c:v>0</c:v>
                </c:pt>
                <c:pt idx="441">
                  <c:v>0.00269352227546668</c:v>
                </c:pt>
                <c:pt idx="442">
                  <c:v>0.00271495440198093</c:v>
                </c:pt>
                <c:pt idx="443">
                  <c:v>0.00278992004974505</c:v>
                </c:pt>
                <c:pt idx="444">
                  <c:v>0.00180862814362033</c:v>
                </c:pt>
                <c:pt idx="445">
                  <c:v>0.00286207799534556</c:v>
                </c:pt>
                <c:pt idx="446">
                  <c:v>0.00293086669835006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2.88655646847202E-006</c:v>
                </c:pt>
                <c:pt idx="451">
                  <c:v>3.97599874852834E-005</c:v>
                </c:pt>
                <c:pt idx="452">
                  <c:v>9.5070134010636E-005</c:v>
                </c:pt>
                <c:pt idx="453">
                  <c:v>0.000105685212636704</c:v>
                </c:pt>
                <c:pt idx="454">
                  <c:v>0</c:v>
                </c:pt>
                <c:pt idx="455">
                  <c:v>1.22403572181988E-005</c:v>
                </c:pt>
                <c:pt idx="456">
                  <c:v>0.000524295300843483</c:v>
                </c:pt>
                <c:pt idx="457">
                  <c:v>0</c:v>
                </c:pt>
                <c:pt idx="458">
                  <c:v>0.00497968657163272</c:v>
                </c:pt>
                <c:pt idx="459">
                  <c:v>0.00701566400301068</c:v>
                </c:pt>
                <c:pt idx="460">
                  <c:v>0.00546298210212246</c:v>
                </c:pt>
                <c:pt idx="461">
                  <c:v>0.00546668977784538</c:v>
                </c:pt>
                <c:pt idx="462">
                  <c:v>0.00498506270143105</c:v>
                </c:pt>
                <c:pt idx="463">
                  <c:v>0.00765848228148114</c:v>
                </c:pt>
                <c:pt idx="464">
                  <c:v>0.00940368524428494</c:v>
                </c:pt>
                <c:pt idx="465">
                  <c:v>0.00941267635791302</c:v>
                </c:pt>
                <c:pt idx="466">
                  <c:v>0.00750025722000331</c:v>
                </c:pt>
                <c:pt idx="467">
                  <c:v>0.00668855431235126</c:v>
                </c:pt>
                <c:pt idx="468">
                  <c:v>0.00728067012531018</c:v>
                </c:pt>
                <c:pt idx="469">
                  <c:v>0.00659002283001332</c:v>
                </c:pt>
                <c:pt idx="470">
                  <c:v>0.0080292498537785</c:v>
                </c:pt>
                <c:pt idx="471">
                  <c:v>0.00496661701470934</c:v>
                </c:pt>
                <c:pt idx="472">
                  <c:v>0.00530883548393979</c:v>
                </c:pt>
                <c:pt idx="473">
                  <c:v>0.00678078274596033</c:v>
                </c:pt>
                <c:pt idx="474">
                  <c:v>0.00320231952193225</c:v>
                </c:pt>
                <c:pt idx="475">
                  <c:v>0.00208362106441816</c:v>
                </c:pt>
                <c:pt idx="476">
                  <c:v>0</c:v>
                </c:pt>
                <c:pt idx="477">
                  <c:v>0.00130274835764415</c:v>
                </c:pt>
                <c:pt idx="478">
                  <c:v>0.00131678420612461</c:v>
                </c:pt>
                <c:pt idx="479">
                  <c:v>0.00132998898462917</c:v>
                </c:pt>
                <c:pt idx="480">
                  <c:v>0.00308169981143032</c:v>
                </c:pt>
                <c:pt idx="481">
                  <c:v>0.00308169981143032</c:v>
                </c:pt>
                <c:pt idx="482">
                  <c:v>0.00309010285229679</c:v>
                </c:pt>
                <c:pt idx="483">
                  <c:v>0</c:v>
                </c:pt>
                <c:pt idx="484">
                  <c:v>0.00169080818698986</c:v>
                </c:pt>
                <c:pt idx="485">
                  <c:v>0.00431567862737472</c:v>
                </c:pt>
                <c:pt idx="486">
                  <c:v>0.00728321952698958</c:v>
                </c:pt>
                <c:pt idx="487">
                  <c:v>0.00838742079196255</c:v>
                </c:pt>
                <c:pt idx="488">
                  <c:v>0.0102393503468663</c:v>
                </c:pt>
                <c:pt idx="489">
                  <c:v>0.010244687319647</c:v>
                </c:pt>
                <c:pt idx="490">
                  <c:v>0.0102478158898979</c:v>
                </c:pt>
                <c:pt idx="491">
                  <c:v>0.00770548449406965</c:v>
                </c:pt>
                <c:pt idx="492">
                  <c:v>0.00415391314205617</c:v>
                </c:pt>
                <c:pt idx="493">
                  <c:v>0.00415704171230689</c:v>
                </c:pt>
                <c:pt idx="494">
                  <c:v>0.00415704171230689</c:v>
                </c:pt>
                <c:pt idx="495">
                  <c:v>0.00416017028255775</c:v>
                </c:pt>
                <c:pt idx="496">
                  <c:v>0.00174150942840649</c:v>
                </c:pt>
                <c:pt idx="497">
                  <c:v>0.00174813463599634</c:v>
                </c:pt>
                <c:pt idx="498">
                  <c:v>0</c:v>
                </c:pt>
                <c:pt idx="499">
                  <c:v>0.000735791507735142</c:v>
                </c:pt>
                <c:pt idx="500">
                  <c:v>0.00187897818860443</c:v>
                </c:pt>
                <c:pt idx="501">
                  <c:v>0</c:v>
                </c:pt>
                <c:pt idx="502">
                  <c:v>1.48663026885449E-005</c:v>
                </c:pt>
                <c:pt idx="503">
                  <c:v>3.39280036817462E-005</c:v>
                </c:pt>
                <c:pt idx="504">
                  <c:v>0</c:v>
                </c:pt>
                <c:pt idx="505">
                  <c:v>0.000950992831998826</c:v>
                </c:pt>
                <c:pt idx="506">
                  <c:v>0.00423849147327626</c:v>
                </c:pt>
                <c:pt idx="507">
                  <c:v>0</c:v>
                </c:pt>
                <c:pt idx="508">
                  <c:v>0.00278897968961344</c:v>
                </c:pt>
                <c:pt idx="509">
                  <c:v>0.00413224632415923</c:v>
                </c:pt>
                <c:pt idx="510">
                  <c:v>0</c:v>
                </c:pt>
                <c:pt idx="511">
                  <c:v>7.72323101190296E-006</c:v>
                </c:pt>
                <c:pt idx="512">
                  <c:v>0.00139790481315352</c:v>
                </c:pt>
                <c:pt idx="513">
                  <c:v>0.00196143126198676</c:v>
                </c:pt>
                <c:pt idx="514">
                  <c:v>0.00243739782434789</c:v>
                </c:pt>
                <c:pt idx="515">
                  <c:v>0.00294389809070951</c:v>
                </c:pt>
                <c:pt idx="516">
                  <c:v>0</c:v>
                </c:pt>
                <c:pt idx="517">
                  <c:v>0.00255666398565507</c:v>
                </c:pt>
                <c:pt idx="518">
                  <c:v>0</c:v>
                </c:pt>
                <c:pt idx="519">
                  <c:v>0.00165709186184767</c:v>
                </c:pt>
                <c:pt idx="520">
                  <c:v>0.00278177038156</c:v>
                </c:pt>
                <c:pt idx="521">
                  <c:v>0.00278936352486218</c:v>
                </c:pt>
                <c:pt idx="522">
                  <c:v>0.00535629261651684</c:v>
                </c:pt>
                <c:pt idx="523">
                  <c:v>0.00816932888226251</c:v>
                </c:pt>
                <c:pt idx="524">
                  <c:v>0.0071822202529678</c:v>
                </c:pt>
                <c:pt idx="525">
                  <c:v>0.00151487675435111</c:v>
                </c:pt>
                <c:pt idx="526">
                  <c:v>0.00274594861139275</c:v>
                </c:pt>
                <c:pt idx="527">
                  <c:v>0.00321279292783574</c:v>
                </c:pt>
                <c:pt idx="528">
                  <c:v>0.00323173112054253</c:v>
                </c:pt>
                <c:pt idx="529">
                  <c:v>0.0032527239284959</c:v>
                </c:pt>
                <c:pt idx="530">
                  <c:v>0.00548734133680418</c:v>
                </c:pt>
                <c:pt idx="531">
                  <c:v>0.00548939595205064</c:v>
                </c:pt>
                <c:pt idx="532">
                  <c:v>0.0047846629225026</c:v>
                </c:pt>
                <c:pt idx="533">
                  <c:v>0.00543231338063713</c:v>
                </c:pt>
                <c:pt idx="534">
                  <c:v>0.0054643832447021</c:v>
                </c:pt>
                <c:pt idx="535">
                  <c:v>0.00203362243854252</c:v>
                </c:pt>
                <c:pt idx="536">
                  <c:v>0.00256040792152451</c:v>
                </c:pt>
                <c:pt idx="537">
                  <c:v>0.00105803752084767</c:v>
                </c:pt>
                <c:pt idx="538">
                  <c:v>9.64775854876532E-005</c:v>
                </c:pt>
                <c:pt idx="539">
                  <c:v>0</c:v>
                </c:pt>
                <c:pt idx="540">
                  <c:v>0.00214478565885737</c:v>
                </c:pt>
                <c:pt idx="541">
                  <c:v>0.00303063076954923</c:v>
                </c:pt>
                <c:pt idx="542">
                  <c:v>0.0052172680811632</c:v>
                </c:pt>
                <c:pt idx="543">
                  <c:v>0.0062619531532766</c:v>
                </c:pt>
                <c:pt idx="544">
                  <c:v>0.00626445175941131</c:v>
                </c:pt>
                <c:pt idx="545">
                  <c:v>0.00497097690502653</c:v>
                </c:pt>
                <c:pt idx="546">
                  <c:v>0.00662112778514268</c:v>
                </c:pt>
                <c:pt idx="547">
                  <c:v>0.00811118940076993</c:v>
                </c:pt>
                <c:pt idx="548">
                  <c:v>0.00905976737262994</c:v>
                </c:pt>
                <c:pt idx="549">
                  <c:v>0.00828234392099835</c:v>
                </c:pt>
                <c:pt idx="550">
                  <c:v>0.00957724655031729</c:v>
                </c:pt>
                <c:pt idx="551">
                  <c:v>0.00836515486717765</c:v>
                </c:pt>
                <c:pt idx="552">
                  <c:v>0.00399473579381778</c:v>
                </c:pt>
                <c:pt idx="553">
                  <c:v>0.000597256102131534</c:v>
                </c:pt>
                <c:pt idx="554">
                  <c:v>0</c:v>
                </c:pt>
                <c:pt idx="555">
                  <c:v>0.00099926290316279</c:v>
                </c:pt>
                <c:pt idx="556">
                  <c:v>4.19109017032153E-005</c:v>
                </c:pt>
                <c:pt idx="557">
                  <c:v>0.00183979941264107</c:v>
                </c:pt>
                <c:pt idx="558">
                  <c:v>6.01020164851203E-005</c:v>
                </c:pt>
                <c:pt idx="559">
                  <c:v>7.46370738842412E-005</c:v>
                </c:pt>
                <c:pt idx="560">
                  <c:v>7.46370738842412E-005</c:v>
                </c:pt>
                <c:pt idx="561">
                  <c:v>7.57963115909682E-005</c:v>
                </c:pt>
                <c:pt idx="562">
                  <c:v>0.000663975689536938</c:v>
                </c:pt>
                <c:pt idx="563">
                  <c:v>0</c:v>
                </c:pt>
                <c:pt idx="564">
                  <c:v>0.000879247567738458</c:v>
                </c:pt>
                <c:pt idx="565">
                  <c:v>0.00124383534233413</c:v>
                </c:pt>
                <c:pt idx="566">
                  <c:v>0.00125006609043524</c:v>
                </c:pt>
                <c:pt idx="567">
                  <c:v>0.000458138006797935</c:v>
                </c:pt>
                <c:pt idx="568">
                  <c:v>0.000476118165603589</c:v>
                </c:pt>
                <c:pt idx="569">
                  <c:v>0.00207403802144904</c:v>
                </c:pt>
                <c:pt idx="570">
                  <c:v>0.00142230177008427</c:v>
                </c:pt>
                <c:pt idx="571">
                  <c:v>0</c:v>
                </c:pt>
                <c:pt idx="572">
                  <c:v>0.000566995941408982</c:v>
                </c:pt>
                <c:pt idx="573">
                  <c:v>0</c:v>
                </c:pt>
                <c:pt idx="574">
                  <c:v>3.38172613082123E-006</c:v>
                </c:pt>
                <c:pt idx="575">
                  <c:v>0</c:v>
                </c:pt>
                <c:pt idx="576">
                  <c:v>2.42510705338431E-005</c:v>
                </c:pt>
                <c:pt idx="577">
                  <c:v>0.0015621065030623</c:v>
                </c:pt>
                <c:pt idx="578">
                  <c:v>0.00177139413008615</c:v>
                </c:pt>
                <c:pt idx="579">
                  <c:v>0.00212583285327168</c:v>
                </c:pt>
                <c:pt idx="580">
                  <c:v>0.000185747210571721</c:v>
                </c:pt>
                <c:pt idx="581">
                  <c:v>0</c:v>
                </c:pt>
                <c:pt idx="582">
                  <c:v>0.000525572223641261</c:v>
                </c:pt>
                <c:pt idx="583">
                  <c:v>0.00258754178911961</c:v>
                </c:pt>
                <c:pt idx="584">
                  <c:v>0</c:v>
                </c:pt>
                <c:pt idx="585">
                  <c:v>1.15139997394551E-005</c:v>
                </c:pt>
                <c:pt idx="586">
                  <c:v>0</c:v>
                </c:pt>
                <c:pt idx="587">
                  <c:v>0.000183748445282058</c:v>
                </c:pt>
                <c:pt idx="588">
                  <c:v>0.000186844832178885</c:v>
                </c:pt>
                <c:pt idx="589">
                  <c:v>0</c:v>
                </c:pt>
                <c:pt idx="590">
                  <c:v>3.00494525618183E-006</c:v>
                </c:pt>
                <c:pt idx="591">
                  <c:v>0.000999321059133672</c:v>
                </c:pt>
                <c:pt idx="592">
                  <c:v>0.00121161160340177</c:v>
                </c:pt>
                <c:pt idx="593">
                  <c:v>0.0025382949339629</c:v>
                </c:pt>
                <c:pt idx="594">
                  <c:v>0.00272424801686875</c:v>
                </c:pt>
                <c:pt idx="595">
                  <c:v>0.000421311001051667</c:v>
                </c:pt>
                <c:pt idx="596">
                  <c:v>0.00190425148492911</c:v>
                </c:pt>
                <c:pt idx="597">
                  <c:v>0.00274908300560283</c:v>
                </c:pt>
                <c:pt idx="598">
                  <c:v>0.00279026843175978</c:v>
                </c:pt>
                <c:pt idx="599">
                  <c:v>0.00324905286776959</c:v>
                </c:pt>
                <c:pt idx="600">
                  <c:v>0.00411315139037946</c:v>
                </c:pt>
                <c:pt idx="601">
                  <c:v>0</c:v>
                </c:pt>
                <c:pt idx="602">
                  <c:v>1.11308039964777E-005</c:v>
                </c:pt>
                <c:pt idx="603">
                  <c:v>0.000375090426739936</c:v>
                </c:pt>
                <c:pt idx="604">
                  <c:v>0.00155716414322791</c:v>
                </c:pt>
                <c:pt idx="605">
                  <c:v>0.00196971060881347</c:v>
                </c:pt>
                <c:pt idx="606">
                  <c:v>0.00384525108222774</c:v>
                </c:pt>
                <c:pt idx="607">
                  <c:v>0.00385417339336777</c:v>
                </c:pt>
                <c:pt idx="608">
                  <c:v>0.00238420054811259</c:v>
                </c:pt>
                <c:pt idx="609">
                  <c:v>0.00314816239701683</c:v>
                </c:pt>
                <c:pt idx="610">
                  <c:v>0.00360196350916079</c:v>
                </c:pt>
                <c:pt idx="611">
                  <c:v>0.00228146146043034</c:v>
                </c:pt>
                <c:pt idx="612">
                  <c:v>0.00286547531139083</c:v>
                </c:pt>
                <c:pt idx="613">
                  <c:v>0.00347837624891375</c:v>
                </c:pt>
                <c:pt idx="614">
                  <c:v>0.00405346778873408</c:v>
                </c:pt>
                <c:pt idx="615">
                  <c:v>0.00421186089639897</c:v>
                </c:pt>
                <c:pt idx="616">
                  <c:v>0.00447343479031729</c:v>
                </c:pt>
                <c:pt idx="617">
                  <c:v>0.00447732173774454</c:v>
                </c:pt>
                <c:pt idx="618">
                  <c:v>0.00506672431127478</c:v>
                </c:pt>
                <c:pt idx="619">
                  <c:v>0.00446495417774845</c:v>
                </c:pt>
                <c:pt idx="620">
                  <c:v>0.00569888330650604</c:v>
                </c:pt>
                <c:pt idx="621">
                  <c:v>0.00642326896342268</c:v>
                </c:pt>
                <c:pt idx="622">
                  <c:v>0.00671266986733226</c:v>
                </c:pt>
                <c:pt idx="623">
                  <c:v>0.00555718640483593</c:v>
                </c:pt>
                <c:pt idx="624">
                  <c:v>0.00556566701740477</c:v>
                </c:pt>
                <c:pt idx="625">
                  <c:v>0.00469251728167747</c:v>
                </c:pt>
                <c:pt idx="626">
                  <c:v>0.00364798850028933</c:v>
                </c:pt>
                <c:pt idx="627">
                  <c:v>0.0043373916303597</c:v>
                </c:pt>
                <c:pt idx="628">
                  <c:v>0.00353385358946785</c:v>
                </c:pt>
                <c:pt idx="629">
                  <c:v>0.00372890767854981</c:v>
                </c:pt>
                <c:pt idx="630">
                  <c:v>0.00152288833409585</c:v>
                </c:pt>
                <c:pt idx="631">
                  <c:v>0.000809810160604235</c:v>
                </c:pt>
                <c:pt idx="632">
                  <c:v>5.99826659812117E-005</c:v>
                </c:pt>
                <c:pt idx="633">
                  <c:v>0.00152854207580836</c:v>
                </c:pt>
                <c:pt idx="634">
                  <c:v>0.00152995551123652</c:v>
                </c:pt>
                <c:pt idx="635">
                  <c:v>0.000880481932010737</c:v>
                </c:pt>
                <c:pt idx="636">
                  <c:v>0.00234268088241129</c:v>
                </c:pt>
                <c:pt idx="637">
                  <c:v>0</c:v>
                </c:pt>
                <c:pt idx="638">
                  <c:v>0</c:v>
                </c:pt>
                <c:pt idx="639">
                  <c:v>2.46348629411982E-006</c:v>
                </c:pt>
                <c:pt idx="640">
                  <c:v>3.16733952102948E-006</c:v>
                </c:pt>
                <c:pt idx="641">
                  <c:v>0.00170367673569765</c:v>
                </c:pt>
                <c:pt idx="642">
                  <c:v>0.00335526833260514</c:v>
                </c:pt>
                <c:pt idx="643">
                  <c:v>0.00408094100953313</c:v>
                </c:pt>
                <c:pt idx="644">
                  <c:v>0.00503360635213456</c:v>
                </c:pt>
                <c:pt idx="645">
                  <c:v>0.00505120268280692</c:v>
                </c:pt>
                <c:pt idx="646">
                  <c:v>0.00609184967877014</c:v>
                </c:pt>
                <c:pt idx="647">
                  <c:v>0.00477564414447787</c:v>
                </c:pt>
                <c:pt idx="648">
                  <c:v>0.000787083870974482</c:v>
                </c:pt>
                <c:pt idx="649">
                  <c:v>0.000790427173802271</c:v>
                </c:pt>
                <c:pt idx="650">
                  <c:v>0.00079077910041579</c:v>
                </c:pt>
                <c:pt idx="651">
                  <c:v>0.00110839286905177</c:v>
                </c:pt>
                <c:pt idx="652">
                  <c:v>0</c:v>
                </c:pt>
                <c:pt idx="653">
                  <c:v>9.65845592553138E-007</c:v>
                </c:pt>
                <c:pt idx="654">
                  <c:v>0</c:v>
                </c:pt>
                <c:pt idx="655">
                  <c:v>0.00185901157350412</c:v>
                </c:pt>
                <c:pt idx="656">
                  <c:v>0.00270927620303024</c:v>
                </c:pt>
                <c:pt idx="657">
                  <c:v>0.00447677475867606</c:v>
                </c:pt>
                <c:pt idx="658">
                  <c:v>0.00496940230691694</c:v>
                </c:pt>
                <c:pt idx="659">
                  <c:v>0.00439113470269193</c:v>
                </c:pt>
                <c:pt idx="660">
                  <c:v>0.00443426152719983</c:v>
                </c:pt>
                <c:pt idx="661">
                  <c:v>0.00535605357298289</c:v>
                </c:pt>
                <c:pt idx="662">
                  <c:v>0.00406400196069275</c:v>
                </c:pt>
                <c:pt idx="663">
                  <c:v>0.00224215659367517</c:v>
                </c:pt>
                <c:pt idx="664">
                  <c:v>0.00376947730551664</c:v>
                </c:pt>
                <c:pt idx="665">
                  <c:v>0</c:v>
                </c:pt>
                <c:pt idx="666">
                  <c:v>6.99591665849715E-007</c:v>
                </c:pt>
                <c:pt idx="667">
                  <c:v>0.00164395296575276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0.000948672150767436</c:v>
                </c:pt>
                <c:pt idx="673">
                  <c:v>0.0018962991247254</c:v>
                </c:pt>
                <c:pt idx="674">
                  <c:v>0</c:v>
                </c:pt>
                <c:pt idx="675">
                  <c:v>0.000270494317922222</c:v>
                </c:pt>
                <c:pt idx="676">
                  <c:v>0.000796165386213719</c:v>
                </c:pt>
                <c:pt idx="677">
                  <c:v>0.00100921882581264</c:v>
                </c:pt>
                <c:pt idx="678">
                  <c:v>0.00190460027458477</c:v>
                </c:pt>
                <c:pt idx="679">
                  <c:v>0.00190668903379657</c:v>
                </c:pt>
                <c:pt idx="680">
                  <c:v>0.00302313083247934</c:v>
                </c:pt>
                <c:pt idx="681">
                  <c:v>0.00129886010317605</c:v>
                </c:pt>
                <c:pt idx="682">
                  <c:v>0.00130860764616419</c:v>
                </c:pt>
                <c:pt idx="683">
                  <c:v>0.00322887361483715</c:v>
                </c:pt>
                <c:pt idx="684">
                  <c:v>0.00324836870081357</c:v>
                </c:pt>
                <c:pt idx="685">
                  <c:v>0.0018969414908083</c:v>
                </c:pt>
                <c:pt idx="686">
                  <c:v>0.004052540997339</c:v>
                </c:pt>
                <c:pt idx="687">
                  <c:v>0.00408491676512121</c:v>
                </c:pt>
                <c:pt idx="688">
                  <c:v>0.00501894025931069</c:v>
                </c:pt>
                <c:pt idx="689">
                  <c:v>0.0058976116343888</c:v>
                </c:pt>
                <c:pt idx="690">
                  <c:v>0.00554287069492588</c:v>
                </c:pt>
                <c:pt idx="691">
                  <c:v>0.00581545377205977</c:v>
                </c:pt>
                <c:pt idx="692">
                  <c:v>0.00651936562642108</c:v>
                </c:pt>
                <c:pt idx="693">
                  <c:v>0.00682885011629602</c:v>
                </c:pt>
                <c:pt idx="694">
                  <c:v>0.00725600137509982</c:v>
                </c:pt>
                <c:pt idx="695">
                  <c:v>0.00726992643651157</c:v>
                </c:pt>
                <c:pt idx="696">
                  <c:v>0.00729951719201138</c:v>
                </c:pt>
                <c:pt idx="697">
                  <c:v>0.00730404283697021</c:v>
                </c:pt>
                <c:pt idx="698">
                  <c:v>0.00775242981442675</c:v>
                </c:pt>
                <c:pt idx="699">
                  <c:v>0.00688350598233692</c:v>
                </c:pt>
                <c:pt idx="700">
                  <c:v>0.00825599484772724</c:v>
                </c:pt>
                <c:pt idx="701">
                  <c:v>0.00827157351018164</c:v>
                </c:pt>
                <c:pt idx="702">
                  <c:v>0.00969932746304956</c:v>
                </c:pt>
                <c:pt idx="703">
                  <c:v>0.00843467079196606</c:v>
                </c:pt>
                <c:pt idx="704">
                  <c:v>0.00846539295870561</c:v>
                </c:pt>
                <c:pt idx="705">
                  <c:v>0.00386037514985757</c:v>
                </c:pt>
                <c:pt idx="706">
                  <c:v>0.00502276965119893</c:v>
                </c:pt>
                <c:pt idx="707">
                  <c:v>0.00347813221410652</c:v>
                </c:pt>
                <c:pt idx="708">
                  <c:v>0.00349066476937706</c:v>
                </c:pt>
                <c:pt idx="709">
                  <c:v>0.00424087745293219</c:v>
                </c:pt>
                <c:pt idx="710">
                  <c:v>0.00130617076041716</c:v>
                </c:pt>
                <c:pt idx="711">
                  <c:v>0.00362190847318232</c:v>
                </c:pt>
                <c:pt idx="712">
                  <c:v>0.00477768857035304</c:v>
                </c:pt>
                <c:pt idx="713">
                  <c:v>0.0043286053398259</c:v>
                </c:pt>
                <c:pt idx="714">
                  <c:v>0.00299249569737357</c:v>
                </c:pt>
                <c:pt idx="715">
                  <c:v>0.00300972796087064</c:v>
                </c:pt>
                <c:pt idx="716">
                  <c:v>0</c:v>
                </c:pt>
                <c:pt idx="717">
                  <c:v>0</c:v>
                </c:pt>
                <c:pt idx="718">
                  <c:v>2.08579192439803E-006</c:v>
                </c:pt>
                <c:pt idx="719">
                  <c:v>6.25737577306761E-006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0.00125760321929908</c:v>
                </c:pt>
                <c:pt idx="724">
                  <c:v>0</c:v>
                </c:pt>
                <c:pt idx="725">
                  <c:v>0.00103038419852644</c:v>
                </c:pt>
                <c:pt idx="726">
                  <c:v>0</c:v>
                </c:pt>
                <c:pt idx="727">
                  <c:v>7.5551428844085E-006</c:v>
                </c:pt>
                <c:pt idx="728">
                  <c:v>1.15044221195396E-005</c:v>
                </c:pt>
                <c:pt idx="729">
                  <c:v>1.6226386422373E-005</c:v>
                </c:pt>
                <c:pt idx="730">
                  <c:v>5.70069872193547E-005</c:v>
                </c:pt>
                <c:pt idx="731">
                  <c:v>0.00302755180316792</c:v>
                </c:pt>
                <c:pt idx="732">
                  <c:v>0.00439202777888666</c:v>
                </c:pt>
                <c:pt idx="733">
                  <c:v>0.00516230893751934</c:v>
                </c:pt>
                <c:pt idx="734">
                  <c:v>0.00553491484795921</c:v>
                </c:pt>
                <c:pt idx="735">
                  <c:v>0.00626948078568335</c:v>
                </c:pt>
                <c:pt idx="736">
                  <c:v>0.00630004477280696</c:v>
                </c:pt>
                <c:pt idx="737">
                  <c:v>0.00631206431830497</c:v>
                </c:pt>
                <c:pt idx="738">
                  <c:v>0.00913116286097801</c:v>
                </c:pt>
                <c:pt idx="739">
                  <c:v>0.00915314145846015</c:v>
                </c:pt>
                <c:pt idx="740">
                  <c:v>0.00609227834348342</c:v>
                </c:pt>
                <c:pt idx="741">
                  <c:v>0.00681207741102422</c:v>
                </c:pt>
                <c:pt idx="742">
                  <c:v>0.0082904815072853</c:v>
                </c:pt>
                <c:pt idx="743">
                  <c:v>0.00209775410499671</c:v>
                </c:pt>
                <c:pt idx="744">
                  <c:v>0.000135820864127988</c:v>
                </c:pt>
                <c:pt idx="745">
                  <c:v>0</c:v>
                </c:pt>
                <c:pt idx="746">
                  <c:v>0.000794338625467687</c:v>
                </c:pt>
                <c:pt idx="747">
                  <c:v>0.00189102126546227</c:v>
                </c:pt>
                <c:pt idx="748">
                  <c:v>0.00190396172640145</c:v>
                </c:pt>
                <c:pt idx="749">
                  <c:v>0.00190687547257329</c:v>
                </c:pt>
                <c:pt idx="750">
                  <c:v>0</c:v>
                </c:pt>
                <c:pt idx="751">
                  <c:v>0</c:v>
                </c:pt>
                <c:pt idx="752">
                  <c:v>5.42468990283051E-005</c:v>
                </c:pt>
                <c:pt idx="753">
                  <c:v>0.00258382942721444</c:v>
                </c:pt>
                <c:pt idx="754">
                  <c:v>0.00744448848083367</c:v>
                </c:pt>
                <c:pt idx="755">
                  <c:v>0.00873135498143974</c:v>
                </c:pt>
                <c:pt idx="756">
                  <c:v>0.00873246729955866</c:v>
                </c:pt>
                <c:pt idx="757">
                  <c:v>0.00873623206857641</c:v>
                </c:pt>
                <c:pt idx="758">
                  <c:v>0.0100746074543797</c:v>
                </c:pt>
                <c:pt idx="759">
                  <c:v>0.0101006185857748</c:v>
                </c:pt>
                <c:pt idx="760">
                  <c:v>0.0124272458387324</c:v>
                </c:pt>
                <c:pt idx="761">
                  <c:v>0.0130550210724391</c:v>
                </c:pt>
                <c:pt idx="762">
                  <c:v>0.0103177773077522</c:v>
                </c:pt>
                <c:pt idx="763">
                  <c:v>0.00821797738811283</c:v>
                </c:pt>
                <c:pt idx="764">
                  <c:v>0.00983657137694035</c:v>
                </c:pt>
                <c:pt idx="765">
                  <c:v>0.0139785873628341</c:v>
                </c:pt>
                <c:pt idx="766">
                  <c:v>0.0146754118828432</c:v>
                </c:pt>
                <c:pt idx="767">
                  <c:v>0.015168254372437</c:v>
                </c:pt>
                <c:pt idx="768">
                  <c:v>0.0179048991965983</c:v>
                </c:pt>
                <c:pt idx="769">
                  <c:v>0.0192235951079907</c:v>
                </c:pt>
                <c:pt idx="770">
                  <c:v>0.0182581029808072</c:v>
                </c:pt>
                <c:pt idx="771">
                  <c:v>0.017250513890971</c:v>
                </c:pt>
                <c:pt idx="772">
                  <c:v>0.0175155022920599</c:v>
                </c:pt>
                <c:pt idx="773">
                  <c:v>0.0178292615645149</c:v>
                </c:pt>
                <c:pt idx="774">
                  <c:v>0.0183374198189763</c:v>
                </c:pt>
                <c:pt idx="775">
                  <c:v>0.0157054184609214</c:v>
                </c:pt>
                <c:pt idx="776">
                  <c:v>0.0164951643253227</c:v>
                </c:pt>
                <c:pt idx="777">
                  <c:v>0.0187487208341633</c:v>
                </c:pt>
                <c:pt idx="778">
                  <c:v>0.0178646846184544</c:v>
                </c:pt>
                <c:pt idx="779">
                  <c:v>0.0171466404912545</c:v>
                </c:pt>
                <c:pt idx="780">
                  <c:v>0.0160525472769427</c:v>
                </c:pt>
                <c:pt idx="781">
                  <c:v>0.0135310076643852</c:v>
                </c:pt>
                <c:pt idx="782">
                  <c:v>0.0145761588814667</c:v>
                </c:pt>
                <c:pt idx="783">
                  <c:v>0.0145807792798066</c:v>
                </c:pt>
                <c:pt idx="784">
                  <c:v>0.0133652722646729</c:v>
                </c:pt>
                <c:pt idx="785">
                  <c:v>0.0091961328292651</c:v>
                </c:pt>
                <c:pt idx="786">
                  <c:v>0.010030285855489</c:v>
                </c:pt>
                <c:pt idx="787">
                  <c:v>0.0110507949480908</c:v>
                </c:pt>
                <c:pt idx="788">
                  <c:v>0.0110705599854338</c:v>
                </c:pt>
                <c:pt idx="789">
                  <c:v>0.0101783097282317</c:v>
                </c:pt>
                <c:pt idx="790">
                  <c:v>0.0101984170173037</c:v>
                </c:pt>
                <c:pt idx="791">
                  <c:v>0.0106054398858796</c:v>
                </c:pt>
                <c:pt idx="792">
                  <c:v>0.00887304719719795</c:v>
                </c:pt>
                <c:pt idx="793">
                  <c:v>0.00890333647520431</c:v>
                </c:pt>
                <c:pt idx="794">
                  <c:v>0.0102617335871473</c:v>
                </c:pt>
                <c:pt idx="795">
                  <c:v>0.0130466359050813</c:v>
                </c:pt>
                <c:pt idx="796">
                  <c:v>0.0130512563034213</c:v>
                </c:pt>
                <c:pt idx="797">
                  <c:v>0.0133247154348</c:v>
                </c:pt>
                <c:pt idx="798">
                  <c:v>0.0103573929453705</c:v>
                </c:pt>
                <c:pt idx="799">
                  <c:v>0.0072350304227562</c:v>
                </c:pt>
                <c:pt idx="800">
                  <c:v>0.00785963982797061</c:v>
                </c:pt>
                <c:pt idx="801">
                  <c:v>0.00659125492072433</c:v>
                </c:pt>
                <c:pt idx="802">
                  <c:v>0.00660023902860757</c:v>
                </c:pt>
                <c:pt idx="803">
                  <c:v>0.0066040037976252</c:v>
                </c:pt>
                <c:pt idx="804">
                  <c:v>0.0066075118778463</c:v>
                </c:pt>
                <c:pt idx="805">
                  <c:v>0.00716983146840372</c:v>
                </c:pt>
                <c:pt idx="806">
                  <c:v>0.00717710431764256</c:v>
                </c:pt>
                <c:pt idx="807">
                  <c:v>0.0054347863288232</c:v>
                </c:pt>
                <c:pt idx="808">
                  <c:v>0.00627843684052381</c:v>
                </c:pt>
                <c:pt idx="809">
                  <c:v>0.00939198638111931</c:v>
                </c:pt>
                <c:pt idx="810">
                  <c:v>0.00939232863284814</c:v>
                </c:pt>
                <c:pt idx="811">
                  <c:v>0.0123925072882506</c:v>
                </c:pt>
                <c:pt idx="812">
                  <c:v>0.0124111600074749</c:v>
                </c:pt>
                <c:pt idx="813">
                  <c:v>0.00724718035913158</c:v>
                </c:pt>
                <c:pt idx="814">
                  <c:v>0.00800124648079664</c:v>
                </c:pt>
                <c:pt idx="815">
                  <c:v>0.00315667325843503</c:v>
                </c:pt>
                <c:pt idx="816">
                  <c:v>0.00419207030124315</c:v>
                </c:pt>
                <c:pt idx="817">
                  <c:v>0.00420456248934749</c:v>
                </c:pt>
                <c:pt idx="818">
                  <c:v>0.00474301002181514</c:v>
                </c:pt>
                <c:pt idx="819">
                  <c:v>0.00551803906187435</c:v>
                </c:pt>
                <c:pt idx="820">
                  <c:v>0.00814182637843606</c:v>
                </c:pt>
                <c:pt idx="821">
                  <c:v>0.0119053975151157</c:v>
                </c:pt>
                <c:pt idx="822">
                  <c:v>0.00966125292881929</c:v>
                </c:pt>
                <c:pt idx="823">
                  <c:v>0.0106337612164448</c:v>
                </c:pt>
                <c:pt idx="824">
                  <c:v>0.0116417781209423</c:v>
                </c:pt>
                <c:pt idx="825">
                  <c:v>0.012649538336643</c:v>
                </c:pt>
                <c:pt idx="826">
                  <c:v>0.0126580090669328</c:v>
                </c:pt>
                <c:pt idx="827">
                  <c:v>0.0111231811887498</c:v>
                </c:pt>
                <c:pt idx="828">
                  <c:v>0.0062064784145258</c:v>
                </c:pt>
                <c:pt idx="829">
                  <c:v>0.0074931737892674</c:v>
                </c:pt>
                <c:pt idx="830">
                  <c:v>0.00855586540745421</c:v>
                </c:pt>
                <c:pt idx="831">
                  <c:v>0.00856048580579409</c:v>
                </c:pt>
                <c:pt idx="832">
                  <c:v>0.0085887215734271</c:v>
                </c:pt>
                <c:pt idx="833">
                  <c:v>0.00950920759826227</c:v>
                </c:pt>
                <c:pt idx="834">
                  <c:v>0.0106789384446576</c:v>
                </c:pt>
                <c:pt idx="835">
                  <c:v>0.0113602760739346</c:v>
                </c:pt>
                <c:pt idx="836">
                  <c:v>0.0117486462232864</c:v>
                </c:pt>
                <c:pt idx="837">
                  <c:v>0.0128498411609727</c:v>
                </c:pt>
                <c:pt idx="838">
                  <c:v>0.0129012644832376</c:v>
                </c:pt>
                <c:pt idx="839">
                  <c:v>0.0129126443532231</c:v>
                </c:pt>
                <c:pt idx="840">
                  <c:v>0.00813241445589168</c:v>
                </c:pt>
                <c:pt idx="841">
                  <c:v>0.00712362748500434</c:v>
                </c:pt>
                <c:pt idx="842">
                  <c:v>0.00939600783893372</c:v>
                </c:pt>
                <c:pt idx="843">
                  <c:v>0.0115056474957784</c:v>
                </c:pt>
                <c:pt idx="844">
                  <c:v>0.013144006521949</c:v>
                </c:pt>
                <c:pt idx="845">
                  <c:v>0.011063287136195</c:v>
                </c:pt>
                <c:pt idx="846">
                  <c:v>0.0115099256423895</c:v>
                </c:pt>
                <c:pt idx="847">
                  <c:v>0.010913552004808</c:v>
                </c:pt>
                <c:pt idx="848">
                  <c:v>0.0109301512136589</c:v>
                </c:pt>
                <c:pt idx="849">
                  <c:v>0.00811179378922635</c:v>
                </c:pt>
                <c:pt idx="850">
                  <c:v>0.00890162521655991</c:v>
                </c:pt>
                <c:pt idx="851">
                  <c:v>0.00891266283481638</c:v>
                </c:pt>
                <c:pt idx="852">
                  <c:v>0.00982818620958271</c:v>
                </c:pt>
                <c:pt idx="853">
                  <c:v>0.00664438950163359</c:v>
                </c:pt>
                <c:pt idx="854">
                  <c:v>0.00689919591378817</c:v>
                </c:pt>
                <c:pt idx="855">
                  <c:v>0.00690586982250154</c:v>
                </c:pt>
                <c:pt idx="856">
                  <c:v>0.0073041652719909</c:v>
                </c:pt>
                <c:pt idx="857">
                  <c:v>0.00808381471039012</c:v>
                </c:pt>
                <c:pt idx="858">
                  <c:v>0.00584317820431473</c:v>
                </c:pt>
                <c:pt idx="859">
                  <c:v>0.00632438413512653</c:v>
                </c:pt>
                <c:pt idx="860">
                  <c:v>0.00320604307032667</c:v>
                </c:pt>
                <c:pt idx="861">
                  <c:v>0.00367176211040634</c:v>
                </c:pt>
                <c:pt idx="862">
                  <c:v>0.00223986643968543</c:v>
                </c:pt>
                <c:pt idx="863">
                  <c:v>0.00160190921704442</c:v>
                </c:pt>
                <c:pt idx="864">
                  <c:v>0</c:v>
                </c:pt>
                <c:pt idx="865">
                  <c:v>6.58795740209383E-005</c:v>
                </c:pt>
                <c:pt idx="866">
                  <c:v>0.000469712806980584</c:v>
                </c:pt>
                <c:pt idx="867">
                  <c:v>2.22450509676692E-006</c:v>
                </c:pt>
                <c:pt idx="868">
                  <c:v>0.000418805863418956</c:v>
                </c:pt>
                <c:pt idx="869">
                  <c:v>0</c:v>
                </c:pt>
                <c:pt idx="870">
                  <c:v>4.96054315541856E-006</c:v>
                </c:pt>
                <c:pt idx="871">
                  <c:v>0.000704055021660404</c:v>
                </c:pt>
                <c:pt idx="872">
                  <c:v>0</c:v>
                </c:pt>
                <c:pt idx="873">
                  <c:v>2.05000829360499E-005</c:v>
                </c:pt>
                <c:pt idx="874">
                  <c:v>2.05000829360499E-005</c:v>
                </c:pt>
                <c:pt idx="875">
                  <c:v>2.47532121758881E-005</c:v>
                </c:pt>
                <c:pt idx="876">
                  <c:v>0</c:v>
                </c:pt>
                <c:pt idx="877">
                  <c:v>1.5045027983663E-005</c:v>
                </c:pt>
                <c:pt idx="878">
                  <c:v>0</c:v>
                </c:pt>
                <c:pt idx="879">
                  <c:v>0.000339372233574844</c:v>
                </c:pt>
                <c:pt idx="880">
                  <c:v>0.00187593417622807</c:v>
                </c:pt>
                <c:pt idx="881">
                  <c:v>0.000940982786309784</c:v>
                </c:pt>
                <c:pt idx="88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07523"/>
        <c:axId val="27910811"/>
      </c:lineChart>
      <c:catAx>
        <c:axId val="34407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10811"/>
        <c:crosses val="autoZero"/>
        <c:auto val="1"/>
        <c:lblAlgn val="ctr"/>
        <c:lblOffset val="100"/>
        <c:noMultiLvlLbl val="0"/>
      </c:catAx>
      <c:valAx>
        <c:axId val="27910811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075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Yearly!$A$2:$A$5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Yearly!$F$2:$F$5</c:f>
              <c:numCache>
                <c:formatCode>\$#,##0.00;[RED]"-$"#,##0.00;\-</c:formatCode>
                <c:ptCount val="4"/>
                <c:pt idx="0">
                  <c:v>4466.65</c:v>
                </c:pt>
                <c:pt idx="1">
                  <c:v>2375.02</c:v>
                </c:pt>
                <c:pt idx="2">
                  <c:v>7225.36</c:v>
                </c:pt>
                <c:pt idx="3">
                  <c:v>3650.66</c:v>
                </c:pt>
              </c:numCache>
            </c:numRef>
          </c:val>
        </c:ser>
        <c:gapWidth val="150"/>
        <c:overlap val="0"/>
        <c:axId val="2041001"/>
        <c:axId val="87776037"/>
      </c:barChart>
      <c:catAx>
        <c:axId val="204100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76037"/>
        <c:crosses val="autoZero"/>
        <c:auto val="1"/>
        <c:lblAlgn val="ctr"/>
        <c:lblOffset val="100"/>
        <c:noMultiLvlLbl val="0"/>
      </c:catAx>
      <c:valAx>
        <c:axId val="8777603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1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month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Monthly!$A$2:$A$43</c:f>
              <c:strCache>
                <c:ptCount val="42"/>
                <c:pt idx="0">
                  <c:v>2023-04</c:v>
                </c:pt>
                <c:pt idx="1">
                  <c:v>2023-05</c:v>
                </c:pt>
                <c:pt idx="2">
                  <c:v>2023-06</c:v>
                </c:pt>
                <c:pt idx="3">
                  <c:v>2023-07</c:v>
                </c:pt>
                <c:pt idx="4">
                  <c:v>2023-08</c:v>
                </c:pt>
                <c:pt idx="5">
                  <c:v>2023-09</c:v>
                </c:pt>
                <c:pt idx="6">
                  <c:v>2023-10</c:v>
                </c:pt>
                <c:pt idx="7">
                  <c:v>2023-11</c:v>
                </c:pt>
                <c:pt idx="8">
                  <c:v>2023-12</c:v>
                </c:pt>
                <c:pt idx="9">
                  <c:v>2024-01</c:v>
                </c:pt>
                <c:pt idx="10">
                  <c:v>2024-02</c:v>
                </c:pt>
                <c:pt idx="11">
                  <c:v>2024-03</c:v>
                </c:pt>
                <c:pt idx="12">
                  <c:v>2024-04</c:v>
                </c:pt>
                <c:pt idx="13">
                  <c:v>2024-05</c:v>
                </c:pt>
                <c:pt idx="14">
                  <c:v>2024-06</c:v>
                </c:pt>
                <c:pt idx="15">
                  <c:v>2024-07</c:v>
                </c:pt>
                <c:pt idx="16">
                  <c:v>2024-08</c:v>
                </c:pt>
                <c:pt idx="17">
                  <c:v>2024-09</c:v>
                </c:pt>
                <c:pt idx="18">
                  <c:v>2024-10</c:v>
                </c:pt>
                <c:pt idx="19">
                  <c:v>2024-11</c:v>
                </c:pt>
                <c:pt idx="20">
                  <c:v>2024-12</c:v>
                </c:pt>
                <c:pt idx="21">
                  <c:v>2025-01</c:v>
                </c:pt>
                <c:pt idx="22">
                  <c:v>2025-02</c:v>
                </c:pt>
                <c:pt idx="23">
                  <c:v>2025-03</c:v>
                </c:pt>
                <c:pt idx="24">
                  <c:v>2025-04</c:v>
                </c:pt>
                <c:pt idx="25">
                  <c:v>2025-05</c:v>
                </c:pt>
                <c:pt idx="26">
                  <c:v>2025-06</c:v>
                </c:pt>
                <c:pt idx="27">
                  <c:v>2025-07</c:v>
                </c:pt>
                <c:pt idx="28">
                  <c:v>2025-08</c:v>
                </c:pt>
                <c:pt idx="29">
                  <c:v>2025-09</c:v>
                </c:pt>
                <c:pt idx="30">
                  <c:v>2025-10</c:v>
                </c:pt>
                <c:pt idx="31">
                  <c:v>2025-11</c:v>
                </c:pt>
                <c:pt idx="32">
                  <c:v>2025-12</c:v>
                </c:pt>
                <c:pt idx="33">
                  <c:v>2026-01</c:v>
                </c:pt>
                <c:pt idx="34">
                  <c:v>2026-02</c:v>
                </c:pt>
                <c:pt idx="35">
                  <c:v>2026-03</c:v>
                </c:pt>
                <c:pt idx="36">
                  <c:v>2026-04</c:v>
                </c:pt>
                <c:pt idx="37">
                  <c:v>2026-05</c:v>
                </c:pt>
                <c:pt idx="38">
                  <c:v>2026-06</c:v>
                </c:pt>
                <c:pt idx="39">
                  <c:v>2026-07</c:v>
                </c:pt>
                <c:pt idx="40">
                  <c:v>2026-08</c:v>
                </c:pt>
                <c:pt idx="41">
                  <c:v>2026-09</c:v>
                </c:pt>
              </c:strCache>
            </c:strRef>
          </c:cat>
          <c:val>
            <c:numRef>
              <c:f>Monthly!$F$2:$F$43</c:f>
              <c:numCache>
                <c:formatCode>\$#,##0.00;[RED]"-$"#,##0.00;\-</c:formatCode>
                <c:ptCount val="42"/>
                <c:pt idx="0">
                  <c:v>-638.22</c:v>
                </c:pt>
                <c:pt idx="1">
                  <c:v>-25.49</c:v>
                </c:pt>
                <c:pt idx="2">
                  <c:v>1177.99</c:v>
                </c:pt>
                <c:pt idx="3">
                  <c:v>343.27</c:v>
                </c:pt>
                <c:pt idx="4">
                  <c:v>883.52</c:v>
                </c:pt>
                <c:pt idx="5">
                  <c:v>1438.95</c:v>
                </c:pt>
                <c:pt idx="6">
                  <c:v>990.48</c:v>
                </c:pt>
                <c:pt idx="7">
                  <c:v>724.77</c:v>
                </c:pt>
                <c:pt idx="8">
                  <c:v>-428.62</c:v>
                </c:pt>
                <c:pt idx="9">
                  <c:v>1010.77</c:v>
                </c:pt>
                <c:pt idx="10">
                  <c:v>1018.44</c:v>
                </c:pt>
                <c:pt idx="11">
                  <c:v>-618.59</c:v>
                </c:pt>
                <c:pt idx="12">
                  <c:v>-540.62</c:v>
                </c:pt>
                <c:pt idx="13">
                  <c:v>298.78</c:v>
                </c:pt>
                <c:pt idx="14">
                  <c:v>79.97</c:v>
                </c:pt>
                <c:pt idx="15">
                  <c:v>344.55</c:v>
                </c:pt>
                <c:pt idx="16">
                  <c:v>173.58</c:v>
                </c:pt>
                <c:pt idx="17">
                  <c:v>-290</c:v>
                </c:pt>
                <c:pt idx="18">
                  <c:v>-328</c:v>
                </c:pt>
                <c:pt idx="19">
                  <c:v>341.46</c:v>
                </c:pt>
                <c:pt idx="20">
                  <c:v>884.68</c:v>
                </c:pt>
                <c:pt idx="21">
                  <c:v>1042.63</c:v>
                </c:pt>
                <c:pt idx="22">
                  <c:v>268.75</c:v>
                </c:pt>
                <c:pt idx="23">
                  <c:v>709.31</c:v>
                </c:pt>
                <c:pt idx="24">
                  <c:v>2501.59</c:v>
                </c:pt>
                <c:pt idx="25">
                  <c:v>358.91</c:v>
                </c:pt>
                <c:pt idx="26">
                  <c:v>345.34</c:v>
                </c:pt>
                <c:pt idx="27">
                  <c:v>836.53</c:v>
                </c:pt>
                <c:pt idx="28">
                  <c:v>-140.64</c:v>
                </c:pt>
                <c:pt idx="29">
                  <c:v>-95.91</c:v>
                </c:pt>
                <c:pt idx="30">
                  <c:v>1221.66</c:v>
                </c:pt>
                <c:pt idx="31">
                  <c:v>923.27</c:v>
                </c:pt>
                <c:pt idx="32">
                  <c:v>-746.08</c:v>
                </c:pt>
                <c:pt idx="33">
                  <c:v>487.9</c:v>
                </c:pt>
                <c:pt idx="34">
                  <c:v>1186.81</c:v>
                </c:pt>
                <c:pt idx="35">
                  <c:v>-321.11</c:v>
                </c:pt>
                <c:pt idx="36">
                  <c:v>-129</c:v>
                </c:pt>
                <c:pt idx="37">
                  <c:v>810.02</c:v>
                </c:pt>
                <c:pt idx="38">
                  <c:v>-589.22</c:v>
                </c:pt>
                <c:pt idx="39">
                  <c:v>-175.57</c:v>
                </c:pt>
                <c:pt idx="40">
                  <c:v>1274.4</c:v>
                </c:pt>
                <c:pt idx="41">
                  <c:v>1106.43</c:v>
                </c:pt>
              </c:numCache>
            </c:numRef>
          </c:val>
        </c:ser>
        <c:gapWidth val="150"/>
        <c:overlap val="0"/>
        <c:axId val="98501965"/>
        <c:axId val="65239853"/>
      </c:barChart>
      <c:catAx>
        <c:axId val="98501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39853"/>
        <c:crosses val="autoZero"/>
        <c:auto val="1"/>
        <c:lblAlgn val="ctr"/>
        <c:lblOffset val="100"/>
        <c:noMultiLvlLbl val="0"/>
      </c:catAx>
      <c:valAx>
        <c:axId val="6523985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01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week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Weekly!F1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Weekly!$A$2:$A$183</c:f>
              <c:strCache>
                <c:ptCount val="182"/>
                <c:pt idx="0">
                  <c:v>2023-04-03</c:v>
                </c:pt>
                <c:pt idx="1">
                  <c:v>2023-04-10</c:v>
                </c:pt>
                <c:pt idx="2">
                  <c:v>2023-04-17</c:v>
                </c:pt>
                <c:pt idx="3">
                  <c:v>2023-04-24</c:v>
                </c:pt>
                <c:pt idx="4">
                  <c:v>2023-05-01</c:v>
                </c:pt>
                <c:pt idx="5">
                  <c:v>2023-05-08</c:v>
                </c:pt>
                <c:pt idx="6">
                  <c:v>2023-05-15</c:v>
                </c:pt>
                <c:pt idx="7">
                  <c:v>2023-05-22</c:v>
                </c:pt>
                <c:pt idx="8">
                  <c:v>2023-05-29</c:v>
                </c:pt>
                <c:pt idx="9">
                  <c:v>2023-06-05</c:v>
                </c:pt>
                <c:pt idx="10">
                  <c:v>2023-06-12</c:v>
                </c:pt>
                <c:pt idx="11">
                  <c:v>2023-06-19</c:v>
                </c:pt>
                <c:pt idx="12">
                  <c:v>2023-06-26</c:v>
                </c:pt>
                <c:pt idx="13">
                  <c:v>2023-07-03</c:v>
                </c:pt>
                <c:pt idx="14">
                  <c:v>2023-07-10</c:v>
                </c:pt>
                <c:pt idx="15">
                  <c:v>2023-07-17</c:v>
                </c:pt>
                <c:pt idx="16">
                  <c:v>2023-07-24</c:v>
                </c:pt>
                <c:pt idx="17">
                  <c:v>2023-07-31</c:v>
                </c:pt>
                <c:pt idx="18">
                  <c:v>2023-08-07</c:v>
                </c:pt>
                <c:pt idx="19">
                  <c:v>2023-08-14</c:v>
                </c:pt>
                <c:pt idx="20">
                  <c:v>2023-08-21</c:v>
                </c:pt>
                <c:pt idx="21">
                  <c:v>2023-08-28</c:v>
                </c:pt>
                <c:pt idx="22">
                  <c:v>2023-09-04</c:v>
                </c:pt>
                <c:pt idx="23">
                  <c:v>2023-09-11</c:v>
                </c:pt>
                <c:pt idx="24">
                  <c:v>2023-09-18</c:v>
                </c:pt>
                <c:pt idx="25">
                  <c:v>2023-09-25</c:v>
                </c:pt>
                <c:pt idx="26">
                  <c:v>2023-10-02</c:v>
                </c:pt>
                <c:pt idx="27">
                  <c:v>2023-10-09</c:v>
                </c:pt>
                <c:pt idx="28">
                  <c:v>2023-10-16</c:v>
                </c:pt>
                <c:pt idx="29">
                  <c:v>2023-10-23</c:v>
                </c:pt>
                <c:pt idx="30">
                  <c:v>2023-10-30</c:v>
                </c:pt>
                <c:pt idx="31">
                  <c:v>2023-11-06</c:v>
                </c:pt>
                <c:pt idx="32">
                  <c:v>2023-11-13</c:v>
                </c:pt>
                <c:pt idx="33">
                  <c:v>2023-11-20</c:v>
                </c:pt>
                <c:pt idx="34">
                  <c:v>2023-11-27</c:v>
                </c:pt>
                <c:pt idx="35">
                  <c:v>2023-12-04</c:v>
                </c:pt>
                <c:pt idx="36">
                  <c:v>2023-12-11</c:v>
                </c:pt>
                <c:pt idx="37">
                  <c:v>2023-12-18</c:v>
                </c:pt>
                <c:pt idx="38">
                  <c:v>2023-12-25</c:v>
                </c:pt>
                <c:pt idx="39">
                  <c:v>2024-01-01</c:v>
                </c:pt>
                <c:pt idx="40">
                  <c:v>2024-01-08</c:v>
                </c:pt>
                <c:pt idx="41">
                  <c:v>2024-01-15</c:v>
                </c:pt>
                <c:pt idx="42">
                  <c:v>2024-01-22</c:v>
                </c:pt>
                <c:pt idx="43">
                  <c:v>2024-01-29</c:v>
                </c:pt>
                <c:pt idx="44">
                  <c:v>2024-02-05</c:v>
                </c:pt>
                <c:pt idx="45">
                  <c:v>2024-02-12</c:v>
                </c:pt>
                <c:pt idx="46">
                  <c:v>2024-02-19</c:v>
                </c:pt>
                <c:pt idx="47">
                  <c:v>2024-02-26</c:v>
                </c:pt>
                <c:pt idx="48">
                  <c:v>2024-03-04</c:v>
                </c:pt>
                <c:pt idx="49">
                  <c:v>2024-03-11</c:v>
                </c:pt>
                <c:pt idx="50">
                  <c:v>2024-03-18</c:v>
                </c:pt>
                <c:pt idx="51">
                  <c:v>2024-03-25</c:v>
                </c:pt>
                <c:pt idx="52">
                  <c:v>2024-04-01</c:v>
                </c:pt>
                <c:pt idx="53">
                  <c:v>2024-04-08</c:v>
                </c:pt>
                <c:pt idx="54">
                  <c:v>2024-04-15</c:v>
                </c:pt>
                <c:pt idx="55">
                  <c:v>2024-04-22</c:v>
                </c:pt>
                <c:pt idx="56">
                  <c:v>2024-04-29</c:v>
                </c:pt>
                <c:pt idx="57">
                  <c:v>2024-05-06</c:v>
                </c:pt>
                <c:pt idx="58">
                  <c:v>2024-05-13</c:v>
                </c:pt>
                <c:pt idx="59">
                  <c:v>2024-05-20</c:v>
                </c:pt>
                <c:pt idx="60">
                  <c:v>2024-05-27</c:v>
                </c:pt>
                <c:pt idx="61">
                  <c:v>2024-06-03</c:v>
                </c:pt>
                <c:pt idx="62">
                  <c:v>2024-06-10</c:v>
                </c:pt>
                <c:pt idx="63">
                  <c:v>2024-06-17</c:v>
                </c:pt>
                <c:pt idx="64">
                  <c:v>2024-06-24</c:v>
                </c:pt>
                <c:pt idx="65">
                  <c:v>2024-07-01</c:v>
                </c:pt>
                <c:pt idx="66">
                  <c:v>2024-07-08</c:v>
                </c:pt>
                <c:pt idx="67">
                  <c:v>2024-07-15</c:v>
                </c:pt>
                <c:pt idx="68">
                  <c:v>2024-07-22</c:v>
                </c:pt>
                <c:pt idx="69">
                  <c:v>2024-07-29</c:v>
                </c:pt>
                <c:pt idx="70">
                  <c:v>2024-08-05</c:v>
                </c:pt>
                <c:pt idx="71">
                  <c:v>2024-08-12</c:v>
                </c:pt>
                <c:pt idx="72">
                  <c:v>2024-08-19</c:v>
                </c:pt>
                <c:pt idx="73">
                  <c:v>2024-08-26</c:v>
                </c:pt>
                <c:pt idx="74">
                  <c:v>2024-09-02</c:v>
                </c:pt>
                <c:pt idx="75">
                  <c:v>2024-09-09</c:v>
                </c:pt>
                <c:pt idx="76">
                  <c:v>2024-09-16</c:v>
                </c:pt>
                <c:pt idx="77">
                  <c:v>2024-09-23</c:v>
                </c:pt>
                <c:pt idx="78">
                  <c:v>2024-09-30</c:v>
                </c:pt>
                <c:pt idx="79">
                  <c:v>2024-10-07</c:v>
                </c:pt>
                <c:pt idx="80">
                  <c:v>2024-10-14</c:v>
                </c:pt>
                <c:pt idx="81">
                  <c:v>2024-10-21</c:v>
                </c:pt>
                <c:pt idx="82">
                  <c:v>2024-10-28</c:v>
                </c:pt>
                <c:pt idx="83">
                  <c:v>2024-11-04</c:v>
                </c:pt>
                <c:pt idx="84">
                  <c:v>2024-11-11</c:v>
                </c:pt>
                <c:pt idx="85">
                  <c:v>2024-11-18</c:v>
                </c:pt>
                <c:pt idx="86">
                  <c:v>2024-11-25</c:v>
                </c:pt>
                <c:pt idx="87">
                  <c:v>2024-12-02</c:v>
                </c:pt>
                <c:pt idx="88">
                  <c:v>2024-12-09</c:v>
                </c:pt>
                <c:pt idx="89">
                  <c:v>2024-12-16</c:v>
                </c:pt>
                <c:pt idx="90">
                  <c:v>2024-12-23</c:v>
                </c:pt>
                <c:pt idx="91">
                  <c:v>2024-12-30</c:v>
                </c:pt>
                <c:pt idx="92">
                  <c:v>2025-01-06</c:v>
                </c:pt>
                <c:pt idx="93">
                  <c:v>2025-01-13</c:v>
                </c:pt>
                <c:pt idx="94">
                  <c:v>2025-01-20</c:v>
                </c:pt>
                <c:pt idx="95">
                  <c:v>2025-01-27</c:v>
                </c:pt>
                <c:pt idx="96">
                  <c:v>2025-02-03</c:v>
                </c:pt>
                <c:pt idx="97">
                  <c:v>2025-02-10</c:v>
                </c:pt>
                <c:pt idx="98">
                  <c:v>2025-02-17</c:v>
                </c:pt>
                <c:pt idx="99">
                  <c:v>2025-02-24</c:v>
                </c:pt>
                <c:pt idx="100">
                  <c:v>2025-03-03</c:v>
                </c:pt>
                <c:pt idx="101">
                  <c:v>2025-03-10</c:v>
                </c:pt>
                <c:pt idx="102">
                  <c:v>2025-03-17</c:v>
                </c:pt>
                <c:pt idx="103">
                  <c:v>2025-03-24</c:v>
                </c:pt>
                <c:pt idx="104">
                  <c:v>2025-03-31</c:v>
                </c:pt>
                <c:pt idx="105">
                  <c:v>2025-04-07</c:v>
                </c:pt>
                <c:pt idx="106">
                  <c:v>2025-04-14</c:v>
                </c:pt>
                <c:pt idx="107">
                  <c:v>2025-04-21</c:v>
                </c:pt>
                <c:pt idx="108">
                  <c:v>2025-04-28</c:v>
                </c:pt>
                <c:pt idx="109">
                  <c:v>2025-05-05</c:v>
                </c:pt>
                <c:pt idx="110">
                  <c:v>2025-05-12</c:v>
                </c:pt>
                <c:pt idx="111">
                  <c:v>2025-05-19</c:v>
                </c:pt>
                <c:pt idx="112">
                  <c:v>2025-05-26</c:v>
                </c:pt>
                <c:pt idx="113">
                  <c:v>2025-06-02</c:v>
                </c:pt>
                <c:pt idx="114">
                  <c:v>2025-06-09</c:v>
                </c:pt>
                <c:pt idx="115">
                  <c:v>2025-06-16</c:v>
                </c:pt>
                <c:pt idx="116">
                  <c:v>2025-06-23</c:v>
                </c:pt>
                <c:pt idx="117">
                  <c:v>2025-06-30</c:v>
                </c:pt>
                <c:pt idx="118">
                  <c:v>2025-07-07</c:v>
                </c:pt>
                <c:pt idx="119">
                  <c:v>2025-07-14</c:v>
                </c:pt>
                <c:pt idx="120">
                  <c:v>2025-07-21</c:v>
                </c:pt>
                <c:pt idx="121">
                  <c:v>2025-07-28</c:v>
                </c:pt>
                <c:pt idx="122">
                  <c:v>2025-08-04</c:v>
                </c:pt>
                <c:pt idx="123">
                  <c:v>2025-08-11</c:v>
                </c:pt>
                <c:pt idx="124">
                  <c:v>2025-08-18</c:v>
                </c:pt>
                <c:pt idx="125">
                  <c:v>2025-08-25</c:v>
                </c:pt>
                <c:pt idx="126">
                  <c:v>2025-09-01</c:v>
                </c:pt>
                <c:pt idx="127">
                  <c:v>2025-09-08</c:v>
                </c:pt>
                <c:pt idx="128">
                  <c:v>2025-09-15</c:v>
                </c:pt>
                <c:pt idx="129">
                  <c:v>2025-09-22</c:v>
                </c:pt>
                <c:pt idx="130">
                  <c:v>2025-09-29</c:v>
                </c:pt>
                <c:pt idx="131">
                  <c:v>2025-10-06</c:v>
                </c:pt>
                <c:pt idx="132">
                  <c:v>2025-10-13</c:v>
                </c:pt>
                <c:pt idx="133">
                  <c:v>2025-10-20</c:v>
                </c:pt>
                <c:pt idx="134">
                  <c:v>2025-10-27</c:v>
                </c:pt>
                <c:pt idx="135">
                  <c:v>2025-11-03</c:v>
                </c:pt>
                <c:pt idx="136">
                  <c:v>2025-11-10</c:v>
                </c:pt>
                <c:pt idx="137">
                  <c:v>2025-11-17</c:v>
                </c:pt>
                <c:pt idx="138">
                  <c:v>2025-11-24</c:v>
                </c:pt>
                <c:pt idx="139">
                  <c:v>2025-12-01</c:v>
                </c:pt>
                <c:pt idx="140">
                  <c:v>2025-12-08</c:v>
                </c:pt>
                <c:pt idx="141">
                  <c:v>2025-12-15</c:v>
                </c:pt>
                <c:pt idx="142">
                  <c:v>2025-12-22</c:v>
                </c:pt>
                <c:pt idx="143">
                  <c:v>2025-12-29</c:v>
                </c:pt>
                <c:pt idx="144">
                  <c:v>2026-01-05</c:v>
                </c:pt>
                <c:pt idx="145">
                  <c:v>2026-01-12</c:v>
                </c:pt>
                <c:pt idx="146">
                  <c:v>2026-01-19</c:v>
                </c:pt>
                <c:pt idx="147">
                  <c:v>2026-01-26</c:v>
                </c:pt>
                <c:pt idx="148">
                  <c:v>2026-02-02</c:v>
                </c:pt>
                <c:pt idx="149">
                  <c:v>2026-02-09</c:v>
                </c:pt>
                <c:pt idx="150">
                  <c:v>2026-02-16</c:v>
                </c:pt>
                <c:pt idx="151">
                  <c:v>2026-02-23</c:v>
                </c:pt>
                <c:pt idx="152">
                  <c:v>2026-03-02</c:v>
                </c:pt>
                <c:pt idx="153">
                  <c:v>2026-03-09</c:v>
                </c:pt>
                <c:pt idx="154">
                  <c:v>2026-03-16</c:v>
                </c:pt>
                <c:pt idx="155">
                  <c:v>2026-03-23</c:v>
                </c:pt>
                <c:pt idx="156">
                  <c:v>2026-03-30</c:v>
                </c:pt>
                <c:pt idx="157">
                  <c:v>2026-04-06</c:v>
                </c:pt>
                <c:pt idx="158">
                  <c:v>2026-04-13</c:v>
                </c:pt>
                <c:pt idx="159">
                  <c:v>2026-04-20</c:v>
                </c:pt>
                <c:pt idx="160">
                  <c:v>2026-04-27</c:v>
                </c:pt>
                <c:pt idx="161">
                  <c:v>2026-05-04</c:v>
                </c:pt>
                <c:pt idx="162">
                  <c:v>2026-05-11</c:v>
                </c:pt>
                <c:pt idx="163">
                  <c:v>2026-05-18</c:v>
                </c:pt>
                <c:pt idx="164">
                  <c:v>2026-05-25</c:v>
                </c:pt>
                <c:pt idx="165">
                  <c:v>2026-06-01</c:v>
                </c:pt>
                <c:pt idx="166">
                  <c:v>2026-06-08</c:v>
                </c:pt>
                <c:pt idx="167">
                  <c:v>2026-06-15</c:v>
                </c:pt>
                <c:pt idx="168">
                  <c:v>2026-06-22</c:v>
                </c:pt>
                <c:pt idx="169">
                  <c:v>2026-06-29</c:v>
                </c:pt>
                <c:pt idx="170">
                  <c:v>2026-07-06</c:v>
                </c:pt>
                <c:pt idx="171">
                  <c:v>2026-07-13</c:v>
                </c:pt>
                <c:pt idx="172">
                  <c:v>2026-07-20</c:v>
                </c:pt>
                <c:pt idx="173">
                  <c:v>2026-07-27</c:v>
                </c:pt>
                <c:pt idx="174">
                  <c:v>2026-08-03</c:v>
                </c:pt>
                <c:pt idx="175">
                  <c:v>2026-08-10</c:v>
                </c:pt>
                <c:pt idx="176">
                  <c:v>2026-08-17</c:v>
                </c:pt>
                <c:pt idx="177">
                  <c:v>2026-08-24</c:v>
                </c:pt>
                <c:pt idx="178">
                  <c:v>2026-08-31</c:v>
                </c:pt>
                <c:pt idx="179">
                  <c:v>2026-09-07</c:v>
                </c:pt>
                <c:pt idx="180">
                  <c:v>2026-09-14</c:v>
                </c:pt>
                <c:pt idx="181">
                  <c:v>2026-09-21</c:v>
                </c:pt>
              </c:strCache>
            </c:strRef>
          </c:cat>
          <c:val>
            <c:numRef>
              <c:f>Weekly!$F$2:$F$183</c:f>
              <c:numCache>
                <c:formatCode>\$#,##0.00;[RED]"-$"#,##0.00;\-</c:formatCode>
                <c:ptCount val="182"/>
                <c:pt idx="0">
                  <c:v>224.34</c:v>
                </c:pt>
                <c:pt idx="1">
                  <c:v>-619.87</c:v>
                </c:pt>
                <c:pt idx="2">
                  <c:v>151.09</c:v>
                </c:pt>
                <c:pt idx="3">
                  <c:v>-393.78</c:v>
                </c:pt>
                <c:pt idx="4">
                  <c:v>296.44</c:v>
                </c:pt>
                <c:pt idx="5">
                  <c:v>259.25</c:v>
                </c:pt>
                <c:pt idx="6">
                  <c:v>-5.40000000000001</c:v>
                </c:pt>
                <c:pt idx="7">
                  <c:v>-543.22</c:v>
                </c:pt>
                <c:pt idx="8">
                  <c:v>90.26</c:v>
                </c:pt>
                <c:pt idx="9">
                  <c:v>216.76</c:v>
                </c:pt>
                <c:pt idx="10">
                  <c:v>-68.47</c:v>
                </c:pt>
                <c:pt idx="11">
                  <c:v>111.7</c:v>
                </c:pt>
                <c:pt idx="12">
                  <c:v>795.18</c:v>
                </c:pt>
                <c:pt idx="13">
                  <c:v>174.88</c:v>
                </c:pt>
                <c:pt idx="14">
                  <c:v>136.11</c:v>
                </c:pt>
                <c:pt idx="15">
                  <c:v>273.89</c:v>
                </c:pt>
                <c:pt idx="16">
                  <c:v>-328.58</c:v>
                </c:pt>
                <c:pt idx="17">
                  <c:v>-10.06</c:v>
                </c:pt>
                <c:pt idx="18">
                  <c:v>127.22</c:v>
                </c:pt>
                <c:pt idx="19">
                  <c:v>167.23</c:v>
                </c:pt>
                <c:pt idx="20">
                  <c:v>686.76</c:v>
                </c:pt>
                <c:pt idx="21">
                  <c:v>237.78</c:v>
                </c:pt>
                <c:pt idx="22">
                  <c:v>485.45</c:v>
                </c:pt>
                <c:pt idx="23">
                  <c:v>166.05</c:v>
                </c:pt>
                <c:pt idx="24">
                  <c:v>369.52</c:v>
                </c:pt>
                <c:pt idx="25">
                  <c:v>179.49</c:v>
                </c:pt>
                <c:pt idx="26">
                  <c:v>470.06</c:v>
                </c:pt>
                <c:pt idx="27">
                  <c:v>170.35</c:v>
                </c:pt>
                <c:pt idx="28">
                  <c:v>-25.92</c:v>
                </c:pt>
                <c:pt idx="29">
                  <c:v>474.48</c:v>
                </c:pt>
                <c:pt idx="30">
                  <c:v>-101.83</c:v>
                </c:pt>
                <c:pt idx="31">
                  <c:v>-29.4</c:v>
                </c:pt>
                <c:pt idx="32">
                  <c:v>17.55</c:v>
                </c:pt>
                <c:pt idx="33">
                  <c:v>398.75</c:v>
                </c:pt>
                <c:pt idx="34">
                  <c:v>341.21</c:v>
                </c:pt>
                <c:pt idx="35">
                  <c:v>-237.27</c:v>
                </c:pt>
                <c:pt idx="36">
                  <c:v>-149.63</c:v>
                </c:pt>
                <c:pt idx="37">
                  <c:v>93.82</c:v>
                </c:pt>
                <c:pt idx="38">
                  <c:v>-135.54</c:v>
                </c:pt>
                <c:pt idx="39">
                  <c:v>252.16</c:v>
                </c:pt>
                <c:pt idx="40">
                  <c:v>415.79</c:v>
                </c:pt>
                <c:pt idx="41">
                  <c:v>-69.38</c:v>
                </c:pt>
                <c:pt idx="42">
                  <c:v>-69.49</c:v>
                </c:pt>
                <c:pt idx="43">
                  <c:v>925.4</c:v>
                </c:pt>
                <c:pt idx="44">
                  <c:v>-73.32</c:v>
                </c:pt>
                <c:pt idx="45">
                  <c:v>94.55</c:v>
                </c:pt>
                <c:pt idx="46">
                  <c:v>439.25</c:v>
                </c:pt>
                <c:pt idx="47">
                  <c:v>207.28</c:v>
                </c:pt>
                <c:pt idx="48">
                  <c:v>-357.35</c:v>
                </c:pt>
                <c:pt idx="49">
                  <c:v>-259.79</c:v>
                </c:pt>
                <c:pt idx="50">
                  <c:v>-134.4</c:v>
                </c:pt>
                <c:pt idx="51">
                  <c:v>39.92</c:v>
                </c:pt>
                <c:pt idx="52">
                  <c:v>263.74</c:v>
                </c:pt>
                <c:pt idx="53">
                  <c:v>-308.43</c:v>
                </c:pt>
                <c:pt idx="54">
                  <c:v>7.74999999999997</c:v>
                </c:pt>
                <c:pt idx="55">
                  <c:v>-463.33</c:v>
                </c:pt>
                <c:pt idx="56">
                  <c:v>216.47</c:v>
                </c:pt>
                <c:pt idx="57">
                  <c:v>-64.58</c:v>
                </c:pt>
                <c:pt idx="58">
                  <c:v>-293.11</c:v>
                </c:pt>
                <c:pt idx="59">
                  <c:v>222.35</c:v>
                </c:pt>
                <c:pt idx="60">
                  <c:v>177.3</c:v>
                </c:pt>
                <c:pt idx="61">
                  <c:v>20.11</c:v>
                </c:pt>
                <c:pt idx="62">
                  <c:v>292.42</c:v>
                </c:pt>
                <c:pt idx="63">
                  <c:v>-90.79</c:v>
                </c:pt>
                <c:pt idx="64">
                  <c:v>-141.77</c:v>
                </c:pt>
                <c:pt idx="65">
                  <c:v>-220.53</c:v>
                </c:pt>
                <c:pt idx="66">
                  <c:v>376.36</c:v>
                </c:pt>
                <c:pt idx="67">
                  <c:v>130.45</c:v>
                </c:pt>
                <c:pt idx="68">
                  <c:v>150.43</c:v>
                </c:pt>
                <c:pt idx="69">
                  <c:v>22.7</c:v>
                </c:pt>
                <c:pt idx="70">
                  <c:v>-604.3</c:v>
                </c:pt>
                <c:pt idx="71">
                  <c:v>141.1</c:v>
                </c:pt>
                <c:pt idx="72">
                  <c:v>92.74</c:v>
                </c:pt>
                <c:pt idx="73">
                  <c:v>429.18</c:v>
                </c:pt>
                <c:pt idx="74">
                  <c:v>-61.33</c:v>
                </c:pt>
                <c:pt idx="75">
                  <c:v>-454.76</c:v>
                </c:pt>
                <c:pt idx="76">
                  <c:v>84.64</c:v>
                </c:pt>
                <c:pt idx="77">
                  <c:v>191.08</c:v>
                </c:pt>
                <c:pt idx="78">
                  <c:v>-323.44</c:v>
                </c:pt>
                <c:pt idx="79">
                  <c:v>-156.29</c:v>
                </c:pt>
                <c:pt idx="80">
                  <c:v>-71.26</c:v>
                </c:pt>
                <c:pt idx="81">
                  <c:v>-233.32</c:v>
                </c:pt>
                <c:pt idx="82">
                  <c:v>406.68</c:v>
                </c:pt>
                <c:pt idx="83">
                  <c:v>269.95</c:v>
                </c:pt>
                <c:pt idx="84">
                  <c:v>-219.35</c:v>
                </c:pt>
                <c:pt idx="85">
                  <c:v>474.19</c:v>
                </c:pt>
                <c:pt idx="86">
                  <c:v>-183.33</c:v>
                </c:pt>
                <c:pt idx="87">
                  <c:v>370.7</c:v>
                </c:pt>
                <c:pt idx="88">
                  <c:v>-224.88</c:v>
                </c:pt>
                <c:pt idx="89">
                  <c:v>426.98</c:v>
                </c:pt>
                <c:pt idx="90">
                  <c:v>-5.71</c:v>
                </c:pt>
                <c:pt idx="91">
                  <c:v>238.09</c:v>
                </c:pt>
                <c:pt idx="92">
                  <c:v>-106.48</c:v>
                </c:pt>
                <c:pt idx="93">
                  <c:v>738.71</c:v>
                </c:pt>
                <c:pt idx="94">
                  <c:v>-11.35</c:v>
                </c:pt>
                <c:pt idx="95">
                  <c:v>501.25</c:v>
                </c:pt>
                <c:pt idx="96">
                  <c:v>-826.23</c:v>
                </c:pt>
                <c:pt idx="97">
                  <c:v>104.64</c:v>
                </c:pt>
                <c:pt idx="98">
                  <c:v>-9.95</c:v>
                </c:pt>
                <c:pt idx="99">
                  <c:v>1000.29</c:v>
                </c:pt>
                <c:pt idx="100">
                  <c:v>-193.56</c:v>
                </c:pt>
                <c:pt idx="101">
                  <c:v>-195.16</c:v>
                </c:pt>
                <c:pt idx="102">
                  <c:v>74.11</c:v>
                </c:pt>
                <c:pt idx="103">
                  <c:v>647.42</c:v>
                </c:pt>
                <c:pt idx="104">
                  <c:v>1158.08</c:v>
                </c:pt>
                <c:pt idx="105">
                  <c:v>924.62</c:v>
                </c:pt>
                <c:pt idx="106">
                  <c:v>221.06</c:v>
                </c:pt>
                <c:pt idx="107">
                  <c:v>344.33</c:v>
                </c:pt>
                <c:pt idx="108">
                  <c:v>497.75</c:v>
                </c:pt>
                <c:pt idx="109">
                  <c:v>-492.6</c:v>
                </c:pt>
                <c:pt idx="110">
                  <c:v>439.88</c:v>
                </c:pt>
                <c:pt idx="111">
                  <c:v>136.47</c:v>
                </c:pt>
                <c:pt idx="112">
                  <c:v>7.41000000000003</c:v>
                </c:pt>
                <c:pt idx="113">
                  <c:v>-569.34</c:v>
                </c:pt>
                <c:pt idx="114">
                  <c:v>461.3</c:v>
                </c:pt>
                <c:pt idx="115">
                  <c:v>523.14</c:v>
                </c:pt>
                <c:pt idx="116">
                  <c:v>-3.79999999999999</c:v>
                </c:pt>
                <c:pt idx="117">
                  <c:v>72.16</c:v>
                </c:pt>
                <c:pt idx="118">
                  <c:v>86.25</c:v>
                </c:pt>
                <c:pt idx="119">
                  <c:v>75.7</c:v>
                </c:pt>
                <c:pt idx="120">
                  <c:v>-35.23</c:v>
                </c:pt>
                <c:pt idx="121">
                  <c:v>701.93</c:v>
                </c:pt>
                <c:pt idx="122">
                  <c:v>-1.22</c:v>
                </c:pt>
                <c:pt idx="123">
                  <c:v>-102.39</c:v>
                </c:pt>
                <c:pt idx="124">
                  <c:v>268.01</c:v>
                </c:pt>
                <c:pt idx="125">
                  <c:v>-435.28</c:v>
                </c:pt>
                <c:pt idx="126">
                  <c:v>177.02</c:v>
                </c:pt>
                <c:pt idx="127">
                  <c:v>-218.52</c:v>
                </c:pt>
                <c:pt idx="128">
                  <c:v>-168.33</c:v>
                </c:pt>
                <c:pt idx="129">
                  <c:v>15.08</c:v>
                </c:pt>
                <c:pt idx="130">
                  <c:v>457.64</c:v>
                </c:pt>
                <c:pt idx="131">
                  <c:v>494.88</c:v>
                </c:pt>
                <c:pt idx="132">
                  <c:v>-325.64</c:v>
                </c:pt>
                <c:pt idx="133">
                  <c:v>-78.96</c:v>
                </c:pt>
                <c:pt idx="134">
                  <c:v>772.58</c:v>
                </c:pt>
                <c:pt idx="135">
                  <c:v>-116.79</c:v>
                </c:pt>
                <c:pt idx="136">
                  <c:v>-301.95</c:v>
                </c:pt>
                <c:pt idx="137">
                  <c:v>693.33</c:v>
                </c:pt>
                <c:pt idx="138">
                  <c:v>648.68</c:v>
                </c:pt>
                <c:pt idx="139">
                  <c:v>-28.32</c:v>
                </c:pt>
                <c:pt idx="140">
                  <c:v>-34.4</c:v>
                </c:pt>
                <c:pt idx="141">
                  <c:v>-319</c:v>
                </c:pt>
                <c:pt idx="142">
                  <c:v>-279.72</c:v>
                </c:pt>
                <c:pt idx="143">
                  <c:v>-89.64</c:v>
                </c:pt>
                <c:pt idx="144">
                  <c:v>-109.9</c:v>
                </c:pt>
                <c:pt idx="145">
                  <c:v>-24.06</c:v>
                </c:pt>
                <c:pt idx="146">
                  <c:v>822.6</c:v>
                </c:pt>
                <c:pt idx="147">
                  <c:v>-195.74</c:v>
                </c:pt>
                <c:pt idx="148">
                  <c:v>1316.9</c:v>
                </c:pt>
                <c:pt idx="149">
                  <c:v>604.24</c:v>
                </c:pt>
                <c:pt idx="150">
                  <c:v>-351.76</c:v>
                </c:pt>
                <c:pt idx="151">
                  <c:v>-382.57</c:v>
                </c:pt>
                <c:pt idx="152">
                  <c:v>-230.44</c:v>
                </c:pt>
                <c:pt idx="153">
                  <c:v>1084.28</c:v>
                </c:pt>
                <c:pt idx="154">
                  <c:v>271.12</c:v>
                </c:pt>
                <c:pt idx="155">
                  <c:v>-1014.69</c:v>
                </c:pt>
                <c:pt idx="156">
                  <c:v>-184.84</c:v>
                </c:pt>
                <c:pt idx="157">
                  <c:v>-566.89</c:v>
                </c:pt>
                <c:pt idx="158">
                  <c:v>-311</c:v>
                </c:pt>
                <c:pt idx="159">
                  <c:v>-4.13999999999999</c:v>
                </c:pt>
                <c:pt idx="160">
                  <c:v>384.34</c:v>
                </c:pt>
                <c:pt idx="161">
                  <c:v>412.02</c:v>
                </c:pt>
                <c:pt idx="162">
                  <c:v>254.52</c:v>
                </c:pt>
                <c:pt idx="163">
                  <c:v>-520.28</c:v>
                </c:pt>
                <c:pt idx="164">
                  <c:v>785.91</c:v>
                </c:pt>
                <c:pt idx="165">
                  <c:v>136.21</c:v>
                </c:pt>
                <c:pt idx="166">
                  <c:v>-815.35</c:v>
                </c:pt>
                <c:pt idx="167">
                  <c:v>960.59</c:v>
                </c:pt>
                <c:pt idx="168">
                  <c:v>-639.2</c:v>
                </c:pt>
                <c:pt idx="169">
                  <c:v>-349.25</c:v>
                </c:pt>
                <c:pt idx="170">
                  <c:v>478.44</c:v>
                </c:pt>
                <c:pt idx="171">
                  <c:v>-327.76</c:v>
                </c:pt>
                <c:pt idx="172">
                  <c:v>-180.1</c:v>
                </c:pt>
                <c:pt idx="173">
                  <c:v>-28.37</c:v>
                </c:pt>
                <c:pt idx="174">
                  <c:v>588.13</c:v>
                </c:pt>
                <c:pt idx="175">
                  <c:v>141.72</c:v>
                </c:pt>
                <c:pt idx="176">
                  <c:v>123.42</c:v>
                </c:pt>
                <c:pt idx="177">
                  <c:v>253.78</c:v>
                </c:pt>
                <c:pt idx="178">
                  <c:v>435.76</c:v>
                </c:pt>
                <c:pt idx="179">
                  <c:v>-39.31</c:v>
                </c:pt>
                <c:pt idx="180">
                  <c:v>806.48</c:v>
                </c:pt>
                <c:pt idx="181">
                  <c:v>70.85</c:v>
                </c:pt>
              </c:numCache>
            </c:numRef>
          </c:val>
        </c:ser>
        <c:gapWidth val="150"/>
        <c:overlap val="0"/>
        <c:axId val="80961333"/>
        <c:axId val="53474083"/>
      </c:barChart>
      <c:catAx>
        <c:axId val="80961333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74083"/>
        <c:crosses val="autoZero"/>
        <c:auto val="1"/>
        <c:lblAlgn val="ctr"/>
        <c:lblOffset val="100"/>
        <c:noMultiLvlLbl val="0"/>
      </c:catAx>
      <c:valAx>
        <c:axId val="5347408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613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160920</xdr:rowOff>
    </xdr:from>
    <xdr:to>
      <xdr:col>22</xdr:col>
      <xdr:colOff>187200</xdr:colOff>
      <xdr:row>25</xdr:row>
      <xdr:rowOff>162000</xdr:rowOff>
    </xdr:to>
    <xdr:graphicFrame>
      <xdr:nvGraphicFramePr>
        <xdr:cNvPr id="0" name="Chart 1"/>
        <xdr:cNvGraphicFramePr/>
      </xdr:nvGraphicFramePr>
      <xdr:xfrm>
        <a:off x="12100680" y="1714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160560</xdr:rowOff>
    </xdr:from>
    <xdr:to>
      <xdr:col>22</xdr:col>
      <xdr:colOff>187200</xdr:colOff>
      <xdr:row>42</xdr:row>
      <xdr:rowOff>13320</xdr:rowOff>
    </xdr:to>
    <xdr:graphicFrame>
      <xdr:nvGraphicFramePr>
        <xdr:cNvPr id="1" name="Chart 2"/>
        <xdr:cNvGraphicFramePr/>
      </xdr:nvGraphicFramePr>
      <xdr:xfrm>
        <a:off x="12100680" y="5524560"/>
        <a:ext cx="93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12</xdr:col>
      <xdr:colOff>604440</xdr:colOff>
      <xdr:row>24</xdr:row>
      <xdr:rowOff>22320</xdr:rowOff>
    </xdr:to>
    <xdr:graphicFrame>
      <xdr:nvGraphicFramePr>
        <xdr:cNvPr id="2" name="Chart 1"/>
        <xdr:cNvGraphicFramePr/>
      </xdr:nvGraphicFramePr>
      <xdr:xfrm>
        <a:off x="0" y="192420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0</xdr:rowOff>
    </xdr:from>
    <xdr:to>
      <xdr:col>12</xdr:col>
      <xdr:colOff>604440</xdr:colOff>
      <xdr:row>62</xdr:row>
      <xdr:rowOff>22320</xdr:rowOff>
    </xdr:to>
    <xdr:graphicFrame>
      <xdr:nvGraphicFramePr>
        <xdr:cNvPr id="3" name="Chart 1"/>
        <xdr:cNvGraphicFramePr/>
      </xdr:nvGraphicFramePr>
      <xdr:xfrm>
        <a:off x="0" y="91630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32</xdr:col>
      <xdr:colOff>78840</xdr:colOff>
      <xdr:row>16</xdr:row>
      <xdr:rowOff>21960</xdr:rowOff>
    </xdr:to>
    <xdr:graphicFrame>
      <xdr:nvGraphicFramePr>
        <xdr:cNvPr id="4" name="Chart 1"/>
        <xdr:cNvGraphicFramePr/>
      </xdr:nvGraphicFramePr>
      <xdr:xfrm>
        <a:off x="12805560" y="3999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deList" displayName="TradeList" ref="A1:AG884" headerRowCount="1" totalsRowCount="0" totalsRowShown="0">
  <autoFilter ref="A1:AG884"/>
  <tableColumns count="33">
    <tableColumn id="1" name="#"/>
    <tableColumn id="2" name="Entry time"/>
    <tableColumn id="3" name="Close time"/>
    <tableColumn id="4" name="Close date"/>
    <tableColumn id="5" name="Week (Mon)"/>
    <tableColumn id="6" name="Month"/>
    <tableColumn id="7" name="Year"/>
    <tableColumn id="8" name="Weekday"/>
    <tableColumn id="9" name="Entry hour"/>
    <tableColumn id="10" name="Side"/>
    <tableColumn id="11" name="Setup"/>
    <tableColumn id="12" name="Lots"/>
    <tableColumn id="13" name="Entry price"/>
    <tableColumn id="14" name="Initial SL"/>
    <tableColumn id="15" name="Take profit"/>
    <tableColumn id="16" name="SL distance (pts)"/>
    <tableColumn id="17" name="TP distance (pts)"/>
    <tableColumn id="18" name="Planned risk $"/>
    <tableColumn id="19" name="Exit price"/>
    <tableColumn id="20" name="Exit reason"/>
    <tableColumn id="21" name="Points made"/>
    <tableColumn id="22" name="Commission $"/>
    <tableColumn id="23" name="Swap $"/>
    <tableColumn id="24" name="Net profit $"/>
    <tableColumn id="25" name="R multiple"/>
    <tableColumn id="26" name="Result"/>
    <tableColumn id="27" name="Hold (min)"/>
    <tableColumn id="28" name="Hold bucket"/>
    <tableColumn id="29" name="SL bucket (pts)"/>
    <tableColumn id="30" name="Balance after"/>
    <tableColumn id="31" name="Peak balance"/>
    <tableColumn id="32" name="Drawdown $"/>
    <tableColumn id="33" name="Drawdown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26.85" hidden="false" customHeight="false" outlineLevel="0" collapsed="false">
      <c r="A15" s="3" t="s">
        <v>23</v>
      </c>
      <c r="B15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2"/>
      <c r="B1" s="1" t="s">
        <v>25</v>
      </c>
      <c r="C1" s="2"/>
      <c r="D1" s="2"/>
      <c r="E1" s="2"/>
      <c r="F1" s="2"/>
    </row>
    <row r="2" customFormat="false" ht="15" hidden="false" customHeight="false" outlineLevel="0" collapsed="false">
      <c r="A2" s="2"/>
      <c r="B2" s="2" t="s">
        <v>26</v>
      </c>
      <c r="C2" s="2"/>
      <c r="D2" s="2"/>
      <c r="E2" s="2"/>
      <c r="F2" s="2"/>
    </row>
    <row r="3" customFormat="false" ht="15" hidden="false" customHeight="false" outlineLevel="0" collapsed="false">
      <c r="A3" s="2"/>
      <c r="B3" s="5" t="s">
        <v>27</v>
      </c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 t="s">
        <v>28</v>
      </c>
      <c r="C5" s="6" t="n">
        <v>100000</v>
      </c>
      <c r="D5" s="2"/>
      <c r="E5" s="2"/>
      <c r="F5" s="5" t="s">
        <v>29</v>
      </c>
    </row>
    <row r="6" customFormat="false" ht="15" hidden="false" customHeight="false" outlineLevel="0" collapsed="false">
      <c r="A6" s="2"/>
      <c r="B6" s="2" t="s">
        <v>30</v>
      </c>
      <c r="C6" s="7" t="n">
        <v>20</v>
      </c>
      <c r="D6" s="2"/>
      <c r="E6" s="2"/>
      <c r="F6" s="5" t="s">
        <v>31</v>
      </c>
    </row>
    <row r="7" customFormat="false" ht="15" hidden="false" customHeight="false" outlineLevel="0" collapsed="false">
      <c r="A7" s="2"/>
      <c r="B7" s="2" t="s">
        <v>32</v>
      </c>
      <c r="C7" s="8" t="n">
        <v>0.025</v>
      </c>
      <c r="D7" s="2"/>
      <c r="E7" s="2"/>
      <c r="F7" s="5" t="s">
        <v>33</v>
      </c>
    </row>
    <row r="8" customFormat="false" ht="15" hidden="false" customHeight="false" outlineLevel="0" collapsed="false">
      <c r="A8" s="2"/>
      <c r="B8" s="2" t="s">
        <v>34</v>
      </c>
      <c r="C8" s="8" t="n">
        <v>0.1</v>
      </c>
      <c r="D8" s="2"/>
      <c r="E8" s="2"/>
      <c r="F8" s="5" t="s">
        <v>35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9" t="s">
        <v>36</v>
      </c>
      <c r="C10" s="9" t="s">
        <v>37</v>
      </c>
      <c r="D10" s="9" t="s">
        <v>38</v>
      </c>
      <c r="E10" s="9" t="s">
        <v>39</v>
      </c>
      <c r="F10" s="9" t="s">
        <v>40</v>
      </c>
    </row>
    <row r="11" customFormat="false" ht="15" hidden="false" customHeight="false" outlineLevel="0" collapsed="false">
      <c r="A11" s="2"/>
      <c r="B11" s="10" t="s">
        <v>41</v>
      </c>
      <c r="C11" s="11"/>
      <c r="D11" s="11"/>
      <c r="E11" s="11"/>
      <c r="F11" s="11"/>
    </row>
    <row r="12" customFormat="false" ht="15" hidden="false" customHeight="false" outlineLevel="0" collapsed="false">
      <c r="A12" s="2"/>
      <c r="B12" s="12" t="s">
        <v>42</v>
      </c>
      <c r="C12" s="13" t="n">
        <f aca="false">SUM(Trades!$X$2:$X$884)</f>
        <v>17717.69</v>
      </c>
      <c r="D12" s="14" t="n">
        <v>17717.69</v>
      </c>
      <c r="E12" s="15" t="str">
        <f aca="false">IF(C12&gt;0,"Profitable","Losing")</f>
        <v>Profitable</v>
      </c>
      <c r="F12" s="16" t="s">
        <v>43</v>
      </c>
    </row>
    <row r="13" customFormat="false" ht="15" hidden="false" customHeight="false" outlineLevel="0" collapsed="false">
      <c r="A13" s="2"/>
      <c r="B13" s="12" t="s">
        <v>44</v>
      </c>
      <c r="C13" s="13" t="n">
        <f aca="false">C5+C12</f>
        <v>117717.69</v>
      </c>
      <c r="D13" s="14"/>
      <c r="E13" s="15"/>
      <c r="F13" s="16"/>
    </row>
    <row r="14" customFormat="false" ht="15" hidden="false" customHeight="false" outlineLevel="0" collapsed="false">
      <c r="A14" s="2"/>
      <c r="B14" s="12" t="s">
        <v>45</v>
      </c>
      <c r="C14" s="17" t="n">
        <f aca="false">IFERROR(C12/C5,0)</f>
        <v>0.1771769</v>
      </c>
      <c r="D14" s="14"/>
      <c r="E14" s="15"/>
      <c r="F14" s="16"/>
    </row>
    <row r="15" customFormat="false" ht="15" hidden="false" customHeight="false" outlineLevel="0" collapsed="false">
      <c r="A15" s="2"/>
      <c r="B15" s="12" t="s">
        <v>46</v>
      </c>
      <c r="C15" s="13" t="n">
        <f aca="false">SUMIF(Trades!$X$2:$X$884,"&gt;0")</f>
        <v>64334.51</v>
      </c>
      <c r="D15" s="14" t="n">
        <v>64334.51</v>
      </c>
      <c r="E15" s="15"/>
      <c r="F15" s="16" t="s">
        <v>47</v>
      </c>
    </row>
    <row r="16" customFormat="false" ht="15" hidden="false" customHeight="false" outlineLevel="0" collapsed="false">
      <c r="A16" s="2"/>
      <c r="B16" s="12" t="s">
        <v>48</v>
      </c>
      <c r="C16" s="13" t="n">
        <f aca="false">SUMIF(Trades!$X$2:$X$884,"&lt;0")</f>
        <v>-46616.82</v>
      </c>
      <c r="D16" s="14" t="n">
        <v>-46616.82</v>
      </c>
      <c r="E16" s="15"/>
      <c r="F16" s="16" t="s">
        <v>49</v>
      </c>
    </row>
    <row r="17" customFormat="false" ht="15" hidden="false" customHeight="false" outlineLevel="0" collapsed="false">
      <c r="A17" s="2"/>
      <c r="B17" s="12" t="s">
        <v>50</v>
      </c>
      <c r="C17" s="18" t="n">
        <f aca="false">IFERROR(C15/-C16,0)</f>
        <v>1.38007075557706</v>
      </c>
      <c r="D17" s="14" t="n">
        <v>1.380071</v>
      </c>
      <c r="E17" s="15" t="str">
        <f aca="false">IF(C17&gt;=1.5,"Strong",IF(C17&gt;=1.2,"Good",IF(C17&gt;=1,"Weak","Losing")))</f>
        <v>Good</v>
      </c>
      <c r="F17" s="16" t="s">
        <v>51</v>
      </c>
    </row>
    <row r="18" customFormat="false" ht="15" hidden="false" customHeight="false" outlineLevel="0" collapsed="false">
      <c r="A18" s="2"/>
      <c r="B18" s="12" t="s">
        <v>52</v>
      </c>
      <c r="C18" s="13" t="n">
        <f aca="false">IFERROR(C12/C20,0)</f>
        <v>20.0653340883352</v>
      </c>
      <c r="D18" s="14" t="n">
        <v>20.065334</v>
      </c>
      <c r="E18" s="15"/>
      <c r="F18" s="16" t="s">
        <v>53</v>
      </c>
    </row>
    <row r="19" customFormat="false" ht="15" hidden="false" customHeight="false" outlineLevel="0" collapsed="false">
      <c r="A19" s="2"/>
      <c r="B19" s="10" t="s">
        <v>54</v>
      </c>
      <c r="C19" s="11"/>
      <c r="D19" s="11"/>
      <c r="E19" s="11"/>
      <c r="F19" s="11"/>
    </row>
    <row r="20" customFormat="false" ht="15" hidden="false" customHeight="false" outlineLevel="0" collapsed="false">
      <c r="A20" s="2"/>
      <c r="B20" s="12" t="s">
        <v>55</v>
      </c>
      <c r="C20" s="19" t="n">
        <f aca="false">COUNT(Trades!$X$2:$X$884)</f>
        <v>883</v>
      </c>
      <c r="D20" s="14" t="n">
        <v>883</v>
      </c>
      <c r="E20" s="15"/>
      <c r="F20" s="16"/>
    </row>
    <row r="21" customFormat="false" ht="15" hidden="false" customHeight="false" outlineLevel="0" collapsed="false">
      <c r="A21" s="2"/>
      <c r="B21" s="12" t="s">
        <v>56</v>
      </c>
      <c r="C21" s="19" t="n">
        <f aca="false">COUNTIF(Trades!$Z$2:$Z$884,"Win")</f>
        <v>282</v>
      </c>
      <c r="D21" s="14" t="s">
        <v>57</v>
      </c>
      <c r="E21" s="15"/>
      <c r="F21" s="16"/>
    </row>
    <row r="22" customFormat="false" ht="15" hidden="false" customHeight="false" outlineLevel="0" collapsed="false">
      <c r="A22" s="2"/>
      <c r="B22" s="12" t="s">
        <v>58</v>
      </c>
      <c r="C22" s="19" t="n">
        <f aca="false">COUNTIF(Trades!$Z$2:$Z$884,"Loss")</f>
        <v>593</v>
      </c>
      <c r="D22" s="14" t="s">
        <v>59</v>
      </c>
      <c r="E22" s="15"/>
      <c r="F22" s="16" t="s">
        <v>60</v>
      </c>
    </row>
    <row r="23" customFormat="false" ht="15" hidden="false" customHeight="false" outlineLevel="0" collapsed="false">
      <c r="A23" s="2"/>
      <c r="B23" s="12" t="s">
        <v>61</v>
      </c>
      <c r="C23" s="17" t="n">
        <f aca="false">IFERROR(C21/C20,0)</f>
        <v>0.319365798414496</v>
      </c>
      <c r="D23" s="14"/>
      <c r="E23" s="15"/>
      <c r="F23" s="16"/>
    </row>
    <row r="24" customFormat="false" ht="15" hidden="false" customHeight="false" outlineLevel="0" collapsed="false">
      <c r="A24" s="2"/>
      <c r="B24" s="12" t="s">
        <v>62</v>
      </c>
      <c r="C24" s="13" t="n">
        <f aca="false">IFERROR(AVERAGEIF(Trades!$X$2:$X$884,"&gt;0"),0)</f>
        <v>228.136560283688</v>
      </c>
      <c r="D24" s="14" t="n">
        <v>221.843138</v>
      </c>
      <c r="E24" s="15"/>
      <c r="F24" s="16"/>
    </row>
    <row r="25" customFormat="false" ht="15" hidden="false" customHeight="false" outlineLevel="0" collapsed="false">
      <c r="A25" s="2"/>
      <c r="B25" s="12" t="s">
        <v>63</v>
      </c>
      <c r="C25" s="13" t="n">
        <f aca="false">IFERROR(AVERAGEIF(Trades!$X$2:$X$884,"&lt;0"),0)</f>
        <v>-78.6118381112985</v>
      </c>
      <c r="D25" s="14" t="n">
        <v>-78.611838</v>
      </c>
      <c r="E25" s="15"/>
      <c r="F25" s="16"/>
    </row>
    <row r="26" customFormat="false" ht="15" hidden="false" customHeight="false" outlineLevel="0" collapsed="false">
      <c r="A26" s="2"/>
      <c r="B26" s="12" t="s">
        <v>64</v>
      </c>
      <c r="C26" s="18" t="n">
        <f aca="false">IFERROR(C24/-C25,0)</f>
        <v>2.9020636810539</v>
      </c>
      <c r="D26" s="14"/>
      <c r="E26" s="15"/>
      <c r="F26" s="16" t="s">
        <v>65</v>
      </c>
    </row>
    <row r="27" customFormat="false" ht="15" hidden="false" customHeight="false" outlineLevel="0" collapsed="false">
      <c r="A27" s="2"/>
      <c r="B27" s="12" t="s">
        <v>66</v>
      </c>
      <c r="C27" s="17" t="n">
        <f aca="false">IFERROR(-C25/(C24-C25),0)</f>
        <v>0.256274648939074</v>
      </c>
      <c r="D27" s="14"/>
      <c r="E27" s="15" t="str">
        <f aca="false">IF(C23&gt;C27,"Above break-even","Below break-even")</f>
        <v>Above break-even</v>
      </c>
      <c r="F27" s="16" t="s">
        <v>67</v>
      </c>
    </row>
    <row r="28" customFormat="false" ht="15" hidden="false" customHeight="false" outlineLevel="0" collapsed="false">
      <c r="A28" s="2"/>
      <c r="B28" s="12" t="s">
        <v>68</v>
      </c>
      <c r="C28" s="13" t="n">
        <f aca="false">MAX(Trades!$X$2:$X$884)</f>
        <v>1033.59</v>
      </c>
      <c r="D28" s="14" t="n">
        <v>1033.59</v>
      </c>
      <c r="E28" s="15"/>
      <c r="F28" s="16"/>
    </row>
    <row r="29" customFormat="false" ht="15" hidden="false" customHeight="false" outlineLevel="0" collapsed="false">
      <c r="A29" s="2"/>
      <c r="B29" s="12" t="s">
        <v>69</v>
      </c>
      <c r="C29" s="13" t="n">
        <f aca="false">MIN(Trades!$X$2:$X$884)</f>
        <v>-568.08</v>
      </c>
      <c r="D29" s="14" t="n">
        <v>-568.08</v>
      </c>
      <c r="E29" s="15"/>
      <c r="F29" s="16"/>
    </row>
    <row r="30" customFormat="false" ht="15" hidden="false" customHeight="false" outlineLevel="0" collapsed="false">
      <c r="A30" s="2"/>
      <c r="B30" s="12" t="s">
        <v>70</v>
      </c>
      <c r="C30" s="19" t="n">
        <f aca="false">COUNTIF(Trades!$J$2:$J$884,"BUY")</f>
        <v>508</v>
      </c>
      <c r="D30" s="14" t="s">
        <v>71</v>
      </c>
      <c r="E30" s="20" t="n">
        <f aca="false">SUMIF(Trades!$J$2:$J$884,"BUY",Trades!$X$2:$X$884)</f>
        <v>9002.57</v>
      </c>
      <c r="F30" s="16" t="s">
        <v>72</v>
      </c>
    </row>
    <row r="31" customFormat="false" ht="15" hidden="false" customHeight="false" outlineLevel="0" collapsed="false">
      <c r="A31" s="2"/>
      <c r="B31" s="12" t="s">
        <v>73</v>
      </c>
      <c r="C31" s="19" t="n">
        <f aca="false">COUNTIF(Trades!$J$2:$J$884,"SELL")</f>
        <v>375</v>
      </c>
      <c r="D31" s="14" t="s">
        <v>74</v>
      </c>
      <c r="E31" s="20" t="n">
        <f aca="false">SUMIF(Trades!$J$2:$J$884,"SELL",Trades!$X$2:$X$884)</f>
        <v>8715.12</v>
      </c>
      <c r="F31" s="16" t="s">
        <v>75</v>
      </c>
    </row>
    <row r="32" customFormat="false" ht="15" hidden="false" customHeight="false" outlineLevel="0" collapsed="false">
      <c r="A32" s="2"/>
      <c r="B32" s="10" t="s">
        <v>76</v>
      </c>
      <c r="C32" s="11"/>
      <c r="D32" s="11"/>
      <c r="E32" s="11"/>
      <c r="F32" s="11"/>
    </row>
    <row r="33" customFormat="false" ht="15" hidden="false" customHeight="false" outlineLevel="0" collapsed="false">
      <c r="A33" s="2"/>
      <c r="B33" s="12" t="s">
        <v>77</v>
      </c>
      <c r="C33" s="13" t="n">
        <f aca="false">AVERAGE(Trades!$R$2:$R$884)</f>
        <v>114.909938844846</v>
      </c>
      <c r="D33" s="14"/>
      <c r="E33" s="15"/>
      <c r="F33" s="16" t="s">
        <v>78</v>
      </c>
    </row>
    <row r="34" customFormat="false" ht="15" hidden="false" customHeight="false" outlineLevel="0" collapsed="false">
      <c r="A34" s="2"/>
      <c r="B34" s="12" t="s">
        <v>79</v>
      </c>
      <c r="C34" s="17" t="n">
        <f aca="false">IFERROR(AVERAGE(Trades!$R$2:$R$884)/AVERAGE(Trades!$AD$2:$AD$884),0)</f>
        <v>0.00105744607611782</v>
      </c>
      <c r="D34" s="14"/>
      <c r="E34" s="15"/>
      <c r="F34" s="16" t="s">
        <v>80</v>
      </c>
    </row>
    <row r="35" customFormat="false" ht="15" hidden="false" customHeight="false" outlineLevel="0" collapsed="false">
      <c r="A35" s="2"/>
      <c r="B35" s="12" t="s">
        <v>81</v>
      </c>
      <c r="C35" s="21" t="n">
        <f aca="false">AVERAGE(Trades!$P$2:$P$884)</f>
        <v>25.9063759909398</v>
      </c>
      <c r="D35" s="14"/>
      <c r="E35" s="15"/>
      <c r="F35" s="16"/>
    </row>
    <row r="36" customFormat="false" ht="15" hidden="false" customHeight="false" outlineLevel="0" collapsed="false">
      <c r="A36" s="2"/>
      <c r="B36" s="12" t="s">
        <v>82</v>
      </c>
      <c r="C36" s="22" t="n">
        <f aca="false">AVERAGE(Trades!$Y$2:$Y$884)</f>
        <v>0.200078644853479</v>
      </c>
      <c r="D36" s="14"/>
      <c r="E36" s="15" t="str">
        <f aca="false">IF(C36&gt;0,"Positive edge","No edge")</f>
        <v>Positive edge</v>
      </c>
      <c r="F36" s="16" t="s">
        <v>83</v>
      </c>
    </row>
    <row r="37" customFormat="false" ht="15" hidden="false" customHeight="false" outlineLevel="0" collapsed="false">
      <c r="A37" s="2"/>
      <c r="B37" s="12" t="s">
        <v>84</v>
      </c>
      <c r="C37" s="22" t="n">
        <f aca="false">SUM(Trades!$Y$2:$Y$884)</f>
        <v>176.669443405622</v>
      </c>
      <c r="D37" s="14"/>
      <c r="E37" s="15"/>
      <c r="F37" s="16"/>
    </row>
    <row r="38" customFormat="false" ht="15" hidden="false" customHeight="false" outlineLevel="0" collapsed="false">
      <c r="A38" s="2"/>
      <c r="B38" s="12" t="s">
        <v>85</v>
      </c>
      <c r="C38" s="22" t="n">
        <f aca="false">IFERROR(AVERAGEIF(Trades!$T$2:$T$884,"Initial stop loss",Trades!$Y$2:$Y$884),0)</f>
        <v>-1.02609533908059</v>
      </c>
      <c r="D38" s="14"/>
      <c r="E38" s="15" t="str">
        <f aca="false">IF(C38&lt;-1.05,"Losses overshoot","OK")</f>
        <v>OK</v>
      </c>
      <c r="F38" s="16" t="s">
        <v>86</v>
      </c>
    </row>
    <row r="39" customFormat="false" ht="15" hidden="false" customHeight="false" outlineLevel="0" collapsed="false">
      <c r="A39" s="2"/>
      <c r="B39" s="12" t="s">
        <v>87</v>
      </c>
      <c r="C39" s="22" t="n">
        <f aca="false">IFERROR(AVERAGEIF(Trades!$T$2:$T$884,"Take profit",Trades!$Y$2:$Y$884),0)</f>
        <v>2.05454129181969</v>
      </c>
      <c r="D39" s="14"/>
      <c r="E39" s="15"/>
      <c r="F39" s="16"/>
    </row>
    <row r="40" customFormat="false" ht="15" hidden="false" customHeight="false" outlineLevel="0" collapsed="false">
      <c r="A40" s="2"/>
      <c r="B40" s="10" t="s">
        <v>88</v>
      </c>
      <c r="C40" s="11"/>
      <c r="D40" s="11"/>
      <c r="E40" s="11"/>
      <c r="F40" s="11"/>
    </row>
    <row r="41" customFormat="false" ht="15" hidden="false" customHeight="false" outlineLevel="0" collapsed="false">
      <c r="A41" s="2"/>
      <c r="B41" s="12" t="s">
        <v>89</v>
      </c>
      <c r="C41" s="13" t="n">
        <f aca="false">MAX(Trades!$AF$2:$AF$884)</f>
        <v>2246.72</v>
      </c>
      <c r="D41" s="14" t="s">
        <v>90</v>
      </c>
      <c r="E41" s="15"/>
      <c r="F41" s="16" t="s">
        <v>91</v>
      </c>
    </row>
    <row r="42" customFormat="false" ht="15" hidden="false" customHeight="false" outlineLevel="0" collapsed="false">
      <c r="A42" s="2"/>
      <c r="B42" s="12" t="s">
        <v>92</v>
      </c>
      <c r="C42" s="17" t="n">
        <f aca="false">MAX(Trades!$AG$2:$AG$884)</f>
        <v>0.0192235951079907</v>
      </c>
      <c r="D42" s="14" t="s">
        <v>93</v>
      </c>
      <c r="E42" s="15" t="str">
        <f aca="false">IF(C42&lt;=C8/2,"Safe",IF(C42&lt;=C8,"Close to limit","Breach"))</f>
        <v>Safe</v>
      </c>
      <c r="F42" s="16" t="s">
        <v>94</v>
      </c>
    </row>
    <row r="43" customFormat="false" ht="15" hidden="false" customHeight="false" outlineLevel="0" collapsed="false">
      <c r="A43" s="2"/>
      <c r="B43" s="12" t="s">
        <v>95</v>
      </c>
      <c r="C43" s="13" t="n">
        <f aca="false">MIN(Daily!F2:F777)</f>
        <v>-863.72</v>
      </c>
      <c r="D43" s="14"/>
      <c r="E43" s="15"/>
      <c r="F43" s="16" t="s">
        <v>96</v>
      </c>
    </row>
    <row r="44" customFormat="false" ht="15" hidden="false" customHeight="false" outlineLevel="0" collapsed="false">
      <c r="A44" s="2"/>
      <c r="B44" s="12" t="s">
        <v>97</v>
      </c>
      <c r="C44" s="17" t="n">
        <f aca="false">MIN(Daily!N2:N777)</f>
        <v>-0.00739064250124286</v>
      </c>
      <c r="D44" s="14"/>
      <c r="E44" s="15" t="str">
        <f aca="false">IF(-C44&gt;=C7,"Breach","OK")</f>
        <v>OK</v>
      </c>
      <c r="F44" s="16" t="s">
        <v>98</v>
      </c>
    </row>
    <row r="45" customFormat="false" ht="15" hidden="false" customHeight="false" outlineLevel="0" collapsed="false">
      <c r="A45" s="2"/>
      <c r="B45" s="12" t="s">
        <v>99</v>
      </c>
      <c r="C45" s="19" t="n">
        <f aca="false">COUNTIF(Daily!O2:O777,"BREACH")</f>
        <v>0</v>
      </c>
      <c r="D45" s="14"/>
      <c r="E45" s="15"/>
      <c r="F45" s="16"/>
    </row>
    <row r="46" customFormat="false" ht="15" hidden="false" customHeight="false" outlineLevel="0" collapsed="false">
      <c r="A46" s="2"/>
      <c r="B46" s="12" t="s">
        <v>100</v>
      </c>
      <c r="C46" s="13" t="n">
        <f aca="false">MIN(Weekly!F2:F183)</f>
        <v>-1014.69</v>
      </c>
      <c r="D46" s="14"/>
      <c r="E46" s="15"/>
      <c r="F46" s="16"/>
    </row>
    <row r="47" customFormat="false" ht="15" hidden="false" customHeight="false" outlineLevel="0" collapsed="false">
      <c r="A47" s="2"/>
      <c r="B47" s="12" t="s">
        <v>101</v>
      </c>
      <c r="C47" s="13" t="n">
        <f aca="false">MIN(Monthly!F2:F43)</f>
        <v>-746.08</v>
      </c>
      <c r="D47" s="14"/>
      <c r="E47" s="15"/>
      <c r="F47" s="16"/>
    </row>
    <row r="48" customFormat="false" ht="15" hidden="false" customHeight="false" outlineLevel="0" collapsed="false">
      <c r="A48" s="2"/>
      <c r="B48" s="12" t="s">
        <v>102</v>
      </c>
      <c r="C48" s="18" t="n">
        <f aca="false">IFERROR(C12/C41,0)</f>
        <v>7.88602496083179</v>
      </c>
      <c r="D48" s="14" t="n">
        <v>7.172922</v>
      </c>
      <c r="E48" s="15"/>
      <c r="F48" s="16" t="s">
        <v>103</v>
      </c>
    </row>
    <row r="49" customFormat="false" ht="15" hidden="false" customHeight="false" outlineLevel="0" collapsed="false">
      <c r="A49" s="2"/>
      <c r="B49" s="10" t="s">
        <v>104</v>
      </c>
      <c r="C49" s="11"/>
      <c r="D49" s="11"/>
      <c r="E49" s="11"/>
      <c r="F49" s="11"/>
    </row>
    <row r="50" customFormat="false" ht="15" hidden="false" customHeight="false" outlineLevel="0" collapsed="false">
      <c r="A50" s="2"/>
      <c r="B50" s="12" t="s">
        <v>105</v>
      </c>
      <c r="C50" s="19" t="n">
        <f aca="false">COUNT(Daily!A2:A777)</f>
        <v>776</v>
      </c>
      <c r="D50" s="14"/>
      <c r="E50" s="15"/>
      <c r="F50" s="16" t="s">
        <v>106</v>
      </c>
    </row>
    <row r="51" customFormat="false" ht="15" hidden="false" customHeight="false" outlineLevel="0" collapsed="false">
      <c r="A51" s="2"/>
      <c r="B51" s="12" t="s">
        <v>107</v>
      </c>
      <c r="C51" s="17" t="n">
        <f aca="false">IFERROR(COUNTIF(Daily!F2:F777,"&gt;0")/C50,0)</f>
        <v>0.341494845360825</v>
      </c>
      <c r="D51" s="14"/>
      <c r="E51" s="15"/>
      <c r="F51" s="16"/>
    </row>
    <row r="52" customFormat="false" ht="15" hidden="false" customHeight="false" outlineLevel="0" collapsed="false">
      <c r="A52" s="2"/>
      <c r="B52" s="12" t="s">
        <v>108</v>
      </c>
      <c r="C52" s="13" t="n">
        <f aca="false">IFERROR(C12/C50,0)</f>
        <v>22.832074742268</v>
      </c>
      <c r="D52" s="14"/>
      <c r="E52" s="15"/>
      <c r="F52" s="16"/>
    </row>
    <row r="53" customFormat="false" ht="15" hidden="false" customHeight="false" outlineLevel="0" collapsed="false">
      <c r="A53" s="2"/>
      <c r="B53" s="12" t="s">
        <v>109</v>
      </c>
      <c r="C53" s="23" t="str">
        <f aca="false">COUNTIF(Monthly!F2:F43,"&gt;0")&amp;" of "&amp;COUNT(Monthly!F2:F43)</f>
        <v>28 of 42</v>
      </c>
      <c r="D53" s="14"/>
      <c r="E53" s="15"/>
      <c r="F53" s="16"/>
    </row>
    <row r="54" customFormat="false" ht="15" hidden="false" customHeight="false" outlineLevel="0" collapsed="false">
      <c r="A54" s="2"/>
      <c r="B54" s="12" t="s">
        <v>110</v>
      </c>
      <c r="C54" s="13" t="n">
        <f aca="false">AVERAGE(Monthly!F2:F43)</f>
        <v>421.849761904762</v>
      </c>
      <c r="D54" s="14"/>
      <c r="E54" s="15"/>
      <c r="F54" s="16"/>
    </row>
    <row r="55" customFormat="false" ht="15" hidden="false" customHeight="false" outlineLevel="0" collapsed="false">
      <c r="A55" s="2"/>
      <c r="B55" s="12" t="s">
        <v>111</v>
      </c>
      <c r="C55" s="17" t="n">
        <f aca="false">IFERROR(MAX(Daily!F2:F777)/C12,0)</f>
        <v>0.0582186503996853</v>
      </c>
      <c r="D55" s="14"/>
      <c r="E55" s="15" t="str">
        <f aca="false">IF(C55&gt;0.3,"Too concentrated","OK")</f>
        <v>OK</v>
      </c>
      <c r="F55" s="16" t="s">
        <v>112</v>
      </c>
    </row>
    <row r="56" customFormat="false" ht="15" hidden="false" customHeight="false" outlineLevel="0" collapsed="false">
      <c r="A56" s="2"/>
      <c r="B56" s="12" t="s">
        <v>113</v>
      </c>
      <c r="C56" s="24" t="n">
        <f aca="false">MEDIAN(Trades!$AA$2:$AA$884)</f>
        <v>11.3</v>
      </c>
      <c r="D56" s="14" t="s">
        <v>114</v>
      </c>
      <c r="E56" s="15"/>
      <c r="F56" s="16" t="s">
        <v>115</v>
      </c>
    </row>
    <row r="57" customFormat="false" ht="15" hidden="false" customHeight="false" outlineLevel="0" collapsed="false">
      <c r="A57" s="2"/>
      <c r="B57" s="12" t="s">
        <v>116</v>
      </c>
      <c r="C57" s="12"/>
      <c r="D57" s="14" t="n">
        <v>10.95045</v>
      </c>
      <c r="E57" s="15"/>
      <c r="F57" s="16" t="s">
        <v>117</v>
      </c>
    </row>
    <row r="58" customFormat="false" ht="15" hidden="false" customHeight="false" outlineLevel="0" collapsed="false">
      <c r="A58" s="2"/>
      <c r="B58" s="12" t="s">
        <v>118</v>
      </c>
      <c r="C58" s="12"/>
      <c r="D58" s="14" t="s">
        <v>119</v>
      </c>
      <c r="E58" s="15"/>
      <c r="F58" s="16" t="s">
        <v>120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7.35" hidden="false" customHeight="false" outlineLevel="0" collapsed="false">
      <c r="A60" s="2"/>
      <c r="B60" s="1" t="s">
        <v>121</v>
      </c>
      <c r="C60" s="2"/>
      <c r="D60" s="2"/>
      <c r="E60" s="2"/>
      <c r="F60" s="2"/>
    </row>
    <row r="61" customFormat="false" ht="45" hidden="false" customHeight="true" outlineLevel="0" collapsed="false">
      <c r="A61" s="2"/>
      <c r="B61" s="25" t="s">
        <v>122</v>
      </c>
      <c r="C61" s="25"/>
      <c r="D61" s="25"/>
      <c r="E61" s="25"/>
      <c r="F61" s="25"/>
    </row>
    <row r="62" customFormat="false" ht="45" hidden="false" customHeight="true" outlineLevel="0" collapsed="false">
      <c r="A62" s="2"/>
      <c r="B62" s="25" t="s">
        <v>123</v>
      </c>
      <c r="C62" s="25"/>
      <c r="D62" s="25"/>
      <c r="E62" s="25"/>
      <c r="F62" s="25"/>
    </row>
    <row r="63" customFormat="false" ht="45" hidden="false" customHeight="true" outlineLevel="0" collapsed="false">
      <c r="A63" s="2"/>
      <c r="B63" s="25" t="s">
        <v>124</v>
      </c>
      <c r="C63" s="25"/>
      <c r="D63" s="25"/>
      <c r="E63" s="25"/>
      <c r="F63" s="25"/>
    </row>
    <row r="64" customFormat="false" ht="45" hidden="false" customHeight="true" outlineLevel="0" collapsed="false">
      <c r="A64" s="2"/>
      <c r="B64" s="25" t="s">
        <v>125</v>
      </c>
      <c r="C64" s="25"/>
      <c r="D64" s="25"/>
      <c r="E64" s="25"/>
      <c r="F64" s="25"/>
    </row>
    <row r="65" customFormat="false" ht="45" hidden="false" customHeight="true" outlineLevel="0" collapsed="false">
      <c r="A65" s="2"/>
      <c r="B65" s="25" t="s">
        <v>126</v>
      </c>
      <c r="C65" s="25"/>
      <c r="D65" s="25"/>
      <c r="E65" s="25"/>
      <c r="F65" s="25"/>
    </row>
    <row r="66" customFormat="false" ht="45" hidden="false" customHeight="true" outlineLevel="0" collapsed="false">
      <c r="A66" s="2"/>
      <c r="B66" s="25" t="s">
        <v>127</v>
      </c>
      <c r="C66" s="25"/>
      <c r="D66" s="25"/>
      <c r="E66" s="25"/>
      <c r="F66" s="25"/>
    </row>
    <row r="67" customFormat="false" ht="45" hidden="false" customHeight="true" outlineLevel="0" collapsed="false">
      <c r="A67" s="2"/>
      <c r="B67" s="25" t="s">
        <v>128</v>
      </c>
      <c r="C67" s="25"/>
      <c r="D67" s="25"/>
      <c r="E67" s="25"/>
      <c r="F67" s="25"/>
    </row>
    <row r="68" customFormat="false" ht="45" hidden="false" customHeight="true" outlineLevel="0" collapsed="false">
      <c r="A68" s="2"/>
      <c r="B68" s="25" t="s">
        <v>129</v>
      </c>
      <c r="C68" s="25"/>
      <c r="D68" s="25"/>
      <c r="E68" s="25"/>
      <c r="F68" s="25"/>
    </row>
    <row r="69" customFormat="false" ht="45" hidden="false" customHeight="true" outlineLevel="0" collapsed="false">
      <c r="A69" s="2"/>
      <c r="B69" s="25" t="s">
        <v>130</v>
      </c>
      <c r="C69" s="25"/>
      <c r="D69" s="25"/>
      <c r="E69" s="25"/>
      <c r="F69" s="25"/>
    </row>
    <row r="70" customFormat="false" ht="45" hidden="false" customHeight="true" outlineLevel="0" collapsed="false">
      <c r="A70" s="2"/>
      <c r="B70" s="25" t="s">
        <v>131</v>
      </c>
      <c r="C70" s="25"/>
      <c r="D70" s="25"/>
      <c r="E70" s="25"/>
      <c r="F70" s="25"/>
    </row>
  </sheetData>
  <mergeCells count="10"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6" t="s">
        <v>132</v>
      </c>
      <c r="B1" s="26" t="s">
        <v>7</v>
      </c>
      <c r="C1" s="26" t="s">
        <v>56</v>
      </c>
      <c r="D1" s="26" t="s">
        <v>58</v>
      </c>
      <c r="E1" s="26" t="s">
        <v>61</v>
      </c>
      <c r="F1" s="26" t="s">
        <v>42</v>
      </c>
      <c r="G1" s="26" t="s">
        <v>46</v>
      </c>
      <c r="H1" s="26" t="s">
        <v>48</v>
      </c>
      <c r="I1" s="26" t="s">
        <v>50</v>
      </c>
      <c r="J1" s="26" t="s">
        <v>133</v>
      </c>
      <c r="K1" s="26" t="s">
        <v>134</v>
      </c>
      <c r="L1" s="26" t="s">
        <v>84</v>
      </c>
      <c r="M1" s="26" t="s">
        <v>135</v>
      </c>
      <c r="N1" s="26" t="s">
        <v>136</v>
      </c>
      <c r="O1" s="26" t="s">
        <v>137</v>
      </c>
      <c r="P1" s="26" t="s">
        <v>138</v>
      </c>
      <c r="Q1" s="26" t="s">
        <v>139</v>
      </c>
    </row>
    <row r="2" customFormat="false" ht="15" hidden="false" customHeight="false" outlineLevel="0" collapsed="false">
      <c r="A2" s="27" t="n">
        <v>2023</v>
      </c>
      <c r="B2" s="28" t="n">
        <f aca="false">COUNTIFS(Trades!$G$2:$G$884,$A2)</f>
        <v>194</v>
      </c>
      <c r="C2" s="28" t="n">
        <f aca="false">COUNTIFS(Trades!$G$2:$G$884,$A2,Trades!$Z$2:$Z$884,"Win")</f>
        <v>65</v>
      </c>
      <c r="D2" s="28" t="n">
        <f aca="false">COUNTIFS(Trades!$G$2:$G$884,$A2,Trades!$Z$2:$Z$884,"Loss")</f>
        <v>129</v>
      </c>
      <c r="E2" s="29" t="n">
        <f aca="false">IFERROR(C2/B2,0)</f>
        <v>0.335051546391753</v>
      </c>
      <c r="F2" s="30" t="n">
        <f aca="false">SUMIFS(Trades!$X$2:$X$884,Trades!$G$2:$G$884,$A2)</f>
        <v>4466.65</v>
      </c>
      <c r="G2" s="30" t="n">
        <f aca="false">SUMIFS(Trades!$X$2:$X$884,Trades!$G$2:$G$884,$A2,Trades!$X$2:$X$884,"&gt;0")</f>
        <v>12898.01</v>
      </c>
      <c r="H2" s="30" t="n">
        <f aca="false">SUMIFS(Trades!$X$2:$X$884,Trades!$G$2:$G$884,$A2,Trades!$X$2:$X$884,"&lt;0")</f>
        <v>-8431.36</v>
      </c>
      <c r="I2" s="31" t="n">
        <f aca="false">IFERROR(G2/-H2,"no loss")</f>
        <v>1.52976625360559</v>
      </c>
      <c r="J2" s="30" t="n">
        <f aca="false">_xlfn.MAXIFS(Trades!$X$2:$X$884,Trades!$G$2:$G$884,$A2)</f>
        <v>637.98</v>
      </c>
      <c r="K2" s="30" t="n">
        <f aca="false">_xlfn.MINIFS(Trades!$X$2:$X$884,Trades!$G$2:$G$884,$A2)</f>
        <v>-420.99</v>
      </c>
      <c r="L2" s="32" t="n">
        <f aca="false">SUMIFS(Trades!$Y$2:$Y$884,Trades!$G$2:$G$884,$A2)</f>
        <v>39.248908157384</v>
      </c>
      <c r="M2" s="30" t="n">
        <f aca="false">Summary!$C$5</f>
        <v>100000</v>
      </c>
      <c r="N2" s="29" t="n">
        <f aca="false">IFERROR(F2/M2,0)</f>
        <v>0.0446665</v>
      </c>
      <c r="O2" s="28" t="str">
        <f aca="false">IF(F2&gt;0,"up","down")</f>
        <v>up</v>
      </c>
      <c r="P2" s="30" t="n">
        <f aca="false">M2+F2</f>
        <v>104466.65</v>
      </c>
      <c r="Q2" s="30" t="n">
        <f aca="false">P2-Summary!$C$5</f>
        <v>4466.64999999999</v>
      </c>
    </row>
    <row r="3" customFormat="false" ht="15" hidden="false" customHeight="false" outlineLevel="0" collapsed="false">
      <c r="A3" s="27" t="n">
        <v>2024</v>
      </c>
      <c r="B3" s="28" t="n">
        <f aca="false">COUNTIFS(Trades!$G$2:$G$884,$A3)</f>
        <v>244</v>
      </c>
      <c r="C3" s="28" t="n">
        <f aca="false">COUNTIFS(Trades!$G$2:$G$884,$A3,Trades!$Z$2:$Z$884,"Win")</f>
        <v>73</v>
      </c>
      <c r="D3" s="28" t="n">
        <f aca="false">COUNTIFS(Trades!$G$2:$G$884,$A3,Trades!$Z$2:$Z$884,"Loss")</f>
        <v>167</v>
      </c>
      <c r="E3" s="29" t="n">
        <f aca="false">IFERROR(C3/B3,0)</f>
        <v>0.299180327868852</v>
      </c>
      <c r="F3" s="30" t="n">
        <f aca="false">SUMIFS(Trades!$X$2:$X$884,Trades!$G$2:$G$884,$A3)</f>
        <v>2375.02</v>
      </c>
      <c r="G3" s="30" t="n">
        <f aca="false">SUMIFS(Trades!$X$2:$X$884,Trades!$G$2:$G$884,$A3,Trades!$X$2:$X$884,"&gt;0")</f>
        <v>13635.8</v>
      </c>
      <c r="H3" s="30" t="n">
        <f aca="false">SUMIFS(Trades!$X$2:$X$884,Trades!$G$2:$G$884,$A3,Trades!$X$2:$X$884,"&lt;0")</f>
        <v>-11260.78</v>
      </c>
      <c r="I3" s="31" t="n">
        <f aca="false">IFERROR(G3/-H3,"no loss")</f>
        <v>1.2109107894835</v>
      </c>
      <c r="J3" s="30" t="n">
        <f aca="false">_xlfn.MAXIFS(Trades!$X$2:$X$884,Trades!$G$2:$G$884,$A3)</f>
        <v>556.6</v>
      </c>
      <c r="K3" s="30" t="n">
        <f aca="false">_xlfn.MINIFS(Trades!$X$2:$X$884,Trades!$G$2:$G$884,$A3)</f>
        <v>-455.88</v>
      </c>
      <c r="L3" s="32" t="n">
        <f aca="false">SUMIFS(Trades!$Y$2:$Y$884,Trades!$G$2:$G$884,$A3)</f>
        <v>42.4230845426008</v>
      </c>
      <c r="M3" s="30" t="n">
        <f aca="false">P2</f>
        <v>104466.65</v>
      </c>
      <c r="N3" s="29" t="n">
        <f aca="false">IFERROR(F3/M3,0)</f>
        <v>0.0227347196449776</v>
      </c>
      <c r="O3" s="28" t="str">
        <f aca="false">IF(F3&gt;0,"up","down")</f>
        <v>up</v>
      </c>
      <c r="P3" s="30" t="n">
        <f aca="false">M3+F3</f>
        <v>106841.67</v>
      </c>
      <c r="Q3" s="30" t="n">
        <f aca="false">P3-Summary!$C$5</f>
        <v>6841.67</v>
      </c>
    </row>
    <row r="4" customFormat="false" ht="15" hidden="false" customHeight="false" outlineLevel="0" collapsed="false">
      <c r="A4" s="27" t="n">
        <v>2025</v>
      </c>
      <c r="B4" s="28" t="n">
        <f aca="false">COUNTIFS(Trades!$G$2:$G$884,$A4)</f>
        <v>257</v>
      </c>
      <c r="C4" s="28" t="n">
        <f aca="false">COUNTIFS(Trades!$G$2:$G$884,$A4,Trades!$Z$2:$Z$884,"Win")</f>
        <v>84</v>
      </c>
      <c r="D4" s="28" t="n">
        <f aca="false">COUNTIFS(Trades!$G$2:$G$884,$A4,Trades!$Z$2:$Z$884,"Loss")</f>
        <v>170</v>
      </c>
      <c r="E4" s="29" t="n">
        <f aca="false">IFERROR(C4/B4,0)</f>
        <v>0.326848249027237</v>
      </c>
      <c r="F4" s="30" t="n">
        <f aca="false">SUMIFS(Trades!$X$2:$X$884,Trades!$G$2:$G$884,$A4)</f>
        <v>7225.36</v>
      </c>
      <c r="G4" s="30" t="n">
        <f aca="false">SUMIFS(Trades!$X$2:$X$884,Trades!$G$2:$G$884,$A4,Trades!$X$2:$X$884,"&gt;0")</f>
        <v>22275.79</v>
      </c>
      <c r="H4" s="30" t="n">
        <f aca="false">SUMIFS(Trades!$X$2:$X$884,Trades!$G$2:$G$884,$A4,Trades!$X$2:$X$884,"&lt;0")</f>
        <v>-15050.43</v>
      </c>
      <c r="I4" s="31" t="n">
        <f aca="false">IFERROR(G4/-H4,"no loss")</f>
        <v>1.48007664897282</v>
      </c>
      <c r="J4" s="30" t="n">
        <f aca="false">_xlfn.MAXIFS(Trades!$X$2:$X$884,Trades!$G$2:$G$884,$A4)</f>
        <v>1033.59</v>
      </c>
      <c r="K4" s="30" t="n">
        <f aca="false">_xlfn.MINIFS(Trades!$X$2:$X$884,Trades!$G$2:$G$884,$A4)</f>
        <v>-537.23</v>
      </c>
      <c r="L4" s="32" t="n">
        <f aca="false">SUMIFS(Trades!$Y$2:$Y$884,Trades!$G$2:$G$884,$A4)</f>
        <v>52.738722566121</v>
      </c>
      <c r="M4" s="30" t="n">
        <f aca="false">P3</f>
        <v>106841.67</v>
      </c>
      <c r="N4" s="29" t="n">
        <f aca="false">IFERROR(F4/M4,0)</f>
        <v>0.0676267976717324</v>
      </c>
      <c r="O4" s="28" t="str">
        <f aca="false">IF(F4&gt;0,"up","down")</f>
        <v>up</v>
      </c>
      <c r="P4" s="30" t="n">
        <f aca="false">M4+F4</f>
        <v>114067.03</v>
      </c>
      <c r="Q4" s="30" t="n">
        <f aca="false">P4-Summary!$C$5</f>
        <v>14067.03</v>
      </c>
    </row>
    <row r="5" customFormat="false" ht="15" hidden="false" customHeight="false" outlineLevel="0" collapsed="false">
      <c r="A5" s="27" t="n">
        <v>2026</v>
      </c>
      <c r="B5" s="28" t="n">
        <f aca="false">COUNTIFS(Trades!$G$2:$G$884,$A5)</f>
        <v>188</v>
      </c>
      <c r="C5" s="28" t="n">
        <f aca="false">COUNTIFS(Trades!$G$2:$G$884,$A5,Trades!$Z$2:$Z$884,"Win")</f>
        <v>60</v>
      </c>
      <c r="D5" s="28" t="n">
        <f aca="false">COUNTIFS(Trades!$G$2:$G$884,$A5,Trades!$Z$2:$Z$884,"Loss")</f>
        <v>127</v>
      </c>
      <c r="E5" s="29" t="n">
        <f aca="false">IFERROR(C5/B5,0)</f>
        <v>0.319148936170213</v>
      </c>
      <c r="F5" s="30" t="n">
        <f aca="false">SUMIFS(Trades!$X$2:$X$884,Trades!$G$2:$G$884,$A5)</f>
        <v>3650.66</v>
      </c>
      <c r="G5" s="30" t="n">
        <f aca="false">SUMIFS(Trades!$X$2:$X$884,Trades!$G$2:$G$884,$A5,Trades!$X$2:$X$884,"&gt;0")</f>
        <v>15524.91</v>
      </c>
      <c r="H5" s="30" t="n">
        <f aca="false">SUMIFS(Trades!$X$2:$X$884,Trades!$G$2:$G$884,$A5,Trades!$X$2:$X$884,"&lt;0")</f>
        <v>-11874.25</v>
      </c>
      <c r="I5" s="31" t="n">
        <f aca="false">IFERROR(G5/-H5,"no loss")</f>
        <v>1.307443417479</v>
      </c>
      <c r="J5" s="30" t="n">
        <f aca="false">_xlfn.MAXIFS(Trades!$X$2:$X$884,Trades!$G$2:$G$884,$A5)</f>
        <v>721.31</v>
      </c>
      <c r="K5" s="30" t="n">
        <f aca="false">_xlfn.MINIFS(Trades!$X$2:$X$884,Trades!$G$2:$G$884,$A5)</f>
        <v>-568.08</v>
      </c>
      <c r="L5" s="32" t="n">
        <f aca="false">SUMIFS(Trades!$Y$2:$Y$884,Trades!$G$2:$G$884,$A5)</f>
        <v>42.2587281395161</v>
      </c>
      <c r="M5" s="30" t="n">
        <f aca="false">P4</f>
        <v>114067.03</v>
      </c>
      <c r="N5" s="29" t="n">
        <f aca="false">IFERROR(F5/M5,0)</f>
        <v>0.032004515239855</v>
      </c>
      <c r="O5" s="28" t="str">
        <f aca="false">IF(F5&gt;0,"up","down")</f>
        <v>up</v>
      </c>
      <c r="P5" s="30" t="n">
        <f aca="false">M5+F5</f>
        <v>117717.69</v>
      </c>
      <c r="Q5" s="30" t="n">
        <f aca="false">P5-Summary!$C$5</f>
        <v>17717.69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33" t="s">
        <v>140</v>
      </c>
      <c r="B7" s="33" t="n">
        <f aca="false">SUM(B2:B5)</f>
        <v>883</v>
      </c>
      <c r="C7" s="33" t="n">
        <f aca="false">SUM(C2:C5)</f>
        <v>282</v>
      </c>
      <c r="D7" s="33" t="n">
        <f aca="false">SUM(D2:D5)</f>
        <v>593</v>
      </c>
      <c r="E7" s="34" t="n">
        <f aca="false">IFERROR(C7/B7,0)</f>
        <v>0.319365798414496</v>
      </c>
      <c r="F7" s="35" t="n">
        <f aca="false">SUM(F2:F5)</f>
        <v>17717.69</v>
      </c>
      <c r="G7" s="35" t="n">
        <f aca="false">SUM(G2:G5)</f>
        <v>64334.51</v>
      </c>
      <c r="H7" s="35" t="n">
        <f aca="false">SUM(H2:H5)</f>
        <v>-46616.82</v>
      </c>
      <c r="I7" s="36" t="n">
        <f aca="false">IFERROR(G7/-H7,0)</f>
        <v>1.38007075557706</v>
      </c>
      <c r="J7" s="37"/>
      <c r="K7" s="37"/>
      <c r="L7" s="38" t="n">
        <f aca="false">SUM(L2:L5)</f>
        <v>176.669443405622</v>
      </c>
      <c r="M7" s="37"/>
      <c r="N7" s="34" t="n">
        <f aca="false">IFERROR(F7/M2,0)</f>
        <v>0.1771769</v>
      </c>
      <c r="O7" s="37" t="str">
        <f aca="false">COUNTIF(F2:F5,"&gt;0")&amp;" up / "&amp;COUNTIF(F2:F5,"&lt;0")&amp;" down"</f>
        <v>4 up / 0 down</v>
      </c>
      <c r="P7" s="37"/>
      <c r="Q7" s="37"/>
    </row>
    <row r="8" customFormat="false" ht="15" hidden="false" customHeight="false" outlineLevel="0" collapsed="false">
      <c r="A8" s="5" t="s">
        <v>141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</sheetData>
  <conditionalFormatting sqref="F2:F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6" t="s">
        <v>142</v>
      </c>
      <c r="B1" s="26" t="s">
        <v>7</v>
      </c>
      <c r="C1" s="26" t="s">
        <v>56</v>
      </c>
      <c r="D1" s="26" t="s">
        <v>58</v>
      </c>
      <c r="E1" s="26" t="s">
        <v>61</v>
      </c>
      <c r="F1" s="26" t="s">
        <v>42</v>
      </c>
      <c r="G1" s="26" t="s">
        <v>46</v>
      </c>
      <c r="H1" s="26" t="s">
        <v>48</v>
      </c>
      <c r="I1" s="26" t="s">
        <v>50</v>
      </c>
      <c r="J1" s="26" t="s">
        <v>133</v>
      </c>
      <c r="K1" s="26" t="s">
        <v>134</v>
      </c>
      <c r="L1" s="26" t="s">
        <v>84</v>
      </c>
      <c r="M1" s="26" t="s">
        <v>135</v>
      </c>
      <c r="N1" s="26" t="s">
        <v>136</v>
      </c>
      <c r="O1" s="26" t="s">
        <v>137</v>
      </c>
      <c r="P1" s="26" t="s">
        <v>138</v>
      </c>
      <c r="Q1" s="26" t="s">
        <v>139</v>
      </c>
    </row>
    <row r="2" customFormat="false" ht="15" hidden="false" customHeight="false" outlineLevel="0" collapsed="false">
      <c r="A2" s="28" t="s">
        <v>143</v>
      </c>
      <c r="B2" s="28" t="n">
        <f aca="false">COUNTIFS(Trades!$F$2:$F$884,$A2)</f>
        <v>18</v>
      </c>
      <c r="C2" s="28" t="n">
        <f aca="false">COUNTIFS(Trades!$F$2:$F$884,$A2,Trades!$Z$2:$Z$884,"Win")</f>
        <v>5</v>
      </c>
      <c r="D2" s="28" t="n">
        <f aca="false">COUNTIFS(Trades!$F$2:$F$884,$A2,Trades!$Z$2:$Z$884,"Loss")</f>
        <v>13</v>
      </c>
      <c r="E2" s="29" t="n">
        <f aca="false">IFERROR(C2/B2,0)</f>
        <v>0.277777777777778</v>
      </c>
      <c r="F2" s="30" t="n">
        <f aca="false">SUMIFS(Trades!$X$2:$X$884,Trades!$F$2:$F$884,$A2)</f>
        <v>-638.22</v>
      </c>
      <c r="G2" s="30" t="n">
        <f aca="false">SUMIFS(Trades!$X$2:$X$884,Trades!$F$2:$F$884,$A2,Trades!$X$2:$X$884,"&gt;0")</f>
        <v>580.99</v>
      </c>
      <c r="H2" s="30" t="n">
        <f aca="false">SUMIFS(Trades!$X$2:$X$884,Trades!$F$2:$F$884,$A2,Trades!$X$2:$X$884,"&lt;0")</f>
        <v>-1219.21</v>
      </c>
      <c r="I2" s="31" t="n">
        <f aca="false">IFERROR(G2/-H2,"no loss")</f>
        <v>0.476529884105281</v>
      </c>
      <c r="J2" s="30" t="n">
        <f aca="false">_xlfn.MAXIFS(Trades!$X$2:$X$884,Trades!$F$2:$F$884,$A2)</f>
        <v>170.07</v>
      </c>
      <c r="K2" s="30" t="n">
        <f aca="false">_xlfn.MINIFS(Trades!$X$2:$X$884,Trades!$F$2:$F$884,$A2)</f>
        <v>-354.48</v>
      </c>
      <c r="L2" s="32" t="n">
        <f aca="false">SUMIFS(Trades!$Y$2:$Y$884,Trades!$F$2:$F$884,$A2)</f>
        <v>-1.27768093552046</v>
      </c>
      <c r="M2" s="30" t="n">
        <f aca="false">Summary!$C$5</f>
        <v>100000</v>
      </c>
      <c r="N2" s="29" t="n">
        <f aca="false">IFERROR(F2/M2,0)</f>
        <v>-0.0063822</v>
      </c>
      <c r="O2" s="28" t="str">
        <f aca="false">IF(F2&gt;0,"up","down")</f>
        <v>down</v>
      </c>
      <c r="P2" s="30" t="n">
        <f aca="false">M2+F2</f>
        <v>99361.78</v>
      </c>
      <c r="Q2" s="30" t="n">
        <f aca="false">P2-Summary!$C$5</f>
        <v>-638.220000000001</v>
      </c>
    </row>
    <row r="3" customFormat="false" ht="15" hidden="false" customHeight="false" outlineLevel="0" collapsed="false">
      <c r="A3" s="28" t="s">
        <v>144</v>
      </c>
      <c r="B3" s="28" t="n">
        <f aca="false">COUNTIFS(Trades!$F$2:$F$884,$A3)</f>
        <v>25</v>
      </c>
      <c r="C3" s="28" t="n">
        <f aca="false">COUNTIFS(Trades!$F$2:$F$884,$A3,Trades!$Z$2:$Z$884,"Win")</f>
        <v>6</v>
      </c>
      <c r="D3" s="28" t="n">
        <f aca="false">COUNTIFS(Trades!$F$2:$F$884,$A3,Trades!$Z$2:$Z$884,"Loss")</f>
        <v>19</v>
      </c>
      <c r="E3" s="29" t="n">
        <f aca="false">IFERROR(C3/B3,0)</f>
        <v>0.24</v>
      </c>
      <c r="F3" s="30" t="n">
        <f aca="false">SUMIFS(Trades!$X$2:$X$884,Trades!$F$2:$F$884,$A3)</f>
        <v>-25.49</v>
      </c>
      <c r="G3" s="30" t="n">
        <f aca="false">SUMIFS(Trades!$X$2:$X$884,Trades!$F$2:$F$884,$A3,Trades!$X$2:$X$884,"&gt;0")</f>
        <v>1303.66</v>
      </c>
      <c r="H3" s="30" t="n">
        <f aca="false">SUMIFS(Trades!$X$2:$X$884,Trades!$F$2:$F$884,$A3,Trades!$X$2:$X$884,"&lt;0")</f>
        <v>-1329.15</v>
      </c>
      <c r="I3" s="31" t="n">
        <f aca="false">IFERROR(G3/-H3,"no loss")</f>
        <v>0.980822330060565</v>
      </c>
      <c r="J3" s="30" t="n">
        <f aca="false">_xlfn.MAXIFS(Trades!$X$2:$X$884,Trades!$F$2:$F$884,$A3)</f>
        <v>316.67</v>
      </c>
      <c r="K3" s="30" t="n">
        <f aca="false">_xlfn.MINIFS(Trades!$X$2:$X$884,Trades!$F$2:$F$884,$A3)</f>
        <v>-365.06</v>
      </c>
      <c r="L3" s="32" t="n">
        <f aca="false">SUMIFS(Trades!$Y$2:$Y$884,Trades!$F$2:$F$884,$A3)</f>
        <v>-2.50430162104863</v>
      </c>
      <c r="M3" s="30" t="n">
        <f aca="false">P2</f>
        <v>99361.78</v>
      </c>
      <c r="N3" s="29" t="n">
        <f aca="false">IFERROR(F3/M3,0)</f>
        <v>-0.000256537272178498</v>
      </c>
      <c r="O3" s="28" t="str">
        <f aca="false">IF(F3&gt;0,"up","down")</f>
        <v>down</v>
      </c>
      <c r="P3" s="30" t="n">
        <f aca="false">M3+F3</f>
        <v>99336.29</v>
      </c>
      <c r="Q3" s="30" t="n">
        <f aca="false">P3-Summary!$C$5</f>
        <v>-663.710000000006</v>
      </c>
    </row>
    <row r="4" customFormat="false" ht="15" hidden="false" customHeight="false" outlineLevel="0" collapsed="false">
      <c r="A4" s="28" t="s">
        <v>145</v>
      </c>
      <c r="B4" s="28" t="n">
        <f aca="false">COUNTIFS(Trades!$F$2:$F$884,$A4)</f>
        <v>21</v>
      </c>
      <c r="C4" s="28" t="n">
        <f aca="false">COUNTIFS(Trades!$F$2:$F$884,$A4,Trades!$Z$2:$Z$884,"Win")</f>
        <v>9</v>
      </c>
      <c r="D4" s="28" t="n">
        <f aca="false">COUNTIFS(Trades!$F$2:$F$884,$A4,Trades!$Z$2:$Z$884,"Loss")</f>
        <v>12</v>
      </c>
      <c r="E4" s="29" t="n">
        <f aca="false">IFERROR(C4/B4,0)</f>
        <v>0.428571428571429</v>
      </c>
      <c r="F4" s="30" t="n">
        <f aca="false">SUMIFS(Trades!$X$2:$X$884,Trades!$F$2:$F$884,$A4)</f>
        <v>1177.99</v>
      </c>
      <c r="G4" s="30" t="n">
        <f aca="false">SUMIFS(Trades!$X$2:$X$884,Trades!$F$2:$F$884,$A4,Trades!$X$2:$X$884,"&gt;0")</f>
        <v>1683.87</v>
      </c>
      <c r="H4" s="30" t="n">
        <f aca="false">SUMIFS(Trades!$X$2:$X$884,Trades!$F$2:$F$884,$A4,Trades!$X$2:$X$884,"&lt;0")</f>
        <v>-505.88</v>
      </c>
      <c r="I4" s="31" t="n">
        <f aca="false">IFERROR(G4/-H4,"no loss")</f>
        <v>3.32859571439867</v>
      </c>
      <c r="J4" s="30" t="n">
        <f aca="false">_xlfn.MAXIFS(Trades!$X$2:$X$884,Trades!$F$2:$F$884,$A4)</f>
        <v>313.44</v>
      </c>
      <c r="K4" s="30" t="n">
        <f aca="false">_xlfn.MINIFS(Trades!$X$2:$X$884,Trades!$F$2:$F$884,$A4)</f>
        <v>-133.3</v>
      </c>
      <c r="L4" s="32" t="n">
        <f aca="false">SUMIFS(Trades!$Y$2:$Y$884,Trades!$F$2:$F$884,$A4)</f>
        <v>12.3686194139778</v>
      </c>
      <c r="M4" s="30" t="n">
        <f aca="false">P3</f>
        <v>99336.29</v>
      </c>
      <c r="N4" s="29" t="n">
        <f aca="false">IFERROR(F4/M4,0)</f>
        <v>0.0118586067589196</v>
      </c>
      <c r="O4" s="28" t="str">
        <f aca="false">IF(F4&gt;0,"up","down")</f>
        <v>up</v>
      </c>
      <c r="P4" s="30" t="n">
        <f aca="false">M4+F4</f>
        <v>100514.28</v>
      </c>
      <c r="Q4" s="30" t="n">
        <f aca="false">P4-Summary!$C$5</f>
        <v>514.279999999999</v>
      </c>
    </row>
    <row r="5" customFormat="false" ht="15" hidden="false" customHeight="false" outlineLevel="0" collapsed="false">
      <c r="A5" s="28" t="s">
        <v>146</v>
      </c>
      <c r="B5" s="28" t="n">
        <f aca="false">COUNTIFS(Trades!$F$2:$F$884,$A5)</f>
        <v>22</v>
      </c>
      <c r="C5" s="28" t="n">
        <f aca="false">COUNTIFS(Trades!$F$2:$F$884,$A5,Trades!$Z$2:$Z$884,"Win")</f>
        <v>9</v>
      </c>
      <c r="D5" s="28" t="n">
        <f aca="false">COUNTIFS(Trades!$F$2:$F$884,$A5,Trades!$Z$2:$Z$884,"Loss")</f>
        <v>13</v>
      </c>
      <c r="E5" s="29" t="n">
        <f aca="false">IFERROR(C5/B5,0)</f>
        <v>0.409090909090909</v>
      </c>
      <c r="F5" s="30" t="n">
        <f aca="false">SUMIFS(Trades!$X$2:$X$884,Trades!$F$2:$F$884,$A5)</f>
        <v>343.27</v>
      </c>
      <c r="G5" s="30" t="n">
        <f aca="false">SUMIFS(Trades!$X$2:$X$884,Trades!$F$2:$F$884,$A5,Trades!$X$2:$X$884,"&gt;0")</f>
        <v>1330.06</v>
      </c>
      <c r="H5" s="30" t="n">
        <f aca="false">SUMIFS(Trades!$X$2:$X$884,Trades!$F$2:$F$884,$A5,Trades!$X$2:$X$884,"&lt;0")</f>
        <v>-986.79</v>
      </c>
      <c r="I5" s="31" t="n">
        <f aca="false">IFERROR(G5/-H5,"no loss")</f>
        <v>1.34786530062121</v>
      </c>
      <c r="J5" s="30" t="n">
        <f aca="false">_xlfn.MAXIFS(Trades!$X$2:$X$884,Trades!$F$2:$F$884,$A5)</f>
        <v>310.69</v>
      </c>
      <c r="K5" s="30" t="n">
        <f aca="false">_xlfn.MINIFS(Trades!$X$2:$X$884,Trades!$F$2:$F$884,$A5)</f>
        <v>-261.23</v>
      </c>
      <c r="L5" s="32" t="n">
        <f aca="false">SUMIFS(Trades!$Y$2:$Y$884,Trades!$F$2:$F$884,$A5)</f>
        <v>8.1213753729469</v>
      </c>
      <c r="M5" s="30" t="n">
        <f aca="false">P4</f>
        <v>100514.28</v>
      </c>
      <c r="N5" s="29" t="n">
        <f aca="false">IFERROR(F5/M5,0)</f>
        <v>0.00341513663531192</v>
      </c>
      <c r="O5" s="28" t="str">
        <f aca="false">IF(F5&gt;0,"up","down")</f>
        <v>up</v>
      </c>
      <c r="P5" s="30" t="n">
        <f aca="false">M5+F5</f>
        <v>100857.55</v>
      </c>
      <c r="Q5" s="30" t="n">
        <f aca="false">P5-Summary!$C$5</f>
        <v>857.550000000003</v>
      </c>
    </row>
    <row r="6" customFormat="false" ht="15" hidden="false" customHeight="false" outlineLevel="0" collapsed="false">
      <c r="A6" s="28" t="s">
        <v>147</v>
      </c>
      <c r="B6" s="28" t="n">
        <f aca="false">COUNTIFS(Trades!$F$2:$F$884,$A6)</f>
        <v>25</v>
      </c>
      <c r="C6" s="28" t="n">
        <f aca="false">COUNTIFS(Trades!$F$2:$F$884,$A6,Trades!$Z$2:$Z$884,"Win")</f>
        <v>9</v>
      </c>
      <c r="D6" s="28" t="n">
        <f aca="false">COUNTIFS(Trades!$F$2:$F$884,$A6,Trades!$Z$2:$Z$884,"Loss")</f>
        <v>16</v>
      </c>
      <c r="E6" s="29" t="n">
        <f aca="false">IFERROR(C6/B6,0)</f>
        <v>0.36</v>
      </c>
      <c r="F6" s="30" t="n">
        <f aca="false">SUMIFS(Trades!$X$2:$X$884,Trades!$F$2:$F$884,$A6)</f>
        <v>883.52</v>
      </c>
      <c r="G6" s="30" t="n">
        <f aca="false">SUMIFS(Trades!$X$2:$X$884,Trades!$F$2:$F$884,$A6,Trades!$X$2:$X$884,"&gt;0")</f>
        <v>2004.07</v>
      </c>
      <c r="H6" s="30" t="n">
        <f aca="false">SUMIFS(Trades!$X$2:$X$884,Trades!$F$2:$F$884,$A6,Trades!$X$2:$X$884,"&lt;0")</f>
        <v>-1120.55</v>
      </c>
      <c r="I6" s="31" t="n">
        <f aca="false">IFERROR(G6/-H6,"no loss")</f>
        <v>1.78846994779349</v>
      </c>
      <c r="J6" s="30" t="n">
        <f aca="false">_xlfn.MAXIFS(Trades!$X$2:$X$884,Trades!$F$2:$F$884,$A6)</f>
        <v>422.82</v>
      </c>
      <c r="K6" s="30" t="n">
        <f aca="false">_xlfn.MINIFS(Trades!$X$2:$X$884,Trades!$F$2:$F$884,$A6)</f>
        <v>-193.14</v>
      </c>
      <c r="L6" s="32" t="n">
        <f aca="false">SUMIFS(Trades!$Y$2:$Y$884,Trades!$F$2:$F$884,$A6)</f>
        <v>4.47474188399255</v>
      </c>
      <c r="M6" s="30" t="n">
        <f aca="false">P5</f>
        <v>100857.55</v>
      </c>
      <c r="N6" s="29" t="n">
        <f aca="false">IFERROR(F6/M6,0)</f>
        <v>0.00876007795152668</v>
      </c>
      <c r="O6" s="28" t="str">
        <f aca="false">IF(F6&gt;0,"up","down")</f>
        <v>up</v>
      </c>
      <c r="P6" s="30" t="n">
        <f aca="false">M6+F6</f>
        <v>101741.07</v>
      </c>
      <c r="Q6" s="30" t="n">
        <f aca="false">P6-Summary!$C$5</f>
        <v>1741.07000000001</v>
      </c>
    </row>
    <row r="7" customFormat="false" ht="15" hidden="false" customHeight="false" outlineLevel="0" collapsed="false">
      <c r="A7" s="28" t="s">
        <v>148</v>
      </c>
      <c r="B7" s="28" t="n">
        <f aca="false">COUNTIFS(Trades!$F$2:$F$884,$A7)</f>
        <v>21</v>
      </c>
      <c r="C7" s="28" t="n">
        <f aca="false">COUNTIFS(Trades!$F$2:$F$884,$A7,Trades!$Z$2:$Z$884,"Win")</f>
        <v>7</v>
      </c>
      <c r="D7" s="28" t="n">
        <f aca="false">COUNTIFS(Trades!$F$2:$F$884,$A7,Trades!$Z$2:$Z$884,"Loss")</f>
        <v>14</v>
      </c>
      <c r="E7" s="29" t="n">
        <f aca="false">IFERROR(C7/B7,0)</f>
        <v>0.333333333333333</v>
      </c>
      <c r="F7" s="30" t="n">
        <f aca="false">SUMIFS(Trades!$X$2:$X$884,Trades!$F$2:$F$884,$A7)</f>
        <v>1438.95</v>
      </c>
      <c r="G7" s="30" t="n">
        <f aca="false">SUMIFS(Trades!$X$2:$X$884,Trades!$F$2:$F$884,$A7,Trades!$X$2:$X$884,"&gt;0")</f>
        <v>1932.3</v>
      </c>
      <c r="H7" s="30" t="n">
        <f aca="false">SUMIFS(Trades!$X$2:$X$884,Trades!$F$2:$F$884,$A7,Trades!$X$2:$X$884,"&lt;0")</f>
        <v>-493.35</v>
      </c>
      <c r="I7" s="31" t="n">
        <f aca="false">IFERROR(G7/-H7,"no loss")</f>
        <v>3.91669200364853</v>
      </c>
      <c r="J7" s="30" t="n">
        <f aca="false">_xlfn.MAXIFS(Trades!$X$2:$X$884,Trades!$F$2:$F$884,$A7)</f>
        <v>385.35</v>
      </c>
      <c r="K7" s="30" t="n">
        <f aca="false">_xlfn.MINIFS(Trades!$X$2:$X$884,Trades!$F$2:$F$884,$A7)</f>
        <v>-109.55</v>
      </c>
      <c r="L7" s="32" t="n">
        <f aca="false">SUMIFS(Trades!$Y$2:$Y$884,Trades!$F$2:$F$884,$A7)</f>
        <v>4.74096014373512</v>
      </c>
      <c r="M7" s="30" t="n">
        <f aca="false">P6</f>
        <v>101741.07</v>
      </c>
      <c r="N7" s="29" t="n">
        <f aca="false">IFERROR(F7/M7,0)</f>
        <v>0.0141432560125424</v>
      </c>
      <c r="O7" s="28" t="str">
        <f aca="false">IF(F7&gt;0,"up","down")</f>
        <v>up</v>
      </c>
      <c r="P7" s="30" t="n">
        <f aca="false">M7+F7</f>
        <v>103180.02</v>
      </c>
      <c r="Q7" s="30" t="n">
        <f aca="false">P7-Summary!$C$5</f>
        <v>3180.02</v>
      </c>
    </row>
    <row r="8" customFormat="false" ht="15" hidden="false" customHeight="false" outlineLevel="0" collapsed="false">
      <c r="A8" s="28" t="s">
        <v>149</v>
      </c>
      <c r="B8" s="28" t="n">
        <f aca="false">COUNTIFS(Trades!$F$2:$F$884,$A8)</f>
        <v>21</v>
      </c>
      <c r="C8" s="28" t="n">
        <f aca="false">COUNTIFS(Trades!$F$2:$F$884,$A8,Trades!$Z$2:$Z$884,"Win")</f>
        <v>8</v>
      </c>
      <c r="D8" s="28" t="n">
        <f aca="false">COUNTIFS(Trades!$F$2:$F$884,$A8,Trades!$Z$2:$Z$884,"Loss")</f>
        <v>13</v>
      </c>
      <c r="E8" s="29" t="n">
        <f aca="false">IFERROR(C8/B8,0)</f>
        <v>0.380952380952381</v>
      </c>
      <c r="F8" s="30" t="n">
        <f aca="false">SUMIFS(Trades!$X$2:$X$884,Trades!$F$2:$F$884,$A8)</f>
        <v>990.48</v>
      </c>
      <c r="G8" s="30" t="n">
        <f aca="false">SUMIFS(Trades!$X$2:$X$884,Trades!$F$2:$F$884,$A8,Trades!$X$2:$X$884,"&gt;0")</f>
        <v>2292.81</v>
      </c>
      <c r="H8" s="30" t="n">
        <f aca="false">SUMIFS(Trades!$X$2:$X$884,Trades!$F$2:$F$884,$A8,Trades!$X$2:$X$884,"&lt;0")</f>
        <v>-1302.33</v>
      </c>
      <c r="I8" s="31" t="n">
        <f aca="false">IFERROR(G8/-H8,"no loss")</f>
        <v>1.76054456243809</v>
      </c>
      <c r="J8" s="30" t="n">
        <f aca="false">_xlfn.MAXIFS(Trades!$X$2:$X$884,Trades!$F$2:$F$884,$A8)</f>
        <v>637.98</v>
      </c>
      <c r="K8" s="30" t="n">
        <f aca="false">_xlfn.MINIFS(Trades!$X$2:$X$884,Trades!$F$2:$F$884,$A8)</f>
        <v>-420.99</v>
      </c>
      <c r="L8" s="32" t="n">
        <f aca="false">SUMIFS(Trades!$Y$2:$Y$884,Trades!$F$2:$F$884,$A8)</f>
        <v>8.2395132486431</v>
      </c>
      <c r="M8" s="30" t="n">
        <f aca="false">P7</f>
        <v>103180.02</v>
      </c>
      <c r="N8" s="29" t="n">
        <f aca="false">IFERROR(F8/M8,0)</f>
        <v>0.00959953293282944</v>
      </c>
      <c r="O8" s="28" t="str">
        <f aca="false">IF(F8&gt;0,"up","down")</f>
        <v>up</v>
      </c>
      <c r="P8" s="30" t="n">
        <f aca="false">M8+F8</f>
        <v>104170.5</v>
      </c>
      <c r="Q8" s="30" t="n">
        <f aca="false">P8-Summary!$C$5</f>
        <v>4170.5</v>
      </c>
    </row>
    <row r="9" customFormat="false" ht="15" hidden="false" customHeight="false" outlineLevel="0" collapsed="false">
      <c r="A9" s="28" t="s">
        <v>150</v>
      </c>
      <c r="B9" s="28" t="n">
        <f aca="false">COUNTIFS(Trades!$F$2:$F$884,$A9)</f>
        <v>22</v>
      </c>
      <c r="C9" s="28" t="n">
        <f aca="false">COUNTIFS(Trades!$F$2:$F$884,$A9,Trades!$Z$2:$Z$884,"Win")</f>
        <v>8</v>
      </c>
      <c r="D9" s="28" t="n">
        <f aca="false">COUNTIFS(Trades!$F$2:$F$884,$A9,Trades!$Z$2:$Z$884,"Loss")</f>
        <v>14</v>
      </c>
      <c r="E9" s="29" t="n">
        <f aca="false">IFERROR(C9/B9,0)</f>
        <v>0.363636363636364</v>
      </c>
      <c r="F9" s="30" t="n">
        <f aca="false">SUMIFS(Trades!$X$2:$X$884,Trades!$F$2:$F$884,$A9)</f>
        <v>724.77</v>
      </c>
      <c r="G9" s="30" t="n">
        <f aca="false">SUMIFS(Trades!$X$2:$X$884,Trades!$F$2:$F$884,$A9,Trades!$X$2:$X$884,"&gt;0")</f>
        <v>1360.22</v>
      </c>
      <c r="H9" s="30" t="n">
        <f aca="false">SUMIFS(Trades!$X$2:$X$884,Trades!$F$2:$F$884,$A9,Trades!$X$2:$X$884,"&lt;0")</f>
        <v>-635.45</v>
      </c>
      <c r="I9" s="31" t="n">
        <f aca="false">IFERROR(G9/-H9,"no loss")</f>
        <v>2.14056180659375</v>
      </c>
      <c r="J9" s="30" t="n">
        <f aca="false">_xlfn.MAXIFS(Trades!$X$2:$X$884,Trades!$F$2:$F$884,$A9)</f>
        <v>373.64</v>
      </c>
      <c r="K9" s="30" t="n">
        <f aca="false">_xlfn.MINIFS(Trades!$X$2:$X$884,Trades!$F$2:$F$884,$A9)</f>
        <v>-158.21</v>
      </c>
      <c r="L9" s="32" t="n">
        <f aca="false">SUMIFS(Trades!$Y$2:$Y$884,Trades!$F$2:$F$884,$A9)</f>
        <v>8.03030553222257</v>
      </c>
      <c r="M9" s="30" t="n">
        <f aca="false">P8</f>
        <v>104170.5</v>
      </c>
      <c r="N9" s="29" t="n">
        <f aca="false">IFERROR(F9/M9,0)</f>
        <v>0.00695753596267657</v>
      </c>
      <c r="O9" s="28" t="str">
        <f aca="false">IF(F9&gt;0,"up","down")</f>
        <v>up</v>
      </c>
      <c r="P9" s="30" t="n">
        <f aca="false">M9+F9</f>
        <v>104895.27</v>
      </c>
      <c r="Q9" s="30" t="n">
        <f aca="false">P9-Summary!$C$5</f>
        <v>4895.27</v>
      </c>
    </row>
    <row r="10" customFormat="false" ht="15" hidden="false" customHeight="false" outlineLevel="0" collapsed="false">
      <c r="A10" s="28" t="s">
        <v>151</v>
      </c>
      <c r="B10" s="28" t="n">
        <f aca="false">COUNTIFS(Trades!$F$2:$F$884,$A10)</f>
        <v>19</v>
      </c>
      <c r="C10" s="28" t="n">
        <f aca="false">COUNTIFS(Trades!$F$2:$F$884,$A10,Trades!$Z$2:$Z$884,"Win")</f>
        <v>4</v>
      </c>
      <c r="D10" s="28" t="n">
        <f aca="false">COUNTIFS(Trades!$F$2:$F$884,$A10,Trades!$Z$2:$Z$884,"Loss")</f>
        <v>15</v>
      </c>
      <c r="E10" s="29" t="n">
        <f aca="false">IFERROR(C10/B10,0)</f>
        <v>0.210526315789474</v>
      </c>
      <c r="F10" s="30" t="n">
        <f aca="false">SUMIFS(Trades!$X$2:$X$884,Trades!$F$2:$F$884,$A10)</f>
        <v>-428.62</v>
      </c>
      <c r="G10" s="30" t="n">
        <f aca="false">SUMIFS(Trades!$X$2:$X$884,Trades!$F$2:$F$884,$A10,Trades!$X$2:$X$884,"&gt;0")</f>
        <v>410.03</v>
      </c>
      <c r="H10" s="30" t="n">
        <f aca="false">SUMIFS(Trades!$X$2:$X$884,Trades!$F$2:$F$884,$A10,Trades!$X$2:$X$884,"&lt;0")</f>
        <v>-838.65</v>
      </c>
      <c r="I10" s="31" t="n">
        <f aca="false">IFERROR(G10/-H10,"no loss")</f>
        <v>0.488916711381387</v>
      </c>
      <c r="J10" s="30" t="n">
        <f aca="false">_xlfn.MAXIFS(Trades!$X$2:$X$884,Trades!$F$2:$F$884,$A10)</f>
        <v>279.72</v>
      </c>
      <c r="K10" s="30" t="n">
        <f aca="false">_xlfn.MINIFS(Trades!$X$2:$X$884,Trades!$F$2:$F$884,$A10)</f>
        <v>-162.57</v>
      </c>
      <c r="L10" s="32" t="n">
        <f aca="false">SUMIFS(Trades!$Y$2:$Y$884,Trades!$F$2:$F$884,$A10)</f>
        <v>-2.94462488156487</v>
      </c>
      <c r="M10" s="30" t="n">
        <f aca="false">P9</f>
        <v>104895.27</v>
      </c>
      <c r="N10" s="29" t="n">
        <f aca="false">IFERROR(F10/M10,0)</f>
        <v>-0.00408617090170033</v>
      </c>
      <c r="O10" s="28" t="str">
        <f aca="false">IF(F10&gt;0,"up","down")</f>
        <v>down</v>
      </c>
      <c r="P10" s="30" t="n">
        <f aca="false">M10+F10</f>
        <v>104466.65</v>
      </c>
      <c r="Q10" s="30" t="n">
        <f aca="false">P10-Summary!$C$5</f>
        <v>4466.65000000001</v>
      </c>
    </row>
    <row r="11" customFormat="false" ht="15" hidden="false" customHeight="false" outlineLevel="0" collapsed="false">
      <c r="A11" s="28" t="s">
        <v>152</v>
      </c>
      <c r="B11" s="28" t="n">
        <f aca="false">COUNTIFS(Trades!$F$2:$F$884,$A11)</f>
        <v>22</v>
      </c>
      <c r="C11" s="28" t="n">
        <f aca="false">COUNTIFS(Trades!$F$2:$F$884,$A11,Trades!$Z$2:$Z$884,"Win")</f>
        <v>10</v>
      </c>
      <c r="D11" s="28" t="n">
        <f aca="false">COUNTIFS(Trades!$F$2:$F$884,$A11,Trades!$Z$2:$Z$884,"Loss")</f>
        <v>12</v>
      </c>
      <c r="E11" s="29" t="n">
        <f aca="false">IFERROR(C11/B11,0)</f>
        <v>0.454545454545455</v>
      </c>
      <c r="F11" s="30" t="n">
        <f aca="false">SUMIFS(Trades!$X$2:$X$884,Trades!$F$2:$F$884,$A11)</f>
        <v>1010.77</v>
      </c>
      <c r="G11" s="30" t="n">
        <f aca="false">SUMIFS(Trades!$X$2:$X$884,Trades!$F$2:$F$884,$A11,Trades!$X$2:$X$884,"&gt;0")</f>
        <v>1656.1</v>
      </c>
      <c r="H11" s="30" t="n">
        <f aca="false">SUMIFS(Trades!$X$2:$X$884,Trades!$F$2:$F$884,$A11,Trades!$X$2:$X$884,"&lt;0")</f>
        <v>-645.33</v>
      </c>
      <c r="I11" s="31" t="n">
        <f aca="false">IFERROR(G11/-H11,"no loss")</f>
        <v>2.56628391675577</v>
      </c>
      <c r="J11" s="30" t="n">
        <f aca="false">_xlfn.MAXIFS(Trades!$X$2:$X$884,Trades!$F$2:$F$884,$A11)</f>
        <v>525.69</v>
      </c>
      <c r="K11" s="30" t="n">
        <f aca="false">_xlfn.MINIFS(Trades!$X$2:$X$884,Trades!$F$2:$F$884,$A11)</f>
        <v>-140.13</v>
      </c>
      <c r="L11" s="32" t="n">
        <f aca="false">SUMIFS(Trades!$Y$2:$Y$884,Trades!$F$2:$F$884,$A11)</f>
        <v>11.0905732295234</v>
      </c>
      <c r="M11" s="30" t="n">
        <f aca="false">P10</f>
        <v>104466.65</v>
      </c>
      <c r="N11" s="29" t="n">
        <f aca="false">IFERROR(F11/M11,0)</f>
        <v>0.00967552802736567</v>
      </c>
      <c r="O11" s="28" t="str">
        <f aca="false">IF(F11&gt;0,"up","down")</f>
        <v>up</v>
      </c>
      <c r="P11" s="30" t="n">
        <f aca="false">M11+F11</f>
        <v>105477.42</v>
      </c>
      <c r="Q11" s="30" t="n">
        <f aca="false">P11-Summary!$C$5</f>
        <v>5477.42000000001</v>
      </c>
    </row>
    <row r="12" customFormat="false" ht="15" hidden="false" customHeight="false" outlineLevel="0" collapsed="false">
      <c r="A12" s="28" t="s">
        <v>153</v>
      </c>
      <c r="B12" s="28" t="n">
        <f aca="false">COUNTIFS(Trades!$F$2:$F$884,$A12)</f>
        <v>19</v>
      </c>
      <c r="C12" s="28" t="n">
        <f aca="false">COUNTIFS(Trades!$F$2:$F$884,$A12,Trades!$Z$2:$Z$884,"Win")</f>
        <v>5</v>
      </c>
      <c r="D12" s="28" t="n">
        <f aca="false">COUNTIFS(Trades!$F$2:$F$884,$A12,Trades!$Z$2:$Z$884,"Loss")</f>
        <v>14</v>
      </c>
      <c r="E12" s="29" t="n">
        <f aca="false">IFERROR(C12/B12,0)</f>
        <v>0.263157894736842</v>
      </c>
      <c r="F12" s="30" t="n">
        <f aca="false">SUMIFS(Trades!$X$2:$X$884,Trades!$F$2:$F$884,$A12)</f>
        <v>1018.44</v>
      </c>
      <c r="G12" s="30" t="n">
        <f aca="false">SUMIFS(Trades!$X$2:$X$884,Trades!$F$2:$F$884,$A12,Trades!$X$2:$X$884,"&gt;0")</f>
        <v>1443.47</v>
      </c>
      <c r="H12" s="30" t="n">
        <f aca="false">SUMIFS(Trades!$X$2:$X$884,Trades!$F$2:$F$884,$A12,Trades!$X$2:$X$884,"&lt;0")</f>
        <v>-425.03</v>
      </c>
      <c r="I12" s="31" t="n">
        <f aca="false">IFERROR(G12/-H12,"no loss")</f>
        <v>3.39616027103969</v>
      </c>
      <c r="J12" s="30" t="n">
        <f aca="false">_xlfn.MAXIFS(Trades!$X$2:$X$884,Trades!$F$2:$F$884,$A12)</f>
        <v>498.73</v>
      </c>
      <c r="K12" s="30" t="n">
        <f aca="false">_xlfn.MINIFS(Trades!$X$2:$X$884,Trades!$F$2:$F$884,$A12)</f>
        <v>-130.57</v>
      </c>
      <c r="L12" s="32" t="n">
        <f aca="false">SUMIFS(Trades!$Y$2:$Y$884,Trades!$F$2:$F$884,$A12)</f>
        <v>2.63446458002542</v>
      </c>
      <c r="M12" s="30" t="n">
        <f aca="false">P11</f>
        <v>105477.42</v>
      </c>
      <c r="N12" s="29" t="n">
        <f aca="false">IFERROR(F12/M12,0)</f>
        <v>0.00965552627282692</v>
      </c>
      <c r="O12" s="28" t="str">
        <f aca="false">IF(F12&gt;0,"up","down")</f>
        <v>up</v>
      </c>
      <c r="P12" s="30" t="n">
        <f aca="false">M12+F12</f>
        <v>106495.86</v>
      </c>
      <c r="Q12" s="30" t="n">
        <f aca="false">P12-Summary!$C$5</f>
        <v>6495.86000000002</v>
      </c>
    </row>
    <row r="13" customFormat="false" ht="15" hidden="false" customHeight="false" outlineLevel="0" collapsed="false">
      <c r="A13" s="28" t="s">
        <v>154</v>
      </c>
      <c r="B13" s="28" t="n">
        <f aca="false">COUNTIFS(Trades!$F$2:$F$884,$A13)</f>
        <v>19</v>
      </c>
      <c r="C13" s="28" t="n">
        <f aca="false">COUNTIFS(Trades!$F$2:$F$884,$A13,Trades!$Z$2:$Z$884,"Win")</f>
        <v>5</v>
      </c>
      <c r="D13" s="28" t="n">
        <f aca="false">COUNTIFS(Trades!$F$2:$F$884,$A13,Trades!$Z$2:$Z$884,"Loss")</f>
        <v>14</v>
      </c>
      <c r="E13" s="29" t="n">
        <f aca="false">IFERROR(C13/B13,0)</f>
        <v>0.263157894736842</v>
      </c>
      <c r="F13" s="30" t="n">
        <f aca="false">SUMIFS(Trades!$X$2:$X$884,Trades!$F$2:$F$884,$A13)</f>
        <v>-618.59</v>
      </c>
      <c r="G13" s="30" t="n">
        <f aca="false">SUMIFS(Trades!$X$2:$X$884,Trades!$F$2:$F$884,$A13,Trades!$X$2:$X$884,"&gt;0")</f>
        <v>450.89</v>
      </c>
      <c r="H13" s="30" t="n">
        <f aca="false">SUMIFS(Trades!$X$2:$X$884,Trades!$F$2:$F$884,$A13,Trades!$X$2:$X$884,"&lt;0")</f>
        <v>-1069.48</v>
      </c>
      <c r="I13" s="31" t="n">
        <f aca="false">IFERROR(G13/-H13,"no loss")</f>
        <v>0.421597411826308</v>
      </c>
      <c r="J13" s="30" t="n">
        <f aca="false">_xlfn.MAXIFS(Trades!$X$2:$X$884,Trades!$F$2:$F$884,$A13)</f>
        <v>126.46</v>
      </c>
      <c r="K13" s="30" t="n">
        <f aca="false">_xlfn.MINIFS(Trades!$X$2:$X$884,Trades!$F$2:$F$884,$A13)</f>
        <v>-242.48</v>
      </c>
      <c r="L13" s="32" t="n">
        <f aca="false">SUMIFS(Trades!$Y$2:$Y$884,Trades!$F$2:$F$884,$A13)</f>
        <v>0.773555244883587</v>
      </c>
      <c r="M13" s="30" t="n">
        <f aca="false">P12</f>
        <v>106495.86</v>
      </c>
      <c r="N13" s="29" t="n">
        <f aca="false">IFERROR(F13/M13,0)</f>
        <v>-0.00580858260593416</v>
      </c>
      <c r="O13" s="28" t="str">
        <f aca="false">IF(F13&gt;0,"up","down")</f>
        <v>down</v>
      </c>
      <c r="P13" s="30" t="n">
        <f aca="false">M13+F13</f>
        <v>105877.27</v>
      </c>
      <c r="Q13" s="30" t="n">
        <f aca="false">P13-Summary!$C$5</f>
        <v>5877.27000000002</v>
      </c>
    </row>
    <row r="14" customFormat="false" ht="15" hidden="false" customHeight="false" outlineLevel="0" collapsed="false">
      <c r="A14" s="28" t="s">
        <v>155</v>
      </c>
      <c r="B14" s="28" t="n">
        <f aca="false">COUNTIFS(Trades!$F$2:$F$884,$A14)</f>
        <v>23</v>
      </c>
      <c r="C14" s="28" t="n">
        <f aca="false">COUNTIFS(Trades!$F$2:$F$884,$A14,Trades!$Z$2:$Z$884,"Win")</f>
        <v>5</v>
      </c>
      <c r="D14" s="28" t="n">
        <f aca="false">COUNTIFS(Trades!$F$2:$F$884,$A14,Trades!$Z$2:$Z$884,"Loss")</f>
        <v>18</v>
      </c>
      <c r="E14" s="29" t="n">
        <f aca="false">IFERROR(C14/B14,0)</f>
        <v>0.217391304347826</v>
      </c>
      <c r="F14" s="30" t="n">
        <f aca="false">SUMIFS(Trades!$X$2:$X$884,Trades!$F$2:$F$884,$A14)</f>
        <v>-540.62</v>
      </c>
      <c r="G14" s="30" t="n">
        <f aca="false">SUMIFS(Trades!$X$2:$X$884,Trades!$F$2:$F$884,$A14,Trades!$X$2:$X$884,"&gt;0")</f>
        <v>1375.82</v>
      </c>
      <c r="H14" s="30" t="n">
        <f aca="false">SUMIFS(Trades!$X$2:$X$884,Trades!$F$2:$F$884,$A14,Trades!$X$2:$X$884,"&lt;0")</f>
        <v>-1916.44</v>
      </c>
      <c r="I14" s="31" t="n">
        <f aca="false">IFERROR(G14/-H14,"no loss")</f>
        <v>0.717904030389681</v>
      </c>
      <c r="J14" s="30" t="n">
        <f aca="false">_xlfn.MAXIFS(Trades!$X$2:$X$884,Trades!$F$2:$F$884,$A14)</f>
        <v>405.39</v>
      </c>
      <c r="K14" s="30" t="n">
        <f aca="false">_xlfn.MINIFS(Trades!$X$2:$X$884,Trades!$F$2:$F$884,$A14)</f>
        <v>-455.88</v>
      </c>
      <c r="L14" s="32" t="n">
        <f aca="false">SUMIFS(Trades!$Y$2:$Y$884,Trades!$F$2:$F$884,$A14)</f>
        <v>-2.21456019794941</v>
      </c>
      <c r="M14" s="30" t="n">
        <f aca="false">P13</f>
        <v>105877.27</v>
      </c>
      <c r="N14" s="29" t="n">
        <f aca="false">IFERROR(F14/M14,0)</f>
        <v>-0.00510610067675527</v>
      </c>
      <c r="O14" s="28" t="str">
        <f aca="false">IF(F14&gt;0,"up","down")</f>
        <v>down</v>
      </c>
      <c r="P14" s="30" t="n">
        <f aca="false">M14+F14</f>
        <v>105336.65</v>
      </c>
      <c r="Q14" s="30" t="n">
        <f aca="false">P14-Summary!$C$5</f>
        <v>5336.65000000002</v>
      </c>
    </row>
    <row r="15" customFormat="false" ht="15" hidden="false" customHeight="false" outlineLevel="0" collapsed="false">
      <c r="A15" s="28" t="s">
        <v>156</v>
      </c>
      <c r="B15" s="28" t="n">
        <f aca="false">COUNTIFS(Trades!$F$2:$F$884,$A15)</f>
        <v>22</v>
      </c>
      <c r="C15" s="28" t="n">
        <f aca="false">COUNTIFS(Trades!$F$2:$F$884,$A15,Trades!$Z$2:$Z$884,"Win")</f>
        <v>7</v>
      </c>
      <c r="D15" s="28" t="n">
        <f aca="false">COUNTIFS(Trades!$F$2:$F$884,$A15,Trades!$Z$2:$Z$884,"Loss")</f>
        <v>15</v>
      </c>
      <c r="E15" s="29" t="n">
        <f aca="false">IFERROR(C15/B15,0)</f>
        <v>0.318181818181818</v>
      </c>
      <c r="F15" s="30" t="n">
        <f aca="false">SUMIFS(Trades!$X$2:$X$884,Trades!$F$2:$F$884,$A15)</f>
        <v>298.78</v>
      </c>
      <c r="G15" s="30" t="n">
        <f aca="false">SUMIFS(Trades!$X$2:$X$884,Trades!$F$2:$F$884,$A15,Trades!$X$2:$X$884,"&gt;0")</f>
        <v>984.15</v>
      </c>
      <c r="H15" s="30" t="n">
        <f aca="false">SUMIFS(Trades!$X$2:$X$884,Trades!$F$2:$F$884,$A15,Trades!$X$2:$X$884,"&lt;0")</f>
        <v>-685.37</v>
      </c>
      <c r="I15" s="31" t="n">
        <f aca="false">IFERROR(G15/-H15,"no loss")</f>
        <v>1.43593971139676</v>
      </c>
      <c r="J15" s="30" t="n">
        <f aca="false">_xlfn.MAXIFS(Trades!$X$2:$X$884,Trades!$F$2:$F$884,$A15)</f>
        <v>273.99</v>
      </c>
      <c r="K15" s="30" t="n">
        <f aca="false">_xlfn.MINIFS(Trades!$X$2:$X$884,Trades!$F$2:$F$884,$A15)</f>
        <v>-164.01</v>
      </c>
      <c r="L15" s="32" t="n">
        <f aca="false">SUMIFS(Trades!$Y$2:$Y$884,Trades!$F$2:$F$884,$A15)</f>
        <v>4.83116227254592</v>
      </c>
      <c r="M15" s="30" t="n">
        <f aca="false">P14</f>
        <v>105336.65</v>
      </c>
      <c r="N15" s="29" t="n">
        <f aca="false">IFERROR(F15/M15,0)</f>
        <v>0.00283642967571116</v>
      </c>
      <c r="O15" s="28" t="str">
        <f aca="false">IF(F15&gt;0,"up","down")</f>
        <v>up</v>
      </c>
      <c r="P15" s="30" t="n">
        <f aca="false">M15+F15</f>
        <v>105635.43</v>
      </c>
      <c r="Q15" s="30" t="n">
        <f aca="false">P15-Summary!$C$5</f>
        <v>5635.43000000002</v>
      </c>
    </row>
    <row r="16" customFormat="false" ht="15" hidden="false" customHeight="false" outlineLevel="0" collapsed="false">
      <c r="A16" s="28" t="s">
        <v>157</v>
      </c>
      <c r="B16" s="28" t="n">
        <f aca="false">COUNTIFS(Trades!$F$2:$F$884,$A16)</f>
        <v>17</v>
      </c>
      <c r="C16" s="28" t="n">
        <f aca="false">COUNTIFS(Trades!$F$2:$F$884,$A16,Trades!$Z$2:$Z$884,"Win")</f>
        <v>5</v>
      </c>
      <c r="D16" s="28" t="n">
        <f aca="false">COUNTIFS(Trades!$F$2:$F$884,$A16,Trades!$Z$2:$Z$884,"Loss")</f>
        <v>11</v>
      </c>
      <c r="E16" s="29" t="n">
        <f aca="false">IFERROR(C16/B16,0)</f>
        <v>0.294117647058824</v>
      </c>
      <c r="F16" s="30" t="n">
        <f aca="false">SUMIFS(Trades!$X$2:$X$884,Trades!$F$2:$F$884,$A16)</f>
        <v>79.97</v>
      </c>
      <c r="G16" s="30" t="n">
        <f aca="false">SUMIFS(Trades!$X$2:$X$884,Trades!$F$2:$F$884,$A16,Trades!$X$2:$X$884,"&gt;0")</f>
        <v>641.68</v>
      </c>
      <c r="H16" s="30" t="n">
        <f aca="false">SUMIFS(Trades!$X$2:$X$884,Trades!$F$2:$F$884,$A16,Trades!$X$2:$X$884,"&lt;0")</f>
        <v>-561.71</v>
      </c>
      <c r="I16" s="31" t="n">
        <f aca="false">IFERROR(G16/-H16,"no loss")</f>
        <v>1.1423688380125</v>
      </c>
      <c r="J16" s="30" t="n">
        <f aca="false">_xlfn.MAXIFS(Trades!$X$2:$X$884,Trades!$F$2:$F$884,$A16)</f>
        <v>333.22</v>
      </c>
      <c r="K16" s="30" t="n">
        <f aca="false">_xlfn.MINIFS(Trades!$X$2:$X$884,Trades!$F$2:$F$884,$A16)</f>
        <v>-164.54</v>
      </c>
      <c r="L16" s="32" t="n">
        <f aca="false">SUMIFS(Trades!$Y$2:$Y$884,Trades!$F$2:$F$884,$A16)</f>
        <v>3.04139413041526</v>
      </c>
      <c r="M16" s="30" t="n">
        <f aca="false">P15</f>
        <v>105635.43</v>
      </c>
      <c r="N16" s="29" t="n">
        <f aca="false">IFERROR(F16/M16,0)</f>
        <v>0.000757037671925035</v>
      </c>
      <c r="O16" s="28" t="str">
        <f aca="false">IF(F16&gt;0,"up","down")</f>
        <v>up</v>
      </c>
      <c r="P16" s="30" t="n">
        <f aca="false">M16+F16</f>
        <v>105715.4</v>
      </c>
      <c r="Q16" s="30" t="n">
        <f aca="false">P16-Summary!$C$5</f>
        <v>5715.40000000002</v>
      </c>
    </row>
    <row r="17" customFormat="false" ht="15" hidden="false" customHeight="false" outlineLevel="0" collapsed="false">
      <c r="A17" s="28" t="s">
        <v>158</v>
      </c>
      <c r="B17" s="28" t="n">
        <f aca="false">COUNTIFS(Trades!$F$2:$F$884,$A17)</f>
        <v>21</v>
      </c>
      <c r="C17" s="28" t="n">
        <f aca="false">COUNTIFS(Trades!$F$2:$F$884,$A17,Trades!$Z$2:$Z$884,"Win")</f>
        <v>7</v>
      </c>
      <c r="D17" s="28" t="n">
        <f aca="false">COUNTIFS(Trades!$F$2:$F$884,$A17,Trades!$Z$2:$Z$884,"Loss")</f>
        <v>13</v>
      </c>
      <c r="E17" s="29" t="n">
        <f aca="false">IFERROR(C17/B17,0)</f>
        <v>0.333333333333333</v>
      </c>
      <c r="F17" s="30" t="n">
        <f aca="false">SUMIFS(Trades!$X$2:$X$884,Trades!$F$2:$F$884,$A17)</f>
        <v>344.55</v>
      </c>
      <c r="G17" s="30" t="n">
        <f aca="false">SUMIFS(Trades!$X$2:$X$884,Trades!$F$2:$F$884,$A17,Trades!$X$2:$X$884,"&gt;0")</f>
        <v>1442.58</v>
      </c>
      <c r="H17" s="30" t="n">
        <f aca="false">SUMIFS(Trades!$X$2:$X$884,Trades!$F$2:$F$884,$A17,Trades!$X$2:$X$884,"&lt;0")</f>
        <v>-1098.03</v>
      </c>
      <c r="I17" s="31" t="n">
        <f aca="false">IFERROR(G17/-H17,"no loss")</f>
        <v>1.31378924073113</v>
      </c>
      <c r="J17" s="30" t="n">
        <f aca="false">_xlfn.MAXIFS(Trades!$X$2:$X$884,Trades!$F$2:$F$884,$A17)</f>
        <v>498.72</v>
      </c>
      <c r="K17" s="30" t="n">
        <f aca="false">_xlfn.MINIFS(Trades!$X$2:$X$884,Trades!$F$2:$F$884,$A17)</f>
        <v>-210.59</v>
      </c>
      <c r="L17" s="32" t="n">
        <f aca="false">SUMIFS(Trades!$Y$2:$Y$884,Trades!$F$2:$F$884,$A17)</f>
        <v>5.20025458338295</v>
      </c>
      <c r="M17" s="30" t="n">
        <f aca="false">P16</f>
        <v>105715.4</v>
      </c>
      <c r="N17" s="29" t="n">
        <f aca="false">IFERROR(F17/M17,0)</f>
        <v>0.00325922240279089</v>
      </c>
      <c r="O17" s="28" t="str">
        <f aca="false">IF(F17&gt;0,"up","down")</f>
        <v>up</v>
      </c>
      <c r="P17" s="30" t="n">
        <f aca="false">M17+F17</f>
        <v>106059.95</v>
      </c>
      <c r="Q17" s="30" t="n">
        <f aca="false">P17-Summary!$C$5</f>
        <v>6059.95000000003</v>
      </c>
    </row>
    <row r="18" customFormat="false" ht="15" hidden="false" customHeight="false" outlineLevel="0" collapsed="false">
      <c r="A18" s="28" t="s">
        <v>159</v>
      </c>
      <c r="B18" s="28" t="n">
        <f aca="false">COUNTIFS(Trades!$F$2:$F$884,$A18)</f>
        <v>22</v>
      </c>
      <c r="C18" s="28" t="n">
        <f aca="false">COUNTIFS(Trades!$F$2:$F$884,$A18,Trades!$Z$2:$Z$884,"Win")</f>
        <v>7</v>
      </c>
      <c r="D18" s="28" t="n">
        <f aca="false">COUNTIFS(Trades!$F$2:$F$884,$A18,Trades!$Z$2:$Z$884,"Loss")</f>
        <v>15</v>
      </c>
      <c r="E18" s="29" t="n">
        <f aca="false">IFERROR(C18/B18,0)</f>
        <v>0.318181818181818</v>
      </c>
      <c r="F18" s="30" t="n">
        <f aca="false">SUMIFS(Trades!$X$2:$X$884,Trades!$F$2:$F$884,$A18)</f>
        <v>173.58</v>
      </c>
      <c r="G18" s="30" t="n">
        <f aca="false">SUMIFS(Trades!$X$2:$X$884,Trades!$F$2:$F$884,$A18,Trades!$X$2:$X$884,"&gt;0")</f>
        <v>1569.58</v>
      </c>
      <c r="H18" s="30" t="n">
        <f aca="false">SUMIFS(Trades!$X$2:$X$884,Trades!$F$2:$F$884,$A18,Trades!$X$2:$X$884,"&lt;0")</f>
        <v>-1396</v>
      </c>
      <c r="I18" s="31" t="n">
        <f aca="false">IFERROR(G18/-H18,"no loss")</f>
        <v>1.12434097421203</v>
      </c>
      <c r="J18" s="30" t="n">
        <f aca="false">_xlfn.MAXIFS(Trades!$X$2:$X$884,Trades!$F$2:$F$884,$A18)</f>
        <v>327.36</v>
      </c>
      <c r="K18" s="30" t="n">
        <f aca="false">_xlfn.MINIFS(Trades!$X$2:$X$884,Trades!$F$2:$F$884,$A18)</f>
        <v>-364.88</v>
      </c>
      <c r="L18" s="32" t="n">
        <f aca="false">SUMIFS(Trades!$Y$2:$Y$884,Trades!$F$2:$F$884,$A18)</f>
        <v>4.5159997106451</v>
      </c>
      <c r="M18" s="30" t="n">
        <f aca="false">P17</f>
        <v>106059.95</v>
      </c>
      <c r="N18" s="29" t="n">
        <f aca="false">IFERROR(F18/M18,0)</f>
        <v>0.00163662155224474</v>
      </c>
      <c r="O18" s="28" t="str">
        <f aca="false">IF(F18&gt;0,"up","down")</f>
        <v>up</v>
      </c>
      <c r="P18" s="30" t="n">
        <f aca="false">M18+F18</f>
        <v>106233.53</v>
      </c>
      <c r="Q18" s="30" t="n">
        <f aca="false">P18-Summary!$C$5</f>
        <v>6233.53000000003</v>
      </c>
    </row>
    <row r="19" customFormat="false" ht="15" hidden="false" customHeight="false" outlineLevel="0" collapsed="false">
      <c r="A19" s="28" t="s">
        <v>160</v>
      </c>
      <c r="B19" s="28" t="n">
        <f aca="false">COUNTIFS(Trades!$F$2:$F$884,$A19)</f>
        <v>21</v>
      </c>
      <c r="C19" s="28" t="n">
        <f aca="false">COUNTIFS(Trades!$F$2:$F$884,$A19,Trades!$Z$2:$Z$884,"Win")</f>
        <v>5</v>
      </c>
      <c r="D19" s="28" t="n">
        <f aca="false">COUNTIFS(Trades!$F$2:$F$884,$A19,Trades!$Z$2:$Z$884,"Loss")</f>
        <v>16</v>
      </c>
      <c r="E19" s="29" t="n">
        <f aca="false">IFERROR(C19/B19,0)</f>
        <v>0.238095238095238</v>
      </c>
      <c r="F19" s="30" t="n">
        <f aca="false">SUMIFS(Trades!$X$2:$X$884,Trades!$F$2:$F$884,$A19)</f>
        <v>-290</v>
      </c>
      <c r="G19" s="30" t="n">
        <f aca="false">SUMIFS(Trades!$X$2:$X$884,Trades!$F$2:$F$884,$A19,Trades!$X$2:$X$884,"&gt;0")</f>
        <v>724.85</v>
      </c>
      <c r="H19" s="30" t="n">
        <f aca="false">SUMIFS(Trades!$X$2:$X$884,Trades!$F$2:$F$884,$A19,Trades!$X$2:$X$884,"&lt;0")</f>
        <v>-1014.85</v>
      </c>
      <c r="I19" s="31" t="n">
        <f aca="false">IFERROR(G19/-H19,"no loss")</f>
        <v>0.714243484258758</v>
      </c>
      <c r="J19" s="30" t="n">
        <f aca="false">_xlfn.MAXIFS(Trades!$X$2:$X$884,Trades!$F$2:$F$884,$A19)</f>
        <v>260.5</v>
      </c>
      <c r="K19" s="30" t="n">
        <f aca="false">_xlfn.MINIFS(Trades!$X$2:$X$884,Trades!$F$2:$F$884,$A19)</f>
        <v>-227.9</v>
      </c>
      <c r="L19" s="32" t="n">
        <f aca="false">SUMIFS(Trades!$Y$2:$Y$884,Trades!$F$2:$F$884,$A19)</f>
        <v>1.91103298448693</v>
      </c>
      <c r="M19" s="30" t="n">
        <f aca="false">P18</f>
        <v>106233.53</v>
      </c>
      <c r="N19" s="29" t="n">
        <f aca="false">IFERROR(F19/M19,0)</f>
        <v>-0.00272983492123438</v>
      </c>
      <c r="O19" s="28" t="str">
        <f aca="false">IF(F19&gt;0,"up","down")</f>
        <v>down</v>
      </c>
      <c r="P19" s="30" t="n">
        <f aca="false">M19+F19</f>
        <v>105943.53</v>
      </c>
      <c r="Q19" s="30" t="n">
        <f aca="false">P19-Summary!$C$5</f>
        <v>5943.53000000003</v>
      </c>
    </row>
    <row r="20" customFormat="false" ht="15" hidden="false" customHeight="false" outlineLevel="0" collapsed="false">
      <c r="A20" s="28" t="s">
        <v>161</v>
      </c>
      <c r="B20" s="28" t="n">
        <f aca="false">COUNTIFS(Trades!$F$2:$F$884,$A20)</f>
        <v>21</v>
      </c>
      <c r="C20" s="28" t="n">
        <f aca="false">COUNTIFS(Trades!$F$2:$F$884,$A20,Trades!$Z$2:$Z$884,"Win")</f>
        <v>5</v>
      </c>
      <c r="D20" s="28" t="n">
        <f aca="false">COUNTIFS(Trades!$F$2:$F$884,$A20,Trades!$Z$2:$Z$884,"Loss")</f>
        <v>16</v>
      </c>
      <c r="E20" s="29" t="n">
        <f aca="false">IFERROR(C20/B20,0)</f>
        <v>0.238095238095238</v>
      </c>
      <c r="F20" s="30" t="n">
        <f aca="false">SUMIFS(Trades!$X$2:$X$884,Trades!$F$2:$F$884,$A20)</f>
        <v>-328</v>
      </c>
      <c r="G20" s="30" t="n">
        <f aca="false">SUMIFS(Trades!$X$2:$X$884,Trades!$F$2:$F$884,$A20,Trades!$X$2:$X$884,"&gt;0")</f>
        <v>1107.68</v>
      </c>
      <c r="H20" s="30" t="n">
        <f aca="false">SUMIFS(Trades!$X$2:$X$884,Trades!$F$2:$F$884,$A20,Trades!$X$2:$X$884,"&lt;0")</f>
        <v>-1435.68</v>
      </c>
      <c r="I20" s="31" t="n">
        <f aca="false">IFERROR(G20/-H20,"no loss")</f>
        <v>0.771536832720383</v>
      </c>
      <c r="J20" s="30" t="n">
        <f aca="false">_xlfn.MAXIFS(Trades!$X$2:$X$884,Trades!$F$2:$F$884,$A20)</f>
        <v>556.6</v>
      </c>
      <c r="K20" s="30" t="n">
        <f aca="false">_xlfn.MINIFS(Trades!$X$2:$X$884,Trades!$F$2:$F$884,$A20)</f>
        <v>-303.28</v>
      </c>
      <c r="L20" s="32" t="n">
        <f aca="false">SUMIFS(Trades!$Y$2:$Y$884,Trades!$F$2:$F$884,$A20)</f>
        <v>-0.149417825528926</v>
      </c>
      <c r="M20" s="30" t="n">
        <f aca="false">P19</f>
        <v>105943.53</v>
      </c>
      <c r="N20" s="29" t="n">
        <f aca="false">IFERROR(F20/M20,0)</f>
        <v>-0.00309598896695249</v>
      </c>
      <c r="O20" s="28" t="str">
        <f aca="false">IF(F20&gt;0,"up","down")</f>
        <v>down</v>
      </c>
      <c r="P20" s="30" t="n">
        <f aca="false">M20+F20</f>
        <v>105615.53</v>
      </c>
      <c r="Q20" s="30" t="n">
        <f aca="false">P20-Summary!$C$5</f>
        <v>5615.53000000003</v>
      </c>
    </row>
    <row r="21" customFormat="false" ht="15" hidden="false" customHeight="false" outlineLevel="0" collapsed="false">
      <c r="A21" s="28" t="s">
        <v>162</v>
      </c>
      <c r="B21" s="28" t="n">
        <f aca="false">COUNTIFS(Trades!$F$2:$F$884,$A21)</f>
        <v>18</v>
      </c>
      <c r="C21" s="28" t="n">
        <f aca="false">COUNTIFS(Trades!$F$2:$F$884,$A21,Trades!$Z$2:$Z$884,"Win")</f>
        <v>6</v>
      </c>
      <c r="D21" s="28" t="n">
        <f aca="false">COUNTIFS(Trades!$F$2:$F$884,$A21,Trades!$Z$2:$Z$884,"Loss")</f>
        <v>11</v>
      </c>
      <c r="E21" s="29" t="n">
        <f aca="false">IFERROR(C21/B21,0)</f>
        <v>0.333333333333333</v>
      </c>
      <c r="F21" s="30" t="n">
        <f aca="false">SUMIFS(Trades!$X$2:$X$884,Trades!$F$2:$F$884,$A21)</f>
        <v>341.46</v>
      </c>
      <c r="G21" s="30" t="n">
        <f aca="false">SUMIFS(Trades!$X$2:$X$884,Trades!$F$2:$F$884,$A21,Trades!$X$2:$X$884,"&gt;0")</f>
        <v>1005.68</v>
      </c>
      <c r="H21" s="30" t="n">
        <f aca="false">SUMIFS(Trades!$X$2:$X$884,Trades!$F$2:$F$884,$A21,Trades!$X$2:$X$884,"&lt;0")</f>
        <v>-664.22</v>
      </c>
      <c r="I21" s="31" t="n">
        <f aca="false">IFERROR(G21/-H21,"no loss")</f>
        <v>1.51407666134714</v>
      </c>
      <c r="J21" s="30" t="n">
        <f aca="false">_xlfn.MAXIFS(Trades!$X$2:$X$884,Trades!$F$2:$F$884,$A21)</f>
        <v>319.15</v>
      </c>
      <c r="K21" s="30" t="n">
        <f aca="false">_xlfn.MINIFS(Trades!$X$2:$X$884,Trades!$F$2:$F$884,$A21)</f>
        <v>-142.52</v>
      </c>
      <c r="L21" s="32" t="n">
        <f aca="false">SUMIFS(Trades!$Y$2:$Y$884,Trades!$F$2:$F$884,$A21)</f>
        <v>4.86654243058286</v>
      </c>
      <c r="M21" s="30" t="n">
        <f aca="false">P20</f>
        <v>105615.53</v>
      </c>
      <c r="N21" s="29" t="n">
        <f aca="false">IFERROR(F21/M21,0)</f>
        <v>0.00323304726113669</v>
      </c>
      <c r="O21" s="28" t="str">
        <f aca="false">IF(F21&gt;0,"up","down")</f>
        <v>up</v>
      </c>
      <c r="P21" s="30" t="n">
        <f aca="false">M21+F21</f>
        <v>105956.99</v>
      </c>
      <c r="Q21" s="30" t="n">
        <f aca="false">P21-Summary!$C$5</f>
        <v>5956.99000000003</v>
      </c>
    </row>
    <row r="22" customFormat="false" ht="15" hidden="false" customHeight="false" outlineLevel="0" collapsed="false">
      <c r="A22" s="28" t="s">
        <v>163</v>
      </c>
      <c r="B22" s="28" t="n">
        <f aca="false">COUNTIFS(Trades!$F$2:$F$884,$A22)</f>
        <v>19</v>
      </c>
      <c r="C22" s="28" t="n">
        <f aca="false">COUNTIFS(Trades!$F$2:$F$884,$A22,Trades!$Z$2:$Z$884,"Win")</f>
        <v>6</v>
      </c>
      <c r="D22" s="28" t="n">
        <f aca="false">COUNTIFS(Trades!$F$2:$F$884,$A22,Trades!$Z$2:$Z$884,"Loss")</f>
        <v>12</v>
      </c>
      <c r="E22" s="29" t="n">
        <f aca="false">IFERROR(C22/B22,0)</f>
        <v>0.315789473684211</v>
      </c>
      <c r="F22" s="30" t="n">
        <f aca="false">SUMIFS(Trades!$X$2:$X$884,Trades!$F$2:$F$884,$A22)</f>
        <v>884.68</v>
      </c>
      <c r="G22" s="30" t="n">
        <f aca="false">SUMIFS(Trades!$X$2:$X$884,Trades!$F$2:$F$884,$A22,Trades!$X$2:$X$884,"&gt;0")</f>
        <v>1233.32</v>
      </c>
      <c r="H22" s="30" t="n">
        <f aca="false">SUMIFS(Trades!$X$2:$X$884,Trades!$F$2:$F$884,$A22,Trades!$X$2:$X$884,"&lt;0")</f>
        <v>-348.64</v>
      </c>
      <c r="I22" s="31" t="n">
        <f aca="false">IFERROR(G22/-H22,"no loss")</f>
        <v>3.53751720972923</v>
      </c>
      <c r="J22" s="30" t="n">
        <f aca="false">_xlfn.MAXIFS(Trades!$X$2:$X$884,Trades!$F$2:$F$884,$A22)</f>
        <v>322.21</v>
      </c>
      <c r="K22" s="30" t="n">
        <f aca="false">_xlfn.MINIFS(Trades!$X$2:$X$884,Trades!$F$2:$F$884,$A22)</f>
        <v>-110.13</v>
      </c>
      <c r="L22" s="32" t="n">
        <f aca="false">SUMIFS(Trades!$Y$2:$Y$884,Trades!$F$2:$F$884,$A22)</f>
        <v>5.92208339958765</v>
      </c>
      <c r="M22" s="30" t="n">
        <f aca="false">P21</f>
        <v>105956.99</v>
      </c>
      <c r="N22" s="29" t="n">
        <f aca="false">IFERROR(F22/M22,0)</f>
        <v>0.00834942555465194</v>
      </c>
      <c r="O22" s="28" t="str">
        <f aca="false">IF(F22&gt;0,"up","down")</f>
        <v>up</v>
      </c>
      <c r="P22" s="30" t="n">
        <f aca="false">M22+F22</f>
        <v>106841.67</v>
      </c>
      <c r="Q22" s="30" t="n">
        <f aca="false">P22-Summary!$C$5</f>
        <v>6841.67000000003</v>
      </c>
    </row>
    <row r="23" customFormat="false" ht="15" hidden="false" customHeight="false" outlineLevel="0" collapsed="false">
      <c r="A23" s="28" t="s">
        <v>164</v>
      </c>
      <c r="B23" s="28" t="n">
        <f aca="false">COUNTIFS(Trades!$F$2:$F$884,$A23)</f>
        <v>20</v>
      </c>
      <c r="C23" s="28" t="n">
        <f aca="false">COUNTIFS(Trades!$F$2:$F$884,$A23,Trades!$Z$2:$Z$884,"Win")</f>
        <v>7</v>
      </c>
      <c r="D23" s="28" t="n">
        <f aca="false">COUNTIFS(Trades!$F$2:$F$884,$A23,Trades!$Z$2:$Z$884,"Loss")</f>
        <v>13</v>
      </c>
      <c r="E23" s="29" t="n">
        <f aca="false">IFERROR(C23/B23,0)</f>
        <v>0.35</v>
      </c>
      <c r="F23" s="30" t="n">
        <f aca="false">SUMIFS(Trades!$X$2:$X$884,Trades!$F$2:$F$884,$A23)</f>
        <v>1042.63</v>
      </c>
      <c r="G23" s="30" t="n">
        <f aca="false">SUMIFS(Trades!$X$2:$X$884,Trades!$F$2:$F$884,$A23,Trades!$X$2:$X$884,"&gt;0")</f>
        <v>1608.03</v>
      </c>
      <c r="H23" s="30" t="n">
        <f aca="false">SUMIFS(Trades!$X$2:$X$884,Trades!$F$2:$F$884,$A23,Trades!$X$2:$X$884,"&lt;0")</f>
        <v>-565.4</v>
      </c>
      <c r="I23" s="31" t="n">
        <f aca="false">IFERROR(G23/-H23,"no loss")</f>
        <v>2.84405730456314</v>
      </c>
      <c r="J23" s="30" t="n">
        <f aca="false">_xlfn.MAXIFS(Trades!$X$2:$X$884,Trades!$F$2:$F$884,$A23)</f>
        <v>518.63</v>
      </c>
      <c r="K23" s="30" t="n">
        <f aca="false">_xlfn.MINIFS(Trades!$X$2:$X$884,Trades!$F$2:$F$884,$A23)</f>
        <v>-287.8</v>
      </c>
      <c r="L23" s="32" t="n">
        <f aca="false">SUMIFS(Trades!$Y$2:$Y$884,Trades!$F$2:$F$884,$A23)</f>
        <v>9.97428655820438</v>
      </c>
      <c r="M23" s="30" t="n">
        <f aca="false">P22</f>
        <v>106841.67</v>
      </c>
      <c r="N23" s="29" t="n">
        <f aca="false">IFERROR(F23/M23,0)</f>
        <v>0.00975864566699491</v>
      </c>
      <c r="O23" s="28" t="str">
        <f aca="false">IF(F23&gt;0,"up","down")</f>
        <v>up</v>
      </c>
      <c r="P23" s="30" t="n">
        <f aca="false">M23+F23</f>
        <v>107884.3</v>
      </c>
      <c r="Q23" s="30" t="n">
        <f aca="false">P23-Summary!$C$5</f>
        <v>7884.30000000003</v>
      </c>
    </row>
    <row r="24" customFormat="false" ht="15" hidden="false" customHeight="false" outlineLevel="0" collapsed="false">
      <c r="A24" s="28" t="s">
        <v>165</v>
      </c>
      <c r="B24" s="28" t="n">
        <f aca="false">COUNTIFS(Trades!$F$2:$F$884,$A24)</f>
        <v>20</v>
      </c>
      <c r="C24" s="28" t="n">
        <f aca="false">COUNTIFS(Trades!$F$2:$F$884,$A24,Trades!$Z$2:$Z$884,"Win")</f>
        <v>9</v>
      </c>
      <c r="D24" s="28" t="n">
        <f aca="false">COUNTIFS(Trades!$F$2:$F$884,$A24,Trades!$Z$2:$Z$884,"Loss")</f>
        <v>11</v>
      </c>
      <c r="E24" s="29" t="n">
        <f aca="false">IFERROR(C24/B24,0)</f>
        <v>0.45</v>
      </c>
      <c r="F24" s="30" t="n">
        <f aca="false">SUMIFS(Trades!$X$2:$X$884,Trades!$F$2:$F$884,$A24)</f>
        <v>268.75</v>
      </c>
      <c r="G24" s="30" t="n">
        <f aca="false">SUMIFS(Trades!$X$2:$X$884,Trades!$F$2:$F$884,$A24,Trades!$X$2:$X$884,"&gt;0")</f>
        <v>2059.65</v>
      </c>
      <c r="H24" s="30" t="n">
        <f aca="false">SUMIFS(Trades!$X$2:$X$884,Trades!$F$2:$F$884,$A24,Trades!$X$2:$X$884,"&lt;0")</f>
        <v>-1790.9</v>
      </c>
      <c r="I24" s="31" t="n">
        <f aca="false">IFERROR(G24/-H24,"no loss")</f>
        <v>1.15006421352393</v>
      </c>
      <c r="J24" s="30" t="n">
        <f aca="false">_xlfn.MAXIFS(Trades!$X$2:$X$884,Trades!$F$2:$F$884,$A24)</f>
        <v>634.62</v>
      </c>
      <c r="K24" s="30" t="n">
        <f aca="false">_xlfn.MINIFS(Trades!$X$2:$X$884,Trades!$F$2:$F$884,$A24)</f>
        <v>-537.23</v>
      </c>
      <c r="L24" s="32" t="n">
        <f aca="false">SUMIFS(Trades!$Y$2:$Y$884,Trades!$F$2:$F$884,$A24)</f>
        <v>9.33850273346807</v>
      </c>
      <c r="M24" s="30" t="n">
        <f aca="false">P23</f>
        <v>107884.3</v>
      </c>
      <c r="N24" s="29" t="n">
        <f aca="false">IFERROR(F24/M24,0)</f>
        <v>0.00249109462637288</v>
      </c>
      <c r="O24" s="28" t="str">
        <f aca="false">IF(F24&gt;0,"up","down")</f>
        <v>up</v>
      </c>
      <c r="P24" s="30" t="n">
        <f aca="false">M24+F24</f>
        <v>108153.05</v>
      </c>
      <c r="Q24" s="30" t="n">
        <f aca="false">P24-Summary!$C$5</f>
        <v>8153.05000000003</v>
      </c>
    </row>
    <row r="25" customFormat="false" ht="15" hidden="false" customHeight="false" outlineLevel="0" collapsed="false">
      <c r="A25" s="28" t="s">
        <v>166</v>
      </c>
      <c r="B25" s="28" t="n">
        <f aca="false">COUNTIFS(Trades!$F$2:$F$884,$A25)</f>
        <v>21</v>
      </c>
      <c r="C25" s="28" t="n">
        <f aca="false">COUNTIFS(Trades!$F$2:$F$884,$A25,Trades!$Z$2:$Z$884,"Win")</f>
        <v>5</v>
      </c>
      <c r="D25" s="28" t="n">
        <f aca="false">COUNTIFS(Trades!$F$2:$F$884,$A25,Trades!$Z$2:$Z$884,"Loss")</f>
        <v>14</v>
      </c>
      <c r="E25" s="29" t="n">
        <f aca="false">IFERROR(C25/B25,0)</f>
        <v>0.238095238095238</v>
      </c>
      <c r="F25" s="30" t="n">
        <f aca="false">SUMIFS(Trades!$X$2:$X$884,Trades!$F$2:$F$884,$A25)</f>
        <v>709.31</v>
      </c>
      <c r="G25" s="30" t="n">
        <f aca="false">SUMIFS(Trades!$X$2:$X$884,Trades!$F$2:$F$884,$A25,Trades!$X$2:$X$884,"&gt;0")</f>
        <v>2017.96</v>
      </c>
      <c r="H25" s="30" t="n">
        <f aca="false">SUMIFS(Trades!$X$2:$X$884,Trades!$F$2:$F$884,$A25,Trades!$X$2:$X$884,"&lt;0")</f>
        <v>-1308.65</v>
      </c>
      <c r="I25" s="31" t="n">
        <f aca="false">IFERROR(G25/-H25,"no loss")</f>
        <v>1.54201658197379</v>
      </c>
      <c r="J25" s="30" t="n">
        <f aca="false">_xlfn.MAXIFS(Trades!$X$2:$X$884,Trades!$F$2:$F$884,$A25)</f>
        <v>716.35</v>
      </c>
      <c r="K25" s="30" t="n">
        <f aca="false">_xlfn.MINIFS(Trades!$X$2:$X$884,Trades!$F$2:$F$884,$A25)</f>
        <v>-322.5</v>
      </c>
      <c r="L25" s="32" t="n">
        <f aca="false">SUMIFS(Trades!$Y$2:$Y$884,Trades!$F$2:$F$884,$A25)</f>
        <v>3.99075625593581</v>
      </c>
      <c r="M25" s="30" t="n">
        <f aca="false">P24</f>
        <v>108153.05</v>
      </c>
      <c r="N25" s="29" t="n">
        <f aca="false">IFERROR(F25/M25,0)</f>
        <v>0.00655839109484199</v>
      </c>
      <c r="O25" s="28" t="str">
        <f aca="false">IF(F25&gt;0,"up","down")</f>
        <v>up</v>
      </c>
      <c r="P25" s="30" t="n">
        <f aca="false">M25+F25</f>
        <v>108862.36</v>
      </c>
      <c r="Q25" s="30" t="n">
        <f aca="false">P25-Summary!$C$5</f>
        <v>8862.36000000003</v>
      </c>
    </row>
    <row r="26" customFormat="false" ht="15" hidden="false" customHeight="false" outlineLevel="0" collapsed="false">
      <c r="A26" s="28" t="s">
        <v>167</v>
      </c>
      <c r="B26" s="28" t="n">
        <f aca="false">COUNTIFS(Trades!$F$2:$F$884,$A26)</f>
        <v>19</v>
      </c>
      <c r="C26" s="28" t="n">
        <f aca="false">COUNTIFS(Trades!$F$2:$F$884,$A26,Trades!$Z$2:$Z$884,"Win")</f>
        <v>5</v>
      </c>
      <c r="D26" s="28" t="n">
        <f aca="false">COUNTIFS(Trades!$F$2:$F$884,$A26,Trades!$Z$2:$Z$884,"Loss")</f>
        <v>14</v>
      </c>
      <c r="E26" s="29" t="n">
        <f aca="false">IFERROR(C26/B26,0)</f>
        <v>0.263157894736842</v>
      </c>
      <c r="F26" s="30" t="n">
        <f aca="false">SUMIFS(Trades!$X$2:$X$884,Trades!$F$2:$F$884,$A26)</f>
        <v>2501.59</v>
      </c>
      <c r="G26" s="30" t="n">
        <f aca="false">SUMIFS(Trades!$X$2:$X$884,Trades!$F$2:$F$884,$A26,Trades!$X$2:$X$884,"&gt;0")</f>
        <v>4250.02</v>
      </c>
      <c r="H26" s="30" t="n">
        <f aca="false">SUMIFS(Trades!$X$2:$X$884,Trades!$F$2:$F$884,$A26,Trades!$X$2:$X$884,"&lt;0")</f>
        <v>-1748.43</v>
      </c>
      <c r="I26" s="31" t="n">
        <f aca="false">IFERROR(G26/-H26,"no loss")</f>
        <v>2.43076359934341</v>
      </c>
      <c r="J26" s="30" t="n">
        <f aca="false">_xlfn.MAXIFS(Trades!$X$2:$X$884,Trades!$F$2:$F$884,$A26)</f>
        <v>1033.59</v>
      </c>
      <c r="K26" s="30" t="n">
        <f aca="false">_xlfn.MINIFS(Trades!$X$2:$X$884,Trades!$F$2:$F$884,$A26)</f>
        <v>-363.84</v>
      </c>
      <c r="L26" s="32" t="n">
        <f aca="false">SUMIFS(Trades!$Y$2:$Y$884,Trades!$F$2:$F$884,$A26)</f>
        <v>-1.14003534882957</v>
      </c>
      <c r="M26" s="30" t="n">
        <f aca="false">P25</f>
        <v>108862.36</v>
      </c>
      <c r="N26" s="29" t="n">
        <f aca="false">IFERROR(F26/M26,0)</f>
        <v>0.0229793842426345</v>
      </c>
      <c r="O26" s="28" t="str">
        <f aca="false">IF(F26&gt;0,"up","down")</f>
        <v>up</v>
      </c>
      <c r="P26" s="30" t="n">
        <f aca="false">M26+F26</f>
        <v>111363.95</v>
      </c>
      <c r="Q26" s="30" t="n">
        <f aca="false">P26-Summary!$C$5</f>
        <v>11363.95</v>
      </c>
    </row>
    <row r="27" customFormat="false" ht="15" hidden="false" customHeight="false" outlineLevel="0" collapsed="false">
      <c r="A27" s="28" t="s">
        <v>168</v>
      </c>
      <c r="B27" s="28" t="n">
        <f aca="false">COUNTIFS(Trades!$F$2:$F$884,$A27)</f>
        <v>24</v>
      </c>
      <c r="C27" s="28" t="n">
        <f aca="false">COUNTIFS(Trades!$F$2:$F$884,$A27,Trades!$Z$2:$Z$884,"Win")</f>
        <v>8</v>
      </c>
      <c r="D27" s="28" t="n">
        <f aca="false">COUNTIFS(Trades!$F$2:$F$884,$A27,Trades!$Z$2:$Z$884,"Loss")</f>
        <v>16</v>
      </c>
      <c r="E27" s="29" t="n">
        <f aca="false">IFERROR(C27/B27,0)</f>
        <v>0.333333333333333</v>
      </c>
      <c r="F27" s="30" t="n">
        <f aca="false">SUMIFS(Trades!$X$2:$X$884,Trades!$F$2:$F$884,$A27)</f>
        <v>358.91</v>
      </c>
      <c r="G27" s="30" t="n">
        <f aca="false">SUMIFS(Trades!$X$2:$X$884,Trades!$F$2:$F$884,$A27,Trades!$X$2:$X$884,"&gt;0")</f>
        <v>2193.01</v>
      </c>
      <c r="H27" s="30" t="n">
        <f aca="false">SUMIFS(Trades!$X$2:$X$884,Trades!$F$2:$F$884,$A27,Trades!$X$2:$X$884,"&lt;0")</f>
        <v>-1834.1</v>
      </c>
      <c r="I27" s="31" t="n">
        <f aca="false">IFERROR(G27/-H27,"no loss")</f>
        <v>1.19568725805572</v>
      </c>
      <c r="J27" s="30" t="n">
        <f aca="false">_xlfn.MAXIFS(Trades!$X$2:$X$884,Trades!$F$2:$F$884,$A27)</f>
        <v>634.42</v>
      </c>
      <c r="K27" s="30" t="n">
        <f aca="false">_xlfn.MINIFS(Trades!$X$2:$X$884,Trades!$F$2:$F$884,$A27)</f>
        <v>-314.9</v>
      </c>
      <c r="L27" s="32" t="n">
        <f aca="false">SUMIFS(Trades!$Y$2:$Y$884,Trades!$F$2:$F$884,$A27)</f>
        <v>5.00145155650741</v>
      </c>
      <c r="M27" s="30" t="n">
        <f aca="false">P26</f>
        <v>111363.95</v>
      </c>
      <c r="N27" s="29" t="n">
        <f aca="false">IFERROR(F27/M27,0)</f>
        <v>0.00322285622950694</v>
      </c>
      <c r="O27" s="28" t="str">
        <f aca="false">IF(F27&gt;0,"up","down")</f>
        <v>up</v>
      </c>
      <c r="P27" s="30" t="n">
        <f aca="false">M27+F27</f>
        <v>111722.86</v>
      </c>
      <c r="Q27" s="30" t="n">
        <f aca="false">P27-Summary!$C$5</f>
        <v>11722.86</v>
      </c>
    </row>
    <row r="28" customFormat="false" ht="15" hidden="false" customHeight="false" outlineLevel="0" collapsed="false">
      <c r="A28" s="28" t="s">
        <v>169</v>
      </c>
      <c r="B28" s="28" t="n">
        <f aca="false">COUNTIFS(Trades!$F$2:$F$884,$A28)</f>
        <v>21</v>
      </c>
      <c r="C28" s="28" t="n">
        <f aca="false">COUNTIFS(Trades!$F$2:$F$884,$A28,Trades!$Z$2:$Z$884,"Win")</f>
        <v>8</v>
      </c>
      <c r="D28" s="28" t="n">
        <f aca="false">COUNTIFS(Trades!$F$2:$F$884,$A28,Trades!$Z$2:$Z$884,"Loss")</f>
        <v>12</v>
      </c>
      <c r="E28" s="29" t="n">
        <f aca="false">IFERROR(C28/B28,0)</f>
        <v>0.380952380952381</v>
      </c>
      <c r="F28" s="30" t="n">
        <f aca="false">SUMIFS(Trades!$X$2:$X$884,Trades!$F$2:$F$884,$A28)</f>
        <v>345.34</v>
      </c>
      <c r="G28" s="30" t="n">
        <f aca="false">SUMIFS(Trades!$X$2:$X$884,Trades!$F$2:$F$884,$A28,Trades!$X$2:$X$884,"&gt;0")</f>
        <v>1692.44</v>
      </c>
      <c r="H28" s="30" t="n">
        <f aca="false">SUMIFS(Trades!$X$2:$X$884,Trades!$F$2:$F$884,$A28,Trades!$X$2:$X$884,"&lt;0")</f>
        <v>-1347.1</v>
      </c>
      <c r="I28" s="31" t="n">
        <f aca="false">IFERROR(G28/-H28,"no loss")</f>
        <v>1.25635810259075</v>
      </c>
      <c r="J28" s="30" t="n">
        <f aca="false">_xlfn.MAXIFS(Trades!$X$2:$X$884,Trades!$F$2:$F$884,$A28)</f>
        <v>489.76</v>
      </c>
      <c r="K28" s="30" t="n">
        <f aca="false">_xlfn.MINIFS(Trades!$X$2:$X$884,Trades!$F$2:$F$884,$A28)</f>
        <v>-245.04</v>
      </c>
      <c r="L28" s="32" t="n">
        <f aca="false">SUMIFS(Trades!$Y$2:$Y$884,Trades!$F$2:$F$884,$A28)</f>
        <v>6.36654893845236</v>
      </c>
      <c r="M28" s="30" t="n">
        <f aca="false">P27</f>
        <v>111722.86</v>
      </c>
      <c r="N28" s="29" t="n">
        <f aca="false">IFERROR(F28/M28,0)</f>
        <v>0.00309104152901206</v>
      </c>
      <c r="O28" s="28" t="str">
        <f aca="false">IF(F28&gt;0,"up","down")</f>
        <v>up</v>
      </c>
      <c r="P28" s="30" t="n">
        <f aca="false">M28+F28</f>
        <v>112068.2</v>
      </c>
      <c r="Q28" s="30" t="n">
        <f aca="false">P28-Summary!$C$5</f>
        <v>12068.2</v>
      </c>
    </row>
    <row r="29" customFormat="false" ht="15" hidden="false" customHeight="false" outlineLevel="0" collapsed="false">
      <c r="A29" s="28" t="s">
        <v>170</v>
      </c>
      <c r="B29" s="28" t="n">
        <f aca="false">COUNTIFS(Trades!$F$2:$F$884,$A29)</f>
        <v>23</v>
      </c>
      <c r="C29" s="28" t="n">
        <f aca="false">COUNTIFS(Trades!$F$2:$F$884,$A29,Trades!$Z$2:$Z$884,"Win")</f>
        <v>9</v>
      </c>
      <c r="D29" s="28" t="n">
        <f aca="false">COUNTIFS(Trades!$F$2:$F$884,$A29,Trades!$Z$2:$Z$884,"Loss")</f>
        <v>14</v>
      </c>
      <c r="E29" s="29" t="n">
        <f aca="false">IFERROR(C29/B29,0)</f>
        <v>0.391304347826087</v>
      </c>
      <c r="F29" s="30" t="n">
        <f aca="false">SUMIFS(Trades!$X$2:$X$884,Trades!$F$2:$F$884,$A29)</f>
        <v>836.53</v>
      </c>
      <c r="G29" s="30" t="n">
        <f aca="false">SUMIFS(Trades!$X$2:$X$884,Trades!$F$2:$F$884,$A29,Trades!$X$2:$X$884,"&gt;0")</f>
        <v>1754.57</v>
      </c>
      <c r="H29" s="30" t="n">
        <f aca="false">SUMIFS(Trades!$X$2:$X$884,Trades!$F$2:$F$884,$A29,Trades!$X$2:$X$884,"&lt;0")</f>
        <v>-918.04</v>
      </c>
      <c r="I29" s="31" t="n">
        <f aca="false">IFERROR(G29/-H29,"no loss")</f>
        <v>1.91121301904056</v>
      </c>
      <c r="J29" s="30" t="n">
        <f aca="false">_xlfn.MAXIFS(Trades!$X$2:$X$884,Trades!$F$2:$F$884,$A29)</f>
        <v>596.31</v>
      </c>
      <c r="K29" s="30" t="n">
        <f aca="false">_xlfn.MINIFS(Trades!$X$2:$X$884,Trades!$F$2:$F$884,$A29)</f>
        <v>-232.18</v>
      </c>
      <c r="L29" s="32" t="n">
        <f aca="false">SUMIFS(Trades!$Y$2:$Y$884,Trades!$F$2:$F$884,$A29)</f>
        <v>8.44150637981491</v>
      </c>
      <c r="M29" s="30" t="n">
        <f aca="false">P28</f>
        <v>112068.2</v>
      </c>
      <c r="N29" s="29" t="n">
        <f aca="false">IFERROR(F29/M29,0)</f>
        <v>0.0074644725265508</v>
      </c>
      <c r="O29" s="28" t="str">
        <f aca="false">IF(F29&gt;0,"up","down")</f>
        <v>up</v>
      </c>
      <c r="P29" s="30" t="n">
        <f aca="false">M29+F29</f>
        <v>112904.73</v>
      </c>
      <c r="Q29" s="30" t="n">
        <f aca="false">P29-Summary!$C$5</f>
        <v>12904.73</v>
      </c>
    </row>
    <row r="30" customFormat="false" ht="15" hidden="false" customHeight="false" outlineLevel="0" collapsed="false">
      <c r="A30" s="28" t="s">
        <v>171</v>
      </c>
      <c r="B30" s="28" t="n">
        <f aca="false">COUNTIFS(Trades!$F$2:$F$884,$A30)</f>
        <v>21</v>
      </c>
      <c r="C30" s="28" t="n">
        <f aca="false">COUNTIFS(Trades!$F$2:$F$884,$A30,Trades!$Z$2:$Z$884,"Win")</f>
        <v>4</v>
      </c>
      <c r="D30" s="28" t="n">
        <f aca="false">COUNTIFS(Trades!$F$2:$F$884,$A30,Trades!$Z$2:$Z$884,"Loss")</f>
        <v>17</v>
      </c>
      <c r="E30" s="29" t="n">
        <f aca="false">IFERROR(C30/B30,0)</f>
        <v>0.19047619047619</v>
      </c>
      <c r="F30" s="30" t="n">
        <f aca="false">SUMIFS(Trades!$X$2:$X$884,Trades!$F$2:$F$884,$A30)</f>
        <v>-140.64</v>
      </c>
      <c r="G30" s="30" t="n">
        <f aca="false">SUMIFS(Trades!$X$2:$X$884,Trades!$F$2:$F$884,$A30,Trades!$X$2:$X$884,"&gt;0")</f>
        <v>1041.72</v>
      </c>
      <c r="H30" s="30" t="n">
        <f aca="false">SUMIFS(Trades!$X$2:$X$884,Trades!$F$2:$F$884,$A30,Trades!$X$2:$X$884,"&lt;0")</f>
        <v>-1182.36</v>
      </c>
      <c r="I30" s="31" t="n">
        <f aca="false">IFERROR(G30/-H30,"no loss")</f>
        <v>0.881051456409215</v>
      </c>
      <c r="J30" s="30" t="n">
        <f aca="false">_xlfn.MAXIFS(Trades!$X$2:$X$884,Trades!$F$2:$F$884,$A30)</f>
        <v>517.94</v>
      </c>
      <c r="K30" s="30" t="n">
        <f aca="false">_xlfn.MINIFS(Trades!$X$2:$X$884,Trades!$F$2:$F$884,$A30)</f>
        <v>-212.31</v>
      </c>
      <c r="L30" s="32" t="n">
        <f aca="false">SUMIFS(Trades!$Y$2:$Y$884,Trades!$F$2:$F$884,$A30)</f>
        <v>-4.45755570395369</v>
      </c>
      <c r="M30" s="30" t="n">
        <f aca="false">P29</f>
        <v>112904.73</v>
      </c>
      <c r="N30" s="29" t="n">
        <f aca="false">IFERROR(F30/M30,0)</f>
        <v>-0.00124565197578525</v>
      </c>
      <c r="O30" s="28" t="str">
        <f aca="false">IF(F30&gt;0,"up","down")</f>
        <v>down</v>
      </c>
      <c r="P30" s="30" t="n">
        <f aca="false">M30+F30</f>
        <v>112764.09</v>
      </c>
      <c r="Q30" s="30" t="n">
        <f aca="false">P30-Summary!$C$5</f>
        <v>12764.09</v>
      </c>
    </row>
    <row r="31" customFormat="false" ht="15" hidden="false" customHeight="false" outlineLevel="0" collapsed="false">
      <c r="A31" s="28" t="s">
        <v>172</v>
      </c>
      <c r="B31" s="28" t="n">
        <f aca="false">COUNTIFS(Trades!$F$2:$F$884,$A31)</f>
        <v>19</v>
      </c>
      <c r="C31" s="28" t="n">
        <f aca="false">COUNTIFS(Trades!$F$2:$F$884,$A31,Trades!$Z$2:$Z$884,"Win")</f>
        <v>5</v>
      </c>
      <c r="D31" s="28" t="n">
        <f aca="false">COUNTIFS(Trades!$F$2:$F$884,$A31,Trades!$Z$2:$Z$884,"Loss")</f>
        <v>14</v>
      </c>
      <c r="E31" s="29" t="n">
        <f aca="false">IFERROR(C31/B31,0)</f>
        <v>0.263157894736842</v>
      </c>
      <c r="F31" s="30" t="n">
        <f aca="false">SUMIFS(Trades!$X$2:$X$884,Trades!$F$2:$F$884,$A31)</f>
        <v>-95.91</v>
      </c>
      <c r="G31" s="30" t="n">
        <f aca="false">SUMIFS(Trades!$X$2:$X$884,Trades!$F$2:$F$884,$A31,Trades!$X$2:$X$884,"&gt;0")</f>
        <v>613.64</v>
      </c>
      <c r="H31" s="30" t="n">
        <f aca="false">SUMIFS(Trades!$X$2:$X$884,Trades!$F$2:$F$884,$A31,Trades!$X$2:$X$884,"&lt;0")</f>
        <v>-709.55</v>
      </c>
      <c r="I31" s="31" t="n">
        <f aca="false">IFERROR(G31/-H31,"no loss")</f>
        <v>0.86482982171799</v>
      </c>
      <c r="J31" s="30" t="n">
        <f aca="false">_xlfn.MAXIFS(Trades!$X$2:$X$884,Trades!$F$2:$F$884,$A31)</f>
        <v>166.4</v>
      </c>
      <c r="K31" s="30" t="n">
        <f aca="false">_xlfn.MINIFS(Trades!$X$2:$X$884,Trades!$F$2:$F$884,$A31)</f>
        <v>-139.68</v>
      </c>
      <c r="L31" s="32" t="n">
        <f aca="false">SUMIFS(Trades!$Y$2:$Y$884,Trades!$F$2:$F$884,$A31)</f>
        <v>-0.997143838782809</v>
      </c>
      <c r="M31" s="30" t="n">
        <f aca="false">P30</f>
        <v>112764.09</v>
      </c>
      <c r="N31" s="29" t="n">
        <f aca="false">IFERROR(F31/M31,0)</f>
        <v>-0.000850536726718585</v>
      </c>
      <c r="O31" s="28" t="str">
        <f aca="false">IF(F31&gt;0,"up","down")</f>
        <v>down</v>
      </c>
      <c r="P31" s="30" t="n">
        <f aca="false">M31+F31</f>
        <v>112668.18</v>
      </c>
      <c r="Q31" s="30" t="n">
        <f aca="false">P31-Summary!$C$5</f>
        <v>12668.18</v>
      </c>
    </row>
    <row r="32" customFormat="false" ht="15" hidden="false" customHeight="false" outlineLevel="0" collapsed="false">
      <c r="A32" s="28" t="s">
        <v>173</v>
      </c>
      <c r="B32" s="28" t="n">
        <f aca="false">COUNTIFS(Trades!$F$2:$F$884,$A32)</f>
        <v>27</v>
      </c>
      <c r="C32" s="28" t="n">
        <f aca="false">COUNTIFS(Trades!$F$2:$F$884,$A32,Trades!$Z$2:$Z$884,"Win")</f>
        <v>11</v>
      </c>
      <c r="D32" s="28" t="n">
        <f aca="false">COUNTIFS(Trades!$F$2:$F$884,$A32,Trades!$Z$2:$Z$884,"Loss")</f>
        <v>16</v>
      </c>
      <c r="E32" s="29" t="n">
        <f aca="false">IFERROR(C32/B32,0)</f>
        <v>0.407407407407407</v>
      </c>
      <c r="F32" s="30" t="n">
        <f aca="false">SUMIFS(Trades!$X$2:$X$884,Trades!$F$2:$F$884,$A32)</f>
        <v>1221.66</v>
      </c>
      <c r="G32" s="30" t="n">
        <f aca="false">SUMIFS(Trades!$X$2:$X$884,Trades!$F$2:$F$884,$A32,Trades!$X$2:$X$884,"&gt;0")</f>
        <v>2382.62</v>
      </c>
      <c r="H32" s="30" t="n">
        <f aca="false">SUMIFS(Trades!$X$2:$X$884,Trades!$F$2:$F$884,$A32,Trades!$X$2:$X$884,"&lt;0")</f>
        <v>-1160.96</v>
      </c>
      <c r="I32" s="31" t="n">
        <f aca="false">IFERROR(G32/-H32,"no loss")</f>
        <v>2.05228431642778</v>
      </c>
      <c r="J32" s="30" t="n">
        <f aca="false">_xlfn.MAXIFS(Trades!$X$2:$X$884,Trades!$F$2:$F$884,$A32)</f>
        <v>587.68</v>
      </c>
      <c r="K32" s="30" t="n">
        <f aca="false">_xlfn.MINIFS(Trades!$X$2:$X$884,Trades!$F$2:$F$884,$A32)</f>
        <v>-193.28</v>
      </c>
      <c r="L32" s="32" t="n">
        <f aca="false">SUMIFS(Trades!$Y$2:$Y$884,Trades!$F$2:$F$884,$A32)</f>
        <v>11.9340309543151</v>
      </c>
      <c r="M32" s="30" t="n">
        <f aca="false">P31</f>
        <v>112668.18</v>
      </c>
      <c r="N32" s="29" t="n">
        <f aca="false">IFERROR(F32/M32,0)</f>
        <v>0.0108429904521401</v>
      </c>
      <c r="O32" s="28" t="str">
        <f aca="false">IF(F32&gt;0,"up","down")</f>
        <v>up</v>
      </c>
      <c r="P32" s="30" t="n">
        <f aca="false">M32+F32</f>
        <v>113889.84</v>
      </c>
      <c r="Q32" s="30" t="n">
        <f aca="false">P32-Summary!$C$5</f>
        <v>13889.84</v>
      </c>
    </row>
    <row r="33" customFormat="false" ht="15" hidden="false" customHeight="false" outlineLevel="0" collapsed="false">
      <c r="A33" s="28" t="s">
        <v>174</v>
      </c>
      <c r="B33" s="28" t="n">
        <f aca="false">COUNTIFS(Trades!$F$2:$F$884,$A33)</f>
        <v>19</v>
      </c>
      <c r="C33" s="28" t="n">
        <f aca="false">COUNTIFS(Trades!$F$2:$F$884,$A33,Trades!$Z$2:$Z$884,"Win")</f>
        <v>9</v>
      </c>
      <c r="D33" s="28" t="n">
        <f aca="false">COUNTIFS(Trades!$F$2:$F$884,$A33,Trades!$Z$2:$Z$884,"Loss")</f>
        <v>10</v>
      </c>
      <c r="E33" s="29" t="n">
        <f aca="false">IFERROR(C33/B33,0)</f>
        <v>0.473684210526316</v>
      </c>
      <c r="F33" s="30" t="n">
        <f aca="false">SUMIFS(Trades!$X$2:$X$884,Trades!$F$2:$F$884,$A33)</f>
        <v>923.27</v>
      </c>
      <c r="G33" s="30" t="n">
        <f aca="false">SUMIFS(Trades!$X$2:$X$884,Trades!$F$2:$F$884,$A33,Trades!$X$2:$X$884,"&gt;0")</f>
        <v>1962.61</v>
      </c>
      <c r="H33" s="30" t="n">
        <f aca="false">SUMIFS(Trades!$X$2:$X$884,Trades!$F$2:$F$884,$A33,Trades!$X$2:$X$884,"&lt;0")</f>
        <v>-1039.34</v>
      </c>
      <c r="I33" s="31" t="n">
        <f aca="false">IFERROR(G33/-H33,"no loss")</f>
        <v>1.88832335905479</v>
      </c>
      <c r="J33" s="30" t="n">
        <f aca="false">_xlfn.MAXIFS(Trades!$X$2:$X$884,Trades!$F$2:$F$884,$A33)</f>
        <v>700.32</v>
      </c>
      <c r="K33" s="30" t="n">
        <f aca="false">_xlfn.MINIFS(Trades!$X$2:$X$884,Trades!$F$2:$F$884,$A33)</f>
        <v>-212.08</v>
      </c>
      <c r="L33" s="32" t="n">
        <f aca="false">SUMIFS(Trades!$Y$2:$Y$884,Trades!$F$2:$F$884,$A33)</f>
        <v>11.5004491449792</v>
      </c>
      <c r="M33" s="30" t="n">
        <f aca="false">P32</f>
        <v>113889.84</v>
      </c>
      <c r="N33" s="29" t="n">
        <f aca="false">IFERROR(F33/M33,0)</f>
        <v>0.0081066932748347</v>
      </c>
      <c r="O33" s="28" t="str">
        <f aca="false">IF(F33&gt;0,"up","down")</f>
        <v>up</v>
      </c>
      <c r="P33" s="30" t="n">
        <f aca="false">M33+F33</f>
        <v>114813.11</v>
      </c>
      <c r="Q33" s="30" t="n">
        <f aca="false">P33-Summary!$C$5</f>
        <v>14813.11</v>
      </c>
    </row>
    <row r="34" customFormat="false" ht="15" hidden="false" customHeight="false" outlineLevel="0" collapsed="false">
      <c r="A34" s="28" t="s">
        <v>175</v>
      </c>
      <c r="B34" s="28" t="n">
        <f aca="false">COUNTIFS(Trades!$F$2:$F$884,$A34)</f>
        <v>23</v>
      </c>
      <c r="C34" s="28" t="n">
        <f aca="false">COUNTIFS(Trades!$F$2:$F$884,$A34,Trades!$Z$2:$Z$884,"Win")</f>
        <v>4</v>
      </c>
      <c r="D34" s="28" t="n">
        <f aca="false">COUNTIFS(Trades!$F$2:$F$884,$A34,Trades!$Z$2:$Z$884,"Loss")</f>
        <v>19</v>
      </c>
      <c r="E34" s="29" t="n">
        <f aca="false">IFERROR(C34/B34,0)</f>
        <v>0.173913043478261</v>
      </c>
      <c r="F34" s="30" t="n">
        <f aca="false">SUMIFS(Trades!$X$2:$X$884,Trades!$F$2:$F$884,$A34)</f>
        <v>-746.08</v>
      </c>
      <c r="G34" s="30" t="n">
        <f aca="false">SUMIFS(Trades!$X$2:$X$884,Trades!$F$2:$F$884,$A34,Trades!$X$2:$X$884,"&gt;0")</f>
        <v>699.52</v>
      </c>
      <c r="H34" s="30" t="n">
        <f aca="false">SUMIFS(Trades!$X$2:$X$884,Trades!$F$2:$F$884,$A34,Trades!$X$2:$X$884,"&lt;0")</f>
        <v>-1445.6</v>
      </c>
      <c r="I34" s="31" t="n">
        <f aca="false">IFERROR(G34/-H34,"no loss")</f>
        <v>0.483895960154953</v>
      </c>
      <c r="J34" s="30" t="n">
        <f aca="false">_xlfn.MAXIFS(Trades!$X$2:$X$884,Trades!$F$2:$F$884,$A34)</f>
        <v>305.36</v>
      </c>
      <c r="K34" s="30" t="n">
        <f aca="false">_xlfn.MINIFS(Trades!$X$2:$X$884,Trades!$F$2:$F$884,$A34)</f>
        <v>-247.68</v>
      </c>
      <c r="L34" s="32" t="n">
        <f aca="false">SUMIFS(Trades!$Y$2:$Y$884,Trades!$F$2:$F$884,$A34)</f>
        <v>-7.21407506399016</v>
      </c>
      <c r="M34" s="30" t="n">
        <f aca="false">P33</f>
        <v>114813.11</v>
      </c>
      <c r="N34" s="29" t="n">
        <f aca="false">IFERROR(F34/M34,0)</f>
        <v>-0.00649821261700863</v>
      </c>
      <c r="O34" s="28" t="str">
        <f aca="false">IF(F34&gt;0,"up","down")</f>
        <v>down</v>
      </c>
      <c r="P34" s="30" t="n">
        <f aca="false">M34+F34</f>
        <v>114067.03</v>
      </c>
      <c r="Q34" s="30" t="n">
        <f aca="false">P34-Summary!$C$5</f>
        <v>14067.03</v>
      </c>
    </row>
    <row r="35" customFormat="false" ht="15" hidden="false" customHeight="false" outlineLevel="0" collapsed="false">
      <c r="A35" s="28" t="s">
        <v>176</v>
      </c>
      <c r="B35" s="28" t="n">
        <f aca="false">COUNTIFS(Trades!$F$2:$F$884,$A35)</f>
        <v>21</v>
      </c>
      <c r="C35" s="28" t="n">
        <f aca="false">COUNTIFS(Trades!$F$2:$F$884,$A35,Trades!$Z$2:$Z$884,"Win")</f>
        <v>7</v>
      </c>
      <c r="D35" s="28" t="n">
        <f aca="false">COUNTIFS(Trades!$F$2:$F$884,$A35,Trades!$Z$2:$Z$884,"Loss")</f>
        <v>14</v>
      </c>
      <c r="E35" s="29" t="n">
        <f aca="false">IFERROR(C35/B35,0)</f>
        <v>0.333333333333333</v>
      </c>
      <c r="F35" s="30" t="n">
        <f aca="false">SUMIFS(Trades!$X$2:$X$884,Trades!$F$2:$F$884,$A35)</f>
        <v>487.9</v>
      </c>
      <c r="G35" s="30" t="n">
        <f aca="false">SUMIFS(Trades!$X$2:$X$884,Trades!$F$2:$F$884,$A35,Trades!$X$2:$X$884,"&gt;0")</f>
        <v>1494.07</v>
      </c>
      <c r="H35" s="30" t="n">
        <f aca="false">SUMIFS(Trades!$X$2:$X$884,Trades!$F$2:$F$884,$A35,Trades!$X$2:$X$884,"&lt;0")</f>
        <v>-1006.17</v>
      </c>
      <c r="I35" s="31" t="n">
        <f aca="false">IFERROR(G35/-H35,"no loss")</f>
        <v>1.48490811691861</v>
      </c>
      <c r="J35" s="30" t="n">
        <f aca="false">_xlfn.MAXIFS(Trades!$X$2:$X$884,Trades!$F$2:$F$884,$A35)</f>
        <v>529.12</v>
      </c>
      <c r="K35" s="30" t="n">
        <f aca="false">_xlfn.MINIFS(Trades!$X$2:$X$884,Trades!$F$2:$F$884,$A35)</f>
        <v>-266.08</v>
      </c>
      <c r="L35" s="32" t="n">
        <f aca="false">SUMIFS(Trades!$Y$2:$Y$884,Trades!$F$2:$F$884,$A35)</f>
        <v>6.77154312561687</v>
      </c>
      <c r="M35" s="30" t="n">
        <f aca="false">P34</f>
        <v>114067.03</v>
      </c>
      <c r="N35" s="29" t="n">
        <f aca="false">IFERROR(F35/M35,0)</f>
        <v>0.00427730957841192</v>
      </c>
      <c r="O35" s="28" t="str">
        <f aca="false">IF(F35&gt;0,"up","down")</f>
        <v>up</v>
      </c>
      <c r="P35" s="30" t="n">
        <f aca="false">M35+F35</f>
        <v>114554.93</v>
      </c>
      <c r="Q35" s="30" t="n">
        <f aca="false">P35-Summary!$C$5</f>
        <v>14554.93</v>
      </c>
    </row>
    <row r="36" customFormat="false" ht="15" hidden="false" customHeight="false" outlineLevel="0" collapsed="false">
      <c r="A36" s="28" t="s">
        <v>177</v>
      </c>
      <c r="B36" s="28" t="n">
        <f aca="false">COUNTIFS(Trades!$F$2:$F$884,$A36)</f>
        <v>22</v>
      </c>
      <c r="C36" s="28" t="n">
        <f aca="false">COUNTIFS(Trades!$F$2:$F$884,$A36,Trades!$Z$2:$Z$884,"Win")</f>
        <v>7</v>
      </c>
      <c r="D36" s="28" t="n">
        <f aca="false">COUNTIFS(Trades!$F$2:$F$884,$A36,Trades!$Z$2:$Z$884,"Loss")</f>
        <v>15</v>
      </c>
      <c r="E36" s="29" t="n">
        <f aca="false">IFERROR(C36/B36,0)</f>
        <v>0.318181818181818</v>
      </c>
      <c r="F36" s="30" t="n">
        <f aca="false">SUMIFS(Trades!$X$2:$X$884,Trades!$F$2:$F$884,$A36)</f>
        <v>1186.81</v>
      </c>
      <c r="G36" s="30" t="n">
        <f aca="false">SUMIFS(Trades!$X$2:$X$884,Trades!$F$2:$F$884,$A36,Trades!$X$2:$X$884,"&gt;0")</f>
        <v>2188.58</v>
      </c>
      <c r="H36" s="30" t="n">
        <f aca="false">SUMIFS(Trades!$X$2:$X$884,Trades!$F$2:$F$884,$A36,Trades!$X$2:$X$884,"&lt;0")</f>
        <v>-1001.77</v>
      </c>
      <c r="I36" s="31" t="n">
        <f aca="false">IFERROR(G36/-H36,"no loss")</f>
        <v>2.18471305788754</v>
      </c>
      <c r="J36" s="30" t="n">
        <f aca="false">_xlfn.MAXIFS(Trades!$X$2:$X$884,Trades!$F$2:$F$884,$A36)</f>
        <v>639.62</v>
      </c>
      <c r="K36" s="30" t="n">
        <f aca="false">_xlfn.MINIFS(Trades!$X$2:$X$884,Trades!$F$2:$F$884,$A36)</f>
        <v>-346</v>
      </c>
      <c r="L36" s="32" t="n">
        <f aca="false">SUMIFS(Trades!$Y$2:$Y$884,Trades!$F$2:$F$884,$A36)</f>
        <v>6.84331071557079</v>
      </c>
      <c r="M36" s="30" t="n">
        <f aca="false">P35</f>
        <v>114554.93</v>
      </c>
      <c r="N36" s="29" t="n">
        <f aca="false">IFERROR(F36/M36,0)</f>
        <v>0.010360182665207</v>
      </c>
      <c r="O36" s="28" t="str">
        <f aca="false">IF(F36&gt;0,"up","down")</f>
        <v>up</v>
      </c>
      <c r="P36" s="30" t="n">
        <f aca="false">M36+F36</f>
        <v>115741.74</v>
      </c>
      <c r="Q36" s="30" t="n">
        <f aca="false">P36-Summary!$C$5</f>
        <v>15741.74</v>
      </c>
    </row>
    <row r="37" customFormat="false" ht="15" hidden="false" customHeight="false" outlineLevel="0" collapsed="false">
      <c r="A37" s="28" t="s">
        <v>178</v>
      </c>
      <c r="B37" s="28" t="n">
        <f aca="false">COUNTIFS(Trades!$F$2:$F$884,$A37)</f>
        <v>23</v>
      </c>
      <c r="C37" s="28" t="n">
        <f aca="false">COUNTIFS(Trades!$F$2:$F$884,$A37,Trades!$Z$2:$Z$884,"Win")</f>
        <v>6</v>
      </c>
      <c r="D37" s="28" t="n">
        <f aca="false">COUNTIFS(Trades!$F$2:$F$884,$A37,Trades!$Z$2:$Z$884,"Loss")</f>
        <v>17</v>
      </c>
      <c r="E37" s="29" t="n">
        <f aca="false">IFERROR(C37/B37,0)</f>
        <v>0.260869565217391</v>
      </c>
      <c r="F37" s="30" t="n">
        <f aca="false">SUMIFS(Trades!$X$2:$X$884,Trades!$F$2:$F$884,$A37)</f>
        <v>-321.11</v>
      </c>
      <c r="G37" s="30" t="n">
        <f aca="false">SUMIFS(Trades!$X$2:$X$884,Trades!$F$2:$F$884,$A37,Trades!$X$2:$X$884,"&gt;0")</f>
        <v>1940.77</v>
      </c>
      <c r="H37" s="30" t="n">
        <f aca="false">SUMIFS(Trades!$X$2:$X$884,Trades!$F$2:$F$884,$A37,Trades!$X$2:$X$884,"&lt;0")</f>
        <v>-2261.88</v>
      </c>
      <c r="I37" s="31" t="n">
        <f aca="false">IFERROR(G37/-H37,"no loss")</f>
        <v>0.858034024793535</v>
      </c>
      <c r="J37" s="30" t="n">
        <f aca="false">_xlfn.MAXIFS(Trades!$X$2:$X$884,Trades!$F$2:$F$884,$A37)</f>
        <v>721.31</v>
      </c>
      <c r="K37" s="30" t="n">
        <f aca="false">_xlfn.MINIFS(Trades!$X$2:$X$884,Trades!$F$2:$F$884,$A37)</f>
        <v>-568.08</v>
      </c>
      <c r="L37" s="32" t="n">
        <f aca="false">SUMIFS(Trades!$Y$2:$Y$884,Trades!$F$2:$F$884,$A37)</f>
        <v>1.8419642195078</v>
      </c>
      <c r="M37" s="30" t="n">
        <f aca="false">P36</f>
        <v>115741.74</v>
      </c>
      <c r="N37" s="29" t="n">
        <f aca="false">IFERROR(F37/M37,0)</f>
        <v>-0.00277436644722984</v>
      </c>
      <c r="O37" s="28" t="str">
        <f aca="false">IF(F37&gt;0,"up","down")</f>
        <v>down</v>
      </c>
      <c r="P37" s="30" t="n">
        <f aca="false">M37+F37</f>
        <v>115420.63</v>
      </c>
      <c r="Q37" s="30" t="n">
        <f aca="false">P37-Summary!$C$5</f>
        <v>15420.63</v>
      </c>
    </row>
    <row r="38" customFormat="false" ht="15" hidden="false" customHeight="false" outlineLevel="0" collapsed="false">
      <c r="A38" s="28" t="s">
        <v>179</v>
      </c>
      <c r="B38" s="28" t="n">
        <f aca="false">COUNTIFS(Trades!$F$2:$F$884,$A38)</f>
        <v>21</v>
      </c>
      <c r="C38" s="28" t="n">
        <f aca="false">COUNTIFS(Trades!$F$2:$F$884,$A38,Trades!$Z$2:$Z$884,"Win")</f>
        <v>9</v>
      </c>
      <c r="D38" s="28" t="n">
        <f aca="false">COUNTIFS(Trades!$F$2:$F$884,$A38,Trades!$Z$2:$Z$884,"Loss")</f>
        <v>12</v>
      </c>
      <c r="E38" s="29" t="n">
        <f aca="false">IFERROR(C38/B38,0)</f>
        <v>0.428571428571429</v>
      </c>
      <c r="F38" s="30" t="n">
        <f aca="false">SUMIFS(Trades!$X$2:$X$884,Trades!$F$2:$F$884,$A38)</f>
        <v>-129</v>
      </c>
      <c r="G38" s="30" t="n">
        <f aca="false">SUMIFS(Trades!$X$2:$X$884,Trades!$F$2:$F$884,$A38,Trades!$X$2:$X$884,"&gt;0")</f>
        <v>1713.34</v>
      </c>
      <c r="H38" s="30" t="n">
        <f aca="false">SUMIFS(Trades!$X$2:$X$884,Trades!$F$2:$F$884,$A38,Trades!$X$2:$X$884,"&lt;0")</f>
        <v>-1842.34</v>
      </c>
      <c r="I38" s="31" t="n">
        <f aca="false">IFERROR(G38/-H38,"no loss")</f>
        <v>0.929980351075263</v>
      </c>
      <c r="J38" s="30" t="n">
        <f aca="false">_xlfn.MAXIFS(Trades!$X$2:$X$884,Trades!$F$2:$F$884,$A38)</f>
        <v>319.91</v>
      </c>
      <c r="K38" s="30" t="n">
        <f aca="false">_xlfn.MINIFS(Trades!$X$2:$X$884,Trades!$F$2:$F$884,$A38)</f>
        <v>-484.09</v>
      </c>
      <c r="L38" s="32" t="n">
        <f aca="false">SUMIFS(Trades!$Y$2:$Y$884,Trades!$F$2:$F$884,$A38)</f>
        <v>7.13398977883165</v>
      </c>
      <c r="M38" s="30" t="n">
        <f aca="false">P37</f>
        <v>115420.63</v>
      </c>
      <c r="N38" s="29" t="n">
        <f aca="false">IFERROR(F38/M38,0)</f>
        <v>-0.00111765115127166</v>
      </c>
      <c r="O38" s="28" t="str">
        <f aca="false">IF(F38&gt;0,"up","down")</f>
        <v>down</v>
      </c>
      <c r="P38" s="30" t="n">
        <f aca="false">M38+F38</f>
        <v>115291.63</v>
      </c>
      <c r="Q38" s="30" t="n">
        <f aca="false">P38-Summary!$C$5</f>
        <v>15291.63</v>
      </c>
    </row>
    <row r="39" customFormat="false" ht="15" hidden="false" customHeight="false" outlineLevel="0" collapsed="false">
      <c r="A39" s="28" t="s">
        <v>180</v>
      </c>
      <c r="B39" s="28" t="n">
        <f aca="false">COUNTIFS(Trades!$F$2:$F$884,$A39)</f>
        <v>21</v>
      </c>
      <c r="C39" s="28" t="n">
        <f aca="false">COUNTIFS(Trades!$F$2:$F$884,$A39,Trades!$Z$2:$Z$884,"Win")</f>
        <v>7</v>
      </c>
      <c r="D39" s="28" t="n">
        <f aca="false">COUNTIFS(Trades!$F$2:$F$884,$A39,Trades!$Z$2:$Z$884,"Loss")</f>
        <v>14</v>
      </c>
      <c r="E39" s="29" t="n">
        <f aca="false">IFERROR(C39/B39,0)</f>
        <v>0.333333333333333</v>
      </c>
      <c r="F39" s="30" t="n">
        <f aca="false">SUMIFS(Trades!$X$2:$X$884,Trades!$F$2:$F$884,$A39)</f>
        <v>810.02</v>
      </c>
      <c r="G39" s="30" t="n">
        <f aca="false">SUMIFS(Trades!$X$2:$X$884,Trades!$F$2:$F$884,$A39,Trades!$X$2:$X$884,"&gt;0")</f>
        <v>1796.03</v>
      </c>
      <c r="H39" s="30" t="n">
        <f aca="false">SUMIFS(Trades!$X$2:$X$884,Trades!$F$2:$F$884,$A39,Trades!$X$2:$X$884,"&lt;0")</f>
        <v>-986.01</v>
      </c>
      <c r="I39" s="31" t="n">
        <f aca="false">IFERROR(G39/-H39,"no loss")</f>
        <v>1.82151296639994</v>
      </c>
      <c r="J39" s="30" t="n">
        <f aca="false">_xlfn.MAXIFS(Trades!$X$2:$X$884,Trades!$F$2:$F$884,$A39)</f>
        <v>487.26</v>
      </c>
      <c r="K39" s="30" t="n">
        <f aca="false">_xlfn.MINIFS(Trades!$X$2:$X$884,Trades!$F$2:$F$884,$A39)</f>
        <v>-325.48</v>
      </c>
      <c r="L39" s="32" t="n">
        <f aca="false">SUMIFS(Trades!$Y$2:$Y$884,Trades!$F$2:$F$884,$A39)</f>
        <v>8.46595885036548</v>
      </c>
      <c r="M39" s="30" t="n">
        <f aca="false">P38</f>
        <v>115291.63</v>
      </c>
      <c r="N39" s="29" t="n">
        <f aca="false">IFERROR(F39/M39,0)</f>
        <v>0.00702583526661909</v>
      </c>
      <c r="O39" s="28" t="str">
        <f aca="false">IF(F39&gt;0,"up","down")</f>
        <v>up</v>
      </c>
      <c r="P39" s="30" t="n">
        <f aca="false">M39+F39</f>
        <v>116101.65</v>
      </c>
      <c r="Q39" s="30" t="n">
        <f aca="false">P39-Summary!$C$5</f>
        <v>16101.65</v>
      </c>
    </row>
    <row r="40" customFormat="false" ht="15" hidden="false" customHeight="false" outlineLevel="0" collapsed="false">
      <c r="A40" s="28" t="s">
        <v>181</v>
      </c>
      <c r="B40" s="28" t="n">
        <f aca="false">COUNTIFS(Trades!$F$2:$F$884,$A40)</f>
        <v>22</v>
      </c>
      <c r="C40" s="28" t="n">
        <f aca="false">COUNTIFS(Trades!$F$2:$F$884,$A40,Trades!$Z$2:$Z$884,"Win")</f>
        <v>4</v>
      </c>
      <c r="D40" s="28" t="n">
        <f aca="false">COUNTIFS(Trades!$F$2:$F$884,$A40,Trades!$Z$2:$Z$884,"Loss")</f>
        <v>18</v>
      </c>
      <c r="E40" s="29" t="n">
        <f aca="false">IFERROR(C40/B40,0)</f>
        <v>0.181818181818182</v>
      </c>
      <c r="F40" s="30" t="n">
        <f aca="false">SUMIFS(Trades!$X$2:$X$884,Trades!$F$2:$F$884,$A40)</f>
        <v>-589.22</v>
      </c>
      <c r="G40" s="30" t="n">
        <f aca="false">SUMIFS(Trades!$X$2:$X$884,Trades!$F$2:$F$884,$A40,Trades!$X$2:$X$884,"&gt;0")</f>
        <v>1635.64</v>
      </c>
      <c r="H40" s="30" t="n">
        <f aca="false">SUMIFS(Trades!$X$2:$X$884,Trades!$F$2:$F$884,$A40,Trades!$X$2:$X$884,"&lt;0")</f>
        <v>-2224.86</v>
      </c>
      <c r="I40" s="31" t="n">
        <f aca="false">IFERROR(G40/-H40,"no loss")</f>
        <v>0.7351653587192</v>
      </c>
      <c r="J40" s="30" t="n">
        <f aca="false">_xlfn.MAXIFS(Trades!$X$2:$X$884,Trades!$F$2:$F$884,$A40)</f>
        <v>603.53</v>
      </c>
      <c r="K40" s="30" t="n">
        <f aca="false">_xlfn.MINIFS(Trades!$X$2:$X$884,Trades!$F$2:$F$884,$A40)</f>
        <v>-439.86</v>
      </c>
      <c r="L40" s="32" t="n">
        <f aca="false">SUMIFS(Trades!$Y$2:$Y$884,Trades!$F$2:$F$884,$A40)</f>
        <v>-4.25699100525606</v>
      </c>
      <c r="M40" s="30" t="n">
        <f aca="false">P39</f>
        <v>116101.65</v>
      </c>
      <c r="N40" s="29" t="n">
        <f aca="false">IFERROR(F40/M40,0)</f>
        <v>-0.00507503553997725</v>
      </c>
      <c r="O40" s="28" t="str">
        <f aca="false">IF(F40&gt;0,"up","down")</f>
        <v>down</v>
      </c>
      <c r="P40" s="30" t="n">
        <f aca="false">M40+F40</f>
        <v>115512.43</v>
      </c>
      <c r="Q40" s="30" t="n">
        <f aca="false">P40-Summary!$C$5</f>
        <v>15512.43</v>
      </c>
    </row>
    <row r="41" customFormat="false" ht="15" hidden="false" customHeight="false" outlineLevel="0" collapsed="false">
      <c r="A41" s="28" t="s">
        <v>182</v>
      </c>
      <c r="B41" s="28" t="n">
        <f aca="false">COUNTIFS(Trades!$F$2:$F$884,$A41)</f>
        <v>20</v>
      </c>
      <c r="C41" s="28" t="n">
        <f aca="false">COUNTIFS(Trades!$F$2:$F$884,$A41,Trades!$Z$2:$Z$884,"Win")</f>
        <v>4</v>
      </c>
      <c r="D41" s="28" t="n">
        <f aca="false">COUNTIFS(Trades!$F$2:$F$884,$A41,Trades!$Z$2:$Z$884,"Loss")</f>
        <v>16</v>
      </c>
      <c r="E41" s="29" t="n">
        <f aca="false">IFERROR(C41/B41,0)</f>
        <v>0.2</v>
      </c>
      <c r="F41" s="30" t="n">
        <f aca="false">SUMIFS(Trades!$X$2:$X$884,Trades!$F$2:$F$884,$A41)</f>
        <v>-175.57</v>
      </c>
      <c r="G41" s="30" t="n">
        <f aca="false">SUMIFS(Trades!$X$2:$X$884,Trades!$F$2:$F$884,$A41,Trades!$X$2:$X$884,"&gt;0")</f>
        <v>1430.59</v>
      </c>
      <c r="H41" s="30" t="n">
        <f aca="false">SUMIFS(Trades!$X$2:$X$884,Trades!$F$2:$F$884,$A41,Trades!$X$2:$X$884,"&lt;0")</f>
        <v>-1606.16</v>
      </c>
      <c r="I41" s="31" t="n">
        <f aca="false">IFERROR(G41/-H41,"no loss")</f>
        <v>0.890689595059023</v>
      </c>
      <c r="J41" s="30" t="n">
        <f aca="false">_xlfn.MAXIFS(Trades!$X$2:$X$884,Trades!$F$2:$F$884,$A41)</f>
        <v>574.63</v>
      </c>
      <c r="K41" s="30" t="n">
        <f aca="false">_xlfn.MINIFS(Trades!$X$2:$X$884,Trades!$F$2:$F$884,$A41)</f>
        <v>-265.58</v>
      </c>
      <c r="L41" s="32" t="n">
        <f aca="false">SUMIFS(Trades!$Y$2:$Y$884,Trades!$F$2:$F$884,$A41)</f>
        <v>-3.32211023640036</v>
      </c>
      <c r="M41" s="30" t="n">
        <f aca="false">P40</f>
        <v>115512.43</v>
      </c>
      <c r="N41" s="29" t="n">
        <f aca="false">IFERROR(F41/M41,0)</f>
        <v>-0.00151992300742007</v>
      </c>
      <c r="O41" s="28" t="str">
        <f aca="false">IF(F41&gt;0,"up","down")</f>
        <v>down</v>
      </c>
      <c r="P41" s="30" t="n">
        <f aca="false">M41+F41</f>
        <v>115336.86</v>
      </c>
      <c r="Q41" s="30" t="n">
        <f aca="false">P41-Summary!$C$5</f>
        <v>15336.86</v>
      </c>
    </row>
    <row r="42" customFormat="false" ht="15" hidden="false" customHeight="false" outlineLevel="0" collapsed="false">
      <c r="A42" s="28" t="s">
        <v>183</v>
      </c>
      <c r="B42" s="28" t="n">
        <f aca="false">COUNTIFS(Trades!$F$2:$F$884,$A42)</f>
        <v>18</v>
      </c>
      <c r="C42" s="28" t="n">
        <f aca="false">COUNTIFS(Trades!$F$2:$F$884,$A42,Trades!$Z$2:$Z$884,"Win")</f>
        <v>7</v>
      </c>
      <c r="D42" s="28" t="n">
        <f aca="false">COUNTIFS(Trades!$F$2:$F$884,$A42,Trades!$Z$2:$Z$884,"Loss")</f>
        <v>11</v>
      </c>
      <c r="E42" s="29" t="n">
        <f aca="false">IFERROR(C42/B42,0)</f>
        <v>0.388888888888889</v>
      </c>
      <c r="F42" s="30" t="n">
        <f aca="false">SUMIFS(Trades!$X$2:$X$884,Trades!$F$2:$F$884,$A42)</f>
        <v>1274.4</v>
      </c>
      <c r="G42" s="30" t="n">
        <f aca="false">SUMIFS(Trades!$X$2:$X$884,Trades!$F$2:$F$884,$A42,Trades!$X$2:$X$884,"&gt;0")</f>
        <v>1808.04</v>
      </c>
      <c r="H42" s="30" t="n">
        <f aca="false">SUMIFS(Trades!$X$2:$X$884,Trades!$F$2:$F$884,$A42,Trades!$X$2:$X$884,"&lt;0")</f>
        <v>-533.64</v>
      </c>
      <c r="I42" s="31" t="n">
        <f aca="false">IFERROR(G42/-H42,"no loss")</f>
        <v>3.38812682707443</v>
      </c>
      <c r="J42" s="30" t="n">
        <f aca="false">_xlfn.MAXIFS(Trades!$X$2:$X$884,Trades!$F$2:$F$884,$A42)</f>
        <v>372.1</v>
      </c>
      <c r="K42" s="30" t="n">
        <f aca="false">_xlfn.MINIFS(Trades!$X$2:$X$884,Trades!$F$2:$F$884,$A42)</f>
        <v>-107</v>
      </c>
      <c r="L42" s="32" t="n">
        <f aca="false">SUMIFS(Trades!$Y$2:$Y$884,Trades!$F$2:$F$884,$A42)</f>
        <v>5.74315576031474</v>
      </c>
      <c r="M42" s="30" t="n">
        <f aca="false">P41</f>
        <v>115336.86</v>
      </c>
      <c r="N42" s="29" t="n">
        <f aca="false">IFERROR(F42/M42,0)</f>
        <v>0.0110493731145446</v>
      </c>
      <c r="O42" s="28" t="str">
        <f aca="false">IF(F42&gt;0,"up","down")</f>
        <v>up</v>
      </c>
      <c r="P42" s="30" t="n">
        <f aca="false">M42+F42</f>
        <v>116611.26</v>
      </c>
      <c r="Q42" s="30" t="n">
        <f aca="false">P42-Summary!$C$5</f>
        <v>16611.26</v>
      </c>
    </row>
    <row r="43" customFormat="false" ht="15" hidden="false" customHeight="false" outlineLevel="0" collapsed="false">
      <c r="A43" s="28" t="s">
        <v>184</v>
      </c>
      <c r="B43" s="28" t="n">
        <f aca="false">COUNTIFS(Trades!$F$2:$F$884,$A43)</f>
        <v>20</v>
      </c>
      <c r="C43" s="28" t="n">
        <f aca="false">COUNTIFS(Trades!$F$2:$F$884,$A43,Trades!$Z$2:$Z$884,"Win")</f>
        <v>9</v>
      </c>
      <c r="D43" s="28" t="n">
        <f aca="false">COUNTIFS(Trades!$F$2:$F$884,$A43,Trades!$Z$2:$Z$884,"Loss")</f>
        <v>10</v>
      </c>
      <c r="E43" s="29" t="n">
        <f aca="false">IFERROR(C43/B43,0)</f>
        <v>0.45</v>
      </c>
      <c r="F43" s="30" t="n">
        <f aca="false">SUMIFS(Trades!$X$2:$X$884,Trades!$F$2:$F$884,$A43)</f>
        <v>1106.43</v>
      </c>
      <c r="G43" s="30" t="n">
        <f aca="false">SUMIFS(Trades!$X$2:$X$884,Trades!$F$2:$F$884,$A43,Trades!$X$2:$X$884,"&gt;0")</f>
        <v>1517.85</v>
      </c>
      <c r="H43" s="30" t="n">
        <f aca="false">SUMIFS(Trades!$X$2:$X$884,Trades!$F$2:$F$884,$A43,Trades!$X$2:$X$884,"&lt;0")</f>
        <v>-411.42</v>
      </c>
      <c r="I43" s="31" t="n">
        <f aca="false">IFERROR(G43/-H43,"no loss")</f>
        <v>3.68929561032522</v>
      </c>
      <c r="J43" s="30" t="n">
        <f aca="false">_xlfn.MAXIFS(Trades!$X$2:$X$884,Trades!$F$2:$F$884,$A43)</f>
        <v>720.14</v>
      </c>
      <c r="K43" s="30" t="n">
        <f aca="false">_xlfn.MINIFS(Trades!$X$2:$X$884,Trades!$F$2:$F$884,$A43)</f>
        <v>-180.88</v>
      </c>
      <c r="L43" s="32" t="n">
        <f aca="false">SUMIFS(Trades!$Y$2:$Y$884,Trades!$F$2:$F$884,$A43)</f>
        <v>13.0379069309652</v>
      </c>
      <c r="M43" s="30" t="n">
        <f aca="false">P42</f>
        <v>116611.26</v>
      </c>
      <c r="N43" s="29" t="n">
        <f aca="false">IFERROR(F43/M43,0)</f>
        <v>0.00948819179211339</v>
      </c>
      <c r="O43" s="28" t="str">
        <f aca="false">IF(F43&gt;0,"up","down")</f>
        <v>up</v>
      </c>
      <c r="P43" s="30" t="n">
        <f aca="false">M43+F43</f>
        <v>117717.69</v>
      </c>
      <c r="Q43" s="30" t="n">
        <f aca="false">P43-Summary!$C$5</f>
        <v>17717.69</v>
      </c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33" t="s">
        <v>140</v>
      </c>
      <c r="B45" s="33" t="n">
        <f aca="false">SUM(B2:B43)</f>
        <v>883</v>
      </c>
      <c r="C45" s="33" t="n">
        <f aca="false">SUM(C2:C43)</f>
        <v>282</v>
      </c>
      <c r="D45" s="33" t="n">
        <f aca="false">SUM(D2:D43)</f>
        <v>593</v>
      </c>
      <c r="E45" s="34" t="n">
        <f aca="false">IFERROR(C45/B45,0)</f>
        <v>0.319365798414496</v>
      </c>
      <c r="F45" s="35" t="n">
        <f aca="false">SUM(F2:F43)</f>
        <v>17717.69</v>
      </c>
      <c r="G45" s="35" t="n">
        <f aca="false">SUM(G2:G43)</f>
        <v>64334.51</v>
      </c>
      <c r="H45" s="35" t="n">
        <f aca="false">SUM(H2:H43)</f>
        <v>-46616.82</v>
      </c>
      <c r="I45" s="36" t="n">
        <f aca="false">IFERROR(G45/-H45,0)</f>
        <v>1.38007075557706</v>
      </c>
      <c r="J45" s="37"/>
      <c r="K45" s="37"/>
      <c r="L45" s="38" t="n">
        <f aca="false">SUM(L2:L43)</f>
        <v>176.669443405622</v>
      </c>
      <c r="M45" s="37"/>
      <c r="N45" s="34" t="n">
        <f aca="false">IFERROR(F45/M2,0)</f>
        <v>0.1771769</v>
      </c>
      <c r="O45" s="37" t="str">
        <f aca="false">COUNTIF(F2:F43,"&gt;0")&amp;" up / "&amp;COUNTIF(F2:F43,"&lt;0")&amp;" down"</f>
        <v>28 up / 14 down</v>
      </c>
      <c r="P45" s="37"/>
      <c r="Q45" s="37"/>
    </row>
  </sheetData>
  <conditionalFormatting sqref="F2:F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26" t="s">
        <v>132</v>
      </c>
      <c r="B3" s="26" t="s">
        <v>186</v>
      </c>
      <c r="C3" s="26" t="s">
        <v>187</v>
      </c>
      <c r="D3" s="26" t="s">
        <v>188</v>
      </c>
      <c r="E3" s="26" t="s">
        <v>189</v>
      </c>
      <c r="F3" s="26" t="s">
        <v>190</v>
      </c>
      <c r="G3" s="26" t="s">
        <v>191</v>
      </c>
      <c r="H3" s="26" t="s">
        <v>192</v>
      </c>
      <c r="I3" s="26" t="s">
        <v>193</v>
      </c>
      <c r="J3" s="26" t="s">
        <v>194</v>
      </c>
      <c r="K3" s="26" t="s">
        <v>195</v>
      </c>
      <c r="L3" s="26" t="s">
        <v>196</v>
      </c>
      <c r="M3" s="26" t="s">
        <v>197</v>
      </c>
      <c r="N3" s="26" t="s">
        <v>198</v>
      </c>
      <c r="O3" s="26" t="s">
        <v>136</v>
      </c>
    </row>
    <row r="4" customFormat="false" ht="15" hidden="false" customHeight="false" outlineLevel="0" collapsed="false">
      <c r="A4" s="3" t="n">
        <v>2023</v>
      </c>
      <c r="B4" s="39" t="n">
        <f aca="false">SUMIFS(Trades!$X$2:$X$884,Trades!$F$2:$F$884,"2023-01")</f>
        <v>0</v>
      </c>
      <c r="C4" s="39" t="n">
        <f aca="false">SUMIFS(Trades!$X$2:$X$884,Trades!$F$2:$F$884,"2023-02")</f>
        <v>0</v>
      </c>
      <c r="D4" s="39" t="n">
        <f aca="false">SUMIFS(Trades!$X$2:$X$884,Trades!$F$2:$F$884,"2023-03")</f>
        <v>0</v>
      </c>
      <c r="E4" s="39" t="n">
        <f aca="false">SUMIFS(Trades!$X$2:$X$884,Trades!$F$2:$F$884,"2023-04")</f>
        <v>-638.22</v>
      </c>
      <c r="F4" s="39" t="n">
        <f aca="false">SUMIFS(Trades!$X$2:$X$884,Trades!$F$2:$F$884,"2023-05")</f>
        <v>-25.49</v>
      </c>
      <c r="G4" s="39" t="n">
        <f aca="false">SUMIFS(Trades!$X$2:$X$884,Trades!$F$2:$F$884,"2023-06")</f>
        <v>1177.99</v>
      </c>
      <c r="H4" s="39" t="n">
        <f aca="false">SUMIFS(Trades!$X$2:$X$884,Trades!$F$2:$F$884,"2023-07")</f>
        <v>343.27</v>
      </c>
      <c r="I4" s="39" t="n">
        <f aca="false">SUMIFS(Trades!$X$2:$X$884,Trades!$F$2:$F$884,"2023-08")</f>
        <v>883.52</v>
      </c>
      <c r="J4" s="39" t="n">
        <f aca="false">SUMIFS(Trades!$X$2:$X$884,Trades!$F$2:$F$884,"2023-09")</f>
        <v>1438.95</v>
      </c>
      <c r="K4" s="39" t="n">
        <f aca="false">SUMIFS(Trades!$X$2:$X$884,Trades!$F$2:$F$884,"2023-10")</f>
        <v>990.48</v>
      </c>
      <c r="L4" s="39" t="n">
        <f aca="false">SUMIFS(Trades!$X$2:$X$884,Trades!$F$2:$F$884,"2023-11")</f>
        <v>724.77</v>
      </c>
      <c r="M4" s="39" t="n">
        <f aca="false">SUMIFS(Trades!$X$2:$X$884,Trades!$F$2:$F$884,"2023-12")</f>
        <v>-428.62</v>
      </c>
      <c r="N4" s="39" t="n">
        <f aca="false">SUM(B4:M4)</f>
        <v>4466.65</v>
      </c>
      <c r="O4" s="40" t="n">
        <f aca="false">IFERROR(N4/Summary!$C$5,0)</f>
        <v>0.0446665</v>
      </c>
    </row>
    <row r="5" customFormat="false" ht="15" hidden="false" customHeight="false" outlineLevel="0" collapsed="false">
      <c r="A5" s="3" t="n">
        <v>2024</v>
      </c>
      <c r="B5" s="39" t="n">
        <f aca="false">SUMIFS(Trades!$X$2:$X$884,Trades!$F$2:$F$884,"2024-01")</f>
        <v>1010.77</v>
      </c>
      <c r="C5" s="39" t="n">
        <f aca="false">SUMIFS(Trades!$X$2:$X$884,Trades!$F$2:$F$884,"2024-02")</f>
        <v>1018.44</v>
      </c>
      <c r="D5" s="39" t="n">
        <f aca="false">SUMIFS(Trades!$X$2:$X$884,Trades!$F$2:$F$884,"2024-03")</f>
        <v>-618.59</v>
      </c>
      <c r="E5" s="39" t="n">
        <f aca="false">SUMIFS(Trades!$X$2:$X$884,Trades!$F$2:$F$884,"2024-04")</f>
        <v>-540.62</v>
      </c>
      <c r="F5" s="39" t="n">
        <f aca="false">SUMIFS(Trades!$X$2:$X$884,Trades!$F$2:$F$884,"2024-05")</f>
        <v>298.78</v>
      </c>
      <c r="G5" s="39" t="n">
        <f aca="false">SUMIFS(Trades!$X$2:$X$884,Trades!$F$2:$F$884,"2024-06")</f>
        <v>79.97</v>
      </c>
      <c r="H5" s="39" t="n">
        <f aca="false">SUMIFS(Trades!$X$2:$X$884,Trades!$F$2:$F$884,"2024-07")</f>
        <v>344.55</v>
      </c>
      <c r="I5" s="39" t="n">
        <f aca="false">SUMIFS(Trades!$X$2:$X$884,Trades!$F$2:$F$884,"2024-08")</f>
        <v>173.58</v>
      </c>
      <c r="J5" s="39" t="n">
        <f aca="false">SUMIFS(Trades!$X$2:$X$884,Trades!$F$2:$F$884,"2024-09")</f>
        <v>-290</v>
      </c>
      <c r="K5" s="39" t="n">
        <f aca="false">SUMIFS(Trades!$X$2:$X$884,Trades!$F$2:$F$884,"2024-10")</f>
        <v>-328</v>
      </c>
      <c r="L5" s="39" t="n">
        <f aca="false">SUMIFS(Trades!$X$2:$X$884,Trades!$F$2:$F$884,"2024-11")</f>
        <v>341.46</v>
      </c>
      <c r="M5" s="39" t="n">
        <f aca="false">SUMIFS(Trades!$X$2:$X$884,Trades!$F$2:$F$884,"2024-12")</f>
        <v>884.68</v>
      </c>
      <c r="N5" s="39" t="n">
        <f aca="false">SUM(B5:M5)</f>
        <v>2375.02</v>
      </c>
      <c r="O5" s="40" t="n">
        <f aca="false">IFERROR(N5/Summary!$C$5,0)</f>
        <v>0.0237502</v>
      </c>
    </row>
    <row r="6" customFormat="false" ht="15" hidden="false" customHeight="false" outlineLevel="0" collapsed="false">
      <c r="A6" s="3" t="n">
        <v>2025</v>
      </c>
      <c r="B6" s="39" t="n">
        <f aca="false">SUMIFS(Trades!$X$2:$X$884,Trades!$F$2:$F$884,"2025-01")</f>
        <v>1042.63</v>
      </c>
      <c r="C6" s="39" t="n">
        <f aca="false">SUMIFS(Trades!$X$2:$X$884,Trades!$F$2:$F$884,"2025-02")</f>
        <v>268.75</v>
      </c>
      <c r="D6" s="39" t="n">
        <f aca="false">SUMIFS(Trades!$X$2:$X$884,Trades!$F$2:$F$884,"2025-03")</f>
        <v>709.31</v>
      </c>
      <c r="E6" s="39" t="n">
        <f aca="false">SUMIFS(Trades!$X$2:$X$884,Trades!$F$2:$F$884,"2025-04")</f>
        <v>2501.59</v>
      </c>
      <c r="F6" s="39" t="n">
        <f aca="false">SUMIFS(Trades!$X$2:$X$884,Trades!$F$2:$F$884,"2025-05")</f>
        <v>358.91</v>
      </c>
      <c r="G6" s="39" t="n">
        <f aca="false">SUMIFS(Trades!$X$2:$X$884,Trades!$F$2:$F$884,"2025-06")</f>
        <v>345.34</v>
      </c>
      <c r="H6" s="39" t="n">
        <f aca="false">SUMIFS(Trades!$X$2:$X$884,Trades!$F$2:$F$884,"2025-07")</f>
        <v>836.53</v>
      </c>
      <c r="I6" s="39" t="n">
        <f aca="false">SUMIFS(Trades!$X$2:$X$884,Trades!$F$2:$F$884,"2025-08")</f>
        <v>-140.64</v>
      </c>
      <c r="J6" s="39" t="n">
        <f aca="false">SUMIFS(Trades!$X$2:$X$884,Trades!$F$2:$F$884,"2025-09")</f>
        <v>-95.91</v>
      </c>
      <c r="K6" s="39" t="n">
        <f aca="false">SUMIFS(Trades!$X$2:$X$884,Trades!$F$2:$F$884,"2025-10")</f>
        <v>1221.66</v>
      </c>
      <c r="L6" s="39" t="n">
        <f aca="false">SUMIFS(Trades!$X$2:$X$884,Trades!$F$2:$F$884,"2025-11")</f>
        <v>923.27</v>
      </c>
      <c r="M6" s="39" t="n">
        <f aca="false">SUMIFS(Trades!$X$2:$X$884,Trades!$F$2:$F$884,"2025-12")</f>
        <v>-746.08</v>
      </c>
      <c r="N6" s="39" t="n">
        <f aca="false">SUM(B6:M6)</f>
        <v>7225.36</v>
      </c>
      <c r="O6" s="40" t="n">
        <f aca="false">IFERROR(N6/Summary!$C$5,0)</f>
        <v>0.0722536</v>
      </c>
    </row>
    <row r="7" customFormat="false" ht="15" hidden="false" customHeight="false" outlineLevel="0" collapsed="false">
      <c r="A7" s="3" t="n">
        <v>2026</v>
      </c>
      <c r="B7" s="39" t="n">
        <f aca="false">SUMIFS(Trades!$X$2:$X$884,Trades!$F$2:$F$884,"2026-01")</f>
        <v>487.9</v>
      </c>
      <c r="C7" s="39" t="n">
        <f aca="false">SUMIFS(Trades!$X$2:$X$884,Trades!$F$2:$F$884,"2026-02")</f>
        <v>1186.81</v>
      </c>
      <c r="D7" s="39" t="n">
        <f aca="false">SUMIFS(Trades!$X$2:$X$884,Trades!$F$2:$F$884,"2026-03")</f>
        <v>-321.11</v>
      </c>
      <c r="E7" s="39" t="n">
        <f aca="false">SUMIFS(Trades!$X$2:$X$884,Trades!$F$2:$F$884,"2026-04")</f>
        <v>-129</v>
      </c>
      <c r="F7" s="39" t="n">
        <f aca="false">SUMIFS(Trades!$X$2:$X$884,Trades!$F$2:$F$884,"2026-05")</f>
        <v>810.02</v>
      </c>
      <c r="G7" s="39" t="n">
        <f aca="false">SUMIFS(Trades!$X$2:$X$884,Trades!$F$2:$F$884,"2026-06")</f>
        <v>-589.22</v>
      </c>
      <c r="H7" s="39" t="n">
        <f aca="false">SUMIFS(Trades!$X$2:$X$884,Trades!$F$2:$F$884,"2026-07")</f>
        <v>-175.57</v>
      </c>
      <c r="I7" s="39" t="n">
        <f aca="false">SUMIFS(Trades!$X$2:$X$884,Trades!$F$2:$F$884,"2026-08")</f>
        <v>1274.4</v>
      </c>
      <c r="J7" s="39" t="n">
        <f aca="false">SUMIFS(Trades!$X$2:$X$884,Trades!$F$2:$F$884,"2026-09")</f>
        <v>1106.43</v>
      </c>
      <c r="K7" s="39" t="n">
        <f aca="false">SUMIFS(Trades!$X$2:$X$884,Trades!$F$2:$F$884,"2026-10")</f>
        <v>0</v>
      </c>
      <c r="L7" s="39" t="n">
        <f aca="false">SUMIFS(Trades!$X$2:$X$884,Trades!$F$2:$F$884,"2026-11")</f>
        <v>0</v>
      </c>
      <c r="M7" s="39" t="n">
        <f aca="false">SUMIFS(Trades!$X$2:$X$884,Trades!$F$2:$F$884,"2026-12")</f>
        <v>0</v>
      </c>
      <c r="N7" s="39" t="n">
        <f aca="false">SUM(B7:M7)</f>
        <v>3650.66</v>
      </c>
      <c r="O7" s="40" t="n">
        <f aca="false">IFERROR(N7/Summary!$C$5,0)</f>
        <v>0.0365066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5" hidden="false" customHeight="false" outlineLevel="0" collapsed="false">
      <c r="A9" s="3" t="s">
        <v>199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31.5" hidden="false" customHeight="true" outlineLevel="0" collapsed="false">
      <c r="A10" s="26" t="s">
        <v>132</v>
      </c>
      <c r="B10" s="26" t="s">
        <v>186</v>
      </c>
      <c r="C10" s="26" t="s">
        <v>187</v>
      </c>
      <c r="D10" s="26" t="s">
        <v>188</v>
      </c>
      <c r="E10" s="26" t="s">
        <v>189</v>
      </c>
      <c r="F10" s="26" t="s">
        <v>190</v>
      </c>
      <c r="G10" s="26" t="s">
        <v>191</v>
      </c>
      <c r="H10" s="26" t="s">
        <v>192</v>
      </c>
      <c r="I10" s="26" t="s">
        <v>193</v>
      </c>
      <c r="J10" s="26" t="s">
        <v>194</v>
      </c>
      <c r="K10" s="26" t="s">
        <v>195</v>
      </c>
      <c r="L10" s="26" t="s">
        <v>196</v>
      </c>
      <c r="M10" s="26" t="s">
        <v>197</v>
      </c>
      <c r="N10" s="26" t="s">
        <v>198</v>
      </c>
      <c r="O10" s="2"/>
    </row>
    <row r="11" customFormat="false" ht="15" hidden="false" customHeight="false" outlineLevel="0" collapsed="false">
      <c r="A11" s="3" t="n">
        <v>2023</v>
      </c>
      <c r="B11" s="2" t="n">
        <f aca="false">COUNTIFS(Trades!$F$2:$F$884,"2023-01")</f>
        <v>0</v>
      </c>
      <c r="C11" s="2" t="n">
        <f aca="false">COUNTIFS(Trades!$F$2:$F$884,"2023-02")</f>
        <v>0</v>
      </c>
      <c r="D11" s="2" t="n">
        <f aca="false">COUNTIFS(Trades!$F$2:$F$884,"2023-03")</f>
        <v>0</v>
      </c>
      <c r="E11" s="2" t="n">
        <f aca="false">COUNTIFS(Trades!$F$2:$F$884,"2023-04")</f>
        <v>18</v>
      </c>
      <c r="F11" s="2" t="n">
        <f aca="false">COUNTIFS(Trades!$F$2:$F$884,"2023-05")</f>
        <v>25</v>
      </c>
      <c r="G11" s="2" t="n">
        <f aca="false">COUNTIFS(Trades!$F$2:$F$884,"2023-06")</f>
        <v>21</v>
      </c>
      <c r="H11" s="2" t="n">
        <f aca="false">COUNTIFS(Trades!$F$2:$F$884,"2023-07")</f>
        <v>22</v>
      </c>
      <c r="I11" s="2" t="n">
        <f aca="false">COUNTIFS(Trades!$F$2:$F$884,"2023-08")</f>
        <v>25</v>
      </c>
      <c r="J11" s="2" t="n">
        <f aca="false">COUNTIFS(Trades!$F$2:$F$884,"2023-09")</f>
        <v>21</v>
      </c>
      <c r="K11" s="2" t="n">
        <f aca="false">COUNTIFS(Trades!$F$2:$F$884,"2023-10")</f>
        <v>21</v>
      </c>
      <c r="L11" s="2" t="n">
        <f aca="false">COUNTIFS(Trades!$F$2:$F$884,"2023-11")</f>
        <v>22</v>
      </c>
      <c r="M11" s="2" t="n">
        <f aca="false">COUNTIFS(Trades!$F$2:$F$884,"2023-12")</f>
        <v>19</v>
      </c>
      <c r="N11" s="2" t="n">
        <f aca="false">SUM(B11:M11)</f>
        <v>194</v>
      </c>
      <c r="O11" s="2"/>
    </row>
    <row r="12" customFormat="false" ht="15" hidden="false" customHeight="false" outlineLevel="0" collapsed="false">
      <c r="A12" s="3" t="n">
        <v>2024</v>
      </c>
      <c r="B12" s="2" t="n">
        <f aca="false">COUNTIFS(Trades!$F$2:$F$884,"2024-01")</f>
        <v>22</v>
      </c>
      <c r="C12" s="2" t="n">
        <f aca="false">COUNTIFS(Trades!$F$2:$F$884,"2024-02")</f>
        <v>19</v>
      </c>
      <c r="D12" s="2" t="n">
        <f aca="false">COUNTIFS(Trades!$F$2:$F$884,"2024-03")</f>
        <v>19</v>
      </c>
      <c r="E12" s="2" t="n">
        <f aca="false">COUNTIFS(Trades!$F$2:$F$884,"2024-04")</f>
        <v>23</v>
      </c>
      <c r="F12" s="2" t="n">
        <f aca="false">COUNTIFS(Trades!$F$2:$F$884,"2024-05")</f>
        <v>22</v>
      </c>
      <c r="G12" s="2" t="n">
        <f aca="false">COUNTIFS(Trades!$F$2:$F$884,"2024-06")</f>
        <v>17</v>
      </c>
      <c r="H12" s="2" t="n">
        <f aca="false">COUNTIFS(Trades!$F$2:$F$884,"2024-07")</f>
        <v>21</v>
      </c>
      <c r="I12" s="2" t="n">
        <f aca="false">COUNTIFS(Trades!$F$2:$F$884,"2024-08")</f>
        <v>22</v>
      </c>
      <c r="J12" s="2" t="n">
        <f aca="false">COUNTIFS(Trades!$F$2:$F$884,"2024-09")</f>
        <v>21</v>
      </c>
      <c r="K12" s="2" t="n">
        <f aca="false">COUNTIFS(Trades!$F$2:$F$884,"2024-10")</f>
        <v>21</v>
      </c>
      <c r="L12" s="2" t="n">
        <f aca="false">COUNTIFS(Trades!$F$2:$F$884,"2024-11")</f>
        <v>18</v>
      </c>
      <c r="M12" s="2" t="n">
        <f aca="false">COUNTIFS(Trades!$F$2:$F$884,"2024-12")</f>
        <v>19</v>
      </c>
      <c r="N12" s="2" t="n">
        <f aca="false">SUM(B12:M12)</f>
        <v>244</v>
      </c>
      <c r="O12" s="2"/>
    </row>
    <row r="13" customFormat="false" ht="15" hidden="false" customHeight="false" outlineLevel="0" collapsed="false">
      <c r="A13" s="3" t="n">
        <v>2025</v>
      </c>
      <c r="B13" s="2" t="n">
        <f aca="false">COUNTIFS(Trades!$F$2:$F$884,"2025-01")</f>
        <v>20</v>
      </c>
      <c r="C13" s="2" t="n">
        <f aca="false">COUNTIFS(Trades!$F$2:$F$884,"2025-02")</f>
        <v>20</v>
      </c>
      <c r="D13" s="2" t="n">
        <f aca="false">COUNTIFS(Trades!$F$2:$F$884,"2025-03")</f>
        <v>21</v>
      </c>
      <c r="E13" s="2" t="n">
        <f aca="false">COUNTIFS(Trades!$F$2:$F$884,"2025-04")</f>
        <v>19</v>
      </c>
      <c r="F13" s="2" t="n">
        <f aca="false">COUNTIFS(Trades!$F$2:$F$884,"2025-05")</f>
        <v>24</v>
      </c>
      <c r="G13" s="2" t="n">
        <f aca="false">COUNTIFS(Trades!$F$2:$F$884,"2025-06")</f>
        <v>21</v>
      </c>
      <c r="H13" s="2" t="n">
        <f aca="false">COUNTIFS(Trades!$F$2:$F$884,"2025-07")</f>
        <v>23</v>
      </c>
      <c r="I13" s="2" t="n">
        <f aca="false">COUNTIFS(Trades!$F$2:$F$884,"2025-08")</f>
        <v>21</v>
      </c>
      <c r="J13" s="2" t="n">
        <f aca="false">COUNTIFS(Trades!$F$2:$F$884,"2025-09")</f>
        <v>19</v>
      </c>
      <c r="K13" s="2" t="n">
        <f aca="false">COUNTIFS(Trades!$F$2:$F$884,"2025-10")</f>
        <v>27</v>
      </c>
      <c r="L13" s="2" t="n">
        <f aca="false">COUNTIFS(Trades!$F$2:$F$884,"2025-11")</f>
        <v>19</v>
      </c>
      <c r="M13" s="2" t="n">
        <f aca="false">COUNTIFS(Trades!$F$2:$F$884,"2025-12")</f>
        <v>23</v>
      </c>
      <c r="N13" s="2" t="n">
        <f aca="false">SUM(B13:M13)</f>
        <v>257</v>
      </c>
      <c r="O13" s="2"/>
    </row>
    <row r="14" customFormat="false" ht="15" hidden="false" customHeight="false" outlineLevel="0" collapsed="false">
      <c r="A14" s="3" t="n">
        <v>2026</v>
      </c>
      <c r="B14" s="2" t="n">
        <f aca="false">COUNTIFS(Trades!$F$2:$F$884,"2026-01")</f>
        <v>21</v>
      </c>
      <c r="C14" s="2" t="n">
        <f aca="false">COUNTIFS(Trades!$F$2:$F$884,"2026-02")</f>
        <v>22</v>
      </c>
      <c r="D14" s="2" t="n">
        <f aca="false">COUNTIFS(Trades!$F$2:$F$884,"2026-03")</f>
        <v>23</v>
      </c>
      <c r="E14" s="2" t="n">
        <f aca="false">COUNTIFS(Trades!$F$2:$F$884,"2026-04")</f>
        <v>21</v>
      </c>
      <c r="F14" s="2" t="n">
        <f aca="false">COUNTIFS(Trades!$F$2:$F$884,"2026-05")</f>
        <v>21</v>
      </c>
      <c r="G14" s="2" t="n">
        <f aca="false">COUNTIFS(Trades!$F$2:$F$884,"2026-06")</f>
        <v>22</v>
      </c>
      <c r="H14" s="2" t="n">
        <f aca="false">COUNTIFS(Trades!$F$2:$F$884,"2026-07")</f>
        <v>20</v>
      </c>
      <c r="I14" s="2" t="n">
        <f aca="false">COUNTIFS(Trades!$F$2:$F$884,"2026-08")</f>
        <v>18</v>
      </c>
      <c r="J14" s="2" t="n">
        <f aca="false">COUNTIFS(Trades!$F$2:$F$884,"2026-09")</f>
        <v>20</v>
      </c>
      <c r="K14" s="2" t="n">
        <f aca="false">COUNTIFS(Trades!$F$2:$F$884,"2026-10")</f>
        <v>0</v>
      </c>
      <c r="L14" s="2" t="n">
        <f aca="false">COUNTIFS(Trades!$F$2:$F$884,"2026-11")</f>
        <v>0</v>
      </c>
      <c r="M14" s="2" t="n">
        <f aca="false">COUNTIFS(Trades!$F$2:$F$884,"2026-12")</f>
        <v>0</v>
      </c>
      <c r="N14" s="2" t="n">
        <f aca="false">SUM(B14:M14)</f>
        <v>188</v>
      </c>
      <c r="O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3" t="s">
        <v>200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31.5" hidden="false" customHeight="true" outlineLevel="0" collapsed="false">
      <c r="A17" s="26" t="s">
        <v>132</v>
      </c>
      <c r="B17" s="26" t="s">
        <v>186</v>
      </c>
      <c r="C17" s="26" t="s">
        <v>187</v>
      </c>
      <c r="D17" s="26" t="s">
        <v>188</v>
      </c>
      <c r="E17" s="26" t="s">
        <v>189</v>
      </c>
      <c r="F17" s="26" t="s">
        <v>190</v>
      </c>
      <c r="G17" s="26" t="s">
        <v>191</v>
      </c>
      <c r="H17" s="26" t="s">
        <v>192</v>
      </c>
      <c r="I17" s="26" t="s">
        <v>193</v>
      </c>
      <c r="J17" s="26" t="s">
        <v>194</v>
      </c>
      <c r="K17" s="26" t="s">
        <v>195</v>
      </c>
      <c r="L17" s="26" t="s">
        <v>196</v>
      </c>
      <c r="M17" s="26" t="s">
        <v>197</v>
      </c>
      <c r="N17" s="2"/>
      <c r="O17" s="2"/>
    </row>
    <row r="18" customFormat="false" ht="15" hidden="false" customHeight="false" outlineLevel="0" collapsed="false">
      <c r="A18" s="3" t="n">
        <v>2023</v>
      </c>
      <c r="B18" s="41" t="str">
        <f aca="false">IFERROR(COUNTIFS(Trades!$F$2:$F$884,"2023-01",Trades!$Z$2:$Z$884,"Win")/COUNTIFS(Trades!$F$2:$F$884,"2023-01"),"")</f>
        <v/>
      </c>
      <c r="C18" s="41" t="str">
        <f aca="false">IFERROR(COUNTIFS(Trades!$F$2:$F$884,"2023-02",Trades!$Z$2:$Z$884,"Win")/COUNTIFS(Trades!$F$2:$F$884,"2023-02"),"")</f>
        <v/>
      </c>
      <c r="D18" s="41" t="str">
        <f aca="false">IFERROR(COUNTIFS(Trades!$F$2:$F$884,"2023-03",Trades!$Z$2:$Z$884,"Win")/COUNTIFS(Trades!$F$2:$F$884,"2023-03"),"")</f>
        <v/>
      </c>
      <c r="E18" s="41" t="n">
        <f aca="false">IFERROR(COUNTIFS(Trades!$F$2:$F$884,"2023-04",Trades!$Z$2:$Z$884,"Win")/COUNTIFS(Trades!$F$2:$F$884,"2023-04"),"")</f>
        <v>0.277777777777778</v>
      </c>
      <c r="F18" s="41" t="n">
        <f aca="false">IFERROR(COUNTIFS(Trades!$F$2:$F$884,"2023-05",Trades!$Z$2:$Z$884,"Win")/COUNTIFS(Trades!$F$2:$F$884,"2023-05"),"")</f>
        <v>0.24</v>
      </c>
      <c r="G18" s="41" t="n">
        <f aca="false">IFERROR(COUNTIFS(Trades!$F$2:$F$884,"2023-06",Trades!$Z$2:$Z$884,"Win")/COUNTIFS(Trades!$F$2:$F$884,"2023-06"),"")</f>
        <v>0.428571428571429</v>
      </c>
      <c r="H18" s="41" t="n">
        <f aca="false">IFERROR(COUNTIFS(Trades!$F$2:$F$884,"2023-07",Trades!$Z$2:$Z$884,"Win")/COUNTIFS(Trades!$F$2:$F$884,"2023-07"),"")</f>
        <v>0.409090909090909</v>
      </c>
      <c r="I18" s="41" t="n">
        <f aca="false">IFERROR(COUNTIFS(Trades!$F$2:$F$884,"2023-08",Trades!$Z$2:$Z$884,"Win")/COUNTIFS(Trades!$F$2:$F$884,"2023-08"),"")</f>
        <v>0.36</v>
      </c>
      <c r="J18" s="41" t="n">
        <f aca="false">IFERROR(COUNTIFS(Trades!$F$2:$F$884,"2023-09",Trades!$Z$2:$Z$884,"Win")/COUNTIFS(Trades!$F$2:$F$884,"2023-09"),"")</f>
        <v>0.333333333333333</v>
      </c>
      <c r="K18" s="41" t="n">
        <f aca="false">IFERROR(COUNTIFS(Trades!$F$2:$F$884,"2023-10",Trades!$Z$2:$Z$884,"Win")/COUNTIFS(Trades!$F$2:$F$884,"2023-10"),"")</f>
        <v>0.380952380952381</v>
      </c>
      <c r="L18" s="41" t="n">
        <f aca="false">IFERROR(COUNTIFS(Trades!$F$2:$F$884,"2023-11",Trades!$Z$2:$Z$884,"Win")/COUNTIFS(Trades!$F$2:$F$884,"2023-11"),"")</f>
        <v>0.363636363636364</v>
      </c>
      <c r="M18" s="41" t="n">
        <f aca="false">IFERROR(COUNTIFS(Trades!$F$2:$F$884,"2023-12",Trades!$Z$2:$Z$884,"Win")/COUNTIFS(Trades!$F$2:$F$884,"2023-12"),"")</f>
        <v>0.210526315789474</v>
      </c>
      <c r="N18" s="2"/>
      <c r="O18" s="2"/>
    </row>
    <row r="19" customFormat="false" ht="15" hidden="false" customHeight="false" outlineLevel="0" collapsed="false">
      <c r="A19" s="3" t="n">
        <v>2024</v>
      </c>
      <c r="B19" s="41" t="n">
        <f aca="false">IFERROR(COUNTIFS(Trades!$F$2:$F$884,"2024-01",Trades!$Z$2:$Z$884,"Win")/COUNTIFS(Trades!$F$2:$F$884,"2024-01"),"")</f>
        <v>0.454545454545455</v>
      </c>
      <c r="C19" s="41" t="n">
        <f aca="false">IFERROR(COUNTIFS(Trades!$F$2:$F$884,"2024-02",Trades!$Z$2:$Z$884,"Win")/COUNTIFS(Trades!$F$2:$F$884,"2024-02"),"")</f>
        <v>0.263157894736842</v>
      </c>
      <c r="D19" s="41" t="n">
        <f aca="false">IFERROR(COUNTIFS(Trades!$F$2:$F$884,"2024-03",Trades!$Z$2:$Z$884,"Win")/COUNTIFS(Trades!$F$2:$F$884,"2024-03"),"")</f>
        <v>0.263157894736842</v>
      </c>
      <c r="E19" s="41" t="n">
        <f aca="false">IFERROR(COUNTIFS(Trades!$F$2:$F$884,"2024-04",Trades!$Z$2:$Z$884,"Win")/COUNTIFS(Trades!$F$2:$F$884,"2024-04"),"")</f>
        <v>0.217391304347826</v>
      </c>
      <c r="F19" s="41" t="n">
        <f aca="false">IFERROR(COUNTIFS(Trades!$F$2:$F$884,"2024-05",Trades!$Z$2:$Z$884,"Win")/COUNTIFS(Trades!$F$2:$F$884,"2024-05"),"")</f>
        <v>0.318181818181818</v>
      </c>
      <c r="G19" s="41" t="n">
        <f aca="false">IFERROR(COUNTIFS(Trades!$F$2:$F$884,"2024-06",Trades!$Z$2:$Z$884,"Win")/COUNTIFS(Trades!$F$2:$F$884,"2024-06"),"")</f>
        <v>0.294117647058824</v>
      </c>
      <c r="H19" s="41" t="n">
        <f aca="false">IFERROR(COUNTIFS(Trades!$F$2:$F$884,"2024-07",Trades!$Z$2:$Z$884,"Win")/COUNTIFS(Trades!$F$2:$F$884,"2024-07"),"")</f>
        <v>0.333333333333333</v>
      </c>
      <c r="I19" s="41" t="n">
        <f aca="false">IFERROR(COUNTIFS(Trades!$F$2:$F$884,"2024-08",Trades!$Z$2:$Z$884,"Win")/COUNTIFS(Trades!$F$2:$F$884,"2024-08"),"")</f>
        <v>0.318181818181818</v>
      </c>
      <c r="J19" s="41" t="n">
        <f aca="false">IFERROR(COUNTIFS(Trades!$F$2:$F$884,"2024-09",Trades!$Z$2:$Z$884,"Win")/COUNTIFS(Trades!$F$2:$F$884,"2024-09"),"")</f>
        <v>0.238095238095238</v>
      </c>
      <c r="K19" s="41" t="n">
        <f aca="false">IFERROR(COUNTIFS(Trades!$F$2:$F$884,"2024-10",Trades!$Z$2:$Z$884,"Win")/COUNTIFS(Trades!$F$2:$F$884,"2024-10"),"")</f>
        <v>0.238095238095238</v>
      </c>
      <c r="L19" s="41" t="n">
        <f aca="false">IFERROR(COUNTIFS(Trades!$F$2:$F$884,"2024-11",Trades!$Z$2:$Z$884,"Win")/COUNTIFS(Trades!$F$2:$F$884,"2024-11"),"")</f>
        <v>0.333333333333333</v>
      </c>
      <c r="M19" s="41" t="n">
        <f aca="false">IFERROR(COUNTIFS(Trades!$F$2:$F$884,"2024-12",Trades!$Z$2:$Z$884,"Win")/COUNTIFS(Trades!$F$2:$F$884,"2024-12"),"")</f>
        <v>0.315789473684211</v>
      </c>
      <c r="N19" s="2"/>
      <c r="O19" s="2"/>
    </row>
    <row r="20" customFormat="false" ht="15" hidden="false" customHeight="false" outlineLevel="0" collapsed="false">
      <c r="A20" s="3" t="n">
        <v>2025</v>
      </c>
      <c r="B20" s="41" t="n">
        <f aca="false">IFERROR(COUNTIFS(Trades!$F$2:$F$884,"2025-01",Trades!$Z$2:$Z$884,"Win")/COUNTIFS(Trades!$F$2:$F$884,"2025-01"),"")</f>
        <v>0.35</v>
      </c>
      <c r="C20" s="41" t="n">
        <f aca="false">IFERROR(COUNTIFS(Trades!$F$2:$F$884,"2025-02",Trades!$Z$2:$Z$884,"Win")/COUNTIFS(Trades!$F$2:$F$884,"2025-02"),"")</f>
        <v>0.45</v>
      </c>
      <c r="D20" s="41" t="n">
        <f aca="false">IFERROR(COUNTIFS(Trades!$F$2:$F$884,"2025-03",Trades!$Z$2:$Z$884,"Win")/COUNTIFS(Trades!$F$2:$F$884,"2025-03"),"")</f>
        <v>0.238095238095238</v>
      </c>
      <c r="E20" s="41" t="n">
        <f aca="false">IFERROR(COUNTIFS(Trades!$F$2:$F$884,"2025-04",Trades!$Z$2:$Z$884,"Win")/COUNTIFS(Trades!$F$2:$F$884,"2025-04"),"")</f>
        <v>0.263157894736842</v>
      </c>
      <c r="F20" s="41" t="n">
        <f aca="false">IFERROR(COUNTIFS(Trades!$F$2:$F$884,"2025-05",Trades!$Z$2:$Z$884,"Win")/COUNTIFS(Trades!$F$2:$F$884,"2025-05"),"")</f>
        <v>0.333333333333333</v>
      </c>
      <c r="G20" s="41" t="n">
        <f aca="false">IFERROR(COUNTIFS(Trades!$F$2:$F$884,"2025-06",Trades!$Z$2:$Z$884,"Win")/COUNTIFS(Trades!$F$2:$F$884,"2025-06"),"")</f>
        <v>0.380952380952381</v>
      </c>
      <c r="H20" s="41" t="n">
        <f aca="false">IFERROR(COUNTIFS(Trades!$F$2:$F$884,"2025-07",Trades!$Z$2:$Z$884,"Win")/COUNTIFS(Trades!$F$2:$F$884,"2025-07"),"")</f>
        <v>0.391304347826087</v>
      </c>
      <c r="I20" s="41" t="n">
        <f aca="false">IFERROR(COUNTIFS(Trades!$F$2:$F$884,"2025-08",Trades!$Z$2:$Z$884,"Win")/COUNTIFS(Trades!$F$2:$F$884,"2025-08"),"")</f>
        <v>0.19047619047619</v>
      </c>
      <c r="J20" s="41" t="n">
        <f aca="false">IFERROR(COUNTIFS(Trades!$F$2:$F$884,"2025-09",Trades!$Z$2:$Z$884,"Win")/COUNTIFS(Trades!$F$2:$F$884,"2025-09"),"")</f>
        <v>0.263157894736842</v>
      </c>
      <c r="K20" s="41" t="n">
        <f aca="false">IFERROR(COUNTIFS(Trades!$F$2:$F$884,"2025-10",Trades!$Z$2:$Z$884,"Win")/COUNTIFS(Trades!$F$2:$F$884,"2025-10"),"")</f>
        <v>0.407407407407407</v>
      </c>
      <c r="L20" s="41" t="n">
        <f aca="false">IFERROR(COUNTIFS(Trades!$F$2:$F$884,"2025-11",Trades!$Z$2:$Z$884,"Win")/COUNTIFS(Trades!$F$2:$F$884,"2025-11"),"")</f>
        <v>0.473684210526316</v>
      </c>
      <c r="M20" s="41" t="n">
        <f aca="false">IFERROR(COUNTIFS(Trades!$F$2:$F$884,"2025-12",Trades!$Z$2:$Z$884,"Win")/COUNTIFS(Trades!$F$2:$F$884,"2025-12"),"")</f>
        <v>0.173913043478261</v>
      </c>
      <c r="N20" s="2"/>
      <c r="O20" s="2"/>
    </row>
    <row r="21" customFormat="false" ht="15" hidden="false" customHeight="false" outlineLevel="0" collapsed="false">
      <c r="A21" s="3" t="n">
        <v>2026</v>
      </c>
      <c r="B21" s="41" t="n">
        <f aca="false">IFERROR(COUNTIFS(Trades!$F$2:$F$884,"2026-01",Trades!$Z$2:$Z$884,"Win")/COUNTIFS(Trades!$F$2:$F$884,"2026-01"),"")</f>
        <v>0.333333333333333</v>
      </c>
      <c r="C21" s="41" t="n">
        <f aca="false">IFERROR(COUNTIFS(Trades!$F$2:$F$884,"2026-02",Trades!$Z$2:$Z$884,"Win")/COUNTIFS(Trades!$F$2:$F$884,"2026-02"),"")</f>
        <v>0.318181818181818</v>
      </c>
      <c r="D21" s="41" t="n">
        <f aca="false">IFERROR(COUNTIFS(Trades!$F$2:$F$884,"2026-03",Trades!$Z$2:$Z$884,"Win")/COUNTIFS(Trades!$F$2:$F$884,"2026-03"),"")</f>
        <v>0.260869565217391</v>
      </c>
      <c r="E21" s="41" t="n">
        <f aca="false">IFERROR(COUNTIFS(Trades!$F$2:$F$884,"2026-04",Trades!$Z$2:$Z$884,"Win")/COUNTIFS(Trades!$F$2:$F$884,"2026-04"),"")</f>
        <v>0.428571428571429</v>
      </c>
      <c r="F21" s="41" t="n">
        <f aca="false">IFERROR(COUNTIFS(Trades!$F$2:$F$884,"2026-05",Trades!$Z$2:$Z$884,"Win")/COUNTIFS(Trades!$F$2:$F$884,"2026-05"),"")</f>
        <v>0.333333333333333</v>
      </c>
      <c r="G21" s="41" t="n">
        <f aca="false">IFERROR(COUNTIFS(Trades!$F$2:$F$884,"2026-06",Trades!$Z$2:$Z$884,"Win")/COUNTIFS(Trades!$F$2:$F$884,"2026-06"),"")</f>
        <v>0.181818181818182</v>
      </c>
      <c r="H21" s="41" t="n">
        <f aca="false">IFERROR(COUNTIFS(Trades!$F$2:$F$884,"2026-07",Trades!$Z$2:$Z$884,"Win")/COUNTIFS(Trades!$F$2:$F$884,"2026-07"),"")</f>
        <v>0.2</v>
      </c>
      <c r="I21" s="41" t="n">
        <f aca="false">IFERROR(COUNTIFS(Trades!$F$2:$F$884,"2026-08",Trades!$Z$2:$Z$884,"Win")/COUNTIFS(Trades!$F$2:$F$884,"2026-08"),"")</f>
        <v>0.388888888888889</v>
      </c>
      <c r="J21" s="41" t="n">
        <f aca="false">IFERROR(COUNTIFS(Trades!$F$2:$F$884,"2026-09",Trades!$Z$2:$Z$884,"Win")/COUNTIFS(Trades!$F$2:$F$884,"2026-09"),"")</f>
        <v>0.45</v>
      </c>
      <c r="K21" s="41" t="str">
        <f aca="false">IFERROR(COUNTIFS(Trades!$F$2:$F$884,"2026-10",Trades!$Z$2:$Z$884,"Win")/COUNTIFS(Trades!$F$2:$F$884,"2026-10"),"")</f>
        <v/>
      </c>
      <c r="L21" s="41" t="str">
        <f aca="false">IFERROR(COUNTIFS(Trades!$F$2:$F$884,"2026-11",Trades!$Z$2:$Z$884,"Win")/COUNTIFS(Trades!$F$2:$F$884,"2026-11"),"")</f>
        <v/>
      </c>
      <c r="M21" s="41" t="str">
        <f aca="false">IFERROR(COUNTIFS(Trades!$F$2:$F$884,"2026-12",Trades!$Z$2:$Z$884,"Win")/COUNTIFS(Trades!$F$2:$F$884,"2026-12"),"")</f>
        <v/>
      </c>
      <c r="N21" s="2"/>
      <c r="O21" s="2"/>
    </row>
  </sheetData>
  <conditionalFormatting sqref="B4:M7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6" t="s">
        <v>201</v>
      </c>
      <c r="B1" s="26" t="s">
        <v>7</v>
      </c>
      <c r="C1" s="26" t="s">
        <v>56</v>
      </c>
      <c r="D1" s="26" t="s">
        <v>58</v>
      </c>
      <c r="E1" s="26" t="s">
        <v>61</v>
      </c>
      <c r="F1" s="26" t="s">
        <v>42</v>
      </c>
      <c r="G1" s="26" t="s">
        <v>46</v>
      </c>
      <c r="H1" s="26" t="s">
        <v>48</v>
      </c>
      <c r="I1" s="26" t="s">
        <v>50</v>
      </c>
      <c r="J1" s="26" t="s">
        <v>133</v>
      </c>
      <c r="K1" s="26" t="s">
        <v>134</v>
      </c>
      <c r="L1" s="26" t="s">
        <v>84</v>
      </c>
      <c r="M1" s="26" t="s">
        <v>135</v>
      </c>
      <c r="N1" s="26" t="s">
        <v>136</v>
      </c>
      <c r="O1" s="26" t="s">
        <v>137</v>
      </c>
      <c r="P1" s="26" t="s">
        <v>138</v>
      </c>
      <c r="Q1" s="26" t="s">
        <v>139</v>
      </c>
    </row>
    <row r="2" customFormat="false" ht="15" hidden="false" customHeight="false" outlineLevel="0" collapsed="false">
      <c r="A2" s="42" t="n">
        <v>45019</v>
      </c>
      <c r="B2" s="28" t="n">
        <f aca="false">COUNTIFS(Trades!$E$2:$E$884,$A2)</f>
        <v>3</v>
      </c>
      <c r="C2" s="28" t="n">
        <f aca="false">COUNTIFS(Trades!$E$2:$E$884,$A2,Trades!$Z$2:$Z$884,"Win")</f>
        <v>2</v>
      </c>
      <c r="D2" s="28" t="n">
        <f aca="false">COUNTIFS(Trades!$E$2:$E$884,$A2,Trades!$Z$2:$Z$884,"Loss")</f>
        <v>1</v>
      </c>
      <c r="E2" s="29" t="n">
        <f aca="false">IFERROR(C2/B2,0)</f>
        <v>0.666666666666667</v>
      </c>
      <c r="F2" s="30" t="n">
        <f aca="false">SUMIFS(Trades!$X$2:$X$884,Trades!$E$2:$E$884,$A2)</f>
        <v>224.34</v>
      </c>
      <c r="G2" s="30" t="n">
        <f aca="false">SUMIFS(Trades!$X$2:$X$884,Trades!$E$2:$E$884,$A2,Trades!$X$2:$X$884,"&gt;0")</f>
        <v>226.24</v>
      </c>
      <c r="H2" s="30" t="n">
        <f aca="false">SUMIFS(Trades!$X$2:$X$884,Trades!$E$2:$E$884,$A2,Trades!$X$2:$X$884,"&lt;0")</f>
        <v>-1.9</v>
      </c>
      <c r="I2" s="31" t="n">
        <f aca="false">IFERROR(G2/-H2,"no loss")</f>
        <v>119.073684210526</v>
      </c>
      <c r="J2" s="30" t="n">
        <f aca="false">_xlfn.MAXIFS(Trades!$X$2:$X$884,Trades!$E$2:$E$884,$A2)</f>
        <v>140.56</v>
      </c>
      <c r="K2" s="30" t="n">
        <f aca="false">_xlfn.MINIFS(Trades!$X$2:$X$884,Trades!$E$2:$E$884,$A2)</f>
        <v>-1.9</v>
      </c>
      <c r="L2" s="32" t="n">
        <f aca="false">SUMIFS(Trades!$Y$2:$Y$884,Trades!$E$2:$E$884,$A2)</f>
        <v>4.06140340481327</v>
      </c>
      <c r="M2" s="30" t="n">
        <f aca="false">Summary!$C$5</f>
        <v>100000</v>
      </c>
      <c r="N2" s="29" t="n">
        <f aca="false">IFERROR(F2/M2,0)</f>
        <v>0.0022434</v>
      </c>
      <c r="O2" s="28" t="str">
        <f aca="false">IF(F2&lt;0,"down week","")</f>
        <v/>
      </c>
      <c r="P2" s="30" t="n">
        <f aca="false">M2+F2</f>
        <v>100224.34</v>
      </c>
      <c r="Q2" s="30" t="n">
        <f aca="false">P2-Summary!$C$5</f>
        <v>224.339999999997</v>
      </c>
    </row>
    <row r="3" customFormat="false" ht="15" hidden="false" customHeight="false" outlineLevel="0" collapsed="false">
      <c r="A3" s="42" t="n">
        <v>45026</v>
      </c>
      <c r="B3" s="28" t="n">
        <f aca="false">COUNTIFS(Trades!$E$2:$E$884,$A3)</f>
        <v>7</v>
      </c>
      <c r="C3" s="28" t="n">
        <f aca="false">COUNTIFS(Trades!$E$2:$E$884,$A3,Trades!$Z$2:$Z$884,"Win")</f>
        <v>1</v>
      </c>
      <c r="D3" s="28" t="n">
        <f aca="false">COUNTIFS(Trades!$E$2:$E$884,$A3,Trades!$Z$2:$Z$884,"Loss")</f>
        <v>6</v>
      </c>
      <c r="E3" s="29" t="n">
        <f aca="false">IFERROR(C3/B3,0)</f>
        <v>0.142857142857143</v>
      </c>
      <c r="F3" s="30" t="n">
        <f aca="false">SUMIFS(Trades!$X$2:$X$884,Trades!$E$2:$E$884,$A3)</f>
        <v>-619.87</v>
      </c>
      <c r="G3" s="30" t="n">
        <f aca="false">SUMIFS(Trades!$X$2:$X$884,Trades!$E$2:$E$884,$A3,Trades!$X$2:$X$884,"&gt;0")</f>
        <v>60.72</v>
      </c>
      <c r="H3" s="30" t="n">
        <f aca="false">SUMIFS(Trades!$X$2:$X$884,Trades!$E$2:$E$884,$A3,Trades!$X$2:$X$884,"&lt;0")</f>
        <v>-680.59</v>
      </c>
      <c r="I3" s="31" t="n">
        <f aca="false">IFERROR(G3/-H3,"no loss")</f>
        <v>0.0892167090318694</v>
      </c>
      <c r="J3" s="30" t="n">
        <f aca="false">_xlfn.MAXIFS(Trades!$X$2:$X$884,Trades!$E$2:$E$884,$A3)</f>
        <v>60.72</v>
      </c>
      <c r="K3" s="30" t="n">
        <f aca="false">_xlfn.MINIFS(Trades!$X$2:$X$884,Trades!$E$2:$E$884,$A3)</f>
        <v>-354.48</v>
      </c>
      <c r="L3" s="32" t="n">
        <f aca="false">SUMIFS(Trades!$Y$2:$Y$884,Trades!$E$2:$E$884,$A3)</f>
        <v>-4.15168732038111</v>
      </c>
      <c r="M3" s="30" t="n">
        <f aca="false">P2</f>
        <v>100224.34</v>
      </c>
      <c r="N3" s="29" t="n">
        <f aca="false">IFERROR(F3/M3,0)</f>
        <v>-0.00618482496367649</v>
      </c>
      <c r="O3" s="28" t="str">
        <f aca="false">IF(F3&lt;0,"down week","")</f>
        <v>down week</v>
      </c>
      <c r="P3" s="30" t="n">
        <f aca="false">M3+F3</f>
        <v>99604.47</v>
      </c>
      <c r="Q3" s="30" t="n">
        <f aca="false">P3-Summary!$C$5</f>
        <v>-395.529999999999</v>
      </c>
    </row>
    <row r="4" customFormat="false" ht="15" hidden="false" customHeight="false" outlineLevel="0" collapsed="false">
      <c r="A4" s="42" t="n">
        <v>45033</v>
      </c>
      <c r="B4" s="28" t="n">
        <f aca="false">COUNTIFS(Trades!$E$2:$E$884,$A4)</f>
        <v>4</v>
      </c>
      <c r="C4" s="28" t="n">
        <f aca="false">COUNTIFS(Trades!$E$2:$E$884,$A4,Trades!$Z$2:$Z$884,"Win")</f>
        <v>2</v>
      </c>
      <c r="D4" s="28" t="n">
        <f aca="false">COUNTIFS(Trades!$E$2:$E$884,$A4,Trades!$Z$2:$Z$884,"Loss")</f>
        <v>2</v>
      </c>
      <c r="E4" s="29" t="n">
        <f aca="false">IFERROR(C4/B4,0)</f>
        <v>0.5</v>
      </c>
      <c r="F4" s="30" t="n">
        <f aca="false">SUMIFS(Trades!$X$2:$X$884,Trades!$E$2:$E$884,$A4)</f>
        <v>151.09</v>
      </c>
      <c r="G4" s="30" t="n">
        <f aca="false">SUMIFS(Trades!$X$2:$X$884,Trades!$E$2:$E$884,$A4,Trades!$X$2:$X$884,"&gt;0")</f>
        <v>294.03</v>
      </c>
      <c r="H4" s="30" t="n">
        <f aca="false">SUMIFS(Trades!$X$2:$X$884,Trades!$E$2:$E$884,$A4,Trades!$X$2:$X$884,"&lt;0")</f>
        <v>-142.94</v>
      </c>
      <c r="I4" s="31" t="n">
        <f aca="false">IFERROR(G4/-H4,"no loss")</f>
        <v>2.0570169301805</v>
      </c>
      <c r="J4" s="30" t="n">
        <f aca="false">_xlfn.MAXIFS(Trades!$X$2:$X$884,Trades!$E$2:$E$884,$A4)</f>
        <v>170.07</v>
      </c>
      <c r="K4" s="30" t="n">
        <f aca="false">_xlfn.MINIFS(Trades!$X$2:$X$884,Trades!$E$2:$E$884,$A4)</f>
        <v>-71.54</v>
      </c>
      <c r="L4" s="32" t="n">
        <f aca="false">SUMIFS(Trades!$Y$2:$Y$884,Trades!$E$2:$E$884,$A4)</f>
        <v>2.05015350991897</v>
      </c>
      <c r="M4" s="30" t="n">
        <f aca="false">P3</f>
        <v>99604.47</v>
      </c>
      <c r="N4" s="29" t="n">
        <f aca="false">IFERROR(F4/M4,0)</f>
        <v>0.00151689979375424</v>
      </c>
      <c r="O4" s="28" t="str">
        <f aca="false">IF(F4&lt;0,"down week","")</f>
        <v/>
      </c>
      <c r="P4" s="30" t="n">
        <f aca="false">M4+F4</f>
        <v>99755.56</v>
      </c>
      <c r="Q4" s="30" t="n">
        <f aca="false">P4-Summary!$C$5</f>
        <v>-244.440000000002</v>
      </c>
    </row>
    <row r="5" customFormat="false" ht="15" hidden="false" customHeight="false" outlineLevel="0" collapsed="false">
      <c r="A5" s="42" t="n">
        <v>45040</v>
      </c>
      <c r="B5" s="28" t="n">
        <f aca="false">COUNTIFS(Trades!$E$2:$E$884,$A5)</f>
        <v>4</v>
      </c>
      <c r="C5" s="28" t="n">
        <f aca="false">COUNTIFS(Trades!$E$2:$E$884,$A5,Trades!$Z$2:$Z$884,"Win")</f>
        <v>0</v>
      </c>
      <c r="D5" s="28" t="n">
        <f aca="false">COUNTIFS(Trades!$E$2:$E$884,$A5,Trades!$Z$2:$Z$884,"Loss")</f>
        <v>4</v>
      </c>
      <c r="E5" s="29" t="n">
        <f aca="false">IFERROR(C5/B5,0)</f>
        <v>0</v>
      </c>
      <c r="F5" s="30" t="n">
        <f aca="false">SUMIFS(Trades!$X$2:$X$884,Trades!$E$2:$E$884,$A5)</f>
        <v>-393.78</v>
      </c>
      <c r="G5" s="30" t="n">
        <f aca="false">SUMIFS(Trades!$X$2:$X$884,Trades!$E$2:$E$884,$A5,Trades!$X$2:$X$884,"&gt;0")</f>
        <v>0</v>
      </c>
      <c r="H5" s="30" t="n">
        <f aca="false">SUMIFS(Trades!$X$2:$X$884,Trades!$E$2:$E$884,$A5,Trades!$X$2:$X$884,"&lt;0")</f>
        <v>-393.78</v>
      </c>
      <c r="I5" s="31" t="n">
        <f aca="false">IFERROR(G5/-H5,"no loss")</f>
        <v>0</v>
      </c>
      <c r="J5" s="30" t="n">
        <f aca="false">_xlfn.MAXIFS(Trades!$X$2:$X$884,Trades!$E$2:$E$884,$A5)</f>
        <v>-12.92</v>
      </c>
      <c r="K5" s="30" t="n">
        <f aca="false">_xlfn.MINIFS(Trades!$X$2:$X$884,Trades!$E$2:$E$884,$A5)</f>
        <v>-209.98</v>
      </c>
      <c r="L5" s="32" t="n">
        <f aca="false">SUMIFS(Trades!$Y$2:$Y$884,Trades!$E$2:$E$884,$A5)</f>
        <v>-3.23755052987159</v>
      </c>
      <c r="M5" s="30" t="n">
        <f aca="false">P4</f>
        <v>99755.56</v>
      </c>
      <c r="N5" s="29" t="n">
        <f aca="false">IFERROR(F5/M5,0)</f>
        <v>-0.00394744914468928</v>
      </c>
      <c r="O5" s="28" t="str">
        <f aca="false">IF(F5&lt;0,"down week","")</f>
        <v>down week</v>
      </c>
      <c r="P5" s="30" t="n">
        <f aca="false">M5+F5</f>
        <v>99361.78</v>
      </c>
      <c r="Q5" s="30" t="n">
        <f aca="false">P5-Summary!$C$5</f>
        <v>-638.220000000001</v>
      </c>
    </row>
    <row r="6" customFormat="false" ht="15" hidden="false" customHeight="false" outlineLevel="0" collapsed="false">
      <c r="A6" s="42" t="n">
        <v>45047</v>
      </c>
      <c r="B6" s="28" t="n">
        <f aca="false">COUNTIFS(Trades!$E$2:$E$884,$A6)</f>
        <v>5</v>
      </c>
      <c r="C6" s="28" t="n">
        <f aca="false">COUNTIFS(Trades!$E$2:$E$884,$A6,Trades!$Z$2:$Z$884,"Win")</f>
        <v>2</v>
      </c>
      <c r="D6" s="28" t="n">
        <f aca="false">COUNTIFS(Trades!$E$2:$E$884,$A6,Trades!$Z$2:$Z$884,"Loss")</f>
        <v>3</v>
      </c>
      <c r="E6" s="29" t="n">
        <f aca="false">IFERROR(C6/B6,0)</f>
        <v>0.4</v>
      </c>
      <c r="F6" s="30" t="n">
        <f aca="false">SUMIFS(Trades!$X$2:$X$884,Trades!$E$2:$E$884,$A6)</f>
        <v>296.44</v>
      </c>
      <c r="G6" s="30" t="n">
        <f aca="false">SUMIFS(Trades!$X$2:$X$884,Trades!$E$2:$E$884,$A6,Trades!$X$2:$X$884,"&gt;0")</f>
        <v>545.52</v>
      </c>
      <c r="H6" s="30" t="n">
        <f aca="false">SUMIFS(Trades!$X$2:$X$884,Trades!$E$2:$E$884,$A6,Trades!$X$2:$X$884,"&lt;0")</f>
        <v>-249.08</v>
      </c>
      <c r="I6" s="31" t="n">
        <f aca="false">IFERROR(G6/-H6,"no loss")</f>
        <v>2.19013971414807</v>
      </c>
      <c r="J6" s="30" t="n">
        <f aca="false">_xlfn.MAXIFS(Trades!$X$2:$X$884,Trades!$E$2:$E$884,$A6)</f>
        <v>310.99</v>
      </c>
      <c r="K6" s="30" t="n">
        <f aca="false">_xlfn.MINIFS(Trades!$X$2:$X$884,Trades!$E$2:$E$884,$A6)</f>
        <v>-171.35</v>
      </c>
      <c r="L6" s="32" t="n">
        <f aca="false">SUMIFS(Trades!$Y$2:$Y$884,Trades!$E$2:$E$884,$A6)</f>
        <v>1.23290554245245</v>
      </c>
      <c r="M6" s="30" t="n">
        <f aca="false">P5</f>
        <v>99361.78</v>
      </c>
      <c r="N6" s="29" t="n">
        <f aca="false">IFERROR(F6/M6,0)</f>
        <v>0.00298344091661804</v>
      </c>
      <c r="O6" s="28" t="str">
        <f aca="false">IF(F6&lt;0,"down week","")</f>
        <v/>
      </c>
      <c r="P6" s="30" t="n">
        <f aca="false">M6+F6</f>
        <v>99658.22</v>
      </c>
      <c r="Q6" s="30" t="n">
        <f aca="false">P6-Summary!$C$5</f>
        <v>-341.779999999999</v>
      </c>
    </row>
    <row r="7" customFormat="false" ht="15" hidden="false" customHeight="false" outlineLevel="0" collapsed="false">
      <c r="A7" s="42" t="n">
        <v>45054</v>
      </c>
      <c r="B7" s="28" t="n">
        <f aca="false">COUNTIFS(Trades!$E$2:$E$884,$A7)</f>
        <v>6</v>
      </c>
      <c r="C7" s="28" t="n">
        <f aca="false">COUNTIFS(Trades!$E$2:$E$884,$A7,Trades!$Z$2:$Z$884,"Win")</f>
        <v>2</v>
      </c>
      <c r="D7" s="28" t="n">
        <f aca="false">COUNTIFS(Trades!$E$2:$E$884,$A7,Trades!$Z$2:$Z$884,"Loss")</f>
        <v>4</v>
      </c>
      <c r="E7" s="29" t="n">
        <f aca="false">IFERROR(C7/B7,0)</f>
        <v>0.333333333333333</v>
      </c>
      <c r="F7" s="30" t="n">
        <f aca="false">SUMIFS(Trades!$X$2:$X$884,Trades!$E$2:$E$884,$A7)</f>
        <v>259.25</v>
      </c>
      <c r="G7" s="30" t="n">
        <f aca="false">SUMIFS(Trades!$X$2:$X$884,Trades!$E$2:$E$884,$A7,Trades!$X$2:$X$884,"&gt;0")</f>
        <v>484.31</v>
      </c>
      <c r="H7" s="30" t="n">
        <f aca="false">SUMIFS(Trades!$X$2:$X$884,Trades!$E$2:$E$884,$A7,Trades!$X$2:$X$884,"&lt;0")</f>
        <v>-225.06</v>
      </c>
      <c r="I7" s="31" t="n">
        <f aca="false">IFERROR(G7/-H7,"no loss")</f>
        <v>2.15191504487692</v>
      </c>
      <c r="J7" s="30" t="n">
        <f aca="false">_xlfn.MAXIFS(Trades!$X$2:$X$884,Trades!$E$2:$E$884,$A7)</f>
        <v>316.67</v>
      </c>
      <c r="K7" s="30" t="n">
        <f aca="false">_xlfn.MINIFS(Trades!$X$2:$X$884,Trades!$E$2:$E$884,$A7)</f>
        <v>-68.05</v>
      </c>
      <c r="L7" s="32" t="n">
        <f aca="false">SUMIFS(Trades!$Y$2:$Y$884,Trades!$E$2:$E$884,$A7)</f>
        <v>-0.216207556281593</v>
      </c>
      <c r="M7" s="30" t="n">
        <f aca="false">P6</f>
        <v>99658.22</v>
      </c>
      <c r="N7" s="29" t="n">
        <f aca="false">IFERROR(F7/M7,0)</f>
        <v>0.00260139103427695</v>
      </c>
      <c r="O7" s="28" t="str">
        <f aca="false">IF(F7&lt;0,"down week","")</f>
        <v/>
      </c>
      <c r="P7" s="30" t="n">
        <f aca="false">M7+F7</f>
        <v>99917.47</v>
      </c>
      <c r="Q7" s="30" t="n">
        <f aca="false">P7-Summary!$C$5</f>
        <v>-82.5299999999988</v>
      </c>
    </row>
    <row r="8" customFormat="false" ht="15" hidden="false" customHeight="false" outlineLevel="0" collapsed="false">
      <c r="A8" s="42" t="n">
        <v>45061</v>
      </c>
      <c r="B8" s="28" t="n">
        <f aca="false">COUNTIFS(Trades!$E$2:$E$884,$A8)</f>
        <v>4</v>
      </c>
      <c r="C8" s="28" t="n">
        <f aca="false">COUNTIFS(Trades!$E$2:$E$884,$A8,Trades!$Z$2:$Z$884,"Win")</f>
        <v>1</v>
      </c>
      <c r="D8" s="28" t="n">
        <f aca="false">COUNTIFS(Trades!$E$2:$E$884,$A8,Trades!$Z$2:$Z$884,"Loss")</f>
        <v>3</v>
      </c>
      <c r="E8" s="29" t="n">
        <f aca="false">IFERROR(C8/B8,0)</f>
        <v>0.25</v>
      </c>
      <c r="F8" s="30" t="n">
        <f aca="false">SUMIFS(Trades!$X$2:$X$884,Trades!$E$2:$E$884,$A8)</f>
        <v>-5.40000000000001</v>
      </c>
      <c r="G8" s="30" t="n">
        <f aca="false">SUMIFS(Trades!$X$2:$X$884,Trades!$E$2:$E$884,$A8,Trades!$X$2:$X$884,"&gt;0")</f>
        <v>128.45</v>
      </c>
      <c r="H8" s="30" t="n">
        <f aca="false">SUMIFS(Trades!$X$2:$X$884,Trades!$E$2:$E$884,$A8,Trades!$X$2:$X$884,"&lt;0")</f>
        <v>-133.85</v>
      </c>
      <c r="I8" s="31" t="n">
        <f aca="false">IFERROR(G8/-H8,"no loss")</f>
        <v>0.959656331714606</v>
      </c>
      <c r="J8" s="30" t="n">
        <f aca="false">_xlfn.MAXIFS(Trades!$X$2:$X$884,Trades!$E$2:$E$884,$A8)</f>
        <v>128.45</v>
      </c>
      <c r="K8" s="30" t="n">
        <f aca="false">_xlfn.MINIFS(Trades!$X$2:$X$884,Trades!$E$2:$E$884,$A8)</f>
        <v>-70.03</v>
      </c>
      <c r="L8" s="32" t="n">
        <f aca="false">SUMIFS(Trades!$Y$2:$Y$884,Trades!$E$2:$E$884,$A8)</f>
        <v>0.669664369962695</v>
      </c>
      <c r="M8" s="30" t="n">
        <f aca="false">P7</f>
        <v>99917.47</v>
      </c>
      <c r="N8" s="29" t="n">
        <f aca="false">IFERROR(F8/M8,0)</f>
        <v>-5.4044603010865E-005</v>
      </c>
      <c r="O8" s="28" t="str">
        <f aca="false">IF(F8&lt;0,"down week","")</f>
        <v>down week</v>
      </c>
      <c r="P8" s="30" t="n">
        <f aca="false">M8+F8</f>
        <v>99912.07</v>
      </c>
      <c r="Q8" s="30" t="n">
        <f aca="false">P8-Summary!$C$5</f>
        <v>-87.929999999993</v>
      </c>
    </row>
    <row r="9" customFormat="false" ht="15" hidden="false" customHeight="false" outlineLevel="0" collapsed="false">
      <c r="A9" s="42" t="n">
        <v>45068</v>
      </c>
      <c r="B9" s="28" t="n">
        <f aca="false">COUNTIFS(Trades!$E$2:$E$884,$A9)</f>
        <v>6</v>
      </c>
      <c r="C9" s="28" t="n">
        <f aca="false">COUNTIFS(Trades!$E$2:$E$884,$A9,Trades!$Z$2:$Z$884,"Win")</f>
        <v>0</v>
      </c>
      <c r="D9" s="28" t="n">
        <f aca="false">COUNTIFS(Trades!$E$2:$E$884,$A9,Trades!$Z$2:$Z$884,"Loss")</f>
        <v>6</v>
      </c>
      <c r="E9" s="29" t="n">
        <f aca="false">IFERROR(C9/B9,0)</f>
        <v>0</v>
      </c>
      <c r="F9" s="30" t="n">
        <f aca="false">SUMIFS(Trades!$X$2:$X$884,Trades!$E$2:$E$884,$A9)</f>
        <v>-543.22</v>
      </c>
      <c r="G9" s="30" t="n">
        <f aca="false">SUMIFS(Trades!$X$2:$X$884,Trades!$E$2:$E$884,$A9,Trades!$X$2:$X$884,"&gt;0")</f>
        <v>0</v>
      </c>
      <c r="H9" s="30" t="n">
        <f aca="false">SUMIFS(Trades!$X$2:$X$884,Trades!$E$2:$E$884,$A9,Trades!$X$2:$X$884,"&lt;0")</f>
        <v>-543.22</v>
      </c>
      <c r="I9" s="31" t="n">
        <f aca="false">IFERROR(G9/-H9,"no loss")</f>
        <v>0</v>
      </c>
      <c r="J9" s="30" t="n">
        <f aca="false">_xlfn.MAXIFS(Trades!$X$2:$X$884,Trades!$E$2:$E$884,$A9)</f>
        <v>-2.05</v>
      </c>
      <c r="K9" s="30" t="n">
        <f aca="false">_xlfn.MINIFS(Trades!$X$2:$X$884,Trades!$E$2:$E$884,$A9)</f>
        <v>-365.06</v>
      </c>
      <c r="L9" s="32" t="n">
        <f aca="false">SUMIFS(Trades!$Y$2:$Y$884,Trades!$E$2:$E$884,$A9)</f>
        <v>-4.1468431155343</v>
      </c>
      <c r="M9" s="30" t="n">
        <f aca="false">P8</f>
        <v>99912.07</v>
      </c>
      <c r="N9" s="29" t="n">
        <f aca="false">IFERROR(F9/M9,0)</f>
        <v>-0.00543698073716219</v>
      </c>
      <c r="O9" s="28" t="str">
        <f aca="false">IF(F9&lt;0,"down week","")</f>
        <v>down week</v>
      </c>
      <c r="P9" s="30" t="n">
        <f aca="false">M9+F9</f>
        <v>99368.85</v>
      </c>
      <c r="Q9" s="30" t="n">
        <f aca="false">P9-Summary!$C$5</f>
        <v>-631.149999999994</v>
      </c>
    </row>
    <row r="10" customFormat="false" ht="15" hidden="false" customHeight="false" outlineLevel="0" collapsed="false">
      <c r="A10" s="42" t="n">
        <v>45075</v>
      </c>
      <c r="B10" s="28" t="n">
        <f aca="false">COUNTIFS(Trades!$E$2:$E$884,$A10)</f>
        <v>7</v>
      </c>
      <c r="C10" s="28" t="n">
        <f aca="false">COUNTIFS(Trades!$E$2:$E$884,$A10,Trades!$Z$2:$Z$884,"Win")</f>
        <v>3</v>
      </c>
      <c r="D10" s="28" t="n">
        <f aca="false">COUNTIFS(Trades!$E$2:$E$884,$A10,Trades!$Z$2:$Z$884,"Loss")</f>
        <v>4</v>
      </c>
      <c r="E10" s="29" t="n">
        <f aca="false">IFERROR(C10/B10,0)</f>
        <v>0.428571428571429</v>
      </c>
      <c r="F10" s="30" t="n">
        <f aca="false">SUMIFS(Trades!$X$2:$X$884,Trades!$E$2:$E$884,$A10)</f>
        <v>90.26</v>
      </c>
      <c r="G10" s="30" t="n">
        <f aca="false">SUMIFS(Trades!$X$2:$X$884,Trades!$E$2:$E$884,$A10,Trades!$X$2:$X$884,"&gt;0")</f>
        <v>401.5</v>
      </c>
      <c r="H10" s="30" t="n">
        <f aca="false">SUMIFS(Trades!$X$2:$X$884,Trades!$E$2:$E$884,$A10,Trades!$X$2:$X$884,"&lt;0")</f>
        <v>-311.24</v>
      </c>
      <c r="I10" s="31" t="n">
        <f aca="false">IFERROR(G10/-H10,"no loss")</f>
        <v>1.29000128518185</v>
      </c>
      <c r="J10" s="30" t="n">
        <f aca="false">_xlfn.MAXIFS(Trades!$X$2:$X$884,Trades!$E$2:$E$884,$A10)</f>
        <v>157.36</v>
      </c>
      <c r="K10" s="30" t="n">
        <f aca="false">_xlfn.MINIFS(Trades!$X$2:$X$884,Trades!$E$2:$E$884,$A10)</f>
        <v>-133.3</v>
      </c>
      <c r="L10" s="32" t="n">
        <f aca="false">SUMIFS(Trades!$Y$2:$Y$884,Trades!$E$2:$E$884,$A10)</f>
        <v>3.91633626651598</v>
      </c>
      <c r="M10" s="30" t="n">
        <f aca="false">P9</f>
        <v>99368.85</v>
      </c>
      <c r="N10" s="29" t="n">
        <f aca="false">IFERROR(F10/M10,0)</f>
        <v>0.000908332943372093</v>
      </c>
      <c r="O10" s="28" t="str">
        <f aca="false">IF(F10&lt;0,"down week","")</f>
        <v/>
      </c>
      <c r="P10" s="30" t="n">
        <f aca="false">M10+F10</f>
        <v>99459.11</v>
      </c>
      <c r="Q10" s="30" t="n">
        <f aca="false">P10-Summary!$C$5</f>
        <v>-540.889999999999</v>
      </c>
    </row>
    <row r="11" customFormat="false" ht="15" hidden="false" customHeight="false" outlineLevel="0" collapsed="false">
      <c r="A11" s="42" t="n">
        <v>45082</v>
      </c>
      <c r="B11" s="28" t="n">
        <f aca="false">COUNTIFS(Trades!$E$2:$E$884,$A11)</f>
        <v>5</v>
      </c>
      <c r="C11" s="28" t="n">
        <f aca="false">COUNTIFS(Trades!$E$2:$E$884,$A11,Trades!$Z$2:$Z$884,"Win")</f>
        <v>2</v>
      </c>
      <c r="D11" s="28" t="n">
        <f aca="false">COUNTIFS(Trades!$E$2:$E$884,$A11,Trades!$Z$2:$Z$884,"Loss")</f>
        <v>3</v>
      </c>
      <c r="E11" s="29" t="n">
        <f aca="false">IFERROR(C11/B11,0)</f>
        <v>0.4</v>
      </c>
      <c r="F11" s="30" t="n">
        <f aca="false">SUMIFS(Trades!$X$2:$X$884,Trades!$E$2:$E$884,$A11)</f>
        <v>216.76</v>
      </c>
      <c r="G11" s="30" t="n">
        <f aca="false">SUMIFS(Trades!$X$2:$X$884,Trades!$E$2:$E$884,$A11,Trades!$X$2:$X$884,"&gt;0")</f>
        <v>266.14</v>
      </c>
      <c r="H11" s="30" t="n">
        <f aca="false">SUMIFS(Trades!$X$2:$X$884,Trades!$E$2:$E$884,$A11,Trades!$X$2:$X$884,"&lt;0")</f>
        <v>-49.38</v>
      </c>
      <c r="I11" s="31" t="n">
        <f aca="false">IFERROR(G11/-H11,"no loss")</f>
        <v>5.38963142972863</v>
      </c>
      <c r="J11" s="30" t="n">
        <f aca="false">_xlfn.MAXIFS(Trades!$X$2:$X$884,Trades!$E$2:$E$884,$A11)</f>
        <v>175.62</v>
      </c>
      <c r="K11" s="30" t="n">
        <f aca="false">_xlfn.MINIFS(Trades!$X$2:$X$884,Trades!$E$2:$E$884,$A11)</f>
        <v>-48</v>
      </c>
      <c r="L11" s="32" t="n">
        <f aca="false">SUMIFS(Trades!$Y$2:$Y$884,Trades!$E$2:$E$884,$A11)</f>
        <v>3.55809843992568</v>
      </c>
      <c r="M11" s="30" t="n">
        <f aca="false">P10</f>
        <v>99459.11</v>
      </c>
      <c r="N11" s="29" t="n">
        <f aca="false">IFERROR(F11/M11,0)</f>
        <v>0.00217938809225218</v>
      </c>
      <c r="O11" s="28" t="str">
        <f aca="false">IF(F11&lt;0,"down week","")</f>
        <v/>
      </c>
      <c r="P11" s="30" t="n">
        <f aca="false">M11+F11</f>
        <v>99675.87</v>
      </c>
      <c r="Q11" s="30" t="n">
        <f aca="false">P11-Summary!$C$5</f>
        <v>-324.130000000005</v>
      </c>
    </row>
    <row r="12" customFormat="false" ht="15" hidden="false" customHeight="false" outlineLevel="0" collapsed="false">
      <c r="A12" s="42" t="n">
        <v>45089</v>
      </c>
      <c r="B12" s="28" t="n">
        <f aca="false">COUNTIFS(Trades!$E$2:$E$884,$A12)</f>
        <v>5</v>
      </c>
      <c r="C12" s="28" t="n">
        <f aca="false">COUNTIFS(Trades!$E$2:$E$884,$A12,Trades!$Z$2:$Z$884,"Win")</f>
        <v>1</v>
      </c>
      <c r="D12" s="28" t="n">
        <f aca="false">COUNTIFS(Trades!$E$2:$E$884,$A12,Trades!$Z$2:$Z$884,"Loss")</f>
        <v>4</v>
      </c>
      <c r="E12" s="29" t="n">
        <f aca="false">IFERROR(C12/B12,0)</f>
        <v>0.2</v>
      </c>
      <c r="F12" s="30" t="n">
        <f aca="false">SUMIFS(Trades!$X$2:$X$884,Trades!$E$2:$E$884,$A12)</f>
        <v>-68.47</v>
      </c>
      <c r="G12" s="30" t="n">
        <f aca="false">SUMIFS(Trades!$X$2:$X$884,Trades!$E$2:$E$884,$A12,Trades!$X$2:$X$884,"&gt;0")</f>
        <v>110.82</v>
      </c>
      <c r="H12" s="30" t="n">
        <f aca="false">SUMIFS(Trades!$X$2:$X$884,Trades!$E$2:$E$884,$A12,Trades!$X$2:$X$884,"&lt;0")</f>
        <v>-179.29</v>
      </c>
      <c r="I12" s="31" t="n">
        <f aca="false">IFERROR(G12/-H12,"no loss")</f>
        <v>0.618104746500084</v>
      </c>
      <c r="J12" s="30" t="n">
        <f aca="false">_xlfn.MAXIFS(Trades!$X$2:$X$884,Trades!$E$2:$E$884,$A12)</f>
        <v>110.82</v>
      </c>
      <c r="K12" s="30" t="n">
        <f aca="false">_xlfn.MINIFS(Trades!$X$2:$X$884,Trades!$E$2:$E$884,$A12)</f>
        <v>-110.94</v>
      </c>
      <c r="L12" s="32" t="n">
        <f aca="false">SUMIFS(Trades!$Y$2:$Y$884,Trades!$E$2:$E$884,$A12)</f>
        <v>-0.0559084148292297</v>
      </c>
      <c r="M12" s="30" t="n">
        <f aca="false">P11</f>
        <v>99675.87</v>
      </c>
      <c r="N12" s="29" t="n">
        <f aca="false">IFERROR(F12/M12,0)</f>
        <v>-0.000686926534977824</v>
      </c>
      <c r="O12" s="28" t="str">
        <f aca="false">IF(F12&lt;0,"down week","")</f>
        <v>down week</v>
      </c>
      <c r="P12" s="30" t="n">
        <f aca="false">M12+F12</f>
        <v>99607.4</v>
      </c>
      <c r="Q12" s="30" t="n">
        <f aca="false">P12-Summary!$C$5</f>
        <v>-392.600000000006</v>
      </c>
    </row>
    <row r="13" customFormat="false" ht="15" hidden="false" customHeight="false" outlineLevel="0" collapsed="false">
      <c r="A13" s="42" t="n">
        <v>45096</v>
      </c>
      <c r="B13" s="28" t="n">
        <f aca="false">COUNTIFS(Trades!$E$2:$E$884,$A13)</f>
        <v>5</v>
      </c>
      <c r="C13" s="28" t="n">
        <f aca="false">COUNTIFS(Trades!$E$2:$E$884,$A13,Trades!$Z$2:$Z$884,"Win")</f>
        <v>1</v>
      </c>
      <c r="D13" s="28" t="n">
        <f aca="false">COUNTIFS(Trades!$E$2:$E$884,$A13,Trades!$Z$2:$Z$884,"Loss")</f>
        <v>4</v>
      </c>
      <c r="E13" s="29" t="n">
        <f aca="false">IFERROR(C13/B13,0)</f>
        <v>0.2</v>
      </c>
      <c r="F13" s="30" t="n">
        <f aca="false">SUMIFS(Trades!$X$2:$X$884,Trades!$E$2:$E$884,$A13)</f>
        <v>111.7</v>
      </c>
      <c r="G13" s="30" t="n">
        <f aca="false">SUMIFS(Trades!$X$2:$X$884,Trades!$E$2:$E$884,$A13,Trades!$X$2:$X$884,"&gt;0")</f>
        <v>255.61</v>
      </c>
      <c r="H13" s="30" t="n">
        <f aca="false">SUMIFS(Trades!$X$2:$X$884,Trades!$E$2:$E$884,$A13,Trades!$X$2:$X$884,"&lt;0")</f>
        <v>-143.91</v>
      </c>
      <c r="I13" s="31" t="n">
        <f aca="false">IFERROR(G13/-H13,"no loss")</f>
        <v>1.77617955666736</v>
      </c>
      <c r="J13" s="30" t="n">
        <f aca="false">_xlfn.MAXIFS(Trades!$X$2:$X$884,Trades!$E$2:$E$884,$A13)</f>
        <v>255.61</v>
      </c>
      <c r="K13" s="30" t="n">
        <f aca="false">_xlfn.MINIFS(Trades!$X$2:$X$884,Trades!$E$2:$E$884,$A13)</f>
        <v>-56.55</v>
      </c>
      <c r="L13" s="32" t="n">
        <f aca="false">SUMIFS(Trades!$Y$2:$Y$884,Trades!$E$2:$E$884,$A13)</f>
        <v>-1.12034868534166</v>
      </c>
      <c r="M13" s="30" t="n">
        <f aca="false">P12</f>
        <v>99607.4</v>
      </c>
      <c r="N13" s="29" t="n">
        <f aca="false">IFERROR(F13/M13,0)</f>
        <v>0.00112140262671247</v>
      </c>
      <c r="O13" s="28" t="str">
        <f aca="false">IF(F13&lt;0,"down week","")</f>
        <v/>
      </c>
      <c r="P13" s="30" t="n">
        <f aca="false">M13+F13</f>
        <v>99719.1</v>
      </c>
      <c r="Q13" s="30" t="n">
        <f aca="false">P13-Summary!$C$5</f>
        <v>-280.900000000009</v>
      </c>
    </row>
    <row r="14" customFormat="false" ht="15" hidden="false" customHeight="false" outlineLevel="0" collapsed="false">
      <c r="A14" s="42" t="n">
        <v>45103</v>
      </c>
      <c r="B14" s="28" t="n">
        <f aca="false">COUNTIFS(Trades!$E$2:$E$884,$A14)</f>
        <v>3</v>
      </c>
      <c r="C14" s="28" t="n">
        <f aca="false">COUNTIFS(Trades!$E$2:$E$884,$A14,Trades!$Z$2:$Z$884,"Win")</f>
        <v>3</v>
      </c>
      <c r="D14" s="28" t="n">
        <f aca="false">COUNTIFS(Trades!$E$2:$E$884,$A14,Trades!$Z$2:$Z$884,"Loss")</f>
        <v>0</v>
      </c>
      <c r="E14" s="29" t="n">
        <f aca="false">IFERROR(C14/B14,0)</f>
        <v>1</v>
      </c>
      <c r="F14" s="30" t="n">
        <f aca="false">SUMIFS(Trades!$X$2:$X$884,Trades!$E$2:$E$884,$A14)</f>
        <v>795.18</v>
      </c>
      <c r="G14" s="30" t="n">
        <f aca="false">SUMIFS(Trades!$X$2:$X$884,Trades!$E$2:$E$884,$A14,Trades!$X$2:$X$884,"&gt;0")</f>
        <v>795.18</v>
      </c>
      <c r="H14" s="30" t="n">
        <f aca="false">SUMIFS(Trades!$X$2:$X$884,Trades!$E$2:$E$884,$A14,Trades!$X$2:$X$884,"&lt;0")</f>
        <v>0</v>
      </c>
      <c r="I14" s="31" t="str">
        <f aca="false">IFERROR(G14/-H14,"no loss")</f>
        <v>no loss</v>
      </c>
      <c r="J14" s="30" t="n">
        <f aca="false">_xlfn.MAXIFS(Trades!$X$2:$X$884,Trades!$E$2:$E$884,$A14)</f>
        <v>313.44</v>
      </c>
      <c r="K14" s="30" t="n">
        <f aca="false">_xlfn.MINIFS(Trades!$X$2:$X$884,Trades!$E$2:$E$884,$A14)</f>
        <v>180.3</v>
      </c>
      <c r="L14" s="32" t="n">
        <f aca="false">SUMIFS(Trades!$Y$2:$Y$884,Trades!$E$2:$E$884,$A14)</f>
        <v>6.0266209460591</v>
      </c>
      <c r="M14" s="30" t="n">
        <f aca="false">P13</f>
        <v>99719.1</v>
      </c>
      <c r="N14" s="29" t="n">
        <f aca="false">IFERROR(F14/M14,0)</f>
        <v>0.00797419952646986</v>
      </c>
      <c r="O14" s="28" t="str">
        <f aca="false">IF(F14&lt;0,"down week","")</f>
        <v/>
      </c>
      <c r="P14" s="30" t="n">
        <f aca="false">M14+F14</f>
        <v>100514.28</v>
      </c>
      <c r="Q14" s="30" t="n">
        <f aca="false">P14-Summary!$C$5</f>
        <v>514.279999999984</v>
      </c>
    </row>
    <row r="15" customFormat="false" ht="15" hidden="false" customHeight="false" outlineLevel="0" collapsed="false">
      <c r="A15" s="42" t="n">
        <v>45110</v>
      </c>
      <c r="B15" s="28" t="n">
        <f aca="false">COUNTIFS(Trades!$E$2:$E$884,$A15)</f>
        <v>5</v>
      </c>
      <c r="C15" s="28" t="n">
        <f aca="false">COUNTIFS(Trades!$E$2:$E$884,$A15,Trades!$Z$2:$Z$884,"Win")</f>
        <v>2</v>
      </c>
      <c r="D15" s="28" t="n">
        <f aca="false">COUNTIFS(Trades!$E$2:$E$884,$A15,Trades!$Z$2:$Z$884,"Loss")</f>
        <v>3</v>
      </c>
      <c r="E15" s="29" t="n">
        <f aca="false">IFERROR(C15/B15,0)</f>
        <v>0.4</v>
      </c>
      <c r="F15" s="30" t="n">
        <f aca="false">SUMIFS(Trades!$X$2:$X$884,Trades!$E$2:$E$884,$A15)</f>
        <v>174.88</v>
      </c>
      <c r="G15" s="30" t="n">
        <f aca="false">SUMIFS(Trades!$X$2:$X$884,Trades!$E$2:$E$884,$A15,Trades!$X$2:$X$884,"&gt;0")</f>
        <v>226.67</v>
      </c>
      <c r="H15" s="30" t="n">
        <f aca="false">SUMIFS(Trades!$X$2:$X$884,Trades!$E$2:$E$884,$A15,Trades!$X$2:$X$884,"&lt;0")</f>
        <v>-51.79</v>
      </c>
      <c r="I15" s="31" t="n">
        <f aca="false">IFERROR(G15/-H15,"no loss")</f>
        <v>4.37671365128403</v>
      </c>
      <c r="J15" s="30" t="n">
        <f aca="false">_xlfn.MAXIFS(Trades!$X$2:$X$884,Trades!$E$2:$E$884,$A15)</f>
        <v>162.81</v>
      </c>
      <c r="K15" s="30" t="n">
        <f aca="false">_xlfn.MINIFS(Trades!$X$2:$X$884,Trades!$E$2:$E$884,$A15)</f>
        <v>-48.14</v>
      </c>
      <c r="L15" s="32" t="n">
        <f aca="false">SUMIFS(Trades!$Y$2:$Y$884,Trades!$E$2:$E$884,$A15)</f>
        <v>2.79319160035849</v>
      </c>
      <c r="M15" s="30" t="n">
        <f aca="false">P14</f>
        <v>100514.28</v>
      </c>
      <c r="N15" s="29" t="n">
        <f aca="false">IFERROR(F15/M15,0)</f>
        <v>0.00173985228765505</v>
      </c>
      <c r="O15" s="28" t="str">
        <f aca="false">IF(F15&lt;0,"down week","")</f>
        <v/>
      </c>
      <c r="P15" s="30" t="n">
        <f aca="false">M15+F15</f>
        <v>100689.16</v>
      </c>
      <c r="Q15" s="30" t="n">
        <f aca="false">P15-Summary!$C$5</f>
        <v>689.159999999989</v>
      </c>
    </row>
    <row r="16" customFormat="false" ht="15" hidden="false" customHeight="false" outlineLevel="0" collapsed="false">
      <c r="A16" s="42" t="n">
        <v>45117</v>
      </c>
      <c r="B16" s="28" t="n">
        <f aca="false">COUNTIFS(Trades!$E$2:$E$884,$A16)</f>
        <v>5</v>
      </c>
      <c r="C16" s="28" t="n">
        <f aca="false">COUNTIFS(Trades!$E$2:$E$884,$A16,Trades!$Z$2:$Z$884,"Win")</f>
        <v>2</v>
      </c>
      <c r="D16" s="28" t="n">
        <f aca="false">COUNTIFS(Trades!$E$2:$E$884,$A16,Trades!$Z$2:$Z$884,"Loss")</f>
        <v>3</v>
      </c>
      <c r="E16" s="29" t="n">
        <f aca="false">IFERROR(C16/B16,0)</f>
        <v>0.4</v>
      </c>
      <c r="F16" s="30" t="n">
        <f aca="false">SUMIFS(Trades!$X$2:$X$884,Trades!$E$2:$E$884,$A16)</f>
        <v>136.11</v>
      </c>
      <c r="G16" s="30" t="n">
        <f aca="false">SUMIFS(Trades!$X$2:$X$884,Trades!$E$2:$E$884,$A16,Trades!$X$2:$X$884,"&gt;0")</f>
        <v>292.9</v>
      </c>
      <c r="H16" s="30" t="n">
        <f aca="false">SUMIFS(Trades!$X$2:$X$884,Trades!$E$2:$E$884,$A16,Trades!$X$2:$X$884,"&lt;0")</f>
        <v>-156.79</v>
      </c>
      <c r="I16" s="31" t="n">
        <f aca="false">IFERROR(G16/-H16,"no loss")</f>
        <v>1.86810383315262</v>
      </c>
      <c r="J16" s="30" t="n">
        <f aca="false">_xlfn.MAXIFS(Trades!$X$2:$X$884,Trades!$E$2:$E$884,$A16)</f>
        <v>202.48</v>
      </c>
      <c r="K16" s="30" t="n">
        <f aca="false">_xlfn.MINIFS(Trades!$X$2:$X$884,Trades!$E$2:$E$884,$A16)</f>
        <v>-84.06</v>
      </c>
      <c r="L16" s="32" t="n">
        <f aca="false">SUMIFS(Trades!$Y$2:$Y$884,Trades!$E$2:$E$884,$A16)</f>
        <v>0.93826941444684</v>
      </c>
      <c r="M16" s="30" t="n">
        <f aca="false">P15</f>
        <v>100689.16</v>
      </c>
      <c r="N16" s="29" t="n">
        <f aca="false">IFERROR(F16/M16,0)</f>
        <v>0.00135178404507496</v>
      </c>
      <c r="O16" s="28" t="str">
        <f aca="false">IF(F16&lt;0,"down week","")</f>
        <v/>
      </c>
      <c r="P16" s="30" t="n">
        <f aca="false">M16+F16</f>
        <v>100825.27</v>
      </c>
      <c r="Q16" s="30" t="n">
        <f aca="false">P16-Summary!$C$5</f>
        <v>825.26999999999</v>
      </c>
    </row>
    <row r="17" customFormat="false" ht="15" hidden="false" customHeight="false" outlineLevel="0" collapsed="false">
      <c r="A17" s="42" t="n">
        <v>45124</v>
      </c>
      <c r="B17" s="28" t="n">
        <f aca="false">COUNTIFS(Trades!$E$2:$E$884,$A17)</f>
        <v>6</v>
      </c>
      <c r="C17" s="28" t="n">
        <f aca="false">COUNTIFS(Trades!$E$2:$E$884,$A17,Trades!$Z$2:$Z$884,"Win")</f>
        <v>3</v>
      </c>
      <c r="D17" s="28" t="n">
        <f aca="false">COUNTIFS(Trades!$E$2:$E$884,$A17,Trades!$Z$2:$Z$884,"Loss")</f>
        <v>3</v>
      </c>
      <c r="E17" s="29" t="n">
        <f aca="false">IFERROR(C17/B17,0)</f>
        <v>0.5</v>
      </c>
      <c r="F17" s="30" t="n">
        <f aca="false">SUMIFS(Trades!$X$2:$X$884,Trades!$E$2:$E$884,$A17)</f>
        <v>273.89</v>
      </c>
      <c r="G17" s="30" t="n">
        <f aca="false">SUMIFS(Trades!$X$2:$X$884,Trades!$E$2:$E$884,$A17,Trades!$X$2:$X$884,"&gt;0")</f>
        <v>595</v>
      </c>
      <c r="H17" s="30" t="n">
        <f aca="false">SUMIFS(Trades!$X$2:$X$884,Trades!$E$2:$E$884,$A17,Trades!$X$2:$X$884,"&lt;0")</f>
        <v>-321.11</v>
      </c>
      <c r="I17" s="31" t="n">
        <f aca="false">IFERROR(G17/-H17,"no loss")</f>
        <v>1.85294758805394</v>
      </c>
      <c r="J17" s="30" t="n">
        <f aca="false">_xlfn.MAXIFS(Trades!$X$2:$X$884,Trades!$E$2:$E$884,$A17)</f>
        <v>310.69</v>
      </c>
      <c r="K17" s="30" t="n">
        <f aca="false">_xlfn.MINIFS(Trades!$X$2:$X$884,Trades!$E$2:$E$884,$A17)</f>
        <v>-171.47</v>
      </c>
      <c r="L17" s="32" t="n">
        <f aca="false">SUMIFS(Trades!$Y$2:$Y$884,Trades!$E$2:$E$884,$A17)</f>
        <v>3.38546943982658</v>
      </c>
      <c r="M17" s="30" t="n">
        <f aca="false">P16</f>
        <v>100825.27</v>
      </c>
      <c r="N17" s="29" t="n">
        <f aca="false">IFERROR(F17/M17,0)</f>
        <v>0.00271648169154419</v>
      </c>
      <c r="O17" s="28" t="str">
        <f aca="false">IF(F17&lt;0,"down week","")</f>
        <v/>
      </c>
      <c r="P17" s="30" t="n">
        <f aca="false">M17+F17</f>
        <v>101099.16</v>
      </c>
      <c r="Q17" s="30" t="n">
        <f aca="false">P17-Summary!$C$5</f>
        <v>1099.15999999999</v>
      </c>
    </row>
    <row r="18" customFormat="false" ht="15" hidden="false" customHeight="false" outlineLevel="0" collapsed="false">
      <c r="A18" s="42" t="n">
        <v>45131</v>
      </c>
      <c r="B18" s="28" t="n">
        <f aca="false">COUNTIFS(Trades!$E$2:$E$884,$A18)</f>
        <v>5</v>
      </c>
      <c r="C18" s="28" t="n">
        <f aca="false">COUNTIFS(Trades!$E$2:$E$884,$A18,Trades!$Z$2:$Z$884,"Win")</f>
        <v>1</v>
      </c>
      <c r="D18" s="28" t="n">
        <f aca="false">COUNTIFS(Trades!$E$2:$E$884,$A18,Trades!$Z$2:$Z$884,"Loss")</f>
        <v>4</v>
      </c>
      <c r="E18" s="29" t="n">
        <f aca="false">IFERROR(C18/B18,0)</f>
        <v>0.2</v>
      </c>
      <c r="F18" s="30" t="n">
        <f aca="false">SUMIFS(Trades!$X$2:$X$884,Trades!$E$2:$E$884,$A18)</f>
        <v>-328.58</v>
      </c>
      <c r="G18" s="30" t="n">
        <f aca="false">SUMIFS(Trades!$X$2:$X$884,Trades!$E$2:$E$884,$A18,Trades!$X$2:$X$884,"&gt;0")</f>
        <v>128.52</v>
      </c>
      <c r="H18" s="30" t="n">
        <f aca="false">SUMIFS(Trades!$X$2:$X$884,Trades!$E$2:$E$884,$A18,Trades!$X$2:$X$884,"&lt;0")</f>
        <v>-457.1</v>
      </c>
      <c r="I18" s="31" t="n">
        <f aca="false">IFERROR(G18/-H18,"no loss")</f>
        <v>0.281163859111792</v>
      </c>
      <c r="J18" s="30" t="n">
        <f aca="false">_xlfn.MAXIFS(Trades!$X$2:$X$884,Trades!$E$2:$E$884,$A18)</f>
        <v>128.52</v>
      </c>
      <c r="K18" s="30" t="n">
        <f aca="false">_xlfn.MINIFS(Trades!$X$2:$X$884,Trades!$E$2:$E$884,$A18)</f>
        <v>-261.23</v>
      </c>
      <c r="L18" s="32" t="n">
        <f aca="false">SUMIFS(Trades!$Y$2:$Y$884,Trades!$E$2:$E$884,$A18)</f>
        <v>-1.04171544306272</v>
      </c>
      <c r="M18" s="30" t="n">
        <f aca="false">P17</f>
        <v>101099.16</v>
      </c>
      <c r="N18" s="29" t="n">
        <f aca="false">IFERROR(F18/M18,0)</f>
        <v>-0.00325007645958681</v>
      </c>
      <c r="O18" s="28" t="str">
        <f aca="false">IF(F18&lt;0,"down week","")</f>
        <v>down week</v>
      </c>
      <c r="P18" s="30" t="n">
        <f aca="false">M18+F18</f>
        <v>100770.58</v>
      </c>
      <c r="Q18" s="30" t="n">
        <f aca="false">P18-Summary!$C$5</f>
        <v>770.579999999987</v>
      </c>
    </row>
    <row r="19" customFormat="false" ht="15" hidden="false" customHeight="false" outlineLevel="0" collapsed="false">
      <c r="A19" s="42" t="n">
        <v>45138</v>
      </c>
      <c r="B19" s="28" t="n">
        <f aca="false">COUNTIFS(Trades!$E$2:$E$884,$A19)</f>
        <v>5</v>
      </c>
      <c r="C19" s="28" t="n">
        <f aca="false">COUNTIFS(Trades!$E$2:$E$884,$A19,Trades!$Z$2:$Z$884,"Win")</f>
        <v>2</v>
      </c>
      <c r="D19" s="28" t="n">
        <f aca="false">COUNTIFS(Trades!$E$2:$E$884,$A19,Trades!$Z$2:$Z$884,"Loss")</f>
        <v>3</v>
      </c>
      <c r="E19" s="29" t="n">
        <f aca="false">IFERROR(C19/B19,0)</f>
        <v>0.4</v>
      </c>
      <c r="F19" s="30" t="n">
        <f aca="false">SUMIFS(Trades!$X$2:$X$884,Trades!$E$2:$E$884,$A19)</f>
        <v>-10.06</v>
      </c>
      <c r="G19" s="30" t="n">
        <f aca="false">SUMIFS(Trades!$X$2:$X$884,Trades!$E$2:$E$884,$A19,Trades!$X$2:$X$884,"&gt;0")</f>
        <v>260.27</v>
      </c>
      <c r="H19" s="30" t="n">
        <f aca="false">SUMIFS(Trades!$X$2:$X$884,Trades!$E$2:$E$884,$A19,Trades!$X$2:$X$884,"&lt;0")</f>
        <v>-270.33</v>
      </c>
      <c r="I19" s="31" t="n">
        <f aca="false">IFERROR(G19/-H19,"no loss")</f>
        <v>0.962786224244442</v>
      </c>
      <c r="J19" s="30" t="n">
        <f aca="false">_xlfn.MAXIFS(Trades!$X$2:$X$884,Trades!$E$2:$E$884,$A19)</f>
        <v>173.3</v>
      </c>
      <c r="K19" s="30" t="n">
        <f aca="false">_xlfn.MINIFS(Trades!$X$2:$X$884,Trades!$E$2:$E$884,$A19)</f>
        <v>-193.14</v>
      </c>
      <c r="L19" s="32" t="n">
        <f aca="false">SUMIFS(Trades!$Y$2:$Y$884,Trades!$E$2:$E$884,$A19)</f>
        <v>2.12130321083135</v>
      </c>
      <c r="M19" s="30" t="n">
        <f aca="false">P18</f>
        <v>100770.58</v>
      </c>
      <c r="N19" s="29" t="n">
        <f aca="false">IFERROR(F19/M19,0)</f>
        <v>-9.98307244038883E-005</v>
      </c>
      <c r="O19" s="28" t="str">
        <f aca="false">IF(F19&lt;0,"down week","")</f>
        <v>down week</v>
      </c>
      <c r="P19" s="30" t="n">
        <f aca="false">M19+F19</f>
        <v>100760.52</v>
      </c>
      <c r="Q19" s="30" t="n">
        <f aca="false">P19-Summary!$C$5</f>
        <v>760.51999999999</v>
      </c>
    </row>
    <row r="20" customFormat="false" ht="15" hidden="false" customHeight="false" outlineLevel="0" collapsed="false">
      <c r="A20" s="42" t="n">
        <v>45145</v>
      </c>
      <c r="B20" s="28" t="n">
        <f aca="false">COUNTIFS(Trades!$E$2:$E$884,$A20)</f>
        <v>6</v>
      </c>
      <c r="C20" s="28" t="n">
        <f aca="false">COUNTIFS(Trades!$E$2:$E$884,$A20,Trades!$Z$2:$Z$884,"Win")</f>
        <v>2</v>
      </c>
      <c r="D20" s="28" t="n">
        <f aca="false">COUNTIFS(Trades!$E$2:$E$884,$A20,Trades!$Z$2:$Z$884,"Loss")</f>
        <v>4</v>
      </c>
      <c r="E20" s="29" t="n">
        <f aca="false">IFERROR(C20/B20,0)</f>
        <v>0.333333333333333</v>
      </c>
      <c r="F20" s="30" t="n">
        <f aca="false">SUMIFS(Trades!$X$2:$X$884,Trades!$E$2:$E$884,$A20)</f>
        <v>127.22</v>
      </c>
      <c r="G20" s="30" t="n">
        <f aca="false">SUMIFS(Trades!$X$2:$X$884,Trades!$E$2:$E$884,$A20,Trades!$X$2:$X$884,"&gt;0")</f>
        <v>551.44</v>
      </c>
      <c r="H20" s="30" t="n">
        <f aca="false">SUMIFS(Trades!$X$2:$X$884,Trades!$E$2:$E$884,$A20,Trades!$X$2:$X$884,"&lt;0")</f>
        <v>-424.22</v>
      </c>
      <c r="I20" s="31" t="n">
        <f aca="false">IFERROR(G20/-H20,"no loss")</f>
        <v>1.29989156569704</v>
      </c>
      <c r="J20" s="30" t="n">
        <f aca="false">_xlfn.MAXIFS(Trades!$X$2:$X$884,Trades!$E$2:$E$884,$A20)</f>
        <v>284.7</v>
      </c>
      <c r="K20" s="30" t="n">
        <f aca="false">_xlfn.MINIFS(Trades!$X$2:$X$884,Trades!$E$2:$E$884,$A20)</f>
        <v>-149.82</v>
      </c>
      <c r="L20" s="32" t="n">
        <f aca="false">SUMIFS(Trades!$Y$2:$Y$884,Trades!$E$2:$E$884,$A20)</f>
        <v>-0.0278214272287727</v>
      </c>
      <c r="M20" s="30" t="n">
        <f aca="false">P19</f>
        <v>100760.52</v>
      </c>
      <c r="N20" s="29" t="n">
        <f aca="false">IFERROR(F20/M20,0)</f>
        <v>0.00126259769203255</v>
      </c>
      <c r="O20" s="28" t="str">
        <f aca="false">IF(F20&lt;0,"down week","")</f>
        <v/>
      </c>
      <c r="P20" s="30" t="n">
        <f aca="false">M20+F20</f>
        <v>100887.74</v>
      </c>
      <c r="Q20" s="30" t="n">
        <f aca="false">P20-Summary!$C$5</f>
        <v>887.739999999991</v>
      </c>
    </row>
    <row r="21" customFormat="false" ht="15" hidden="false" customHeight="false" outlineLevel="0" collapsed="false">
      <c r="A21" s="42" t="n">
        <v>45152</v>
      </c>
      <c r="B21" s="28" t="n">
        <f aca="false">COUNTIFS(Trades!$E$2:$E$884,$A21)</f>
        <v>5</v>
      </c>
      <c r="C21" s="28" t="n">
        <f aca="false">COUNTIFS(Trades!$E$2:$E$884,$A21,Trades!$Z$2:$Z$884,"Win")</f>
        <v>2</v>
      </c>
      <c r="D21" s="28" t="n">
        <f aca="false">COUNTIFS(Trades!$E$2:$E$884,$A21,Trades!$Z$2:$Z$884,"Loss")</f>
        <v>3</v>
      </c>
      <c r="E21" s="29" t="n">
        <f aca="false">IFERROR(C21/B21,0)</f>
        <v>0.4</v>
      </c>
      <c r="F21" s="30" t="n">
        <f aca="false">SUMIFS(Trades!$X$2:$X$884,Trades!$E$2:$E$884,$A21)</f>
        <v>167.23</v>
      </c>
      <c r="G21" s="30" t="n">
        <f aca="false">SUMIFS(Trades!$X$2:$X$884,Trades!$E$2:$E$884,$A21,Trades!$X$2:$X$884,"&gt;0")</f>
        <v>270.43</v>
      </c>
      <c r="H21" s="30" t="n">
        <f aca="false">SUMIFS(Trades!$X$2:$X$884,Trades!$E$2:$E$884,$A21,Trades!$X$2:$X$884,"&lt;0")</f>
        <v>-103.2</v>
      </c>
      <c r="I21" s="31" t="n">
        <f aca="false">IFERROR(G21/-H21,"no loss")</f>
        <v>2.62044573643411</v>
      </c>
      <c r="J21" s="30" t="n">
        <f aca="false">_xlfn.MAXIFS(Trades!$X$2:$X$884,Trades!$E$2:$E$884,$A21)</f>
        <v>153.55</v>
      </c>
      <c r="K21" s="30" t="n">
        <f aca="false">_xlfn.MINIFS(Trades!$X$2:$X$884,Trades!$E$2:$E$884,$A21)</f>
        <v>-71.04</v>
      </c>
      <c r="L21" s="32" t="n">
        <f aca="false">SUMIFS(Trades!$Y$2:$Y$884,Trades!$E$2:$E$884,$A21)</f>
        <v>1.70437889758747</v>
      </c>
      <c r="M21" s="30" t="n">
        <f aca="false">P20</f>
        <v>100887.74</v>
      </c>
      <c r="N21" s="29" t="n">
        <f aca="false">IFERROR(F21/M21,0)</f>
        <v>0.00165758495531766</v>
      </c>
      <c r="O21" s="28" t="str">
        <f aca="false">IF(F21&lt;0,"down week","")</f>
        <v/>
      </c>
      <c r="P21" s="30" t="n">
        <f aca="false">M21+F21</f>
        <v>101054.97</v>
      </c>
      <c r="Q21" s="30" t="n">
        <f aca="false">P21-Summary!$C$5</f>
        <v>1054.96999999999</v>
      </c>
    </row>
    <row r="22" customFormat="false" ht="15" hidden="false" customHeight="false" outlineLevel="0" collapsed="false">
      <c r="A22" s="42" t="n">
        <v>45159</v>
      </c>
      <c r="B22" s="28" t="n">
        <f aca="false">COUNTIFS(Trades!$E$2:$E$884,$A22)</f>
        <v>6</v>
      </c>
      <c r="C22" s="28" t="n">
        <f aca="false">COUNTIFS(Trades!$E$2:$E$884,$A22,Trades!$Z$2:$Z$884,"Win")</f>
        <v>3</v>
      </c>
      <c r="D22" s="28" t="n">
        <f aca="false">COUNTIFS(Trades!$E$2:$E$884,$A22,Trades!$Z$2:$Z$884,"Loss")</f>
        <v>3</v>
      </c>
      <c r="E22" s="29" t="n">
        <f aca="false">IFERROR(C22/B22,0)</f>
        <v>0.5</v>
      </c>
      <c r="F22" s="30" t="n">
        <f aca="false">SUMIFS(Trades!$X$2:$X$884,Trades!$E$2:$E$884,$A22)</f>
        <v>686.76</v>
      </c>
      <c r="G22" s="30" t="n">
        <f aca="false">SUMIFS(Trades!$X$2:$X$884,Trades!$E$2:$E$884,$A22,Trades!$X$2:$X$884,"&gt;0")</f>
        <v>896.7</v>
      </c>
      <c r="H22" s="30" t="n">
        <f aca="false">SUMIFS(Trades!$X$2:$X$884,Trades!$E$2:$E$884,$A22,Trades!$X$2:$X$884,"&lt;0")</f>
        <v>-209.94</v>
      </c>
      <c r="I22" s="31" t="n">
        <f aca="false">IFERROR(G22/-H22,"no loss")</f>
        <v>4.27122034867105</v>
      </c>
      <c r="J22" s="30" t="n">
        <f aca="false">_xlfn.MAXIFS(Trades!$X$2:$X$884,Trades!$E$2:$E$884,$A22)</f>
        <v>422.82</v>
      </c>
      <c r="K22" s="30" t="n">
        <f aca="false">_xlfn.MINIFS(Trades!$X$2:$X$884,Trades!$E$2:$E$884,$A22)</f>
        <v>-145.08</v>
      </c>
      <c r="L22" s="32" t="n">
        <f aca="false">SUMIFS(Trades!$Y$2:$Y$884,Trades!$E$2:$E$884,$A22)</f>
        <v>3.85683522428987</v>
      </c>
      <c r="M22" s="30" t="n">
        <f aca="false">P21</f>
        <v>101054.97</v>
      </c>
      <c r="N22" s="29" t="n">
        <f aca="false">IFERROR(F22/M22,0)</f>
        <v>0.00679590523850534</v>
      </c>
      <c r="O22" s="28" t="str">
        <f aca="false">IF(F22&lt;0,"down week","")</f>
        <v/>
      </c>
      <c r="P22" s="30" t="n">
        <f aca="false">M22+F22</f>
        <v>101741.73</v>
      </c>
      <c r="Q22" s="30" t="n">
        <f aca="false">P22-Summary!$C$5</f>
        <v>1741.72999999998</v>
      </c>
    </row>
    <row r="23" customFormat="false" ht="15" hidden="false" customHeight="false" outlineLevel="0" collapsed="false">
      <c r="A23" s="42" t="n">
        <v>45166</v>
      </c>
      <c r="B23" s="28" t="n">
        <f aca="false">COUNTIFS(Trades!$E$2:$E$884,$A23)</f>
        <v>5</v>
      </c>
      <c r="C23" s="28" t="n">
        <f aca="false">COUNTIFS(Trades!$E$2:$E$884,$A23,Trades!$Z$2:$Z$884,"Win")</f>
        <v>2</v>
      </c>
      <c r="D23" s="28" t="n">
        <f aca="false">COUNTIFS(Trades!$E$2:$E$884,$A23,Trades!$Z$2:$Z$884,"Loss")</f>
        <v>3</v>
      </c>
      <c r="E23" s="29" t="n">
        <f aca="false">IFERROR(C23/B23,0)</f>
        <v>0.4</v>
      </c>
      <c r="F23" s="30" t="n">
        <f aca="false">SUMIFS(Trades!$X$2:$X$884,Trades!$E$2:$E$884,$A23)</f>
        <v>237.78</v>
      </c>
      <c r="G23" s="30" t="n">
        <f aca="false">SUMIFS(Trades!$X$2:$X$884,Trades!$E$2:$E$884,$A23,Trades!$X$2:$X$884,"&gt;0")</f>
        <v>350.64</v>
      </c>
      <c r="H23" s="30" t="n">
        <f aca="false">SUMIFS(Trades!$X$2:$X$884,Trades!$E$2:$E$884,$A23,Trades!$X$2:$X$884,"&lt;0")</f>
        <v>-112.86</v>
      </c>
      <c r="I23" s="31" t="n">
        <f aca="false">IFERROR(G23/-H23,"no loss")</f>
        <v>3.10685805422648</v>
      </c>
      <c r="J23" s="30" t="n">
        <f aca="false">_xlfn.MAXIFS(Trades!$X$2:$X$884,Trades!$E$2:$E$884,$A23)</f>
        <v>238.44</v>
      </c>
      <c r="K23" s="30" t="n">
        <f aca="false">_xlfn.MINIFS(Trades!$X$2:$X$884,Trades!$E$2:$E$884,$A23)</f>
        <v>-47.73</v>
      </c>
      <c r="L23" s="32" t="n">
        <f aca="false">SUMIFS(Trades!$Y$2:$Y$884,Trades!$E$2:$E$884,$A23)</f>
        <v>0.862823378627095</v>
      </c>
      <c r="M23" s="30" t="n">
        <f aca="false">P22</f>
        <v>101741.73</v>
      </c>
      <c r="N23" s="29" t="n">
        <f aca="false">IFERROR(F23/M23,0)</f>
        <v>0.00233709413040254</v>
      </c>
      <c r="O23" s="28" t="str">
        <f aca="false">IF(F23&lt;0,"down week","")</f>
        <v/>
      </c>
      <c r="P23" s="30" t="n">
        <f aca="false">M23+F23</f>
        <v>101979.51</v>
      </c>
      <c r="Q23" s="30" t="n">
        <f aca="false">P23-Summary!$C$5</f>
        <v>1979.50999999998</v>
      </c>
    </row>
    <row r="24" customFormat="false" ht="15" hidden="false" customHeight="false" outlineLevel="0" collapsed="false">
      <c r="A24" s="42" t="n">
        <v>45173</v>
      </c>
      <c r="B24" s="28" t="n">
        <f aca="false">COUNTIFS(Trades!$E$2:$E$884,$A24)</f>
        <v>4</v>
      </c>
      <c r="C24" s="28" t="n">
        <f aca="false">COUNTIFS(Trades!$E$2:$E$884,$A24,Trades!$Z$2:$Z$884,"Win")</f>
        <v>2</v>
      </c>
      <c r="D24" s="28" t="n">
        <f aca="false">COUNTIFS(Trades!$E$2:$E$884,$A24,Trades!$Z$2:$Z$884,"Loss")</f>
        <v>2</v>
      </c>
      <c r="E24" s="29" t="n">
        <f aca="false">IFERROR(C24/B24,0)</f>
        <v>0.5</v>
      </c>
      <c r="F24" s="30" t="n">
        <f aca="false">SUMIFS(Trades!$X$2:$X$884,Trades!$E$2:$E$884,$A24)</f>
        <v>485.45</v>
      </c>
      <c r="G24" s="30" t="n">
        <f aca="false">SUMIFS(Trades!$X$2:$X$884,Trades!$E$2:$E$884,$A24,Trades!$X$2:$X$884,"&gt;0")</f>
        <v>539.91</v>
      </c>
      <c r="H24" s="30" t="n">
        <f aca="false">SUMIFS(Trades!$X$2:$X$884,Trades!$E$2:$E$884,$A24,Trades!$X$2:$X$884,"&lt;0")</f>
        <v>-54.46</v>
      </c>
      <c r="I24" s="31" t="n">
        <f aca="false">IFERROR(G24/-H24,"no loss")</f>
        <v>9.91388174807198</v>
      </c>
      <c r="J24" s="30" t="n">
        <f aca="false">_xlfn.MAXIFS(Trades!$X$2:$X$884,Trades!$E$2:$E$884,$A24)</f>
        <v>385.35</v>
      </c>
      <c r="K24" s="30" t="n">
        <f aca="false">_xlfn.MINIFS(Trades!$X$2:$X$884,Trades!$E$2:$E$884,$A24)</f>
        <v>-54.17</v>
      </c>
      <c r="L24" s="32" t="n">
        <f aca="false">SUMIFS(Trades!$Y$2:$Y$884,Trades!$E$2:$E$884,$A24)</f>
        <v>2.97024662587247</v>
      </c>
      <c r="M24" s="30" t="n">
        <f aca="false">P23</f>
        <v>101979.51</v>
      </c>
      <c r="N24" s="29" t="n">
        <f aca="false">IFERROR(F24/M24,0)</f>
        <v>0.00476026997972436</v>
      </c>
      <c r="O24" s="28" t="str">
        <f aca="false">IF(F24&lt;0,"down week","")</f>
        <v/>
      </c>
      <c r="P24" s="30" t="n">
        <f aca="false">M24+F24</f>
        <v>102464.96</v>
      </c>
      <c r="Q24" s="30" t="n">
        <f aca="false">P24-Summary!$C$5</f>
        <v>2464.95999999998</v>
      </c>
    </row>
    <row r="25" customFormat="false" ht="15" hidden="false" customHeight="false" outlineLevel="0" collapsed="false">
      <c r="A25" s="42" t="n">
        <v>45180</v>
      </c>
      <c r="B25" s="28" t="n">
        <f aca="false">COUNTIFS(Trades!$E$2:$E$884,$A25)</f>
        <v>6</v>
      </c>
      <c r="C25" s="28" t="n">
        <f aca="false">COUNTIFS(Trades!$E$2:$E$884,$A25,Trades!$Z$2:$Z$884,"Win")</f>
        <v>1</v>
      </c>
      <c r="D25" s="28" t="n">
        <f aca="false">COUNTIFS(Trades!$E$2:$E$884,$A25,Trades!$Z$2:$Z$884,"Loss")</f>
        <v>5</v>
      </c>
      <c r="E25" s="29" t="n">
        <f aca="false">IFERROR(C25/B25,0)</f>
        <v>0.166666666666667</v>
      </c>
      <c r="F25" s="30" t="n">
        <f aca="false">SUMIFS(Trades!$X$2:$X$884,Trades!$E$2:$E$884,$A25)</f>
        <v>166.05</v>
      </c>
      <c r="G25" s="30" t="n">
        <f aca="false">SUMIFS(Trades!$X$2:$X$884,Trades!$E$2:$E$884,$A25,Trades!$X$2:$X$884,"&gt;0")</f>
        <v>354.24</v>
      </c>
      <c r="H25" s="30" t="n">
        <f aca="false">SUMIFS(Trades!$X$2:$X$884,Trades!$E$2:$E$884,$A25,Trades!$X$2:$X$884,"&lt;0")</f>
        <v>-188.19</v>
      </c>
      <c r="I25" s="31" t="n">
        <f aca="false">IFERROR(G25/-H25,"no loss")</f>
        <v>1.88235294117647</v>
      </c>
      <c r="J25" s="30" t="n">
        <f aca="false">_xlfn.MAXIFS(Trades!$X$2:$X$884,Trades!$E$2:$E$884,$A25)</f>
        <v>354.24</v>
      </c>
      <c r="K25" s="30" t="n">
        <f aca="false">_xlfn.MINIFS(Trades!$X$2:$X$884,Trades!$E$2:$E$884,$A25)</f>
        <v>-86.04</v>
      </c>
      <c r="L25" s="32" t="n">
        <f aca="false">SUMIFS(Trades!$Y$2:$Y$884,Trades!$E$2:$E$884,$A25)</f>
        <v>-2.34630032781078</v>
      </c>
      <c r="M25" s="30" t="n">
        <f aca="false">P24</f>
        <v>102464.96</v>
      </c>
      <c r="N25" s="29" t="n">
        <f aca="false">IFERROR(F25/M25,0)</f>
        <v>0.00162055399231113</v>
      </c>
      <c r="O25" s="28" t="str">
        <f aca="false">IF(F25&lt;0,"down week","")</f>
        <v/>
      </c>
      <c r="P25" s="30" t="n">
        <f aca="false">M25+F25</f>
        <v>102631.01</v>
      </c>
      <c r="Q25" s="30" t="n">
        <f aca="false">P25-Summary!$C$5</f>
        <v>2631.00999999998</v>
      </c>
    </row>
    <row r="26" customFormat="false" ht="15" hidden="false" customHeight="false" outlineLevel="0" collapsed="false">
      <c r="A26" s="42" t="n">
        <v>45187</v>
      </c>
      <c r="B26" s="28" t="n">
        <f aca="false">COUNTIFS(Trades!$E$2:$E$884,$A26)</f>
        <v>5</v>
      </c>
      <c r="C26" s="28" t="n">
        <f aca="false">COUNTIFS(Trades!$E$2:$E$884,$A26,Trades!$Z$2:$Z$884,"Win")</f>
        <v>2</v>
      </c>
      <c r="D26" s="28" t="n">
        <f aca="false">COUNTIFS(Trades!$E$2:$E$884,$A26,Trades!$Z$2:$Z$884,"Loss")</f>
        <v>3</v>
      </c>
      <c r="E26" s="29" t="n">
        <f aca="false">IFERROR(C26/B26,0)</f>
        <v>0.4</v>
      </c>
      <c r="F26" s="30" t="n">
        <f aca="false">SUMIFS(Trades!$X$2:$X$884,Trades!$E$2:$E$884,$A26)</f>
        <v>369.52</v>
      </c>
      <c r="G26" s="30" t="n">
        <f aca="false">SUMIFS(Trades!$X$2:$X$884,Trades!$E$2:$E$884,$A26,Trades!$X$2:$X$884,"&gt;0")</f>
        <v>458.28</v>
      </c>
      <c r="H26" s="30" t="n">
        <f aca="false">SUMIFS(Trades!$X$2:$X$884,Trades!$E$2:$E$884,$A26,Trades!$X$2:$X$884,"&lt;0")</f>
        <v>-88.76</v>
      </c>
      <c r="I26" s="31" t="n">
        <f aca="false">IFERROR(G26/-H26,"no loss")</f>
        <v>5.16313654799459</v>
      </c>
      <c r="J26" s="30" t="n">
        <f aca="false">_xlfn.MAXIFS(Trades!$X$2:$X$884,Trades!$E$2:$E$884,$A26)</f>
        <v>326.94</v>
      </c>
      <c r="K26" s="30" t="n">
        <f aca="false">_xlfn.MINIFS(Trades!$X$2:$X$884,Trades!$E$2:$E$884,$A26)</f>
        <v>-50.28</v>
      </c>
      <c r="L26" s="32" t="n">
        <f aca="false">SUMIFS(Trades!$Y$2:$Y$884,Trades!$E$2:$E$884,$A26)</f>
        <v>1.98535714889371</v>
      </c>
      <c r="M26" s="30" t="n">
        <f aca="false">P25</f>
        <v>102631.01</v>
      </c>
      <c r="N26" s="29" t="n">
        <f aca="false">IFERROR(F26/M26,0)</f>
        <v>0.00360047124158673</v>
      </c>
      <c r="O26" s="28" t="str">
        <f aca="false">IF(F26&lt;0,"down week","")</f>
        <v/>
      </c>
      <c r="P26" s="30" t="n">
        <f aca="false">M26+F26</f>
        <v>103000.53</v>
      </c>
      <c r="Q26" s="30" t="n">
        <f aca="false">P26-Summary!$C$5</f>
        <v>3000.52999999998</v>
      </c>
    </row>
    <row r="27" customFormat="false" ht="15" hidden="false" customHeight="false" outlineLevel="0" collapsed="false">
      <c r="A27" s="42" t="n">
        <v>45194</v>
      </c>
      <c r="B27" s="28" t="n">
        <f aca="false">COUNTIFS(Trades!$E$2:$E$884,$A27)</f>
        <v>5</v>
      </c>
      <c r="C27" s="28" t="n">
        <f aca="false">COUNTIFS(Trades!$E$2:$E$884,$A27,Trades!$Z$2:$Z$884,"Win")</f>
        <v>1</v>
      </c>
      <c r="D27" s="28" t="n">
        <f aca="false">COUNTIFS(Trades!$E$2:$E$884,$A27,Trades!$Z$2:$Z$884,"Loss")</f>
        <v>4</v>
      </c>
      <c r="E27" s="29" t="n">
        <f aca="false">IFERROR(C27/B27,0)</f>
        <v>0.2</v>
      </c>
      <c r="F27" s="30" t="n">
        <f aca="false">SUMIFS(Trades!$X$2:$X$884,Trades!$E$2:$E$884,$A27)</f>
        <v>179.49</v>
      </c>
      <c r="G27" s="30" t="n">
        <f aca="false">SUMIFS(Trades!$X$2:$X$884,Trades!$E$2:$E$884,$A27,Trades!$X$2:$X$884,"&gt;0")</f>
        <v>341.43</v>
      </c>
      <c r="H27" s="30" t="n">
        <f aca="false">SUMIFS(Trades!$X$2:$X$884,Trades!$E$2:$E$884,$A27,Trades!$X$2:$X$884,"&lt;0")</f>
        <v>-161.94</v>
      </c>
      <c r="I27" s="31" t="n">
        <f aca="false">IFERROR(G27/-H27,"no loss")</f>
        <v>2.10837347165617</v>
      </c>
      <c r="J27" s="30" t="n">
        <f aca="false">_xlfn.MAXIFS(Trades!$X$2:$X$884,Trades!$E$2:$E$884,$A27)</f>
        <v>341.43</v>
      </c>
      <c r="K27" s="30" t="n">
        <f aca="false">_xlfn.MINIFS(Trades!$X$2:$X$884,Trades!$E$2:$E$884,$A27)</f>
        <v>-109.55</v>
      </c>
      <c r="L27" s="32" t="n">
        <f aca="false">SUMIFS(Trades!$Y$2:$Y$884,Trades!$E$2:$E$884,$A27)</f>
        <v>0.13503965804298</v>
      </c>
      <c r="M27" s="30" t="n">
        <f aca="false">P26</f>
        <v>103000.53</v>
      </c>
      <c r="N27" s="29" t="n">
        <f aca="false">IFERROR(F27/M27,0)</f>
        <v>0.00174261239238284</v>
      </c>
      <c r="O27" s="28" t="str">
        <f aca="false">IF(F27&lt;0,"down week","")</f>
        <v/>
      </c>
      <c r="P27" s="30" t="n">
        <f aca="false">M27+F27</f>
        <v>103180.02</v>
      </c>
      <c r="Q27" s="30" t="n">
        <f aca="false">P27-Summary!$C$5</f>
        <v>3180.01999999999</v>
      </c>
    </row>
    <row r="28" customFormat="false" ht="15" hidden="false" customHeight="false" outlineLevel="0" collapsed="false">
      <c r="A28" s="42" t="n">
        <v>45201</v>
      </c>
      <c r="B28" s="28" t="n">
        <f aca="false">COUNTIFS(Trades!$E$2:$E$884,$A28)</f>
        <v>5</v>
      </c>
      <c r="C28" s="28" t="n">
        <f aca="false">COUNTIFS(Trades!$E$2:$E$884,$A28,Trades!$Z$2:$Z$884,"Win")</f>
        <v>2</v>
      </c>
      <c r="D28" s="28" t="n">
        <f aca="false">COUNTIFS(Trades!$E$2:$E$884,$A28,Trades!$Z$2:$Z$884,"Loss")</f>
        <v>3</v>
      </c>
      <c r="E28" s="29" t="n">
        <f aca="false">IFERROR(C28/B28,0)</f>
        <v>0.4</v>
      </c>
      <c r="F28" s="30" t="n">
        <f aca="false">SUMIFS(Trades!$X$2:$X$884,Trades!$E$2:$E$884,$A28)</f>
        <v>470.06</v>
      </c>
      <c r="G28" s="30" t="n">
        <f aca="false">SUMIFS(Trades!$X$2:$X$884,Trades!$E$2:$E$884,$A28,Trades!$X$2:$X$884,"&gt;0")</f>
        <v>1026.84</v>
      </c>
      <c r="H28" s="30" t="n">
        <f aca="false">SUMIFS(Trades!$X$2:$X$884,Trades!$E$2:$E$884,$A28,Trades!$X$2:$X$884,"&lt;0")</f>
        <v>-556.78</v>
      </c>
      <c r="I28" s="31" t="n">
        <f aca="false">IFERROR(G28/-H28,"no loss")</f>
        <v>1.84424727899709</v>
      </c>
      <c r="J28" s="30" t="n">
        <f aca="false">_xlfn.MAXIFS(Trades!$X$2:$X$884,Trades!$E$2:$E$884,$A28)</f>
        <v>637.98</v>
      </c>
      <c r="K28" s="30" t="n">
        <f aca="false">_xlfn.MINIFS(Trades!$X$2:$X$884,Trades!$E$2:$E$884,$A28)</f>
        <v>-420.99</v>
      </c>
      <c r="L28" s="32" t="n">
        <f aca="false">SUMIFS(Trades!$Y$2:$Y$884,Trades!$E$2:$E$884,$A28)</f>
        <v>1.00142068184316</v>
      </c>
      <c r="M28" s="30" t="n">
        <f aca="false">P27</f>
        <v>103180.02</v>
      </c>
      <c r="N28" s="29" t="n">
        <f aca="false">IFERROR(F28/M28,0)</f>
        <v>0.00455572697117136</v>
      </c>
      <c r="O28" s="28" t="str">
        <f aca="false">IF(F28&lt;0,"down week","")</f>
        <v/>
      </c>
      <c r="P28" s="30" t="n">
        <f aca="false">M28+F28</f>
        <v>103650.08</v>
      </c>
      <c r="Q28" s="30" t="n">
        <f aca="false">P28-Summary!$C$5</f>
        <v>3650.07999999999</v>
      </c>
    </row>
    <row r="29" customFormat="false" ht="15" hidden="false" customHeight="false" outlineLevel="0" collapsed="false">
      <c r="A29" s="42" t="n">
        <v>45208</v>
      </c>
      <c r="B29" s="28" t="n">
        <f aca="false">COUNTIFS(Trades!$E$2:$E$884,$A29)</f>
        <v>6</v>
      </c>
      <c r="C29" s="28" t="n">
        <f aca="false">COUNTIFS(Trades!$E$2:$E$884,$A29,Trades!$Z$2:$Z$884,"Win")</f>
        <v>3</v>
      </c>
      <c r="D29" s="28" t="n">
        <f aca="false">COUNTIFS(Trades!$E$2:$E$884,$A29,Trades!$Z$2:$Z$884,"Loss")</f>
        <v>3</v>
      </c>
      <c r="E29" s="29" t="n">
        <f aca="false">IFERROR(C29/B29,0)</f>
        <v>0.5</v>
      </c>
      <c r="F29" s="30" t="n">
        <f aca="false">SUMIFS(Trades!$X$2:$X$884,Trades!$E$2:$E$884,$A29)</f>
        <v>170.35</v>
      </c>
      <c r="G29" s="30" t="n">
        <f aca="false">SUMIFS(Trades!$X$2:$X$884,Trades!$E$2:$E$884,$A29,Trades!$X$2:$X$884,"&gt;0")</f>
        <v>328.57</v>
      </c>
      <c r="H29" s="30" t="n">
        <f aca="false">SUMIFS(Trades!$X$2:$X$884,Trades!$E$2:$E$884,$A29,Trades!$X$2:$X$884,"&lt;0")</f>
        <v>-158.22</v>
      </c>
      <c r="I29" s="31" t="n">
        <f aca="false">IFERROR(G29/-H29,"no loss")</f>
        <v>2.07666540260397</v>
      </c>
      <c r="J29" s="30" t="n">
        <f aca="false">_xlfn.MAXIFS(Trades!$X$2:$X$884,Trades!$E$2:$E$884,$A29)</f>
        <v>205.84</v>
      </c>
      <c r="K29" s="30" t="n">
        <f aca="false">_xlfn.MINIFS(Trades!$X$2:$X$884,Trades!$E$2:$E$884,$A29)</f>
        <v>-149.82</v>
      </c>
      <c r="L29" s="32" t="n">
        <f aca="false">SUMIFS(Trades!$Y$2:$Y$884,Trades!$E$2:$E$884,$A29)</f>
        <v>5.38044671601221</v>
      </c>
      <c r="M29" s="30" t="n">
        <f aca="false">P28</f>
        <v>103650.08</v>
      </c>
      <c r="N29" s="29" t="n">
        <f aca="false">IFERROR(F29/M29,0)</f>
        <v>0.00164351055011246</v>
      </c>
      <c r="O29" s="28" t="str">
        <f aca="false">IF(F29&lt;0,"down week","")</f>
        <v/>
      </c>
      <c r="P29" s="30" t="n">
        <f aca="false">M29+F29</f>
        <v>103820.43</v>
      </c>
      <c r="Q29" s="30" t="n">
        <f aca="false">P29-Summary!$C$5</f>
        <v>3820.42999999999</v>
      </c>
    </row>
    <row r="30" customFormat="false" ht="15" hidden="false" customHeight="false" outlineLevel="0" collapsed="false">
      <c r="A30" s="42" t="n">
        <v>45215</v>
      </c>
      <c r="B30" s="28" t="n">
        <f aca="false">COUNTIFS(Trades!$E$2:$E$884,$A30)</f>
        <v>4</v>
      </c>
      <c r="C30" s="28" t="n">
        <f aca="false">COUNTIFS(Trades!$E$2:$E$884,$A30,Trades!$Z$2:$Z$884,"Win")</f>
        <v>1</v>
      </c>
      <c r="D30" s="28" t="n">
        <f aca="false">COUNTIFS(Trades!$E$2:$E$884,$A30,Trades!$Z$2:$Z$884,"Loss")</f>
        <v>3</v>
      </c>
      <c r="E30" s="29" t="n">
        <f aca="false">IFERROR(C30/B30,0)</f>
        <v>0.25</v>
      </c>
      <c r="F30" s="30" t="n">
        <f aca="false">SUMIFS(Trades!$X$2:$X$884,Trades!$E$2:$E$884,$A30)</f>
        <v>-25.92</v>
      </c>
      <c r="G30" s="30" t="n">
        <f aca="false">SUMIFS(Trades!$X$2:$X$884,Trades!$E$2:$E$884,$A30,Trades!$X$2:$X$884,"&gt;0")</f>
        <v>209.62</v>
      </c>
      <c r="H30" s="30" t="n">
        <f aca="false">SUMIFS(Trades!$X$2:$X$884,Trades!$E$2:$E$884,$A30,Trades!$X$2:$X$884,"&lt;0")</f>
        <v>-235.54</v>
      </c>
      <c r="I30" s="31" t="n">
        <f aca="false">IFERROR(G30/-H30,"no loss")</f>
        <v>0.889954997028106</v>
      </c>
      <c r="J30" s="30" t="n">
        <f aca="false">_xlfn.MAXIFS(Trades!$X$2:$X$884,Trades!$E$2:$E$884,$A30)</f>
        <v>209.62</v>
      </c>
      <c r="K30" s="30" t="n">
        <f aca="false">_xlfn.MINIFS(Trades!$X$2:$X$884,Trades!$E$2:$E$884,$A30)</f>
        <v>-229.9</v>
      </c>
      <c r="L30" s="32" t="n">
        <f aca="false">SUMIFS(Trades!$Y$2:$Y$884,Trades!$E$2:$E$884,$A30)</f>
        <v>0.938242768041234</v>
      </c>
      <c r="M30" s="30" t="n">
        <f aca="false">P29</f>
        <v>103820.43</v>
      </c>
      <c r="N30" s="29" t="n">
        <f aca="false">IFERROR(F30/M30,0)</f>
        <v>-0.000249661844012783</v>
      </c>
      <c r="O30" s="28" t="str">
        <f aca="false">IF(F30&lt;0,"down week","")</f>
        <v>down week</v>
      </c>
      <c r="P30" s="30" t="n">
        <f aca="false">M30+F30</f>
        <v>103794.51</v>
      </c>
      <c r="Q30" s="30" t="n">
        <f aca="false">P30-Summary!$C$5</f>
        <v>3794.50999999999</v>
      </c>
    </row>
    <row r="31" customFormat="false" ht="15" hidden="false" customHeight="false" outlineLevel="0" collapsed="false">
      <c r="A31" s="42" t="n">
        <v>45222</v>
      </c>
      <c r="B31" s="28" t="n">
        <f aca="false">COUNTIFS(Trades!$E$2:$E$884,$A31)</f>
        <v>4</v>
      </c>
      <c r="C31" s="28" t="n">
        <f aca="false">COUNTIFS(Trades!$E$2:$E$884,$A31,Trades!$Z$2:$Z$884,"Win")</f>
        <v>2</v>
      </c>
      <c r="D31" s="28" t="n">
        <f aca="false">COUNTIFS(Trades!$E$2:$E$884,$A31,Trades!$Z$2:$Z$884,"Loss")</f>
        <v>2</v>
      </c>
      <c r="E31" s="29" t="n">
        <f aca="false">IFERROR(C31/B31,0)</f>
        <v>0.5</v>
      </c>
      <c r="F31" s="30" t="n">
        <f aca="false">SUMIFS(Trades!$X$2:$X$884,Trades!$E$2:$E$884,$A31)</f>
        <v>474.48</v>
      </c>
      <c r="G31" s="30" t="n">
        <f aca="false">SUMIFS(Trades!$X$2:$X$884,Trades!$E$2:$E$884,$A31,Trades!$X$2:$X$884,"&gt;0")</f>
        <v>727.78</v>
      </c>
      <c r="H31" s="30" t="n">
        <f aca="false">SUMIFS(Trades!$X$2:$X$884,Trades!$E$2:$E$884,$A31,Trades!$X$2:$X$884,"&lt;0")</f>
        <v>-253.3</v>
      </c>
      <c r="I31" s="31" t="n">
        <f aca="false">IFERROR(G31/-H31,"no loss")</f>
        <v>2.87319384129491</v>
      </c>
      <c r="J31" s="30" t="n">
        <f aca="false">_xlfn.MAXIFS(Trades!$X$2:$X$884,Trades!$E$2:$E$884,$A31)</f>
        <v>490.88</v>
      </c>
      <c r="K31" s="30" t="n">
        <f aca="false">_xlfn.MINIFS(Trades!$X$2:$X$884,Trades!$E$2:$E$884,$A31)</f>
        <v>-176.82</v>
      </c>
      <c r="L31" s="32" t="n">
        <f aca="false">SUMIFS(Trades!$Y$2:$Y$884,Trades!$E$2:$E$884,$A31)</f>
        <v>1.92455634173021</v>
      </c>
      <c r="M31" s="30" t="n">
        <f aca="false">P30</f>
        <v>103794.51</v>
      </c>
      <c r="N31" s="29" t="n">
        <f aca="false">IFERROR(F31/M31,0)</f>
        <v>0.00457134004486365</v>
      </c>
      <c r="O31" s="28" t="str">
        <f aca="false">IF(F31&lt;0,"down week","")</f>
        <v/>
      </c>
      <c r="P31" s="30" t="n">
        <f aca="false">M31+F31</f>
        <v>104268.99</v>
      </c>
      <c r="Q31" s="30" t="n">
        <f aca="false">P31-Summary!$C$5</f>
        <v>4268.98999999999</v>
      </c>
    </row>
    <row r="32" customFormat="false" ht="15" hidden="false" customHeight="false" outlineLevel="0" collapsed="false">
      <c r="A32" s="42" t="n">
        <v>45229</v>
      </c>
      <c r="B32" s="28" t="n">
        <f aca="false">COUNTIFS(Trades!$E$2:$E$884,$A32)</f>
        <v>5</v>
      </c>
      <c r="C32" s="28" t="n">
        <f aca="false">COUNTIFS(Trades!$E$2:$E$884,$A32,Trades!$Z$2:$Z$884,"Win")</f>
        <v>1</v>
      </c>
      <c r="D32" s="28" t="n">
        <f aca="false">COUNTIFS(Trades!$E$2:$E$884,$A32,Trades!$Z$2:$Z$884,"Loss")</f>
        <v>4</v>
      </c>
      <c r="E32" s="29" t="n">
        <f aca="false">IFERROR(C32/B32,0)</f>
        <v>0.2</v>
      </c>
      <c r="F32" s="30" t="n">
        <f aca="false">SUMIFS(Trades!$X$2:$X$884,Trades!$E$2:$E$884,$A32)</f>
        <v>-101.83</v>
      </c>
      <c r="G32" s="30" t="n">
        <f aca="false">SUMIFS(Trades!$X$2:$X$884,Trades!$E$2:$E$884,$A32,Trades!$X$2:$X$884,"&gt;0")</f>
        <v>155.06</v>
      </c>
      <c r="H32" s="30" t="n">
        <f aca="false">SUMIFS(Trades!$X$2:$X$884,Trades!$E$2:$E$884,$A32,Trades!$X$2:$X$884,"&lt;0")</f>
        <v>-256.89</v>
      </c>
      <c r="I32" s="31" t="n">
        <f aca="false">IFERROR(G32/-H32,"no loss")</f>
        <v>0.603604655689206</v>
      </c>
      <c r="J32" s="30" t="n">
        <f aca="false">_xlfn.MAXIFS(Trades!$X$2:$X$884,Trades!$E$2:$E$884,$A32)</f>
        <v>155.06</v>
      </c>
      <c r="K32" s="30" t="n">
        <f aca="false">_xlfn.MINIFS(Trades!$X$2:$X$884,Trades!$E$2:$E$884,$A32)</f>
        <v>-158.21</v>
      </c>
      <c r="L32" s="32" t="n">
        <f aca="false">SUMIFS(Trades!$Y$2:$Y$884,Trades!$E$2:$E$884,$A32)</f>
        <v>-0.0202923834002761</v>
      </c>
      <c r="M32" s="30" t="n">
        <f aca="false">P31</f>
        <v>104268.99</v>
      </c>
      <c r="N32" s="29" t="n">
        <f aca="false">IFERROR(F32/M32,0)</f>
        <v>-0.000976608673393691</v>
      </c>
      <c r="O32" s="28" t="str">
        <f aca="false">IF(F32&lt;0,"down week","")</f>
        <v>down week</v>
      </c>
      <c r="P32" s="30" t="n">
        <f aca="false">M32+F32</f>
        <v>104167.16</v>
      </c>
      <c r="Q32" s="30" t="n">
        <f aca="false">P32-Summary!$C$5</f>
        <v>4167.15999999999</v>
      </c>
    </row>
    <row r="33" customFormat="false" ht="15" hidden="false" customHeight="false" outlineLevel="0" collapsed="false">
      <c r="A33" s="42" t="n">
        <v>45236</v>
      </c>
      <c r="B33" s="28" t="n">
        <f aca="false">COUNTIFS(Trades!$E$2:$E$884,$A33)</f>
        <v>7</v>
      </c>
      <c r="C33" s="28" t="n">
        <f aca="false">COUNTIFS(Trades!$E$2:$E$884,$A33,Trades!$Z$2:$Z$884,"Win")</f>
        <v>2</v>
      </c>
      <c r="D33" s="28" t="n">
        <f aca="false">COUNTIFS(Trades!$E$2:$E$884,$A33,Trades!$Z$2:$Z$884,"Loss")</f>
        <v>5</v>
      </c>
      <c r="E33" s="29" t="n">
        <f aca="false">IFERROR(C33/B33,0)</f>
        <v>0.285714285714286</v>
      </c>
      <c r="F33" s="30" t="n">
        <f aca="false">SUMIFS(Trades!$X$2:$X$884,Trades!$E$2:$E$884,$A33)</f>
        <v>-29.4</v>
      </c>
      <c r="G33" s="30" t="n">
        <f aca="false">SUMIFS(Trades!$X$2:$X$884,Trades!$E$2:$E$884,$A33,Trades!$X$2:$X$884,"&gt;0")</f>
        <v>307.68</v>
      </c>
      <c r="H33" s="30" t="n">
        <f aca="false">SUMIFS(Trades!$X$2:$X$884,Trades!$E$2:$E$884,$A33,Trades!$X$2:$X$884,"&lt;0")</f>
        <v>-337.08</v>
      </c>
      <c r="I33" s="31" t="n">
        <f aca="false">IFERROR(G33/-H33,"no loss")</f>
        <v>0.912780348878605</v>
      </c>
      <c r="J33" s="30" t="n">
        <f aca="false">_xlfn.MAXIFS(Trades!$X$2:$X$884,Trades!$E$2:$E$884,$A33)</f>
        <v>181.44</v>
      </c>
      <c r="K33" s="30" t="n">
        <f aca="false">_xlfn.MINIFS(Trades!$X$2:$X$884,Trades!$E$2:$E$884,$A33)</f>
        <v>-147.18</v>
      </c>
      <c r="L33" s="32" t="n">
        <f aca="false">SUMIFS(Trades!$Y$2:$Y$884,Trades!$E$2:$E$884,$A33)</f>
        <v>1.21149977534101</v>
      </c>
      <c r="M33" s="30" t="n">
        <f aca="false">P32</f>
        <v>104167.16</v>
      </c>
      <c r="N33" s="29" t="n">
        <f aca="false">IFERROR(F33/M33,0)</f>
        <v>-0.000282238663317691</v>
      </c>
      <c r="O33" s="28" t="str">
        <f aca="false">IF(F33&lt;0,"down week","")</f>
        <v>down week</v>
      </c>
      <c r="P33" s="30" t="n">
        <f aca="false">M33+F33</f>
        <v>104137.76</v>
      </c>
      <c r="Q33" s="30" t="n">
        <f aca="false">P33-Summary!$C$5</f>
        <v>4137.76</v>
      </c>
    </row>
    <row r="34" customFormat="false" ht="15" hidden="false" customHeight="false" outlineLevel="0" collapsed="false">
      <c r="A34" s="42" t="n">
        <v>45243</v>
      </c>
      <c r="B34" s="28" t="n">
        <f aca="false">COUNTIFS(Trades!$E$2:$E$884,$A34)</f>
        <v>4</v>
      </c>
      <c r="C34" s="28" t="n">
        <f aca="false">COUNTIFS(Trades!$E$2:$E$884,$A34,Trades!$Z$2:$Z$884,"Win")</f>
        <v>2</v>
      </c>
      <c r="D34" s="28" t="n">
        <f aca="false">COUNTIFS(Trades!$E$2:$E$884,$A34,Trades!$Z$2:$Z$884,"Loss")</f>
        <v>2</v>
      </c>
      <c r="E34" s="29" t="n">
        <f aca="false">IFERROR(C34/B34,0)</f>
        <v>0.5</v>
      </c>
      <c r="F34" s="30" t="n">
        <f aca="false">SUMIFS(Trades!$X$2:$X$884,Trades!$E$2:$E$884,$A34)</f>
        <v>17.55</v>
      </c>
      <c r="G34" s="30" t="n">
        <f aca="false">SUMIFS(Trades!$X$2:$X$884,Trades!$E$2:$E$884,$A34,Trades!$X$2:$X$884,"&gt;0")</f>
        <v>104.09</v>
      </c>
      <c r="H34" s="30" t="n">
        <f aca="false">SUMIFS(Trades!$X$2:$X$884,Trades!$E$2:$E$884,$A34,Trades!$X$2:$X$884,"&lt;0")</f>
        <v>-86.54</v>
      </c>
      <c r="I34" s="31" t="n">
        <f aca="false">IFERROR(G34/-H34,"no loss")</f>
        <v>1.20279639473076</v>
      </c>
      <c r="J34" s="30" t="n">
        <f aca="false">_xlfn.MAXIFS(Trades!$X$2:$X$884,Trades!$E$2:$E$884,$A34)</f>
        <v>56.76</v>
      </c>
      <c r="K34" s="30" t="n">
        <f aca="false">_xlfn.MINIFS(Trades!$X$2:$X$884,Trades!$E$2:$E$884,$A34)</f>
        <v>-47.56</v>
      </c>
      <c r="L34" s="32" t="n">
        <f aca="false">SUMIFS(Trades!$Y$2:$Y$884,Trades!$E$2:$E$884,$A34)</f>
        <v>1.98101163201284</v>
      </c>
      <c r="M34" s="30" t="n">
        <f aca="false">P33</f>
        <v>104137.76</v>
      </c>
      <c r="N34" s="29" t="n">
        <f aca="false">IFERROR(F34/M34,0)</f>
        <v>0.000168526766851908</v>
      </c>
      <c r="O34" s="28" t="str">
        <f aca="false">IF(F34&lt;0,"down week","")</f>
        <v/>
      </c>
      <c r="P34" s="30" t="n">
        <f aca="false">M34+F34</f>
        <v>104155.31</v>
      </c>
      <c r="Q34" s="30" t="n">
        <f aca="false">P34-Summary!$C$5</f>
        <v>4155.31</v>
      </c>
    </row>
    <row r="35" customFormat="false" ht="15" hidden="false" customHeight="false" outlineLevel="0" collapsed="false">
      <c r="A35" s="42" t="n">
        <v>45250</v>
      </c>
      <c r="B35" s="28" t="n">
        <f aca="false">COUNTIFS(Trades!$E$2:$E$884,$A35)</f>
        <v>4</v>
      </c>
      <c r="C35" s="28" t="n">
        <f aca="false">COUNTIFS(Trades!$E$2:$E$884,$A35,Trades!$Z$2:$Z$884,"Win")</f>
        <v>2</v>
      </c>
      <c r="D35" s="28" t="n">
        <f aca="false">COUNTIFS(Trades!$E$2:$E$884,$A35,Trades!$Z$2:$Z$884,"Loss")</f>
        <v>2</v>
      </c>
      <c r="E35" s="29" t="n">
        <f aca="false">IFERROR(C35/B35,0)</f>
        <v>0.5</v>
      </c>
      <c r="F35" s="30" t="n">
        <f aca="false">SUMIFS(Trades!$X$2:$X$884,Trades!$E$2:$E$884,$A35)</f>
        <v>398.75</v>
      </c>
      <c r="G35" s="30" t="n">
        <f aca="false">SUMIFS(Trades!$X$2:$X$884,Trades!$E$2:$E$884,$A35,Trades!$X$2:$X$884,"&gt;0")</f>
        <v>419.75</v>
      </c>
      <c r="H35" s="30" t="n">
        <f aca="false">SUMIFS(Trades!$X$2:$X$884,Trades!$E$2:$E$884,$A35,Trades!$X$2:$X$884,"&lt;0")</f>
        <v>-21</v>
      </c>
      <c r="I35" s="31" t="n">
        <f aca="false">IFERROR(G35/-H35,"no loss")</f>
        <v>19.9880952380952</v>
      </c>
      <c r="J35" s="30" t="n">
        <f aca="false">_xlfn.MAXIFS(Trades!$X$2:$X$884,Trades!$E$2:$E$884,$A35)</f>
        <v>211.47</v>
      </c>
      <c r="K35" s="30" t="n">
        <f aca="false">_xlfn.MINIFS(Trades!$X$2:$X$884,Trades!$E$2:$E$884,$A35)</f>
        <v>-20.65</v>
      </c>
      <c r="L35" s="32" t="n">
        <f aca="false">SUMIFS(Trades!$Y$2:$Y$884,Trades!$E$2:$E$884,$A35)</f>
        <v>2.98553463500297</v>
      </c>
      <c r="M35" s="30" t="n">
        <f aca="false">P34</f>
        <v>104155.31</v>
      </c>
      <c r="N35" s="29" t="n">
        <f aca="false">IFERROR(F35/M35,0)</f>
        <v>0.00382841738937746</v>
      </c>
      <c r="O35" s="28" t="str">
        <f aca="false">IF(F35&lt;0,"down week","")</f>
        <v/>
      </c>
      <c r="P35" s="30" t="n">
        <f aca="false">M35+F35</f>
        <v>104554.06</v>
      </c>
      <c r="Q35" s="30" t="n">
        <f aca="false">P35-Summary!$C$5</f>
        <v>4554.06</v>
      </c>
    </row>
    <row r="36" customFormat="false" ht="15" hidden="false" customHeight="false" outlineLevel="0" collapsed="false">
      <c r="A36" s="42" t="n">
        <v>45257</v>
      </c>
      <c r="B36" s="28" t="n">
        <f aca="false">COUNTIFS(Trades!$E$2:$E$884,$A36)</f>
        <v>4</v>
      </c>
      <c r="C36" s="28" t="n">
        <f aca="false">COUNTIFS(Trades!$E$2:$E$884,$A36,Trades!$Z$2:$Z$884,"Win")</f>
        <v>1</v>
      </c>
      <c r="D36" s="28" t="n">
        <f aca="false">COUNTIFS(Trades!$E$2:$E$884,$A36,Trades!$Z$2:$Z$884,"Loss")</f>
        <v>3</v>
      </c>
      <c r="E36" s="29" t="n">
        <f aca="false">IFERROR(C36/B36,0)</f>
        <v>0.25</v>
      </c>
      <c r="F36" s="30" t="n">
        <f aca="false">SUMIFS(Trades!$X$2:$X$884,Trades!$E$2:$E$884,$A36)</f>
        <v>341.21</v>
      </c>
      <c r="G36" s="30" t="n">
        <f aca="false">SUMIFS(Trades!$X$2:$X$884,Trades!$E$2:$E$884,$A36,Trades!$X$2:$X$884,"&gt;0")</f>
        <v>373.64</v>
      </c>
      <c r="H36" s="30" t="n">
        <f aca="false">SUMIFS(Trades!$X$2:$X$884,Trades!$E$2:$E$884,$A36,Trades!$X$2:$X$884,"&lt;0")</f>
        <v>-32.43</v>
      </c>
      <c r="I36" s="31" t="n">
        <f aca="false">IFERROR(G36/-H36,"no loss")</f>
        <v>11.5214307739747</v>
      </c>
      <c r="J36" s="30" t="n">
        <f aca="false">_xlfn.MAXIFS(Trades!$X$2:$X$884,Trades!$E$2:$E$884,$A36)</f>
        <v>373.64</v>
      </c>
      <c r="K36" s="30" t="n">
        <f aca="false">_xlfn.MINIFS(Trades!$X$2:$X$884,Trades!$E$2:$E$884,$A36)</f>
        <v>-29.35</v>
      </c>
      <c r="L36" s="32" t="n">
        <f aca="false">SUMIFS(Trades!$Y$2:$Y$884,Trades!$E$2:$E$884,$A36)</f>
        <v>0.867398614282314</v>
      </c>
      <c r="M36" s="30" t="n">
        <f aca="false">P35</f>
        <v>104554.06</v>
      </c>
      <c r="N36" s="29" t="n">
        <f aca="false">IFERROR(F36/M36,0)</f>
        <v>0.00326347919918174</v>
      </c>
      <c r="O36" s="28" t="str">
        <f aca="false">IF(F36&lt;0,"down week","")</f>
        <v/>
      </c>
      <c r="P36" s="30" t="n">
        <f aca="false">M36+F36</f>
        <v>104895.27</v>
      </c>
      <c r="Q36" s="30" t="n">
        <f aca="false">P36-Summary!$C$5</f>
        <v>4895.27</v>
      </c>
    </row>
    <row r="37" customFormat="false" ht="15" hidden="false" customHeight="false" outlineLevel="0" collapsed="false">
      <c r="A37" s="42" t="n">
        <v>45264</v>
      </c>
      <c r="B37" s="28" t="n">
        <f aca="false">COUNTIFS(Trades!$E$2:$E$884,$A37)</f>
        <v>5</v>
      </c>
      <c r="C37" s="28" t="n">
        <f aca="false">COUNTIFS(Trades!$E$2:$E$884,$A37,Trades!$Z$2:$Z$884,"Win")</f>
        <v>0</v>
      </c>
      <c r="D37" s="28" t="n">
        <f aca="false">COUNTIFS(Trades!$E$2:$E$884,$A37,Trades!$Z$2:$Z$884,"Loss")</f>
        <v>5</v>
      </c>
      <c r="E37" s="29" t="n">
        <f aca="false">IFERROR(C37/B37,0)</f>
        <v>0</v>
      </c>
      <c r="F37" s="30" t="n">
        <f aca="false">SUMIFS(Trades!$X$2:$X$884,Trades!$E$2:$E$884,$A37)</f>
        <v>-237.27</v>
      </c>
      <c r="G37" s="30" t="n">
        <f aca="false">SUMIFS(Trades!$X$2:$X$884,Trades!$E$2:$E$884,$A37,Trades!$X$2:$X$884,"&gt;0")</f>
        <v>0</v>
      </c>
      <c r="H37" s="30" t="n">
        <f aca="false">SUMIFS(Trades!$X$2:$X$884,Trades!$E$2:$E$884,$A37,Trades!$X$2:$X$884,"&lt;0")</f>
        <v>-237.27</v>
      </c>
      <c r="I37" s="31" t="n">
        <f aca="false">IFERROR(G37/-H37,"no loss")</f>
        <v>0</v>
      </c>
      <c r="J37" s="30" t="n">
        <f aca="false">_xlfn.MAXIFS(Trades!$X$2:$X$884,Trades!$E$2:$E$884,$A37)</f>
        <v>-2.09</v>
      </c>
      <c r="K37" s="30" t="n">
        <f aca="false">_xlfn.MINIFS(Trades!$X$2:$X$884,Trades!$E$2:$E$884,$A37)</f>
        <v>-87.46</v>
      </c>
      <c r="L37" s="32" t="n">
        <f aca="false">SUMIFS(Trades!$Y$2:$Y$884,Trades!$E$2:$E$884,$A37)</f>
        <v>-4.16097048685554</v>
      </c>
      <c r="M37" s="30" t="n">
        <f aca="false">P36</f>
        <v>104895.27</v>
      </c>
      <c r="N37" s="29" t="n">
        <f aca="false">IFERROR(F37/M37,0)</f>
        <v>-0.00226197043965853</v>
      </c>
      <c r="O37" s="28" t="str">
        <f aca="false">IF(F37&lt;0,"down week","")</f>
        <v>down week</v>
      </c>
      <c r="P37" s="30" t="n">
        <f aca="false">M37+F37</f>
        <v>104658</v>
      </c>
      <c r="Q37" s="30" t="n">
        <f aca="false">P37-Summary!$C$5</f>
        <v>4658</v>
      </c>
    </row>
    <row r="38" customFormat="false" ht="15" hidden="false" customHeight="false" outlineLevel="0" collapsed="false">
      <c r="A38" s="42" t="n">
        <v>45271</v>
      </c>
      <c r="B38" s="28" t="n">
        <f aca="false">COUNTIFS(Trades!$E$2:$E$884,$A38)</f>
        <v>5</v>
      </c>
      <c r="C38" s="28" t="n">
        <f aca="false">COUNTIFS(Trades!$E$2:$E$884,$A38,Trades!$Z$2:$Z$884,"Win")</f>
        <v>2</v>
      </c>
      <c r="D38" s="28" t="n">
        <f aca="false">COUNTIFS(Trades!$E$2:$E$884,$A38,Trades!$Z$2:$Z$884,"Loss")</f>
        <v>3</v>
      </c>
      <c r="E38" s="29" t="n">
        <f aca="false">IFERROR(C38/B38,0)</f>
        <v>0.4</v>
      </c>
      <c r="F38" s="30" t="n">
        <f aca="false">SUMIFS(Trades!$X$2:$X$884,Trades!$E$2:$E$884,$A38)</f>
        <v>-149.63</v>
      </c>
      <c r="G38" s="30" t="n">
        <f aca="false">SUMIFS(Trades!$X$2:$X$884,Trades!$E$2:$E$884,$A38,Trades!$X$2:$X$884,"&gt;0")</f>
        <v>101.58</v>
      </c>
      <c r="H38" s="30" t="n">
        <f aca="false">SUMIFS(Trades!$X$2:$X$884,Trades!$E$2:$E$884,$A38,Trades!$X$2:$X$884,"&lt;0")</f>
        <v>-251.21</v>
      </c>
      <c r="I38" s="31" t="n">
        <f aca="false">IFERROR(G38/-H38,"no loss")</f>
        <v>0.404362883643167</v>
      </c>
      <c r="J38" s="30" t="n">
        <f aca="false">_xlfn.MAXIFS(Trades!$X$2:$X$884,Trades!$E$2:$E$884,$A38)</f>
        <v>59.02</v>
      </c>
      <c r="K38" s="30" t="n">
        <f aca="false">_xlfn.MINIFS(Trades!$X$2:$X$884,Trades!$E$2:$E$884,$A38)</f>
        <v>-162.57</v>
      </c>
      <c r="L38" s="32" t="n">
        <f aca="false">SUMIFS(Trades!$Y$2:$Y$884,Trades!$E$2:$E$884,$A38)</f>
        <v>2.05175070475671</v>
      </c>
      <c r="M38" s="30" t="n">
        <f aca="false">P37</f>
        <v>104658</v>
      </c>
      <c r="N38" s="29" t="n">
        <f aca="false">IFERROR(F38/M38,0)</f>
        <v>-0.00142970437042558</v>
      </c>
      <c r="O38" s="28" t="str">
        <f aca="false">IF(F38&lt;0,"down week","")</f>
        <v>down week</v>
      </c>
      <c r="P38" s="30" t="n">
        <f aca="false">M38+F38</f>
        <v>104508.37</v>
      </c>
      <c r="Q38" s="30" t="n">
        <f aca="false">P38-Summary!$C$5</f>
        <v>4508.37</v>
      </c>
    </row>
    <row r="39" customFormat="false" ht="15" hidden="false" customHeight="false" outlineLevel="0" collapsed="false">
      <c r="A39" s="42" t="n">
        <v>45278</v>
      </c>
      <c r="B39" s="28" t="n">
        <f aca="false">COUNTIFS(Trades!$E$2:$E$884,$A39)</f>
        <v>5</v>
      </c>
      <c r="C39" s="28" t="n">
        <f aca="false">COUNTIFS(Trades!$E$2:$E$884,$A39,Trades!$Z$2:$Z$884,"Win")</f>
        <v>1</v>
      </c>
      <c r="D39" s="28" t="n">
        <f aca="false">COUNTIFS(Trades!$E$2:$E$884,$A39,Trades!$Z$2:$Z$884,"Loss")</f>
        <v>4</v>
      </c>
      <c r="E39" s="29" t="n">
        <f aca="false">IFERROR(C39/B39,0)</f>
        <v>0.2</v>
      </c>
      <c r="F39" s="30" t="n">
        <f aca="false">SUMIFS(Trades!$X$2:$X$884,Trades!$E$2:$E$884,$A39)</f>
        <v>93.82</v>
      </c>
      <c r="G39" s="30" t="n">
        <f aca="false">SUMIFS(Trades!$X$2:$X$884,Trades!$E$2:$E$884,$A39,Trades!$X$2:$X$884,"&gt;0")</f>
        <v>279.72</v>
      </c>
      <c r="H39" s="30" t="n">
        <f aca="false">SUMIFS(Trades!$X$2:$X$884,Trades!$E$2:$E$884,$A39,Trades!$X$2:$X$884,"&lt;0")</f>
        <v>-185.9</v>
      </c>
      <c r="I39" s="31" t="n">
        <f aca="false">IFERROR(G39/-H39,"no loss")</f>
        <v>1.50467993544917</v>
      </c>
      <c r="J39" s="30" t="n">
        <f aca="false">_xlfn.MAXIFS(Trades!$X$2:$X$884,Trades!$E$2:$E$884,$A39)</f>
        <v>279.72</v>
      </c>
      <c r="K39" s="30" t="n">
        <f aca="false">_xlfn.MINIFS(Trades!$X$2:$X$884,Trades!$E$2:$E$884,$A39)</f>
        <v>-97.27</v>
      </c>
      <c r="L39" s="32" t="n">
        <f aca="false">SUMIFS(Trades!$Y$2:$Y$884,Trades!$E$2:$E$884,$A39)</f>
        <v>-1.19653696132436</v>
      </c>
      <c r="M39" s="30" t="n">
        <f aca="false">P38</f>
        <v>104508.37</v>
      </c>
      <c r="N39" s="29" t="n">
        <f aca="false">IFERROR(F39/M39,0)</f>
        <v>0.000897727138984179</v>
      </c>
      <c r="O39" s="28" t="str">
        <f aca="false">IF(F39&lt;0,"down week","")</f>
        <v/>
      </c>
      <c r="P39" s="30" t="n">
        <f aca="false">M39+F39</f>
        <v>104602.19</v>
      </c>
      <c r="Q39" s="30" t="n">
        <f aca="false">P39-Summary!$C$5</f>
        <v>4602.19</v>
      </c>
    </row>
    <row r="40" customFormat="false" ht="15" hidden="false" customHeight="false" outlineLevel="0" collapsed="false">
      <c r="A40" s="42" t="n">
        <v>45285</v>
      </c>
      <c r="B40" s="28" t="n">
        <f aca="false">COUNTIFS(Trades!$E$2:$E$884,$A40)</f>
        <v>4</v>
      </c>
      <c r="C40" s="28" t="n">
        <f aca="false">COUNTIFS(Trades!$E$2:$E$884,$A40,Trades!$Z$2:$Z$884,"Win")</f>
        <v>1</v>
      </c>
      <c r="D40" s="28" t="n">
        <f aca="false">COUNTIFS(Trades!$E$2:$E$884,$A40,Trades!$Z$2:$Z$884,"Loss")</f>
        <v>3</v>
      </c>
      <c r="E40" s="29" t="n">
        <f aca="false">IFERROR(C40/B40,0)</f>
        <v>0.25</v>
      </c>
      <c r="F40" s="30" t="n">
        <f aca="false">SUMIFS(Trades!$X$2:$X$884,Trades!$E$2:$E$884,$A40)</f>
        <v>-135.54</v>
      </c>
      <c r="G40" s="30" t="n">
        <f aca="false">SUMIFS(Trades!$X$2:$X$884,Trades!$E$2:$E$884,$A40,Trades!$X$2:$X$884,"&gt;0")</f>
        <v>28.73</v>
      </c>
      <c r="H40" s="30" t="n">
        <f aca="false">SUMIFS(Trades!$X$2:$X$884,Trades!$E$2:$E$884,$A40,Trades!$X$2:$X$884,"&lt;0")</f>
        <v>-164.27</v>
      </c>
      <c r="I40" s="31" t="n">
        <f aca="false">IFERROR(G40/-H40,"no loss")</f>
        <v>0.174894989955561</v>
      </c>
      <c r="J40" s="30" t="n">
        <f aca="false">_xlfn.MAXIFS(Trades!$X$2:$X$884,Trades!$E$2:$E$884,$A40)</f>
        <v>28.73</v>
      </c>
      <c r="K40" s="30" t="n">
        <f aca="false">_xlfn.MINIFS(Trades!$X$2:$X$884,Trades!$E$2:$E$884,$A40)</f>
        <v>-114.43</v>
      </c>
      <c r="L40" s="32" t="n">
        <f aca="false">SUMIFS(Trades!$Y$2:$Y$884,Trades!$E$2:$E$884,$A40)</f>
        <v>0.361131861858333</v>
      </c>
      <c r="M40" s="30" t="n">
        <f aca="false">P39</f>
        <v>104602.19</v>
      </c>
      <c r="N40" s="29" t="n">
        <f aca="false">IFERROR(F40/M40,0)</f>
        <v>-0.00129576636970985</v>
      </c>
      <c r="O40" s="28" t="str">
        <f aca="false">IF(F40&lt;0,"down week","")</f>
        <v>down week</v>
      </c>
      <c r="P40" s="30" t="n">
        <f aca="false">M40+F40</f>
        <v>104466.65</v>
      </c>
      <c r="Q40" s="30" t="n">
        <f aca="false">P40-Summary!$C$5</f>
        <v>4466.65000000001</v>
      </c>
    </row>
    <row r="41" customFormat="false" ht="15" hidden="false" customHeight="false" outlineLevel="0" collapsed="false">
      <c r="A41" s="42" t="n">
        <v>45292</v>
      </c>
      <c r="B41" s="28" t="n">
        <f aca="false">COUNTIFS(Trades!$E$2:$E$884,$A41)</f>
        <v>4</v>
      </c>
      <c r="C41" s="28" t="n">
        <f aca="false">COUNTIFS(Trades!$E$2:$E$884,$A41,Trades!$Z$2:$Z$884,"Win")</f>
        <v>3</v>
      </c>
      <c r="D41" s="28" t="n">
        <f aca="false">COUNTIFS(Trades!$E$2:$E$884,$A41,Trades!$Z$2:$Z$884,"Loss")</f>
        <v>1</v>
      </c>
      <c r="E41" s="29" t="n">
        <f aca="false">IFERROR(C41/B41,0)</f>
        <v>0.75</v>
      </c>
      <c r="F41" s="30" t="n">
        <f aca="false">SUMIFS(Trades!$X$2:$X$884,Trades!$E$2:$E$884,$A41)</f>
        <v>252.16</v>
      </c>
      <c r="G41" s="30" t="n">
        <f aca="false">SUMIFS(Trades!$X$2:$X$884,Trades!$E$2:$E$884,$A41,Trades!$X$2:$X$884,"&gt;0")</f>
        <v>319.14</v>
      </c>
      <c r="H41" s="30" t="n">
        <f aca="false">SUMIFS(Trades!$X$2:$X$884,Trades!$E$2:$E$884,$A41,Trades!$X$2:$X$884,"&lt;0")</f>
        <v>-66.98</v>
      </c>
      <c r="I41" s="31" t="n">
        <f aca="false">IFERROR(G41/-H41,"no loss")</f>
        <v>4.76470588235294</v>
      </c>
      <c r="J41" s="30" t="n">
        <f aca="false">_xlfn.MAXIFS(Trades!$X$2:$X$884,Trades!$E$2:$E$884,$A41)</f>
        <v>170.8</v>
      </c>
      <c r="K41" s="30" t="n">
        <f aca="false">_xlfn.MINIFS(Trades!$X$2:$X$884,Trades!$E$2:$E$884,$A41)</f>
        <v>-66.98</v>
      </c>
      <c r="L41" s="32" t="n">
        <f aca="false">SUMIFS(Trades!$Y$2:$Y$884,Trades!$E$2:$E$884,$A41)</f>
        <v>5.16456782500666</v>
      </c>
      <c r="M41" s="30" t="n">
        <f aca="false">P40</f>
        <v>104466.65</v>
      </c>
      <c r="N41" s="29" t="n">
        <f aca="false">IFERROR(F41/M41,0)</f>
        <v>0.00241378468630898</v>
      </c>
      <c r="O41" s="28" t="str">
        <f aca="false">IF(F41&lt;0,"down week","")</f>
        <v/>
      </c>
      <c r="P41" s="30" t="n">
        <f aca="false">M41+F41</f>
        <v>104718.81</v>
      </c>
      <c r="Q41" s="30" t="n">
        <f aca="false">P41-Summary!$C$5</f>
        <v>4718.81000000001</v>
      </c>
    </row>
    <row r="42" customFormat="false" ht="15" hidden="false" customHeight="false" outlineLevel="0" collapsed="false">
      <c r="A42" s="42" t="n">
        <v>45299</v>
      </c>
      <c r="B42" s="28" t="n">
        <f aca="false">COUNTIFS(Trades!$E$2:$E$884,$A42)</f>
        <v>5</v>
      </c>
      <c r="C42" s="28" t="n">
        <f aca="false">COUNTIFS(Trades!$E$2:$E$884,$A42,Trades!$Z$2:$Z$884,"Win")</f>
        <v>3</v>
      </c>
      <c r="D42" s="28" t="n">
        <f aca="false">COUNTIFS(Trades!$E$2:$E$884,$A42,Trades!$Z$2:$Z$884,"Loss")</f>
        <v>2</v>
      </c>
      <c r="E42" s="29" t="n">
        <f aca="false">IFERROR(C42/B42,0)</f>
        <v>0.6</v>
      </c>
      <c r="F42" s="30" t="n">
        <f aca="false">SUMIFS(Trades!$X$2:$X$884,Trades!$E$2:$E$884,$A42)</f>
        <v>415.79</v>
      </c>
      <c r="G42" s="30" t="n">
        <f aca="false">SUMIFS(Trades!$X$2:$X$884,Trades!$E$2:$E$884,$A42,Trades!$X$2:$X$884,"&gt;0")</f>
        <v>457.12</v>
      </c>
      <c r="H42" s="30" t="n">
        <f aca="false">SUMIFS(Trades!$X$2:$X$884,Trades!$E$2:$E$884,$A42,Trades!$X$2:$X$884,"&lt;0")</f>
        <v>-41.33</v>
      </c>
      <c r="I42" s="31" t="n">
        <f aca="false">IFERROR(G42/-H42,"no loss")</f>
        <v>11.0602467940963</v>
      </c>
      <c r="J42" s="30" t="n">
        <f aca="false">_xlfn.MAXIFS(Trades!$X$2:$X$884,Trades!$E$2:$E$884,$A42)</f>
        <v>235.03</v>
      </c>
      <c r="K42" s="30" t="n">
        <f aca="false">_xlfn.MINIFS(Trades!$X$2:$X$884,Trades!$E$2:$E$884,$A42)</f>
        <v>-36.79</v>
      </c>
      <c r="L42" s="32" t="n">
        <f aca="false">SUMIFS(Trades!$Y$2:$Y$884,Trades!$E$2:$E$884,$A42)</f>
        <v>5.03417365934287</v>
      </c>
      <c r="M42" s="30" t="n">
        <f aca="false">P41</f>
        <v>104718.81</v>
      </c>
      <c r="N42" s="29" t="n">
        <f aca="false">IFERROR(F42/M42,0)</f>
        <v>0.0039705378623</v>
      </c>
      <c r="O42" s="28" t="str">
        <f aca="false">IF(F42&lt;0,"down week","")</f>
        <v/>
      </c>
      <c r="P42" s="30" t="n">
        <f aca="false">M42+F42</f>
        <v>105134.6</v>
      </c>
      <c r="Q42" s="30" t="n">
        <f aca="false">P42-Summary!$C$5</f>
        <v>5134.60000000001</v>
      </c>
    </row>
    <row r="43" customFormat="false" ht="15" hidden="false" customHeight="false" outlineLevel="0" collapsed="false">
      <c r="A43" s="42" t="n">
        <v>45306</v>
      </c>
      <c r="B43" s="28" t="n">
        <f aca="false">COUNTIFS(Trades!$E$2:$E$884,$A43)</f>
        <v>5</v>
      </c>
      <c r="C43" s="28" t="n">
        <f aca="false">COUNTIFS(Trades!$E$2:$E$884,$A43,Trades!$Z$2:$Z$884,"Win")</f>
        <v>2</v>
      </c>
      <c r="D43" s="28" t="n">
        <f aca="false">COUNTIFS(Trades!$E$2:$E$884,$A43,Trades!$Z$2:$Z$884,"Loss")</f>
        <v>3</v>
      </c>
      <c r="E43" s="29" t="n">
        <f aca="false">IFERROR(C43/B43,0)</f>
        <v>0.4</v>
      </c>
      <c r="F43" s="30" t="n">
        <f aca="false">SUMIFS(Trades!$X$2:$X$884,Trades!$E$2:$E$884,$A43)</f>
        <v>-69.38</v>
      </c>
      <c r="G43" s="30" t="n">
        <f aca="false">SUMIFS(Trades!$X$2:$X$884,Trades!$E$2:$E$884,$A43,Trades!$X$2:$X$884,"&gt;0")</f>
        <v>160.83</v>
      </c>
      <c r="H43" s="30" t="n">
        <f aca="false">SUMIFS(Trades!$X$2:$X$884,Trades!$E$2:$E$884,$A43,Trades!$X$2:$X$884,"&lt;0")</f>
        <v>-230.21</v>
      </c>
      <c r="I43" s="31" t="n">
        <f aca="false">IFERROR(G43/-H43,"no loss")</f>
        <v>0.698622996394596</v>
      </c>
      <c r="J43" s="30" t="n">
        <f aca="false">_xlfn.MAXIFS(Trades!$X$2:$X$884,Trades!$E$2:$E$884,$A43)</f>
        <v>89.6</v>
      </c>
      <c r="K43" s="30" t="n">
        <f aca="false">_xlfn.MINIFS(Trades!$X$2:$X$884,Trades!$E$2:$E$884,$A43)</f>
        <v>-111.1</v>
      </c>
      <c r="L43" s="32" t="n">
        <f aca="false">SUMIFS(Trades!$Y$2:$Y$884,Trades!$E$2:$E$884,$A43)</f>
        <v>1.02615590170846</v>
      </c>
      <c r="M43" s="30" t="n">
        <f aca="false">P42</f>
        <v>105134.6</v>
      </c>
      <c r="N43" s="29" t="n">
        <f aca="false">IFERROR(F43/M43,0)</f>
        <v>-0.000659915955356277</v>
      </c>
      <c r="O43" s="28" t="str">
        <f aca="false">IF(F43&lt;0,"down week","")</f>
        <v>down week</v>
      </c>
      <c r="P43" s="30" t="n">
        <f aca="false">M43+F43</f>
        <v>105065.22</v>
      </c>
      <c r="Q43" s="30" t="n">
        <f aca="false">P43-Summary!$C$5</f>
        <v>5065.22</v>
      </c>
    </row>
    <row r="44" customFormat="false" ht="15" hidden="false" customHeight="false" outlineLevel="0" collapsed="false">
      <c r="A44" s="42" t="n">
        <v>45313</v>
      </c>
      <c r="B44" s="28" t="n">
        <f aca="false">COUNTIFS(Trades!$E$2:$E$884,$A44)</f>
        <v>5</v>
      </c>
      <c r="C44" s="28" t="n">
        <f aca="false">COUNTIFS(Trades!$E$2:$E$884,$A44,Trades!$Z$2:$Z$884,"Win")</f>
        <v>1</v>
      </c>
      <c r="D44" s="28" t="n">
        <f aca="false">COUNTIFS(Trades!$E$2:$E$884,$A44,Trades!$Z$2:$Z$884,"Loss")</f>
        <v>4</v>
      </c>
      <c r="E44" s="29" t="n">
        <f aca="false">IFERROR(C44/B44,0)</f>
        <v>0.2</v>
      </c>
      <c r="F44" s="30" t="n">
        <f aca="false">SUMIFS(Trades!$X$2:$X$884,Trades!$E$2:$E$884,$A44)</f>
        <v>-69.49</v>
      </c>
      <c r="G44" s="30" t="n">
        <f aca="false">SUMIFS(Trades!$X$2:$X$884,Trades!$E$2:$E$884,$A44,Trades!$X$2:$X$884,"&gt;0")</f>
        <v>193.32</v>
      </c>
      <c r="H44" s="30" t="n">
        <f aca="false">SUMIFS(Trades!$X$2:$X$884,Trades!$E$2:$E$884,$A44,Trades!$X$2:$X$884,"&lt;0")</f>
        <v>-262.81</v>
      </c>
      <c r="I44" s="31" t="n">
        <f aca="false">IFERROR(G44/-H44,"no loss")</f>
        <v>0.735588447928161</v>
      </c>
      <c r="J44" s="30" t="n">
        <f aca="false">_xlfn.MAXIFS(Trades!$X$2:$X$884,Trades!$E$2:$E$884,$A44)</f>
        <v>193.32</v>
      </c>
      <c r="K44" s="30" t="n">
        <f aca="false">_xlfn.MINIFS(Trades!$X$2:$X$884,Trades!$E$2:$E$884,$A44)</f>
        <v>-140.13</v>
      </c>
      <c r="L44" s="32" t="n">
        <f aca="false">SUMIFS(Trades!$Y$2:$Y$884,Trades!$E$2:$E$884,$A44)</f>
        <v>-1.12373662712028</v>
      </c>
      <c r="M44" s="30" t="n">
        <f aca="false">P43</f>
        <v>105065.22</v>
      </c>
      <c r="N44" s="29" t="n">
        <f aca="false">IFERROR(F44/M44,0)</f>
        <v>-0.000661398700730841</v>
      </c>
      <c r="O44" s="28" t="str">
        <f aca="false">IF(F44&lt;0,"down week","")</f>
        <v>down week</v>
      </c>
      <c r="P44" s="30" t="n">
        <f aca="false">M44+F44</f>
        <v>104995.73</v>
      </c>
      <c r="Q44" s="30" t="n">
        <f aca="false">P44-Summary!$C$5</f>
        <v>4995.73</v>
      </c>
    </row>
    <row r="45" customFormat="false" ht="15" hidden="false" customHeight="false" outlineLevel="0" collapsed="false">
      <c r="A45" s="42" t="n">
        <v>45320</v>
      </c>
      <c r="B45" s="28" t="n">
        <f aca="false">COUNTIFS(Trades!$E$2:$E$884,$A45)</f>
        <v>5</v>
      </c>
      <c r="C45" s="28" t="n">
        <f aca="false">COUNTIFS(Trades!$E$2:$E$884,$A45,Trades!$Z$2:$Z$884,"Win")</f>
        <v>2</v>
      </c>
      <c r="D45" s="28" t="n">
        <f aca="false">COUNTIFS(Trades!$E$2:$E$884,$A45,Trades!$Z$2:$Z$884,"Loss")</f>
        <v>3</v>
      </c>
      <c r="E45" s="29" t="n">
        <f aca="false">IFERROR(C45/B45,0)</f>
        <v>0.4</v>
      </c>
      <c r="F45" s="30" t="n">
        <f aca="false">SUMIFS(Trades!$X$2:$X$884,Trades!$E$2:$E$884,$A45)</f>
        <v>925.4</v>
      </c>
      <c r="G45" s="30" t="n">
        <f aca="false">SUMIFS(Trades!$X$2:$X$884,Trades!$E$2:$E$884,$A45,Trades!$X$2:$X$884,"&gt;0")</f>
        <v>1008.87</v>
      </c>
      <c r="H45" s="30" t="n">
        <f aca="false">SUMIFS(Trades!$X$2:$X$884,Trades!$E$2:$E$884,$A45,Trades!$X$2:$X$884,"&lt;0")</f>
        <v>-83.47</v>
      </c>
      <c r="I45" s="31" t="n">
        <f aca="false">IFERROR(G45/-H45,"no loss")</f>
        <v>12.0866179465676</v>
      </c>
      <c r="J45" s="30" t="n">
        <f aca="false">_xlfn.MAXIFS(Trades!$X$2:$X$884,Trades!$E$2:$E$884,$A45)</f>
        <v>525.69</v>
      </c>
      <c r="K45" s="30" t="n">
        <f aca="false">_xlfn.MINIFS(Trades!$X$2:$X$884,Trades!$E$2:$E$884,$A45)</f>
        <v>-43.84</v>
      </c>
      <c r="L45" s="32" t="n">
        <f aca="false">SUMIFS(Trades!$Y$2:$Y$884,Trades!$E$2:$E$884,$A45)</f>
        <v>3.10574040480696</v>
      </c>
      <c r="M45" s="30" t="n">
        <f aca="false">P44</f>
        <v>104995.73</v>
      </c>
      <c r="N45" s="29" t="n">
        <f aca="false">IFERROR(F45/M45,0)</f>
        <v>0.00881369175679811</v>
      </c>
      <c r="O45" s="28" t="str">
        <f aca="false">IF(F45&lt;0,"down week","")</f>
        <v/>
      </c>
      <c r="P45" s="30" t="n">
        <f aca="false">M45+F45</f>
        <v>105921.13</v>
      </c>
      <c r="Q45" s="30" t="n">
        <f aca="false">P45-Summary!$C$5</f>
        <v>5921.12999999999</v>
      </c>
    </row>
    <row r="46" customFormat="false" ht="15" hidden="false" customHeight="false" outlineLevel="0" collapsed="false">
      <c r="A46" s="42" t="n">
        <v>45327</v>
      </c>
      <c r="B46" s="28" t="n">
        <f aca="false">COUNTIFS(Trades!$E$2:$E$884,$A46)</f>
        <v>4</v>
      </c>
      <c r="C46" s="28" t="n">
        <f aca="false">COUNTIFS(Trades!$E$2:$E$884,$A46,Trades!$Z$2:$Z$884,"Win")</f>
        <v>0</v>
      </c>
      <c r="D46" s="28" t="n">
        <f aca="false">COUNTIFS(Trades!$E$2:$E$884,$A46,Trades!$Z$2:$Z$884,"Loss")</f>
        <v>4</v>
      </c>
      <c r="E46" s="29" t="n">
        <f aca="false">IFERROR(C46/B46,0)</f>
        <v>0</v>
      </c>
      <c r="F46" s="30" t="n">
        <f aca="false">SUMIFS(Trades!$X$2:$X$884,Trades!$E$2:$E$884,$A46)</f>
        <v>-73.32</v>
      </c>
      <c r="G46" s="30" t="n">
        <f aca="false">SUMIFS(Trades!$X$2:$X$884,Trades!$E$2:$E$884,$A46,Trades!$X$2:$X$884,"&gt;0")</f>
        <v>0</v>
      </c>
      <c r="H46" s="30" t="n">
        <f aca="false">SUMIFS(Trades!$X$2:$X$884,Trades!$E$2:$E$884,$A46,Trades!$X$2:$X$884,"&lt;0")</f>
        <v>-73.32</v>
      </c>
      <c r="I46" s="31" t="n">
        <f aca="false">IFERROR(G46/-H46,"no loss")</f>
        <v>0</v>
      </c>
      <c r="J46" s="30" t="n">
        <f aca="false">_xlfn.MAXIFS(Trades!$X$2:$X$884,Trades!$E$2:$E$884,$A46)</f>
        <v>-1.56</v>
      </c>
      <c r="K46" s="30" t="n">
        <f aca="false">_xlfn.MINIFS(Trades!$X$2:$X$884,Trades!$E$2:$E$884,$A46)</f>
        <v>-38.12</v>
      </c>
      <c r="L46" s="32" t="n">
        <f aca="false">SUMIFS(Trades!$Y$2:$Y$884,Trades!$E$2:$E$884,$A46)</f>
        <v>-2.2376609334446</v>
      </c>
      <c r="M46" s="30" t="n">
        <f aca="false">P45</f>
        <v>105921.13</v>
      </c>
      <c r="N46" s="29" t="n">
        <f aca="false">IFERROR(F46/M46,0)</f>
        <v>-0.000692213158979705</v>
      </c>
      <c r="O46" s="28" t="str">
        <f aca="false">IF(F46&lt;0,"down week","")</f>
        <v>down week</v>
      </c>
      <c r="P46" s="30" t="n">
        <f aca="false">M46+F46</f>
        <v>105847.81</v>
      </c>
      <c r="Q46" s="30" t="n">
        <f aca="false">P46-Summary!$C$5</f>
        <v>5847.80999999998</v>
      </c>
    </row>
    <row r="47" customFormat="false" ht="15" hidden="false" customHeight="false" outlineLevel="0" collapsed="false">
      <c r="A47" s="42" t="n">
        <v>45334</v>
      </c>
      <c r="B47" s="28" t="n">
        <f aca="false">COUNTIFS(Trades!$E$2:$E$884,$A47)</f>
        <v>5</v>
      </c>
      <c r="C47" s="28" t="n">
        <f aca="false">COUNTIFS(Trades!$E$2:$E$884,$A47,Trades!$Z$2:$Z$884,"Win")</f>
        <v>1</v>
      </c>
      <c r="D47" s="28" t="n">
        <f aca="false">COUNTIFS(Trades!$E$2:$E$884,$A47,Trades!$Z$2:$Z$884,"Loss")</f>
        <v>4</v>
      </c>
      <c r="E47" s="29" t="n">
        <f aca="false">IFERROR(C47/B47,0)</f>
        <v>0.2</v>
      </c>
      <c r="F47" s="30" t="n">
        <f aca="false">SUMIFS(Trades!$X$2:$X$884,Trades!$E$2:$E$884,$A47)</f>
        <v>94.55</v>
      </c>
      <c r="G47" s="30" t="n">
        <f aca="false">SUMIFS(Trades!$X$2:$X$884,Trades!$E$2:$E$884,$A47,Trades!$X$2:$X$884,"&gt;0")</f>
        <v>125.06</v>
      </c>
      <c r="H47" s="30" t="n">
        <f aca="false">SUMIFS(Trades!$X$2:$X$884,Trades!$E$2:$E$884,$A47,Trades!$X$2:$X$884,"&lt;0")</f>
        <v>-30.51</v>
      </c>
      <c r="I47" s="31" t="n">
        <f aca="false">IFERROR(G47/-H47,"no loss")</f>
        <v>4.0989839396919</v>
      </c>
      <c r="J47" s="30" t="n">
        <f aca="false">_xlfn.MAXIFS(Trades!$X$2:$X$884,Trades!$E$2:$E$884,$A47)</f>
        <v>125.06</v>
      </c>
      <c r="K47" s="30" t="n">
        <f aca="false">_xlfn.MINIFS(Trades!$X$2:$X$884,Trades!$E$2:$E$884,$A47)</f>
        <v>-25.06</v>
      </c>
      <c r="L47" s="32" t="n">
        <f aca="false">SUMIFS(Trades!$Y$2:$Y$884,Trades!$E$2:$E$884,$A47)</f>
        <v>0.931820559338906</v>
      </c>
      <c r="M47" s="30" t="n">
        <f aca="false">P46</f>
        <v>105847.81</v>
      </c>
      <c r="N47" s="29" t="n">
        <f aca="false">IFERROR(F47/M47,0)</f>
        <v>0.000893263639559477</v>
      </c>
      <c r="O47" s="28" t="str">
        <f aca="false">IF(F47&lt;0,"down week","")</f>
        <v/>
      </c>
      <c r="P47" s="30" t="n">
        <f aca="false">M47+F47</f>
        <v>105942.36</v>
      </c>
      <c r="Q47" s="30" t="n">
        <f aca="false">P47-Summary!$C$5</f>
        <v>5942.35999999999</v>
      </c>
    </row>
    <row r="48" customFormat="false" ht="15" hidden="false" customHeight="false" outlineLevel="0" collapsed="false">
      <c r="A48" s="42" t="n">
        <v>45341</v>
      </c>
      <c r="B48" s="28" t="n">
        <f aca="false">COUNTIFS(Trades!$E$2:$E$884,$A48)</f>
        <v>4</v>
      </c>
      <c r="C48" s="28" t="n">
        <f aca="false">COUNTIFS(Trades!$E$2:$E$884,$A48,Trades!$Z$2:$Z$884,"Win")</f>
        <v>2</v>
      </c>
      <c r="D48" s="28" t="n">
        <f aca="false">COUNTIFS(Trades!$E$2:$E$884,$A48,Trades!$Z$2:$Z$884,"Loss")</f>
        <v>2</v>
      </c>
      <c r="E48" s="29" t="n">
        <f aca="false">IFERROR(C48/B48,0)</f>
        <v>0.5</v>
      </c>
      <c r="F48" s="30" t="n">
        <f aca="false">SUMIFS(Trades!$X$2:$X$884,Trades!$E$2:$E$884,$A48)</f>
        <v>439.25</v>
      </c>
      <c r="G48" s="30" t="n">
        <f aca="false">SUMIFS(Trades!$X$2:$X$884,Trades!$E$2:$E$884,$A48,Trades!$X$2:$X$884,"&gt;0")</f>
        <v>618.49</v>
      </c>
      <c r="H48" s="30" t="n">
        <f aca="false">SUMIFS(Trades!$X$2:$X$884,Trades!$E$2:$E$884,$A48,Trades!$X$2:$X$884,"&lt;0")</f>
        <v>-179.24</v>
      </c>
      <c r="I48" s="31" t="n">
        <f aca="false">IFERROR(G48/-H48,"no loss")</f>
        <v>3.45062486052221</v>
      </c>
      <c r="J48" s="30" t="n">
        <f aca="false">_xlfn.MAXIFS(Trades!$X$2:$X$884,Trades!$E$2:$E$884,$A48)</f>
        <v>498.73</v>
      </c>
      <c r="K48" s="30" t="n">
        <f aca="false">_xlfn.MINIFS(Trades!$X$2:$X$884,Trades!$E$2:$E$884,$A48)</f>
        <v>-130.57</v>
      </c>
      <c r="L48" s="32" t="n">
        <f aca="false">SUMIFS(Trades!$Y$2:$Y$884,Trades!$E$2:$E$884,$A48)</f>
        <v>1.97072961965398</v>
      </c>
      <c r="M48" s="30" t="n">
        <f aca="false">P47</f>
        <v>105942.36</v>
      </c>
      <c r="N48" s="29" t="n">
        <f aca="false">IFERROR(F48/M48,0)</f>
        <v>0.00414612247641076</v>
      </c>
      <c r="O48" s="28" t="str">
        <f aca="false">IF(F48&lt;0,"down week","")</f>
        <v/>
      </c>
      <c r="P48" s="30" t="n">
        <f aca="false">M48+F48</f>
        <v>106381.61</v>
      </c>
      <c r="Q48" s="30" t="n">
        <f aca="false">P48-Summary!$C$5</f>
        <v>6381.60999999999</v>
      </c>
    </row>
    <row r="49" customFormat="false" ht="15" hidden="false" customHeight="false" outlineLevel="0" collapsed="false">
      <c r="A49" s="42" t="n">
        <v>45348</v>
      </c>
      <c r="B49" s="28" t="n">
        <f aca="false">COUNTIFS(Trades!$E$2:$E$884,$A49)</f>
        <v>5</v>
      </c>
      <c r="C49" s="28" t="n">
        <f aca="false">COUNTIFS(Trades!$E$2:$E$884,$A49,Trades!$Z$2:$Z$884,"Win")</f>
        <v>2</v>
      </c>
      <c r="D49" s="28" t="n">
        <f aca="false">COUNTIFS(Trades!$E$2:$E$884,$A49,Trades!$Z$2:$Z$884,"Loss")</f>
        <v>3</v>
      </c>
      <c r="E49" s="29" t="n">
        <f aca="false">IFERROR(C49/B49,0)</f>
        <v>0.4</v>
      </c>
      <c r="F49" s="30" t="n">
        <f aca="false">SUMIFS(Trades!$X$2:$X$884,Trades!$E$2:$E$884,$A49)</f>
        <v>207.28</v>
      </c>
      <c r="G49" s="30" t="n">
        <f aca="false">SUMIFS(Trades!$X$2:$X$884,Trades!$E$2:$E$884,$A49,Trades!$X$2:$X$884,"&gt;0")</f>
        <v>309.77</v>
      </c>
      <c r="H49" s="30" t="n">
        <f aca="false">SUMIFS(Trades!$X$2:$X$884,Trades!$E$2:$E$884,$A49,Trades!$X$2:$X$884,"&lt;0")</f>
        <v>-102.49</v>
      </c>
      <c r="I49" s="31" t="n">
        <f aca="false">IFERROR(G49/-H49,"no loss")</f>
        <v>3.02244121377695</v>
      </c>
      <c r="J49" s="30" t="n">
        <f aca="false">_xlfn.MAXIFS(Trades!$X$2:$X$884,Trades!$E$2:$E$884,$A49)</f>
        <v>216.74</v>
      </c>
      <c r="K49" s="30" t="n">
        <f aca="false">_xlfn.MINIFS(Trades!$X$2:$X$884,Trades!$E$2:$E$884,$A49)</f>
        <v>-76.8</v>
      </c>
      <c r="L49" s="32" t="n">
        <f aca="false">SUMIFS(Trades!$Y$2:$Y$884,Trades!$E$2:$E$884,$A49)</f>
        <v>1.85440899034396</v>
      </c>
      <c r="M49" s="30" t="n">
        <f aca="false">P48</f>
        <v>106381.61</v>
      </c>
      <c r="N49" s="29" t="n">
        <f aca="false">IFERROR(F49/M49,0)</f>
        <v>0.00194845706884865</v>
      </c>
      <c r="O49" s="28" t="str">
        <f aca="false">IF(F49&lt;0,"down week","")</f>
        <v/>
      </c>
      <c r="P49" s="30" t="n">
        <f aca="false">M49+F49</f>
        <v>106588.89</v>
      </c>
      <c r="Q49" s="30" t="n">
        <f aca="false">P49-Summary!$C$5</f>
        <v>6588.88999999999</v>
      </c>
    </row>
    <row r="50" customFormat="false" ht="15" hidden="false" customHeight="false" outlineLevel="0" collapsed="false">
      <c r="A50" s="42" t="n">
        <v>45355</v>
      </c>
      <c r="B50" s="28" t="n">
        <f aca="false">COUNTIFS(Trades!$E$2:$E$884,$A50)</f>
        <v>5</v>
      </c>
      <c r="C50" s="28" t="n">
        <f aca="false">COUNTIFS(Trades!$E$2:$E$884,$A50,Trades!$Z$2:$Z$884,"Win")</f>
        <v>0</v>
      </c>
      <c r="D50" s="28" t="n">
        <f aca="false">COUNTIFS(Trades!$E$2:$E$884,$A50,Trades!$Z$2:$Z$884,"Loss")</f>
        <v>5</v>
      </c>
      <c r="E50" s="29" t="n">
        <f aca="false">IFERROR(C50/B50,0)</f>
        <v>0</v>
      </c>
      <c r="F50" s="30" t="n">
        <f aca="false">SUMIFS(Trades!$X$2:$X$884,Trades!$E$2:$E$884,$A50)</f>
        <v>-357.35</v>
      </c>
      <c r="G50" s="30" t="n">
        <f aca="false">SUMIFS(Trades!$X$2:$X$884,Trades!$E$2:$E$884,$A50,Trades!$X$2:$X$884,"&gt;0")</f>
        <v>0</v>
      </c>
      <c r="H50" s="30" t="n">
        <f aca="false">SUMIFS(Trades!$X$2:$X$884,Trades!$E$2:$E$884,$A50,Trades!$X$2:$X$884,"&lt;0")</f>
        <v>-357.35</v>
      </c>
      <c r="I50" s="31" t="n">
        <f aca="false">IFERROR(G50/-H50,"no loss")</f>
        <v>0</v>
      </c>
      <c r="J50" s="30" t="n">
        <f aca="false">_xlfn.MAXIFS(Trades!$X$2:$X$884,Trades!$E$2:$E$884,$A50)</f>
        <v>-0.36</v>
      </c>
      <c r="K50" s="30" t="n">
        <f aca="false">_xlfn.MINIFS(Trades!$X$2:$X$884,Trades!$E$2:$E$884,$A50)</f>
        <v>-242.48</v>
      </c>
      <c r="L50" s="32" t="n">
        <f aca="false">SUMIFS(Trades!$Y$2:$Y$884,Trades!$E$2:$E$884,$A50)</f>
        <v>-3.15146608697931</v>
      </c>
      <c r="M50" s="30" t="n">
        <f aca="false">P49</f>
        <v>106588.89</v>
      </c>
      <c r="N50" s="29" t="n">
        <f aca="false">IFERROR(F50/M50,0)</f>
        <v>-0.00335260081984154</v>
      </c>
      <c r="O50" s="28" t="str">
        <f aca="false">IF(F50&lt;0,"down week","")</f>
        <v>down week</v>
      </c>
      <c r="P50" s="30" t="n">
        <f aca="false">M50+F50</f>
        <v>106231.54</v>
      </c>
      <c r="Q50" s="30" t="n">
        <f aca="false">P50-Summary!$C$5</f>
        <v>6231.53999999998</v>
      </c>
    </row>
    <row r="51" customFormat="false" ht="15" hidden="false" customHeight="false" outlineLevel="0" collapsed="false">
      <c r="A51" s="42" t="n">
        <v>45362</v>
      </c>
      <c r="B51" s="28" t="n">
        <f aca="false">COUNTIFS(Trades!$E$2:$E$884,$A51)</f>
        <v>5</v>
      </c>
      <c r="C51" s="28" t="n">
        <f aca="false">COUNTIFS(Trades!$E$2:$E$884,$A51,Trades!$Z$2:$Z$884,"Win")</f>
        <v>1</v>
      </c>
      <c r="D51" s="28" t="n">
        <f aca="false">COUNTIFS(Trades!$E$2:$E$884,$A51,Trades!$Z$2:$Z$884,"Loss")</f>
        <v>4</v>
      </c>
      <c r="E51" s="29" t="n">
        <f aca="false">IFERROR(C51/B51,0)</f>
        <v>0.2</v>
      </c>
      <c r="F51" s="30" t="n">
        <f aca="false">SUMIFS(Trades!$X$2:$X$884,Trades!$E$2:$E$884,$A51)</f>
        <v>-259.79</v>
      </c>
      <c r="G51" s="30" t="n">
        <f aca="false">SUMIFS(Trades!$X$2:$X$884,Trades!$E$2:$E$884,$A51,Trades!$X$2:$X$884,"&gt;0")</f>
        <v>52.31</v>
      </c>
      <c r="H51" s="30" t="n">
        <f aca="false">SUMIFS(Trades!$X$2:$X$884,Trades!$E$2:$E$884,$A51,Trades!$X$2:$X$884,"&lt;0")</f>
        <v>-312.1</v>
      </c>
      <c r="I51" s="31" t="n">
        <f aca="false">IFERROR(G51/-H51,"no loss")</f>
        <v>0.167606536366549</v>
      </c>
      <c r="J51" s="30" t="n">
        <f aca="false">_xlfn.MAXIFS(Trades!$X$2:$X$884,Trades!$E$2:$E$884,$A51)</f>
        <v>52.31</v>
      </c>
      <c r="K51" s="30" t="n">
        <f aca="false">_xlfn.MINIFS(Trades!$X$2:$X$884,Trades!$E$2:$E$884,$A51)</f>
        <v>-155.84</v>
      </c>
      <c r="L51" s="32" t="n">
        <f aca="false">SUMIFS(Trades!$Y$2:$Y$884,Trades!$E$2:$E$884,$A51)</f>
        <v>-1.05101073187588</v>
      </c>
      <c r="M51" s="30" t="n">
        <f aca="false">P50</f>
        <v>106231.54</v>
      </c>
      <c r="N51" s="29" t="n">
        <f aca="false">IFERROR(F51/M51,0)</f>
        <v>-0.00244550723824582</v>
      </c>
      <c r="O51" s="28" t="str">
        <f aca="false">IF(F51&lt;0,"down week","")</f>
        <v>down week</v>
      </c>
      <c r="P51" s="30" t="n">
        <f aca="false">M51+F51</f>
        <v>105971.75</v>
      </c>
      <c r="Q51" s="30" t="n">
        <f aca="false">P51-Summary!$C$5</f>
        <v>5971.74999999999</v>
      </c>
    </row>
    <row r="52" customFormat="false" ht="15" hidden="false" customHeight="false" outlineLevel="0" collapsed="false">
      <c r="A52" s="42" t="n">
        <v>45369</v>
      </c>
      <c r="B52" s="28" t="n">
        <f aca="false">COUNTIFS(Trades!$E$2:$E$884,$A52)</f>
        <v>5</v>
      </c>
      <c r="C52" s="28" t="n">
        <f aca="false">COUNTIFS(Trades!$E$2:$E$884,$A52,Trades!$Z$2:$Z$884,"Win")</f>
        <v>2</v>
      </c>
      <c r="D52" s="28" t="n">
        <f aca="false">COUNTIFS(Trades!$E$2:$E$884,$A52,Trades!$Z$2:$Z$884,"Loss")</f>
        <v>3</v>
      </c>
      <c r="E52" s="29" t="n">
        <f aca="false">IFERROR(C52/B52,0)</f>
        <v>0.4</v>
      </c>
      <c r="F52" s="30" t="n">
        <f aca="false">SUMIFS(Trades!$X$2:$X$884,Trades!$E$2:$E$884,$A52)</f>
        <v>-134.4</v>
      </c>
      <c r="G52" s="30" t="n">
        <f aca="false">SUMIFS(Trades!$X$2:$X$884,Trades!$E$2:$E$884,$A52,Trades!$X$2:$X$884,"&gt;0")</f>
        <v>208.52</v>
      </c>
      <c r="H52" s="30" t="n">
        <f aca="false">SUMIFS(Trades!$X$2:$X$884,Trades!$E$2:$E$884,$A52,Trades!$X$2:$X$884,"&lt;0")</f>
        <v>-342.92</v>
      </c>
      <c r="I52" s="31" t="n">
        <f aca="false">IFERROR(G52/-H52,"no loss")</f>
        <v>0.608071853493526</v>
      </c>
      <c r="J52" s="30" t="n">
        <f aca="false">_xlfn.MAXIFS(Trades!$X$2:$X$884,Trades!$E$2:$E$884,$A52)</f>
        <v>126.46</v>
      </c>
      <c r="K52" s="30" t="n">
        <f aca="false">_xlfn.MINIFS(Trades!$X$2:$X$884,Trades!$E$2:$E$884,$A52)</f>
        <v>-169.52</v>
      </c>
      <c r="L52" s="32" t="n">
        <f aca="false">SUMIFS(Trades!$Y$2:$Y$884,Trades!$E$2:$E$884,$A52)</f>
        <v>1.96678157743305</v>
      </c>
      <c r="M52" s="30" t="n">
        <f aca="false">P51</f>
        <v>105971.75</v>
      </c>
      <c r="N52" s="29" t="n">
        <f aca="false">IFERROR(F52/M52,0)</f>
        <v>-0.00126826253223147</v>
      </c>
      <c r="O52" s="28" t="str">
        <f aca="false">IF(F52&lt;0,"down week","")</f>
        <v>down week</v>
      </c>
      <c r="P52" s="30" t="n">
        <f aca="false">M52+F52</f>
        <v>105837.35</v>
      </c>
      <c r="Q52" s="30" t="n">
        <f aca="false">P52-Summary!$C$5</f>
        <v>5837.34999999999</v>
      </c>
    </row>
    <row r="53" customFormat="false" ht="15" hidden="false" customHeight="false" outlineLevel="0" collapsed="false">
      <c r="A53" s="42" t="n">
        <v>45376</v>
      </c>
      <c r="B53" s="28" t="n">
        <f aca="false">COUNTIFS(Trades!$E$2:$E$884,$A53)</f>
        <v>3</v>
      </c>
      <c r="C53" s="28" t="n">
        <f aca="false">COUNTIFS(Trades!$E$2:$E$884,$A53,Trades!$Z$2:$Z$884,"Win")</f>
        <v>1</v>
      </c>
      <c r="D53" s="28" t="n">
        <f aca="false">COUNTIFS(Trades!$E$2:$E$884,$A53,Trades!$Z$2:$Z$884,"Loss")</f>
        <v>2</v>
      </c>
      <c r="E53" s="29" t="n">
        <f aca="false">IFERROR(C53/B53,0)</f>
        <v>0.333333333333333</v>
      </c>
      <c r="F53" s="30" t="n">
        <f aca="false">SUMIFS(Trades!$X$2:$X$884,Trades!$E$2:$E$884,$A53)</f>
        <v>39.92</v>
      </c>
      <c r="G53" s="30" t="n">
        <f aca="false">SUMIFS(Trades!$X$2:$X$884,Trades!$E$2:$E$884,$A53,Trades!$X$2:$X$884,"&gt;0")</f>
        <v>97.03</v>
      </c>
      <c r="H53" s="30" t="n">
        <f aca="false">SUMIFS(Trades!$X$2:$X$884,Trades!$E$2:$E$884,$A53,Trades!$X$2:$X$884,"&lt;0")</f>
        <v>-57.11</v>
      </c>
      <c r="I53" s="31" t="n">
        <f aca="false">IFERROR(G53/-H53,"no loss")</f>
        <v>1.69900192610751</v>
      </c>
      <c r="J53" s="30" t="n">
        <f aca="false">_xlfn.MAXIFS(Trades!$X$2:$X$884,Trades!$E$2:$E$884,$A53)</f>
        <v>97.03</v>
      </c>
      <c r="K53" s="30" t="n">
        <f aca="false">_xlfn.MINIFS(Trades!$X$2:$X$884,Trades!$E$2:$E$884,$A53)</f>
        <v>-56.9</v>
      </c>
      <c r="L53" s="32" t="n">
        <f aca="false">SUMIFS(Trades!$Y$2:$Y$884,Trades!$E$2:$E$884,$A53)</f>
        <v>1.00808889621768</v>
      </c>
      <c r="M53" s="30" t="n">
        <f aca="false">P52</f>
        <v>105837.35</v>
      </c>
      <c r="N53" s="29" t="n">
        <f aca="false">IFERROR(F53/M53,0)</f>
        <v>0.000377182535277008</v>
      </c>
      <c r="O53" s="28" t="str">
        <f aca="false">IF(F53&lt;0,"down week","")</f>
        <v/>
      </c>
      <c r="P53" s="30" t="n">
        <f aca="false">M53+F53</f>
        <v>105877.27</v>
      </c>
      <c r="Q53" s="30" t="n">
        <f aca="false">P53-Summary!$C$5</f>
        <v>5877.26999999999</v>
      </c>
    </row>
    <row r="54" customFormat="false" ht="15" hidden="false" customHeight="false" outlineLevel="0" collapsed="false">
      <c r="A54" s="42" t="n">
        <v>45383</v>
      </c>
      <c r="B54" s="28" t="n">
        <f aca="false">COUNTIFS(Trades!$E$2:$E$884,$A54)</f>
        <v>6</v>
      </c>
      <c r="C54" s="28" t="n">
        <f aca="false">COUNTIFS(Trades!$E$2:$E$884,$A54,Trades!$Z$2:$Z$884,"Win")</f>
        <v>2</v>
      </c>
      <c r="D54" s="28" t="n">
        <f aca="false">COUNTIFS(Trades!$E$2:$E$884,$A54,Trades!$Z$2:$Z$884,"Loss")</f>
        <v>4</v>
      </c>
      <c r="E54" s="29" t="n">
        <f aca="false">IFERROR(C54/B54,0)</f>
        <v>0.333333333333333</v>
      </c>
      <c r="F54" s="30" t="n">
        <f aca="false">SUMIFS(Trades!$X$2:$X$884,Trades!$E$2:$E$884,$A54)</f>
        <v>263.74</v>
      </c>
      <c r="G54" s="30" t="n">
        <f aca="false">SUMIFS(Trades!$X$2:$X$884,Trades!$E$2:$E$884,$A54,Trades!$X$2:$X$884,"&gt;0")</f>
        <v>623.89</v>
      </c>
      <c r="H54" s="30" t="n">
        <f aca="false">SUMIFS(Trades!$X$2:$X$884,Trades!$E$2:$E$884,$A54,Trades!$X$2:$X$884,"&lt;0")</f>
        <v>-360.15</v>
      </c>
      <c r="I54" s="31" t="n">
        <f aca="false">IFERROR(G54/-H54,"no loss")</f>
        <v>1.73230598361794</v>
      </c>
      <c r="J54" s="30" t="n">
        <f aca="false">_xlfn.MAXIFS(Trades!$X$2:$X$884,Trades!$E$2:$E$884,$A54)</f>
        <v>405.39</v>
      </c>
      <c r="K54" s="30" t="n">
        <f aca="false">_xlfn.MINIFS(Trades!$X$2:$X$884,Trades!$E$2:$E$884,$A54)</f>
        <v>-123.24</v>
      </c>
      <c r="L54" s="32" t="n">
        <f aca="false">SUMIFS(Trades!$Y$2:$Y$884,Trades!$E$2:$E$884,$A54)</f>
        <v>0.0346632965145106</v>
      </c>
      <c r="M54" s="30" t="n">
        <f aca="false">P53</f>
        <v>105877.27</v>
      </c>
      <c r="N54" s="29" t="n">
        <f aca="false">IFERROR(F54/M54,0)</f>
        <v>0.00249099735948991</v>
      </c>
      <c r="O54" s="28" t="str">
        <f aca="false">IF(F54&lt;0,"down week","")</f>
        <v/>
      </c>
      <c r="P54" s="30" t="n">
        <f aca="false">M54+F54</f>
        <v>106141.01</v>
      </c>
      <c r="Q54" s="30" t="n">
        <f aca="false">P54-Summary!$C$5</f>
        <v>6141.01</v>
      </c>
    </row>
    <row r="55" customFormat="false" ht="15" hidden="false" customHeight="false" outlineLevel="0" collapsed="false">
      <c r="A55" s="42" t="n">
        <v>45390</v>
      </c>
      <c r="B55" s="28" t="n">
        <f aca="false">COUNTIFS(Trades!$E$2:$E$884,$A55)</f>
        <v>5</v>
      </c>
      <c r="C55" s="28" t="n">
        <f aca="false">COUNTIFS(Trades!$E$2:$E$884,$A55,Trades!$Z$2:$Z$884,"Win")</f>
        <v>1</v>
      </c>
      <c r="D55" s="28" t="n">
        <f aca="false">COUNTIFS(Trades!$E$2:$E$884,$A55,Trades!$Z$2:$Z$884,"Loss")</f>
        <v>4</v>
      </c>
      <c r="E55" s="29" t="n">
        <f aca="false">IFERROR(C55/B55,0)</f>
        <v>0.2</v>
      </c>
      <c r="F55" s="30" t="n">
        <f aca="false">SUMIFS(Trades!$X$2:$X$884,Trades!$E$2:$E$884,$A55)</f>
        <v>-308.43</v>
      </c>
      <c r="G55" s="30" t="n">
        <f aca="false">SUMIFS(Trades!$X$2:$X$884,Trades!$E$2:$E$884,$A55,Trades!$X$2:$X$884,"&gt;0")</f>
        <v>190.25</v>
      </c>
      <c r="H55" s="30" t="n">
        <f aca="false">SUMIFS(Trades!$X$2:$X$884,Trades!$E$2:$E$884,$A55,Trades!$X$2:$X$884,"&lt;0")</f>
        <v>-498.68</v>
      </c>
      <c r="I55" s="31" t="n">
        <f aca="false">IFERROR(G55/-H55,"no loss")</f>
        <v>0.381507178952434</v>
      </c>
      <c r="J55" s="30" t="n">
        <f aca="false">_xlfn.MAXIFS(Trades!$X$2:$X$884,Trades!$E$2:$E$884,$A55)</f>
        <v>190.25</v>
      </c>
      <c r="K55" s="30" t="n">
        <f aca="false">_xlfn.MINIFS(Trades!$X$2:$X$884,Trades!$E$2:$E$884,$A55)</f>
        <v>-455.88</v>
      </c>
      <c r="L55" s="32" t="n">
        <f aca="false">SUMIFS(Trades!$Y$2:$Y$884,Trades!$E$2:$E$884,$A55)</f>
        <v>-0.022896669414787</v>
      </c>
      <c r="M55" s="30" t="n">
        <f aca="false">P54</f>
        <v>106141.01</v>
      </c>
      <c r="N55" s="29" t="n">
        <f aca="false">IFERROR(F55/M55,0)</f>
        <v>-0.00290585137639071</v>
      </c>
      <c r="O55" s="28" t="str">
        <f aca="false">IF(F55&lt;0,"down week","")</f>
        <v>down week</v>
      </c>
      <c r="P55" s="30" t="n">
        <f aca="false">M55+F55</f>
        <v>105832.58</v>
      </c>
      <c r="Q55" s="30" t="n">
        <f aca="false">P55-Summary!$C$5</f>
        <v>5832.58</v>
      </c>
    </row>
    <row r="56" customFormat="false" ht="15" hidden="false" customHeight="false" outlineLevel="0" collapsed="false">
      <c r="A56" s="42" t="n">
        <v>45397</v>
      </c>
      <c r="B56" s="28" t="n">
        <f aca="false">COUNTIFS(Trades!$E$2:$E$884,$A56)</f>
        <v>5</v>
      </c>
      <c r="C56" s="28" t="n">
        <f aca="false">COUNTIFS(Trades!$E$2:$E$884,$A56,Trades!$Z$2:$Z$884,"Win")</f>
        <v>1</v>
      </c>
      <c r="D56" s="28" t="n">
        <f aca="false">COUNTIFS(Trades!$E$2:$E$884,$A56,Trades!$Z$2:$Z$884,"Loss")</f>
        <v>4</v>
      </c>
      <c r="E56" s="29" t="n">
        <f aca="false">IFERROR(C56/B56,0)</f>
        <v>0.2</v>
      </c>
      <c r="F56" s="30" t="n">
        <f aca="false">SUMIFS(Trades!$X$2:$X$884,Trades!$E$2:$E$884,$A56)</f>
        <v>7.74999999999997</v>
      </c>
      <c r="G56" s="30" t="n">
        <f aca="false">SUMIFS(Trades!$X$2:$X$884,Trades!$E$2:$E$884,$A56,Trades!$X$2:$X$884,"&gt;0")</f>
        <v>289.9</v>
      </c>
      <c r="H56" s="30" t="n">
        <f aca="false">SUMIFS(Trades!$X$2:$X$884,Trades!$E$2:$E$884,$A56,Trades!$X$2:$X$884,"&lt;0")</f>
        <v>-282.15</v>
      </c>
      <c r="I56" s="31" t="n">
        <f aca="false">IFERROR(G56/-H56,"no loss")</f>
        <v>1.02746765904661</v>
      </c>
      <c r="J56" s="30" t="n">
        <f aca="false">_xlfn.MAXIFS(Trades!$X$2:$X$884,Trades!$E$2:$E$884,$A56)</f>
        <v>289.9</v>
      </c>
      <c r="K56" s="30" t="n">
        <f aca="false">_xlfn.MINIFS(Trades!$X$2:$X$884,Trades!$E$2:$E$884,$A56)</f>
        <v>-182.09</v>
      </c>
      <c r="L56" s="32" t="n">
        <f aca="false">SUMIFS(Trades!$Y$2:$Y$884,Trades!$E$2:$E$884,$A56)</f>
        <v>-0.122857185797693</v>
      </c>
      <c r="M56" s="30" t="n">
        <f aca="false">P55</f>
        <v>105832.58</v>
      </c>
      <c r="N56" s="29" t="n">
        <f aca="false">IFERROR(F56/M56,0)</f>
        <v>7.32288677078455E-005</v>
      </c>
      <c r="O56" s="28" t="str">
        <f aca="false">IF(F56&lt;0,"down week","")</f>
        <v/>
      </c>
      <c r="P56" s="30" t="n">
        <f aca="false">M56+F56</f>
        <v>105840.33</v>
      </c>
      <c r="Q56" s="30" t="n">
        <f aca="false">P56-Summary!$C$5</f>
        <v>5840.33</v>
      </c>
    </row>
    <row r="57" customFormat="false" ht="15" hidden="false" customHeight="false" outlineLevel="0" collapsed="false">
      <c r="A57" s="42" t="n">
        <v>45404</v>
      </c>
      <c r="B57" s="28" t="n">
        <f aca="false">COUNTIFS(Trades!$E$2:$E$884,$A57)</f>
        <v>5</v>
      </c>
      <c r="C57" s="28" t="n">
        <f aca="false">COUNTIFS(Trades!$E$2:$E$884,$A57,Trades!$Z$2:$Z$884,"Win")</f>
        <v>1</v>
      </c>
      <c r="D57" s="28" t="n">
        <f aca="false">COUNTIFS(Trades!$E$2:$E$884,$A57,Trades!$Z$2:$Z$884,"Loss")</f>
        <v>4</v>
      </c>
      <c r="E57" s="29" t="n">
        <f aca="false">IFERROR(C57/B57,0)</f>
        <v>0.2</v>
      </c>
      <c r="F57" s="30" t="n">
        <f aca="false">SUMIFS(Trades!$X$2:$X$884,Trades!$E$2:$E$884,$A57)</f>
        <v>-463.33</v>
      </c>
      <c r="G57" s="30" t="n">
        <f aca="false">SUMIFS(Trades!$X$2:$X$884,Trades!$E$2:$E$884,$A57,Trades!$X$2:$X$884,"&gt;0")</f>
        <v>271.78</v>
      </c>
      <c r="H57" s="30" t="n">
        <f aca="false">SUMIFS(Trades!$X$2:$X$884,Trades!$E$2:$E$884,$A57,Trades!$X$2:$X$884,"&lt;0")</f>
        <v>-735.11</v>
      </c>
      <c r="I57" s="31" t="n">
        <f aca="false">IFERROR(G57/-H57,"no loss")</f>
        <v>0.369713376229408</v>
      </c>
      <c r="J57" s="30" t="n">
        <f aca="false">_xlfn.MAXIFS(Trades!$X$2:$X$884,Trades!$E$2:$E$884,$A57)</f>
        <v>271.78</v>
      </c>
      <c r="K57" s="30" t="n">
        <f aca="false">_xlfn.MINIFS(Trades!$X$2:$X$884,Trades!$E$2:$E$884,$A57)</f>
        <v>-419.66</v>
      </c>
      <c r="L57" s="32" t="n">
        <f aca="false">SUMIFS(Trades!$Y$2:$Y$884,Trades!$E$2:$E$884,$A57)</f>
        <v>-1.06956281248065</v>
      </c>
      <c r="M57" s="30" t="n">
        <f aca="false">P56</f>
        <v>105840.33</v>
      </c>
      <c r="N57" s="29" t="n">
        <f aca="false">IFERROR(F57/M57,0)</f>
        <v>-0.00437763185356659</v>
      </c>
      <c r="O57" s="28" t="str">
        <f aca="false">IF(F57&lt;0,"down week","")</f>
        <v>down week</v>
      </c>
      <c r="P57" s="30" t="n">
        <f aca="false">M57+F57</f>
        <v>105377</v>
      </c>
      <c r="Q57" s="30" t="n">
        <f aca="false">P57-Summary!$C$5</f>
        <v>5377</v>
      </c>
    </row>
    <row r="58" customFormat="false" ht="15" hidden="false" customHeight="false" outlineLevel="0" collapsed="false">
      <c r="A58" s="42" t="n">
        <v>45411</v>
      </c>
      <c r="B58" s="28" t="n">
        <f aca="false">COUNTIFS(Trades!$E$2:$E$884,$A58)</f>
        <v>4</v>
      </c>
      <c r="C58" s="28" t="n">
        <f aca="false">COUNTIFS(Trades!$E$2:$E$884,$A58,Trades!$Z$2:$Z$884,"Win")</f>
        <v>1</v>
      </c>
      <c r="D58" s="28" t="n">
        <f aca="false">COUNTIFS(Trades!$E$2:$E$884,$A58,Trades!$Z$2:$Z$884,"Loss")</f>
        <v>3</v>
      </c>
      <c r="E58" s="29" t="n">
        <f aca="false">IFERROR(C58/B58,0)</f>
        <v>0.25</v>
      </c>
      <c r="F58" s="30" t="n">
        <f aca="false">SUMIFS(Trades!$X$2:$X$884,Trades!$E$2:$E$884,$A58)</f>
        <v>216.47</v>
      </c>
      <c r="G58" s="30" t="n">
        <f aca="false">SUMIFS(Trades!$X$2:$X$884,Trades!$E$2:$E$884,$A58,Trades!$X$2:$X$884,"&gt;0")</f>
        <v>273.99</v>
      </c>
      <c r="H58" s="30" t="n">
        <f aca="false">SUMIFS(Trades!$X$2:$X$884,Trades!$E$2:$E$884,$A58,Trades!$X$2:$X$884,"&lt;0")</f>
        <v>-57.52</v>
      </c>
      <c r="I58" s="31" t="n">
        <f aca="false">IFERROR(G58/-H58,"no loss")</f>
        <v>4.76338664812239</v>
      </c>
      <c r="J58" s="30" t="n">
        <f aca="false">_xlfn.MAXIFS(Trades!$X$2:$X$884,Trades!$E$2:$E$884,$A58)</f>
        <v>273.99</v>
      </c>
      <c r="K58" s="30" t="n">
        <f aca="false">_xlfn.MINIFS(Trades!$X$2:$X$884,Trades!$E$2:$E$884,$A58)</f>
        <v>-38.58</v>
      </c>
      <c r="L58" s="32" t="n">
        <f aca="false">SUMIFS(Trades!$Y$2:$Y$884,Trades!$E$2:$E$884,$A58)</f>
        <v>0.913635481526635</v>
      </c>
      <c r="M58" s="30" t="n">
        <f aca="false">P57</f>
        <v>105377</v>
      </c>
      <c r="N58" s="29" t="n">
        <f aca="false">IFERROR(F58/M58,0)</f>
        <v>0.0020542433358323</v>
      </c>
      <c r="O58" s="28" t="str">
        <f aca="false">IF(F58&lt;0,"down week","")</f>
        <v/>
      </c>
      <c r="P58" s="30" t="n">
        <f aca="false">M58+F58</f>
        <v>105593.47</v>
      </c>
      <c r="Q58" s="30" t="n">
        <f aca="false">P58-Summary!$C$5</f>
        <v>5593.47</v>
      </c>
    </row>
    <row r="59" customFormat="false" ht="15" hidden="false" customHeight="false" outlineLevel="0" collapsed="false">
      <c r="A59" s="42" t="n">
        <v>45418</v>
      </c>
      <c r="B59" s="28" t="n">
        <f aca="false">COUNTIFS(Trades!$E$2:$E$884,$A59)</f>
        <v>4</v>
      </c>
      <c r="C59" s="28" t="n">
        <f aca="false">COUNTIFS(Trades!$E$2:$E$884,$A59,Trades!$Z$2:$Z$884,"Win")</f>
        <v>1</v>
      </c>
      <c r="D59" s="28" t="n">
        <f aca="false">COUNTIFS(Trades!$E$2:$E$884,$A59,Trades!$Z$2:$Z$884,"Loss")</f>
        <v>3</v>
      </c>
      <c r="E59" s="29" t="n">
        <f aca="false">IFERROR(C59/B59,0)</f>
        <v>0.25</v>
      </c>
      <c r="F59" s="30" t="n">
        <f aca="false">SUMIFS(Trades!$X$2:$X$884,Trades!$E$2:$E$884,$A59)</f>
        <v>-64.58</v>
      </c>
      <c r="G59" s="30" t="n">
        <f aca="false">SUMIFS(Trades!$X$2:$X$884,Trades!$E$2:$E$884,$A59,Trades!$X$2:$X$884,"&gt;0")</f>
        <v>36.56</v>
      </c>
      <c r="H59" s="30" t="n">
        <f aca="false">SUMIFS(Trades!$X$2:$X$884,Trades!$E$2:$E$884,$A59,Trades!$X$2:$X$884,"&lt;0")</f>
        <v>-101.14</v>
      </c>
      <c r="I59" s="31" t="n">
        <f aca="false">IFERROR(G59/-H59,"no loss")</f>
        <v>0.361479137828752</v>
      </c>
      <c r="J59" s="30" t="n">
        <f aca="false">_xlfn.MAXIFS(Trades!$X$2:$X$884,Trades!$E$2:$E$884,$A59)</f>
        <v>36.56</v>
      </c>
      <c r="K59" s="30" t="n">
        <f aca="false">_xlfn.MINIFS(Trades!$X$2:$X$884,Trades!$E$2:$E$884,$A59)</f>
        <v>-54.03</v>
      </c>
      <c r="L59" s="32" t="n">
        <f aca="false">SUMIFS(Trades!$Y$2:$Y$884,Trades!$E$2:$E$884,$A59)</f>
        <v>0.0238151778815701</v>
      </c>
      <c r="M59" s="30" t="n">
        <f aca="false">P58</f>
        <v>105593.47</v>
      </c>
      <c r="N59" s="29" t="n">
        <f aca="false">IFERROR(F59/M59,0)</f>
        <v>-0.000611590849320512</v>
      </c>
      <c r="O59" s="28" t="str">
        <f aca="false">IF(F59&lt;0,"down week","")</f>
        <v>down week</v>
      </c>
      <c r="P59" s="30" t="n">
        <f aca="false">M59+F59</f>
        <v>105528.89</v>
      </c>
      <c r="Q59" s="30" t="n">
        <f aca="false">P59-Summary!$C$5</f>
        <v>5528.89</v>
      </c>
    </row>
    <row r="60" customFormat="false" ht="15" hidden="false" customHeight="false" outlineLevel="0" collapsed="false">
      <c r="A60" s="42" t="n">
        <v>45425</v>
      </c>
      <c r="B60" s="28" t="n">
        <f aca="false">COUNTIFS(Trades!$E$2:$E$884,$A60)</f>
        <v>5</v>
      </c>
      <c r="C60" s="28" t="n">
        <f aca="false">COUNTIFS(Trades!$E$2:$E$884,$A60,Trades!$Z$2:$Z$884,"Win")</f>
        <v>1</v>
      </c>
      <c r="D60" s="28" t="n">
        <f aca="false">COUNTIFS(Trades!$E$2:$E$884,$A60,Trades!$Z$2:$Z$884,"Loss")</f>
        <v>4</v>
      </c>
      <c r="E60" s="29" t="n">
        <f aca="false">IFERROR(C60/B60,0)</f>
        <v>0.2</v>
      </c>
      <c r="F60" s="30" t="n">
        <f aca="false">SUMIFS(Trades!$X$2:$X$884,Trades!$E$2:$E$884,$A60)</f>
        <v>-293.11</v>
      </c>
      <c r="G60" s="30" t="n">
        <f aca="false">SUMIFS(Trades!$X$2:$X$884,Trades!$E$2:$E$884,$A60,Trades!$X$2:$X$884,"&gt;0")</f>
        <v>39.25</v>
      </c>
      <c r="H60" s="30" t="n">
        <f aca="false">SUMIFS(Trades!$X$2:$X$884,Trades!$E$2:$E$884,$A60,Trades!$X$2:$X$884,"&lt;0")</f>
        <v>-332.36</v>
      </c>
      <c r="I60" s="31" t="n">
        <f aca="false">IFERROR(G60/-H60,"no loss")</f>
        <v>0.118094836923818</v>
      </c>
      <c r="J60" s="30" t="n">
        <f aca="false">_xlfn.MAXIFS(Trades!$X$2:$X$884,Trades!$E$2:$E$884,$A60)</f>
        <v>39.25</v>
      </c>
      <c r="K60" s="30" t="n">
        <f aca="false">_xlfn.MINIFS(Trades!$X$2:$X$884,Trades!$E$2:$E$884,$A60)</f>
        <v>-164.01</v>
      </c>
      <c r="L60" s="32" t="n">
        <f aca="false">SUMIFS(Trades!$Y$2:$Y$884,Trades!$E$2:$E$884,$A60)</f>
        <v>-0.784890962164331</v>
      </c>
      <c r="M60" s="30" t="n">
        <f aca="false">P59</f>
        <v>105528.89</v>
      </c>
      <c r="N60" s="29" t="n">
        <f aca="false">IFERROR(F60/M60,0)</f>
        <v>-0.00277753324231876</v>
      </c>
      <c r="O60" s="28" t="str">
        <f aca="false">IF(F60&lt;0,"down week","")</f>
        <v>down week</v>
      </c>
      <c r="P60" s="30" t="n">
        <f aca="false">M60+F60</f>
        <v>105235.78</v>
      </c>
      <c r="Q60" s="30" t="n">
        <f aca="false">P60-Summary!$C$5</f>
        <v>5235.78</v>
      </c>
    </row>
    <row r="61" customFormat="false" ht="15" hidden="false" customHeight="false" outlineLevel="0" collapsed="false">
      <c r="A61" s="42" t="n">
        <v>45432</v>
      </c>
      <c r="B61" s="28" t="n">
        <f aca="false">COUNTIFS(Trades!$E$2:$E$884,$A61)</f>
        <v>5</v>
      </c>
      <c r="C61" s="28" t="n">
        <f aca="false">COUNTIFS(Trades!$E$2:$E$884,$A61,Trades!$Z$2:$Z$884,"Win")</f>
        <v>1</v>
      </c>
      <c r="D61" s="28" t="n">
        <f aca="false">COUNTIFS(Trades!$E$2:$E$884,$A61,Trades!$Z$2:$Z$884,"Loss")</f>
        <v>4</v>
      </c>
      <c r="E61" s="29" t="n">
        <f aca="false">IFERROR(C61/B61,0)</f>
        <v>0.2</v>
      </c>
      <c r="F61" s="30" t="n">
        <f aca="false">SUMIFS(Trades!$X$2:$X$884,Trades!$E$2:$E$884,$A61)</f>
        <v>222.35</v>
      </c>
      <c r="G61" s="30" t="n">
        <f aca="false">SUMIFS(Trades!$X$2:$X$884,Trades!$E$2:$E$884,$A61,Trades!$X$2:$X$884,"&gt;0")</f>
        <v>267.75</v>
      </c>
      <c r="H61" s="30" t="n">
        <f aca="false">SUMIFS(Trades!$X$2:$X$884,Trades!$E$2:$E$884,$A61,Trades!$X$2:$X$884,"&lt;0")</f>
        <v>-45.4</v>
      </c>
      <c r="I61" s="31" t="n">
        <f aca="false">IFERROR(G61/-H61,"no loss")</f>
        <v>5.89757709251101</v>
      </c>
      <c r="J61" s="30" t="n">
        <f aca="false">_xlfn.MAXIFS(Trades!$X$2:$X$884,Trades!$E$2:$E$884,$A61)</f>
        <v>267.75</v>
      </c>
      <c r="K61" s="30" t="n">
        <f aca="false">_xlfn.MINIFS(Trades!$X$2:$X$884,Trades!$E$2:$E$884,$A61)</f>
        <v>-24.4</v>
      </c>
      <c r="L61" s="32" t="n">
        <f aca="false">SUMIFS(Trades!$Y$2:$Y$884,Trades!$E$2:$E$884,$A61)</f>
        <v>-0.449085906367481</v>
      </c>
      <c r="M61" s="30" t="n">
        <f aca="false">P60</f>
        <v>105235.78</v>
      </c>
      <c r="N61" s="29" t="n">
        <f aca="false">IFERROR(F61/M61,0)</f>
        <v>0.00211287453753847</v>
      </c>
      <c r="O61" s="28" t="str">
        <f aca="false">IF(F61&lt;0,"down week","")</f>
        <v/>
      </c>
      <c r="P61" s="30" t="n">
        <f aca="false">M61+F61</f>
        <v>105458.13</v>
      </c>
      <c r="Q61" s="30" t="n">
        <f aca="false">P61-Summary!$C$5</f>
        <v>5458.13000000001</v>
      </c>
    </row>
    <row r="62" customFormat="false" ht="15" hidden="false" customHeight="false" outlineLevel="0" collapsed="false">
      <c r="A62" s="42" t="n">
        <v>45439</v>
      </c>
      <c r="B62" s="28" t="n">
        <f aca="false">COUNTIFS(Trades!$E$2:$E$884,$A62)</f>
        <v>6</v>
      </c>
      <c r="C62" s="28" t="n">
        <f aca="false">COUNTIFS(Trades!$E$2:$E$884,$A62,Trades!$Z$2:$Z$884,"Win")</f>
        <v>3</v>
      </c>
      <c r="D62" s="28" t="n">
        <f aca="false">COUNTIFS(Trades!$E$2:$E$884,$A62,Trades!$Z$2:$Z$884,"Loss")</f>
        <v>3</v>
      </c>
      <c r="E62" s="29" t="n">
        <f aca="false">IFERROR(C62/B62,0)</f>
        <v>0.5</v>
      </c>
      <c r="F62" s="30" t="n">
        <f aca="false">SUMIFS(Trades!$X$2:$X$884,Trades!$E$2:$E$884,$A62)</f>
        <v>177.3</v>
      </c>
      <c r="G62" s="30" t="n">
        <f aca="false">SUMIFS(Trades!$X$2:$X$884,Trades!$E$2:$E$884,$A62,Trades!$X$2:$X$884,"&gt;0")</f>
        <v>366.6</v>
      </c>
      <c r="H62" s="30" t="n">
        <f aca="false">SUMIFS(Trades!$X$2:$X$884,Trades!$E$2:$E$884,$A62,Trades!$X$2:$X$884,"&lt;0")</f>
        <v>-189.3</v>
      </c>
      <c r="I62" s="31" t="n">
        <f aca="false">IFERROR(G62/-H62,"no loss")</f>
        <v>1.93660855784469</v>
      </c>
      <c r="J62" s="30" t="n">
        <f aca="false">_xlfn.MAXIFS(Trades!$X$2:$X$884,Trades!$E$2:$E$884,$A62)</f>
        <v>190.6</v>
      </c>
      <c r="K62" s="30" t="n">
        <f aca="false">_xlfn.MINIFS(Trades!$X$2:$X$884,Trades!$E$2:$E$884,$A62)</f>
        <v>-127.95</v>
      </c>
      <c r="L62" s="32" t="n">
        <f aca="false">SUMIFS(Trades!$Y$2:$Y$884,Trades!$E$2:$E$884,$A62)</f>
        <v>4.09378165489873</v>
      </c>
      <c r="M62" s="30" t="n">
        <f aca="false">P61</f>
        <v>105458.13</v>
      </c>
      <c r="N62" s="29" t="n">
        <f aca="false">IFERROR(F62/M62,0)</f>
        <v>0.00168123595591919</v>
      </c>
      <c r="O62" s="28" t="str">
        <f aca="false">IF(F62&lt;0,"down week","")</f>
        <v/>
      </c>
      <c r="P62" s="30" t="n">
        <f aca="false">M62+F62</f>
        <v>105635.43</v>
      </c>
      <c r="Q62" s="30" t="n">
        <f aca="false">P62-Summary!$C$5</f>
        <v>5635.43000000001</v>
      </c>
    </row>
    <row r="63" customFormat="false" ht="15" hidden="false" customHeight="false" outlineLevel="0" collapsed="false">
      <c r="A63" s="42" t="n">
        <v>45446</v>
      </c>
      <c r="B63" s="28" t="n">
        <f aca="false">COUNTIFS(Trades!$E$2:$E$884,$A63)</f>
        <v>5</v>
      </c>
      <c r="C63" s="28" t="n">
        <f aca="false">COUNTIFS(Trades!$E$2:$E$884,$A63,Trades!$Z$2:$Z$884,"Win")</f>
        <v>1</v>
      </c>
      <c r="D63" s="28" t="n">
        <f aca="false">COUNTIFS(Trades!$E$2:$E$884,$A63,Trades!$Z$2:$Z$884,"Loss")</f>
        <v>3</v>
      </c>
      <c r="E63" s="29" t="n">
        <f aca="false">IFERROR(C63/B63,0)</f>
        <v>0.2</v>
      </c>
      <c r="F63" s="30" t="n">
        <f aca="false">SUMIFS(Trades!$X$2:$X$884,Trades!$E$2:$E$884,$A63)</f>
        <v>20.11</v>
      </c>
      <c r="G63" s="30" t="n">
        <f aca="false">SUMIFS(Trades!$X$2:$X$884,Trades!$E$2:$E$884,$A63,Trades!$X$2:$X$884,"&gt;0")</f>
        <v>103.92</v>
      </c>
      <c r="H63" s="30" t="n">
        <f aca="false">SUMIFS(Trades!$X$2:$X$884,Trades!$E$2:$E$884,$A63,Trades!$X$2:$X$884,"&lt;0")</f>
        <v>-83.81</v>
      </c>
      <c r="I63" s="31" t="n">
        <f aca="false">IFERROR(G63/-H63,"no loss")</f>
        <v>1.23994750029829</v>
      </c>
      <c r="J63" s="30" t="n">
        <f aca="false">_xlfn.MAXIFS(Trades!$X$2:$X$884,Trades!$E$2:$E$884,$A63)</f>
        <v>103.92</v>
      </c>
      <c r="K63" s="30" t="n">
        <f aca="false">_xlfn.MINIFS(Trades!$X$2:$X$884,Trades!$E$2:$E$884,$A63)</f>
        <v>-74.26</v>
      </c>
      <c r="L63" s="32" t="n">
        <f aca="false">SUMIFS(Trades!$Y$2:$Y$884,Trades!$E$2:$E$884,$A63)</f>
        <v>0.799258904730243</v>
      </c>
      <c r="M63" s="30" t="n">
        <f aca="false">P62</f>
        <v>105635.43</v>
      </c>
      <c r="N63" s="29" t="n">
        <f aca="false">IFERROR(F63/M63,0)</f>
        <v>0.000190371734180473</v>
      </c>
      <c r="O63" s="28" t="str">
        <f aca="false">IF(F63&lt;0,"down week","")</f>
        <v/>
      </c>
      <c r="P63" s="30" t="n">
        <f aca="false">M63+F63</f>
        <v>105655.54</v>
      </c>
      <c r="Q63" s="30" t="n">
        <f aca="false">P63-Summary!$C$5</f>
        <v>5655.54000000001</v>
      </c>
    </row>
    <row r="64" customFormat="false" ht="15" hidden="false" customHeight="false" outlineLevel="0" collapsed="false">
      <c r="A64" s="42" t="n">
        <v>45453</v>
      </c>
      <c r="B64" s="28" t="n">
        <f aca="false">COUNTIFS(Trades!$E$2:$E$884,$A64)</f>
        <v>3</v>
      </c>
      <c r="C64" s="28" t="n">
        <f aca="false">COUNTIFS(Trades!$E$2:$E$884,$A64,Trades!$Z$2:$Z$884,"Win")</f>
        <v>2</v>
      </c>
      <c r="D64" s="28" t="n">
        <f aca="false">COUNTIFS(Trades!$E$2:$E$884,$A64,Trades!$Z$2:$Z$884,"Loss")</f>
        <v>1</v>
      </c>
      <c r="E64" s="29" t="n">
        <f aca="false">IFERROR(C64/B64,0)</f>
        <v>0.666666666666667</v>
      </c>
      <c r="F64" s="30" t="n">
        <f aca="false">SUMIFS(Trades!$X$2:$X$884,Trades!$E$2:$E$884,$A64)</f>
        <v>292.42</v>
      </c>
      <c r="G64" s="30" t="n">
        <f aca="false">SUMIFS(Trades!$X$2:$X$884,Trades!$E$2:$E$884,$A64,Trades!$X$2:$X$884,"&gt;0")</f>
        <v>370.71</v>
      </c>
      <c r="H64" s="30" t="n">
        <f aca="false">SUMIFS(Trades!$X$2:$X$884,Trades!$E$2:$E$884,$A64,Trades!$X$2:$X$884,"&lt;0")</f>
        <v>-78.29</v>
      </c>
      <c r="I64" s="31" t="n">
        <f aca="false">IFERROR(G64/-H64,"no loss")</f>
        <v>4.73508749521012</v>
      </c>
      <c r="J64" s="30" t="n">
        <f aca="false">_xlfn.MAXIFS(Trades!$X$2:$X$884,Trades!$E$2:$E$884,$A64)</f>
        <v>333.22</v>
      </c>
      <c r="K64" s="30" t="n">
        <f aca="false">_xlfn.MINIFS(Trades!$X$2:$X$884,Trades!$E$2:$E$884,$A64)</f>
        <v>-78.29</v>
      </c>
      <c r="L64" s="32" t="n">
        <f aca="false">SUMIFS(Trades!$Y$2:$Y$884,Trades!$E$2:$E$884,$A64)</f>
        <v>3.11058107789684</v>
      </c>
      <c r="M64" s="30" t="n">
        <f aca="false">P63</f>
        <v>105655.54</v>
      </c>
      <c r="N64" s="29" t="n">
        <f aca="false">IFERROR(F64/M64,0)</f>
        <v>0.00276767313857844</v>
      </c>
      <c r="O64" s="28" t="str">
        <f aca="false">IF(F64&lt;0,"down week","")</f>
        <v/>
      </c>
      <c r="P64" s="30" t="n">
        <f aca="false">M64+F64</f>
        <v>105947.96</v>
      </c>
      <c r="Q64" s="30" t="n">
        <f aca="false">P64-Summary!$C$5</f>
        <v>5947.96000000001</v>
      </c>
    </row>
    <row r="65" customFormat="false" ht="15" hidden="false" customHeight="false" outlineLevel="0" collapsed="false">
      <c r="A65" s="42" t="n">
        <v>45460</v>
      </c>
      <c r="B65" s="28" t="n">
        <f aca="false">COUNTIFS(Trades!$E$2:$E$884,$A65)</f>
        <v>4</v>
      </c>
      <c r="C65" s="28" t="n">
        <f aca="false">COUNTIFS(Trades!$E$2:$E$884,$A65,Trades!$Z$2:$Z$884,"Win")</f>
        <v>1</v>
      </c>
      <c r="D65" s="28" t="n">
        <f aca="false">COUNTIFS(Trades!$E$2:$E$884,$A65,Trades!$Z$2:$Z$884,"Loss")</f>
        <v>3</v>
      </c>
      <c r="E65" s="29" t="n">
        <f aca="false">IFERROR(C65/B65,0)</f>
        <v>0.25</v>
      </c>
      <c r="F65" s="30" t="n">
        <f aca="false">SUMIFS(Trades!$X$2:$X$884,Trades!$E$2:$E$884,$A65)</f>
        <v>-90.79</v>
      </c>
      <c r="G65" s="30" t="n">
        <f aca="false">SUMIFS(Trades!$X$2:$X$884,Trades!$E$2:$E$884,$A65,Trades!$X$2:$X$884,"&gt;0")</f>
        <v>96.9</v>
      </c>
      <c r="H65" s="30" t="n">
        <f aca="false">SUMIFS(Trades!$X$2:$X$884,Trades!$E$2:$E$884,$A65,Trades!$X$2:$X$884,"&lt;0")</f>
        <v>-187.69</v>
      </c>
      <c r="I65" s="31" t="n">
        <f aca="false">IFERROR(G65/-H65,"no loss")</f>
        <v>0.516276839469338</v>
      </c>
      <c r="J65" s="30" t="n">
        <f aca="false">_xlfn.MAXIFS(Trades!$X$2:$X$884,Trades!$E$2:$E$884,$A65)</f>
        <v>96.9</v>
      </c>
      <c r="K65" s="30" t="n">
        <f aca="false">_xlfn.MINIFS(Trades!$X$2:$X$884,Trades!$E$2:$E$884,$A65)</f>
        <v>-115.55</v>
      </c>
      <c r="L65" s="32" t="n">
        <f aca="false">SUMIFS(Trades!$Y$2:$Y$884,Trades!$E$2:$E$884,$A65)</f>
        <v>-0.862768206457612</v>
      </c>
      <c r="M65" s="30" t="n">
        <f aca="false">P64</f>
        <v>105947.96</v>
      </c>
      <c r="N65" s="29" t="n">
        <f aca="false">IFERROR(F65/M65,0)</f>
        <v>-0.000856930138154618</v>
      </c>
      <c r="O65" s="28" t="str">
        <f aca="false">IF(F65&lt;0,"down week","")</f>
        <v>down week</v>
      </c>
      <c r="P65" s="30" t="n">
        <f aca="false">M65+F65</f>
        <v>105857.17</v>
      </c>
      <c r="Q65" s="30" t="n">
        <f aca="false">P65-Summary!$C$5</f>
        <v>5857.17000000001</v>
      </c>
    </row>
    <row r="66" customFormat="false" ht="15" hidden="false" customHeight="false" outlineLevel="0" collapsed="false">
      <c r="A66" s="42" t="n">
        <v>45467</v>
      </c>
      <c r="B66" s="28" t="n">
        <f aca="false">COUNTIFS(Trades!$E$2:$E$884,$A66)</f>
        <v>5</v>
      </c>
      <c r="C66" s="28" t="n">
        <f aca="false">COUNTIFS(Trades!$E$2:$E$884,$A66,Trades!$Z$2:$Z$884,"Win")</f>
        <v>1</v>
      </c>
      <c r="D66" s="28" t="n">
        <f aca="false">COUNTIFS(Trades!$E$2:$E$884,$A66,Trades!$Z$2:$Z$884,"Loss")</f>
        <v>4</v>
      </c>
      <c r="E66" s="29" t="n">
        <f aca="false">IFERROR(C66/B66,0)</f>
        <v>0.2</v>
      </c>
      <c r="F66" s="30" t="n">
        <f aca="false">SUMIFS(Trades!$X$2:$X$884,Trades!$E$2:$E$884,$A66)</f>
        <v>-141.77</v>
      </c>
      <c r="G66" s="30" t="n">
        <f aca="false">SUMIFS(Trades!$X$2:$X$884,Trades!$E$2:$E$884,$A66,Trades!$X$2:$X$884,"&gt;0")</f>
        <v>70.15</v>
      </c>
      <c r="H66" s="30" t="n">
        <f aca="false">SUMIFS(Trades!$X$2:$X$884,Trades!$E$2:$E$884,$A66,Trades!$X$2:$X$884,"&lt;0")</f>
        <v>-211.92</v>
      </c>
      <c r="I66" s="31" t="n">
        <f aca="false">IFERROR(G66/-H66,"no loss")</f>
        <v>0.33102114005285</v>
      </c>
      <c r="J66" s="30" t="n">
        <f aca="false">_xlfn.MAXIFS(Trades!$X$2:$X$884,Trades!$E$2:$E$884,$A66)</f>
        <v>70.15</v>
      </c>
      <c r="K66" s="30" t="n">
        <f aca="false">_xlfn.MINIFS(Trades!$X$2:$X$884,Trades!$E$2:$E$884,$A66)</f>
        <v>-164.54</v>
      </c>
      <c r="L66" s="32" t="n">
        <f aca="false">SUMIFS(Trades!$Y$2:$Y$884,Trades!$E$2:$E$884,$A66)</f>
        <v>-0.00567764575420933</v>
      </c>
      <c r="M66" s="30" t="n">
        <f aca="false">P65</f>
        <v>105857.17</v>
      </c>
      <c r="N66" s="29" t="n">
        <f aca="false">IFERROR(F66/M66,0)</f>
        <v>-0.00133925741638474</v>
      </c>
      <c r="O66" s="28" t="str">
        <f aca="false">IF(F66&lt;0,"down week","")</f>
        <v>down week</v>
      </c>
      <c r="P66" s="30" t="n">
        <f aca="false">M66+F66</f>
        <v>105715.4</v>
      </c>
      <c r="Q66" s="30" t="n">
        <f aca="false">P66-Summary!$C$5</f>
        <v>5715.40000000001</v>
      </c>
    </row>
    <row r="67" customFormat="false" ht="15" hidden="false" customHeight="false" outlineLevel="0" collapsed="false">
      <c r="A67" s="42" t="n">
        <v>45474</v>
      </c>
      <c r="B67" s="28" t="n">
        <f aca="false">COUNTIFS(Trades!$E$2:$E$884,$A67)</f>
        <v>4</v>
      </c>
      <c r="C67" s="28" t="n">
        <f aca="false">COUNTIFS(Trades!$E$2:$E$884,$A67,Trades!$Z$2:$Z$884,"Win")</f>
        <v>1</v>
      </c>
      <c r="D67" s="28" t="n">
        <f aca="false">COUNTIFS(Trades!$E$2:$E$884,$A67,Trades!$Z$2:$Z$884,"Loss")</f>
        <v>2</v>
      </c>
      <c r="E67" s="29" t="n">
        <f aca="false">IFERROR(C67/B67,0)</f>
        <v>0.25</v>
      </c>
      <c r="F67" s="30" t="n">
        <f aca="false">SUMIFS(Trades!$X$2:$X$884,Trades!$E$2:$E$884,$A67)</f>
        <v>-220.53</v>
      </c>
      <c r="G67" s="30" t="n">
        <f aca="false">SUMIFS(Trades!$X$2:$X$884,Trades!$E$2:$E$884,$A67,Trades!$X$2:$X$884,"&gt;0")</f>
        <v>23.09</v>
      </c>
      <c r="H67" s="30" t="n">
        <f aca="false">SUMIFS(Trades!$X$2:$X$884,Trades!$E$2:$E$884,$A67,Trades!$X$2:$X$884,"&lt;0")</f>
        <v>-243.62</v>
      </c>
      <c r="I67" s="31" t="n">
        <f aca="false">IFERROR(G67/-H67,"no loss")</f>
        <v>0.0947787537968968</v>
      </c>
      <c r="J67" s="30" t="n">
        <f aca="false">_xlfn.MAXIFS(Trades!$X$2:$X$884,Trades!$E$2:$E$884,$A67)</f>
        <v>23.09</v>
      </c>
      <c r="K67" s="30" t="n">
        <f aca="false">_xlfn.MINIFS(Trades!$X$2:$X$884,Trades!$E$2:$E$884,$A67)</f>
        <v>-210.59</v>
      </c>
      <c r="L67" s="32" t="n">
        <f aca="false">SUMIFS(Trades!$Y$2:$Y$884,Trades!$E$2:$E$884,$A67)</f>
        <v>-0.0526911574413396</v>
      </c>
      <c r="M67" s="30" t="n">
        <f aca="false">P66</f>
        <v>105715.4</v>
      </c>
      <c r="N67" s="29" t="n">
        <f aca="false">IFERROR(F67/M67,0)</f>
        <v>-0.00208607260626172</v>
      </c>
      <c r="O67" s="28" t="str">
        <f aca="false">IF(F67&lt;0,"down week","")</f>
        <v>down week</v>
      </c>
      <c r="P67" s="30" t="n">
        <f aca="false">M67+F67</f>
        <v>105494.87</v>
      </c>
      <c r="Q67" s="30" t="n">
        <f aca="false">P67-Summary!$C$5</f>
        <v>5494.87000000001</v>
      </c>
    </row>
    <row r="68" customFormat="false" ht="15" hidden="false" customHeight="false" outlineLevel="0" collapsed="false">
      <c r="A68" s="42" t="n">
        <v>45481</v>
      </c>
      <c r="B68" s="28" t="n">
        <f aca="false">COUNTIFS(Trades!$E$2:$E$884,$A68)</f>
        <v>5</v>
      </c>
      <c r="C68" s="28" t="n">
        <f aca="false">COUNTIFS(Trades!$E$2:$E$884,$A68,Trades!$Z$2:$Z$884,"Win")</f>
        <v>2</v>
      </c>
      <c r="D68" s="28" t="n">
        <f aca="false">COUNTIFS(Trades!$E$2:$E$884,$A68,Trades!$Z$2:$Z$884,"Loss")</f>
        <v>3</v>
      </c>
      <c r="E68" s="29" t="n">
        <f aca="false">IFERROR(C68/B68,0)</f>
        <v>0.4</v>
      </c>
      <c r="F68" s="30" t="n">
        <f aca="false">SUMIFS(Trades!$X$2:$X$884,Trades!$E$2:$E$884,$A68)</f>
        <v>376.36</v>
      </c>
      <c r="G68" s="30" t="n">
        <f aca="false">SUMIFS(Trades!$X$2:$X$884,Trades!$E$2:$E$884,$A68,Trades!$X$2:$X$884,"&gt;0")</f>
        <v>504.72</v>
      </c>
      <c r="H68" s="30" t="n">
        <f aca="false">SUMIFS(Trades!$X$2:$X$884,Trades!$E$2:$E$884,$A68,Trades!$X$2:$X$884,"&lt;0")</f>
        <v>-128.36</v>
      </c>
      <c r="I68" s="31" t="n">
        <f aca="false">IFERROR(G68/-H68,"no loss")</f>
        <v>3.93206606419445</v>
      </c>
      <c r="J68" s="30" t="n">
        <f aca="false">_xlfn.MAXIFS(Trades!$X$2:$X$884,Trades!$E$2:$E$884,$A68)</f>
        <v>434.98</v>
      </c>
      <c r="K68" s="30" t="n">
        <f aca="false">_xlfn.MINIFS(Trades!$X$2:$X$884,Trades!$E$2:$E$884,$A68)</f>
        <v>-96.23</v>
      </c>
      <c r="L68" s="32" t="n">
        <f aca="false">SUMIFS(Trades!$Y$2:$Y$884,Trades!$E$2:$E$884,$A68)</f>
        <v>2.20731677392112</v>
      </c>
      <c r="M68" s="30" t="n">
        <f aca="false">P67</f>
        <v>105494.87</v>
      </c>
      <c r="N68" s="29" t="n">
        <f aca="false">IFERROR(F68/M68,0)</f>
        <v>0.00356756683997999</v>
      </c>
      <c r="O68" s="28" t="str">
        <f aca="false">IF(F68&lt;0,"down week","")</f>
        <v/>
      </c>
      <c r="P68" s="30" t="n">
        <f aca="false">M68+F68</f>
        <v>105871.23</v>
      </c>
      <c r="Q68" s="30" t="n">
        <f aca="false">P68-Summary!$C$5</f>
        <v>5871.23000000001</v>
      </c>
    </row>
    <row r="69" customFormat="false" ht="15" hidden="false" customHeight="false" outlineLevel="0" collapsed="false">
      <c r="A69" s="42" t="n">
        <v>45488</v>
      </c>
      <c r="B69" s="28" t="n">
        <f aca="false">COUNTIFS(Trades!$E$2:$E$884,$A69)</f>
        <v>5</v>
      </c>
      <c r="C69" s="28" t="n">
        <f aca="false">COUNTIFS(Trades!$E$2:$E$884,$A69,Trades!$Z$2:$Z$884,"Win")</f>
        <v>2</v>
      </c>
      <c r="D69" s="28" t="n">
        <f aca="false">COUNTIFS(Trades!$E$2:$E$884,$A69,Trades!$Z$2:$Z$884,"Loss")</f>
        <v>3</v>
      </c>
      <c r="E69" s="29" t="n">
        <f aca="false">IFERROR(C69/B69,0)</f>
        <v>0.4</v>
      </c>
      <c r="F69" s="30" t="n">
        <f aca="false">SUMIFS(Trades!$X$2:$X$884,Trades!$E$2:$E$884,$A69)</f>
        <v>130.45</v>
      </c>
      <c r="G69" s="30" t="n">
        <f aca="false">SUMIFS(Trades!$X$2:$X$884,Trades!$E$2:$E$884,$A69,Trades!$X$2:$X$884,"&gt;0")</f>
        <v>312.99</v>
      </c>
      <c r="H69" s="30" t="n">
        <f aca="false">SUMIFS(Trades!$X$2:$X$884,Trades!$E$2:$E$884,$A69,Trades!$X$2:$X$884,"&lt;0")</f>
        <v>-182.54</v>
      </c>
      <c r="I69" s="31" t="n">
        <f aca="false">IFERROR(G69/-H69,"no loss")</f>
        <v>1.71463788758628</v>
      </c>
      <c r="J69" s="30" t="n">
        <f aca="false">_xlfn.MAXIFS(Trades!$X$2:$X$884,Trades!$E$2:$E$884,$A69)</f>
        <v>183.59</v>
      </c>
      <c r="K69" s="30" t="n">
        <f aca="false">_xlfn.MINIFS(Trades!$X$2:$X$884,Trades!$E$2:$E$884,$A69)</f>
        <v>-179.22</v>
      </c>
      <c r="L69" s="32" t="n">
        <f aca="false">SUMIFS(Trades!$Y$2:$Y$884,Trades!$E$2:$E$884,$A69)</f>
        <v>3.03962442372402</v>
      </c>
      <c r="M69" s="30" t="n">
        <f aca="false">P68</f>
        <v>105871.23</v>
      </c>
      <c r="N69" s="29" t="n">
        <f aca="false">IFERROR(F69/M69,0)</f>
        <v>0.00123215721589331</v>
      </c>
      <c r="O69" s="28" t="str">
        <f aca="false">IF(F69&lt;0,"down week","")</f>
        <v/>
      </c>
      <c r="P69" s="30" t="n">
        <f aca="false">M69+F69</f>
        <v>106001.68</v>
      </c>
      <c r="Q69" s="30" t="n">
        <f aca="false">P69-Summary!$C$5</f>
        <v>6001.68000000001</v>
      </c>
    </row>
    <row r="70" customFormat="false" ht="15" hidden="false" customHeight="false" outlineLevel="0" collapsed="false">
      <c r="A70" s="42" t="n">
        <v>45495</v>
      </c>
      <c r="B70" s="28" t="n">
        <f aca="false">COUNTIFS(Trades!$E$2:$E$884,$A70)</f>
        <v>4</v>
      </c>
      <c r="C70" s="28" t="n">
        <f aca="false">COUNTIFS(Trades!$E$2:$E$884,$A70,Trades!$Z$2:$Z$884,"Win")</f>
        <v>1</v>
      </c>
      <c r="D70" s="28" t="n">
        <f aca="false">COUNTIFS(Trades!$E$2:$E$884,$A70,Trades!$Z$2:$Z$884,"Loss")</f>
        <v>3</v>
      </c>
      <c r="E70" s="29" t="n">
        <f aca="false">IFERROR(C70/B70,0)</f>
        <v>0.25</v>
      </c>
      <c r="F70" s="30" t="n">
        <f aca="false">SUMIFS(Trades!$X$2:$X$884,Trades!$E$2:$E$884,$A70)</f>
        <v>150.43</v>
      </c>
      <c r="G70" s="30" t="n">
        <f aca="false">SUMIFS(Trades!$X$2:$X$884,Trades!$E$2:$E$884,$A70,Trades!$X$2:$X$884,"&gt;0")</f>
        <v>498.72</v>
      </c>
      <c r="H70" s="30" t="n">
        <f aca="false">SUMIFS(Trades!$X$2:$X$884,Trades!$E$2:$E$884,$A70,Trades!$X$2:$X$884,"&lt;0")</f>
        <v>-348.29</v>
      </c>
      <c r="I70" s="31" t="n">
        <f aca="false">IFERROR(G70/-H70,"no loss")</f>
        <v>1.43191018978438</v>
      </c>
      <c r="J70" s="30" t="n">
        <f aca="false">_xlfn.MAXIFS(Trades!$X$2:$X$884,Trades!$E$2:$E$884,$A70)</f>
        <v>498.72</v>
      </c>
      <c r="K70" s="30" t="n">
        <f aca="false">_xlfn.MINIFS(Trades!$X$2:$X$884,Trades!$E$2:$E$884,$A70)</f>
        <v>-183.75</v>
      </c>
      <c r="L70" s="32" t="n">
        <f aca="false">SUMIFS(Trades!$Y$2:$Y$884,Trades!$E$2:$E$884,$A70)</f>
        <v>-0.0401941828400042</v>
      </c>
      <c r="M70" s="30" t="n">
        <f aca="false">P69</f>
        <v>106001.68</v>
      </c>
      <c r="N70" s="29" t="n">
        <f aca="false">IFERROR(F70/M70,0)</f>
        <v>0.00141912845154907</v>
      </c>
      <c r="O70" s="28" t="str">
        <f aca="false">IF(F70&lt;0,"down week","")</f>
        <v/>
      </c>
      <c r="P70" s="30" t="n">
        <f aca="false">M70+F70</f>
        <v>106152.11</v>
      </c>
      <c r="Q70" s="30" t="n">
        <f aca="false">P70-Summary!$C$5</f>
        <v>6152.11</v>
      </c>
    </row>
    <row r="71" customFormat="false" ht="15" hidden="false" customHeight="false" outlineLevel="0" collapsed="false">
      <c r="A71" s="42" t="n">
        <v>45502</v>
      </c>
      <c r="B71" s="28" t="n">
        <f aca="false">COUNTIFS(Trades!$E$2:$E$884,$A71)</f>
        <v>5</v>
      </c>
      <c r="C71" s="28" t="n">
        <f aca="false">COUNTIFS(Trades!$E$2:$E$884,$A71,Trades!$Z$2:$Z$884,"Win")</f>
        <v>2</v>
      </c>
      <c r="D71" s="28" t="n">
        <f aca="false">COUNTIFS(Trades!$E$2:$E$884,$A71,Trades!$Z$2:$Z$884,"Loss")</f>
        <v>3</v>
      </c>
      <c r="E71" s="29" t="n">
        <f aca="false">IFERROR(C71/B71,0)</f>
        <v>0.4</v>
      </c>
      <c r="F71" s="30" t="n">
        <f aca="false">SUMIFS(Trades!$X$2:$X$884,Trades!$E$2:$E$884,$A71)</f>
        <v>22.7</v>
      </c>
      <c r="G71" s="30" t="n">
        <f aca="false">SUMIFS(Trades!$X$2:$X$884,Trades!$E$2:$E$884,$A71,Trades!$X$2:$X$884,"&gt;0")</f>
        <v>219.32</v>
      </c>
      <c r="H71" s="30" t="n">
        <f aca="false">SUMIFS(Trades!$X$2:$X$884,Trades!$E$2:$E$884,$A71,Trades!$X$2:$X$884,"&lt;0")</f>
        <v>-196.62</v>
      </c>
      <c r="I71" s="31" t="n">
        <f aca="false">IFERROR(G71/-H71,"no loss")</f>
        <v>1.11545112399552</v>
      </c>
      <c r="J71" s="30" t="n">
        <f aca="false">_xlfn.MAXIFS(Trades!$X$2:$X$884,Trades!$E$2:$E$884,$A71)</f>
        <v>116.26</v>
      </c>
      <c r="K71" s="30" t="n">
        <f aca="false">_xlfn.MINIFS(Trades!$X$2:$X$884,Trades!$E$2:$E$884,$A71)</f>
        <v>-105.12</v>
      </c>
      <c r="L71" s="32" t="n">
        <f aca="false">SUMIFS(Trades!$Y$2:$Y$884,Trades!$E$2:$E$884,$A71)</f>
        <v>2.08191397227634</v>
      </c>
      <c r="M71" s="30" t="n">
        <f aca="false">P70</f>
        <v>106152.11</v>
      </c>
      <c r="N71" s="29" t="n">
        <f aca="false">IFERROR(F71/M71,0)</f>
        <v>0.000213844077145523</v>
      </c>
      <c r="O71" s="28" t="str">
        <f aca="false">IF(F71&lt;0,"down week","")</f>
        <v/>
      </c>
      <c r="P71" s="30" t="n">
        <f aca="false">M71+F71</f>
        <v>106174.81</v>
      </c>
      <c r="Q71" s="30" t="n">
        <f aca="false">P71-Summary!$C$5</f>
        <v>6174.81</v>
      </c>
    </row>
    <row r="72" customFormat="false" ht="15" hidden="false" customHeight="false" outlineLevel="0" collapsed="false">
      <c r="A72" s="42" t="n">
        <v>45509</v>
      </c>
      <c r="B72" s="28" t="n">
        <f aca="false">COUNTIFS(Trades!$E$2:$E$884,$A72)</f>
        <v>5</v>
      </c>
      <c r="C72" s="28" t="n">
        <f aca="false">COUNTIFS(Trades!$E$2:$E$884,$A72,Trades!$Z$2:$Z$884,"Win")</f>
        <v>1</v>
      </c>
      <c r="D72" s="28" t="n">
        <f aca="false">COUNTIFS(Trades!$E$2:$E$884,$A72,Trades!$Z$2:$Z$884,"Loss")</f>
        <v>4</v>
      </c>
      <c r="E72" s="29" t="n">
        <f aca="false">IFERROR(C72/B72,0)</f>
        <v>0.2</v>
      </c>
      <c r="F72" s="30" t="n">
        <f aca="false">SUMIFS(Trades!$X$2:$X$884,Trades!$E$2:$E$884,$A72)</f>
        <v>-604.3</v>
      </c>
      <c r="G72" s="30" t="n">
        <f aca="false">SUMIFS(Trades!$X$2:$X$884,Trades!$E$2:$E$884,$A72,Trades!$X$2:$X$884,"&gt;0")</f>
        <v>261.4</v>
      </c>
      <c r="H72" s="30" t="n">
        <f aca="false">SUMIFS(Trades!$X$2:$X$884,Trades!$E$2:$E$884,$A72,Trades!$X$2:$X$884,"&lt;0")</f>
        <v>-865.7</v>
      </c>
      <c r="I72" s="31" t="n">
        <f aca="false">IFERROR(G72/-H72,"no loss")</f>
        <v>0.30195217742867</v>
      </c>
      <c r="J72" s="30" t="n">
        <f aca="false">_xlfn.MAXIFS(Trades!$X$2:$X$884,Trades!$E$2:$E$884,$A72)</f>
        <v>261.4</v>
      </c>
      <c r="K72" s="30" t="n">
        <f aca="false">_xlfn.MINIFS(Trades!$X$2:$X$884,Trades!$E$2:$E$884,$A72)</f>
        <v>-364.88</v>
      </c>
      <c r="L72" s="32" t="n">
        <f aca="false">SUMIFS(Trades!$Y$2:$Y$884,Trades!$E$2:$E$884,$A72)</f>
        <v>-1.16061542524968</v>
      </c>
      <c r="M72" s="30" t="n">
        <f aca="false">P71</f>
        <v>106174.81</v>
      </c>
      <c r="N72" s="29" t="n">
        <f aca="false">IFERROR(F72/M72,0)</f>
        <v>-0.00569155715936765</v>
      </c>
      <c r="O72" s="28" t="str">
        <f aca="false">IF(F72&lt;0,"down week","")</f>
        <v>down week</v>
      </c>
      <c r="P72" s="30" t="n">
        <f aca="false">M72+F72</f>
        <v>105570.51</v>
      </c>
      <c r="Q72" s="30" t="n">
        <f aca="false">P72-Summary!$C$5</f>
        <v>5570.51</v>
      </c>
    </row>
    <row r="73" customFormat="false" ht="15" hidden="false" customHeight="false" outlineLevel="0" collapsed="false">
      <c r="A73" s="42" t="n">
        <v>45516</v>
      </c>
      <c r="B73" s="28" t="n">
        <f aca="false">COUNTIFS(Trades!$E$2:$E$884,$A73)</f>
        <v>5</v>
      </c>
      <c r="C73" s="28" t="n">
        <f aca="false">COUNTIFS(Trades!$E$2:$E$884,$A73,Trades!$Z$2:$Z$884,"Win")</f>
        <v>2</v>
      </c>
      <c r="D73" s="28" t="n">
        <f aca="false">COUNTIFS(Trades!$E$2:$E$884,$A73,Trades!$Z$2:$Z$884,"Loss")</f>
        <v>3</v>
      </c>
      <c r="E73" s="29" t="n">
        <f aca="false">IFERROR(C73/B73,0)</f>
        <v>0.4</v>
      </c>
      <c r="F73" s="30" t="n">
        <f aca="false">SUMIFS(Trades!$X$2:$X$884,Trades!$E$2:$E$884,$A73)</f>
        <v>141.1</v>
      </c>
      <c r="G73" s="30" t="n">
        <f aca="false">SUMIFS(Trades!$X$2:$X$884,Trades!$E$2:$E$884,$A73,Trades!$X$2:$X$884,"&gt;0")</f>
        <v>284.62</v>
      </c>
      <c r="H73" s="30" t="n">
        <f aca="false">SUMIFS(Trades!$X$2:$X$884,Trades!$E$2:$E$884,$A73,Trades!$X$2:$X$884,"&lt;0")</f>
        <v>-143.52</v>
      </c>
      <c r="I73" s="31" t="n">
        <f aca="false">IFERROR(G73/-H73,"no loss")</f>
        <v>1.98313823857302</v>
      </c>
      <c r="J73" s="30" t="n">
        <f aca="false">_xlfn.MAXIFS(Trades!$X$2:$X$884,Trades!$E$2:$E$884,$A73)</f>
        <v>148.25</v>
      </c>
      <c r="K73" s="30" t="n">
        <f aca="false">_xlfn.MINIFS(Trades!$X$2:$X$884,Trades!$E$2:$E$884,$A73)</f>
        <v>-78.62</v>
      </c>
      <c r="L73" s="32" t="n">
        <f aca="false">SUMIFS(Trades!$Y$2:$Y$884,Trades!$E$2:$E$884,$A73)</f>
        <v>2.80458284258022</v>
      </c>
      <c r="M73" s="30" t="n">
        <f aca="false">P72</f>
        <v>105570.51</v>
      </c>
      <c r="N73" s="29" t="n">
        <f aca="false">IFERROR(F73/M73,0)</f>
        <v>0.00133654748849845</v>
      </c>
      <c r="O73" s="28" t="str">
        <f aca="false">IF(F73&lt;0,"down week","")</f>
        <v/>
      </c>
      <c r="P73" s="30" t="n">
        <f aca="false">M73+F73</f>
        <v>105711.61</v>
      </c>
      <c r="Q73" s="30" t="n">
        <f aca="false">P73-Summary!$C$5</f>
        <v>5711.61</v>
      </c>
    </row>
    <row r="74" customFormat="false" ht="15" hidden="false" customHeight="false" outlineLevel="0" collapsed="false">
      <c r="A74" s="42" t="n">
        <v>45523</v>
      </c>
      <c r="B74" s="28" t="n">
        <f aca="false">COUNTIFS(Trades!$E$2:$E$884,$A74)</f>
        <v>5</v>
      </c>
      <c r="C74" s="28" t="n">
        <f aca="false">COUNTIFS(Trades!$E$2:$E$884,$A74,Trades!$Z$2:$Z$884,"Win")</f>
        <v>1</v>
      </c>
      <c r="D74" s="28" t="n">
        <f aca="false">COUNTIFS(Trades!$E$2:$E$884,$A74,Trades!$Z$2:$Z$884,"Loss")</f>
        <v>4</v>
      </c>
      <c r="E74" s="29" t="n">
        <f aca="false">IFERROR(C74/B74,0)</f>
        <v>0.2</v>
      </c>
      <c r="F74" s="30" t="n">
        <f aca="false">SUMIFS(Trades!$X$2:$X$884,Trades!$E$2:$E$884,$A74)</f>
        <v>92.74</v>
      </c>
      <c r="G74" s="30" t="n">
        <f aca="false">SUMIFS(Trades!$X$2:$X$884,Trades!$E$2:$E$884,$A74,Trades!$X$2:$X$884,"&gt;0")</f>
        <v>282.72</v>
      </c>
      <c r="H74" s="30" t="n">
        <f aca="false">SUMIFS(Trades!$X$2:$X$884,Trades!$E$2:$E$884,$A74,Trades!$X$2:$X$884,"&lt;0")</f>
        <v>-189.98</v>
      </c>
      <c r="I74" s="31" t="n">
        <f aca="false">IFERROR(G74/-H74,"no loss")</f>
        <v>1.48815664806822</v>
      </c>
      <c r="J74" s="30" t="n">
        <f aca="false">_xlfn.MAXIFS(Trades!$X$2:$X$884,Trades!$E$2:$E$884,$A74)</f>
        <v>282.72</v>
      </c>
      <c r="K74" s="30" t="n">
        <f aca="false">_xlfn.MINIFS(Trades!$X$2:$X$884,Trades!$E$2:$E$884,$A74)</f>
        <v>-78.1</v>
      </c>
      <c r="L74" s="32" t="n">
        <f aca="false">SUMIFS(Trades!$Y$2:$Y$884,Trades!$E$2:$E$884,$A74)</f>
        <v>-1.15840438321975</v>
      </c>
      <c r="M74" s="30" t="n">
        <f aca="false">P73</f>
        <v>105711.61</v>
      </c>
      <c r="N74" s="29" t="n">
        <f aca="false">IFERROR(F74/M74,0)</f>
        <v>0.000877292475254138</v>
      </c>
      <c r="O74" s="28" t="str">
        <f aca="false">IF(F74&lt;0,"down week","")</f>
        <v/>
      </c>
      <c r="P74" s="30" t="n">
        <f aca="false">M74+F74</f>
        <v>105804.35</v>
      </c>
      <c r="Q74" s="30" t="n">
        <f aca="false">P74-Summary!$C$5</f>
        <v>5804.35000000001</v>
      </c>
    </row>
    <row r="75" customFormat="false" ht="15" hidden="false" customHeight="false" outlineLevel="0" collapsed="false">
      <c r="A75" s="42" t="n">
        <v>45530</v>
      </c>
      <c r="B75" s="28" t="n">
        <f aca="false">COUNTIFS(Trades!$E$2:$E$884,$A75)</f>
        <v>5</v>
      </c>
      <c r="C75" s="28" t="n">
        <f aca="false">COUNTIFS(Trades!$E$2:$E$884,$A75,Trades!$Z$2:$Z$884,"Win")</f>
        <v>2</v>
      </c>
      <c r="D75" s="28" t="n">
        <f aca="false">COUNTIFS(Trades!$E$2:$E$884,$A75,Trades!$Z$2:$Z$884,"Loss")</f>
        <v>3</v>
      </c>
      <c r="E75" s="29" t="n">
        <f aca="false">IFERROR(C75/B75,0)</f>
        <v>0.4</v>
      </c>
      <c r="F75" s="30" t="n">
        <f aca="false">SUMIFS(Trades!$X$2:$X$884,Trades!$E$2:$E$884,$A75)</f>
        <v>429.18</v>
      </c>
      <c r="G75" s="30" t="n">
        <f aca="false">SUMIFS(Trades!$X$2:$X$884,Trades!$E$2:$E$884,$A75,Trades!$X$2:$X$884,"&gt;0")</f>
        <v>624.58</v>
      </c>
      <c r="H75" s="30" t="n">
        <f aca="false">SUMIFS(Trades!$X$2:$X$884,Trades!$E$2:$E$884,$A75,Trades!$X$2:$X$884,"&lt;0")</f>
        <v>-195.4</v>
      </c>
      <c r="I75" s="31" t="n">
        <f aca="false">IFERROR(G75/-H75,"no loss")</f>
        <v>3.196417604913</v>
      </c>
      <c r="J75" s="30" t="n">
        <f aca="false">_xlfn.MAXIFS(Trades!$X$2:$X$884,Trades!$E$2:$E$884,$A75)</f>
        <v>327.36</v>
      </c>
      <c r="K75" s="30" t="n">
        <f aca="false">_xlfn.MINIFS(Trades!$X$2:$X$884,Trades!$E$2:$E$884,$A75)</f>
        <v>-105.79</v>
      </c>
      <c r="L75" s="32" t="n">
        <f aca="false">SUMIFS(Trades!$Y$2:$Y$884,Trades!$E$2:$E$884,$A75)</f>
        <v>1.9947214302771</v>
      </c>
      <c r="M75" s="30" t="n">
        <f aca="false">P74</f>
        <v>105804.35</v>
      </c>
      <c r="N75" s="29" t="n">
        <f aca="false">IFERROR(F75/M75,0)</f>
        <v>0.00405635496083101</v>
      </c>
      <c r="O75" s="28" t="str">
        <f aca="false">IF(F75&lt;0,"down week","")</f>
        <v/>
      </c>
      <c r="P75" s="30" t="n">
        <f aca="false">M75+F75</f>
        <v>106233.53</v>
      </c>
      <c r="Q75" s="30" t="n">
        <f aca="false">P75-Summary!$C$5</f>
        <v>6233.53</v>
      </c>
    </row>
    <row r="76" customFormat="false" ht="15" hidden="false" customHeight="false" outlineLevel="0" collapsed="false">
      <c r="A76" s="42" t="n">
        <v>45537</v>
      </c>
      <c r="B76" s="28" t="n">
        <f aca="false">COUNTIFS(Trades!$E$2:$E$884,$A76)</f>
        <v>6</v>
      </c>
      <c r="C76" s="28" t="n">
        <f aca="false">COUNTIFS(Trades!$E$2:$E$884,$A76,Trades!$Z$2:$Z$884,"Win")</f>
        <v>1</v>
      </c>
      <c r="D76" s="28" t="n">
        <f aca="false">COUNTIFS(Trades!$E$2:$E$884,$A76,Trades!$Z$2:$Z$884,"Loss")</f>
        <v>5</v>
      </c>
      <c r="E76" s="29" t="n">
        <f aca="false">IFERROR(C76/B76,0)</f>
        <v>0.166666666666667</v>
      </c>
      <c r="F76" s="30" t="n">
        <f aca="false">SUMIFS(Trades!$X$2:$X$884,Trades!$E$2:$E$884,$A76)</f>
        <v>-61.33</v>
      </c>
      <c r="G76" s="30" t="n">
        <f aca="false">SUMIFS(Trades!$X$2:$X$884,Trades!$E$2:$E$884,$A76,Trades!$X$2:$X$884,"&gt;0")</f>
        <v>217.78</v>
      </c>
      <c r="H76" s="30" t="n">
        <f aca="false">SUMIFS(Trades!$X$2:$X$884,Trades!$E$2:$E$884,$A76,Trades!$X$2:$X$884,"&lt;0")</f>
        <v>-279.11</v>
      </c>
      <c r="I76" s="31" t="n">
        <f aca="false">IFERROR(G76/-H76,"no loss")</f>
        <v>0.780265845007345</v>
      </c>
      <c r="J76" s="30" t="n">
        <f aca="false">_xlfn.MAXIFS(Trades!$X$2:$X$884,Trades!$E$2:$E$884,$A76)</f>
        <v>217.78</v>
      </c>
      <c r="K76" s="30" t="n">
        <f aca="false">_xlfn.MINIFS(Trades!$X$2:$X$884,Trades!$E$2:$E$884,$A76)</f>
        <v>-198.2</v>
      </c>
      <c r="L76" s="32" t="n">
        <f aca="false">SUMIFS(Trades!$Y$2:$Y$884,Trades!$E$2:$E$884,$A76)</f>
        <v>-0.0811096547427575</v>
      </c>
      <c r="M76" s="30" t="n">
        <f aca="false">P75</f>
        <v>106233.53</v>
      </c>
      <c r="N76" s="29" t="n">
        <f aca="false">IFERROR(F76/M76,0)</f>
        <v>-0.000577313019721739</v>
      </c>
      <c r="O76" s="28" t="str">
        <f aca="false">IF(F76&lt;0,"down week","")</f>
        <v>down week</v>
      </c>
      <c r="P76" s="30" t="n">
        <f aca="false">M76+F76</f>
        <v>106172.2</v>
      </c>
      <c r="Q76" s="30" t="n">
        <f aca="false">P76-Summary!$C$5</f>
        <v>6172.2</v>
      </c>
    </row>
    <row r="77" customFormat="false" ht="15" hidden="false" customHeight="false" outlineLevel="0" collapsed="false">
      <c r="A77" s="42" t="n">
        <v>45544</v>
      </c>
      <c r="B77" s="28" t="n">
        <f aca="false">COUNTIFS(Trades!$E$2:$E$884,$A77)</f>
        <v>6</v>
      </c>
      <c r="C77" s="28" t="n">
        <f aca="false">COUNTIFS(Trades!$E$2:$E$884,$A77,Trades!$Z$2:$Z$884,"Win")</f>
        <v>0</v>
      </c>
      <c r="D77" s="28" t="n">
        <f aca="false">COUNTIFS(Trades!$E$2:$E$884,$A77,Trades!$Z$2:$Z$884,"Loss")</f>
        <v>6</v>
      </c>
      <c r="E77" s="29" t="n">
        <f aca="false">IFERROR(C77/B77,0)</f>
        <v>0</v>
      </c>
      <c r="F77" s="30" t="n">
        <f aca="false">SUMIFS(Trades!$X$2:$X$884,Trades!$E$2:$E$884,$A77)</f>
        <v>-454.76</v>
      </c>
      <c r="G77" s="30" t="n">
        <f aca="false">SUMIFS(Trades!$X$2:$X$884,Trades!$E$2:$E$884,$A77,Trades!$X$2:$X$884,"&gt;0")</f>
        <v>0</v>
      </c>
      <c r="H77" s="30" t="n">
        <f aca="false">SUMIFS(Trades!$X$2:$X$884,Trades!$E$2:$E$884,$A77,Trades!$X$2:$X$884,"&lt;0")</f>
        <v>-454.76</v>
      </c>
      <c r="I77" s="31" t="n">
        <f aca="false">IFERROR(G77/-H77,"no loss")</f>
        <v>0</v>
      </c>
      <c r="J77" s="30" t="n">
        <f aca="false">_xlfn.MAXIFS(Trades!$X$2:$X$884,Trades!$E$2:$E$884,$A77)</f>
        <v>-1.2</v>
      </c>
      <c r="K77" s="30" t="n">
        <f aca="false">_xlfn.MINIFS(Trades!$X$2:$X$884,Trades!$E$2:$E$884,$A77)</f>
        <v>-193.15</v>
      </c>
      <c r="L77" s="32" t="n">
        <f aca="false">SUMIFS(Trades!$Y$2:$Y$884,Trades!$E$2:$E$884,$A77)</f>
        <v>-4.07045346230498</v>
      </c>
      <c r="M77" s="30" t="n">
        <f aca="false">P76</f>
        <v>106172.2</v>
      </c>
      <c r="N77" s="29" t="n">
        <f aca="false">IFERROR(F77/M77,0)</f>
        <v>-0.0042832304501555</v>
      </c>
      <c r="O77" s="28" t="str">
        <f aca="false">IF(F77&lt;0,"down week","")</f>
        <v>down week</v>
      </c>
      <c r="P77" s="30" t="n">
        <f aca="false">M77+F77</f>
        <v>105717.44</v>
      </c>
      <c r="Q77" s="30" t="n">
        <f aca="false">P77-Summary!$C$5</f>
        <v>5717.44</v>
      </c>
    </row>
    <row r="78" customFormat="false" ht="15" hidden="false" customHeight="false" outlineLevel="0" collapsed="false">
      <c r="A78" s="42" t="n">
        <v>45551</v>
      </c>
      <c r="B78" s="28" t="n">
        <f aca="false">COUNTIFS(Trades!$E$2:$E$884,$A78)</f>
        <v>4</v>
      </c>
      <c r="C78" s="28" t="n">
        <f aca="false">COUNTIFS(Trades!$E$2:$E$884,$A78,Trades!$Z$2:$Z$884,"Win")</f>
        <v>2</v>
      </c>
      <c r="D78" s="28" t="n">
        <f aca="false">COUNTIFS(Trades!$E$2:$E$884,$A78,Trades!$Z$2:$Z$884,"Loss")</f>
        <v>2</v>
      </c>
      <c r="E78" s="29" t="n">
        <f aca="false">IFERROR(C78/B78,0)</f>
        <v>0.5</v>
      </c>
      <c r="F78" s="30" t="n">
        <f aca="false">SUMIFS(Trades!$X$2:$X$884,Trades!$E$2:$E$884,$A78)</f>
        <v>84.64</v>
      </c>
      <c r="G78" s="30" t="n">
        <f aca="false">SUMIFS(Trades!$X$2:$X$884,Trades!$E$2:$E$884,$A78,Trades!$X$2:$X$884,"&gt;0")</f>
        <v>312.68</v>
      </c>
      <c r="H78" s="30" t="n">
        <f aca="false">SUMIFS(Trades!$X$2:$X$884,Trades!$E$2:$E$884,$A78,Trades!$X$2:$X$884,"&lt;0")</f>
        <v>-228.04</v>
      </c>
      <c r="I78" s="31" t="n">
        <f aca="false">IFERROR(G78/-H78,"no loss")</f>
        <v>1.37116295386774</v>
      </c>
      <c r="J78" s="30" t="n">
        <f aca="false">_xlfn.MAXIFS(Trades!$X$2:$X$884,Trades!$E$2:$E$884,$A78)</f>
        <v>260.5</v>
      </c>
      <c r="K78" s="30" t="n">
        <f aca="false">_xlfn.MINIFS(Trades!$X$2:$X$884,Trades!$E$2:$E$884,$A78)</f>
        <v>-227.9</v>
      </c>
      <c r="L78" s="32" t="n">
        <f aca="false">SUMIFS(Trades!$Y$2:$Y$884,Trades!$E$2:$E$884,$A78)</f>
        <v>3.02178192450053</v>
      </c>
      <c r="M78" s="30" t="n">
        <f aca="false">P77</f>
        <v>105717.44</v>
      </c>
      <c r="N78" s="29" t="n">
        <f aca="false">IFERROR(F78/M78,0)</f>
        <v>0.000800624759736899</v>
      </c>
      <c r="O78" s="28" t="str">
        <f aca="false">IF(F78&lt;0,"down week","")</f>
        <v/>
      </c>
      <c r="P78" s="30" t="n">
        <f aca="false">M78+F78</f>
        <v>105802.08</v>
      </c>
      <c r="Q78" s="30" t="n">
        <f aca="false">P78-Summary!$C$5</f>
        <v>5802.08</v>
      </c>
    </row>
    <row r="79" customFormat="false" ht="15" hidden="false" customHeight="false" outlineLevel="0" collapsed="false">
      <c r="A79" s="42" t="n">
        <v>45558</v>
      </c>
      <c r="B79" s="28" t="n">
        <f aca="false">COUNTIFS(Trades!$E$2:$E$884,$A79)</f>
        <v>4</v>
      </c>
      <c r="C79" s="28" t="n">
        <f aca="false">COUNTIFS(Trades!$E$2:$E$884,$A79,Trades!$Z$2:$Z$884,"Win")</f>
        <v>2</v>
      </c>
      <c r="D79" s="28" t="n">
        <f aca="false">COUNTIFS(Trades!$E$2:$E$884,$A79,Trades!$Z$2:$Z$884,"Loss")</f>
        <v>2</v>
      </c>
      <c r="E79" s="29" t="n">
        <f aca="false">IFERROR(C79/B79,0)</f>
        <v>0.5</v>
      </c>
      <c r="F79" s="30" t="n">
        <f aca="false">SUMIFS(Trades!$X$2:$X$884,Trades!$E$2:$E$884,$A79)</f>
        <v>191.08</v>
      </c>
      <c r="G79" s="30" t="n">
        <f aca="false">SUMIFS(Trades!$X$2:$X$884,Trades!$E$2:$E$884,$A79,Trades!$X$2:$X$884,"&gt;0")</f>
        <v>194.39</v>
      </c>
      <c r="H79" s="30" t="n">
        <f aca="false">SUMIFS(Trades!$X$2:$X$884,Trades!$E$2:$E$884,$A79,Trades!$X$2:$X$884,"&lt;0")</f>
        <v>-3.31</v>
      </c>
      <c r="I79" s="31" t="n">
        <f aca="false">IFERROR(G79/-H79,"no loss")</f>
        <v>58.7280966767372</v>
      </c>
      <c r="J79" s="30" t="n">
        <f aca="false">_xlfn.MAXIFS(Trades!$X$2:$X$884,Trades!$E$2:$E$884,$A79)</f>
        <v>101.52</v>
      </c>
      <c r="K79" s="30" t="n">
        <f aca="false">_xlfn.MINIFS(Trades!$X$2:$X$884,Trades!$E$2:$E$884,$A79)</f>
        <v>-1.98</v>
      </c>
      <c r="L79" s="32" t="n">
        <f aca="false">SUMIFS(Trades!$Y$2:$Y$884,Trades!$E$2:$E$884,$A79)</f>
        <v>4.05292772626328</v>
      </c>
      <c r="M79" s="30" t="n">
        <f aca="false">P78</f>
        <v>105802.08</v>
      </c>
      <c r="N79" s="29" t="n">
        <f aca="false">IFERROR(F79/M79,0)</f>
        <v>0.0018060136435881</v>
      </c>
      <c r="O79" s="28" t="str">
        <f aca="false">IF(F79&lt;0,"down week","")</f>
        <v/>
      </c>
      <c r="P79" s="30" t="n">
        <f aca="false">M79+F79</f>
        <v>105993.16</v>
      </c>
      <c r="Q79" s="30" t="n">
        <f aca="false">P79-Summary!$C$5</f>
        <v>5993.16</v>
      </c>
    </row>
    <row r="80" customFormat="false" ht="15" hidden="false" customHeight="false" outlineLevel="0" collapsed="false">
      <c r="A80" s="42" t="n">
        <v>45565</v>
      </c>
      <c r="B80" s="28" t="n">
        <f aca="false">COUNTIFS(Trades!$E$2:$E$884,$A80)</f>
        <v>5</v>
      </c>
      <c r="C80" s="28" t="n">
        <f aca="false">COUNTIFS(Trades!$E$2:$E$884,$A80,Trades!$Z$2:$Z$884,"Win")</f>
        <v>1</v>
      </c>
      <c r="D80" s="28" t="n">
        <f aca="false">COUNTIFS(Trades!$E$2:$E$884,$A80,Trades!$Z$2:$Z$884,"Loss")</f>
        <v>4</v>
      </c>
      <c r="E80" s="29" t="n">
        <f aca="false">IFERROR(C80/B80,0)</f>
        <v>0.2</v>
      </c>
      <c r="F80" s="30" t="n">
        <f aca="false">SUMIFS(Trades!$X$2:$X$884,Trades!$E$2:$E$884,$A80)</f>
        <v>-323.44</v>
      </c>
      <c r="G80" s="30" t="n">
        <f aca="false">SUMIFS(Trades!$X$2:$X$884,Trades!$E$2:$E$884,$A80,Trades!$X$2:$X$884,"&gt;0")</f>
        <v>79.07</v>
      </c>
      <c r="H80" s="30" t="n">
        <f aca="false">SUMIFS(Trades!$X$2:$X$884,Trades!$E$2:$E$884,$A80,Trades!$X$2:$X$884,"&lt;0")</f>
        <v>-402.51</v>
      </c>
      <c r="I80" s="31" t="n">
        <f aca="false">IFERROR(G80/-H80,"no loss")</f>
        <v>0.1964423244143</v>
      </c>
      <c r="J80" s="30" t="n">
        <f aca="false">_xlfn.MAXIFS(Trades!$X$2:$X$884,Trades!$E$2:$E$884,$A80)</f>
        <v>79.07</v>
      </c>
      <c r="K80" s="30" t="n">
        <f aca="false">_xlfn.MINIFS(Trades!$X$2:$X$884,Trades!$E$2:$E$884,$A80)</f>
        <v>-212.61</v>
      </c>
      <c r="L80" s="32" t="n">
        <f aca="false">SUMIFS(Trades!$Y$2:$Y$884,Trades!$E$2:$E$884,$A80)</f>
        <v>-1.02157756701918</v>
      </c>
      <c r="M80" s="30" t="n">
        <f aca="false">P79</f>
        <v>105993.16</v>
      </c>
      <c r="N80" s="29" t="n">
        <f aca="false">IFERROR(F80/M80,0)</f>
        <v>-0.00305151766397001</v>
      </c>
      <c r="O80" s="28" t="str">
        <f aca="false">IF(F80&lt;0,"down week","")</f>
        <v>down week</v>
      </c>
      <c r="P80" s="30" t="n">
        <f aca="false">M80+F80</f>
        <v>105669.72</v>
      </c>
      <c r="Q80" s="30" t="n">
        <f aca="false">P80-Summary!$C$5</f>
        <v>5669.72</v>
      </c>
    </row>
    <row r="81" customFormat="false" ht="15" hidden="false" customHeight="false" outlineLevel="0" collapsed="false">
      <c r="A81" s="42" t="n">
        <v>45572</v>
      </c>
      <c r="B81" s="28" t="n">
        <f aca="false">COUNTIFS(Trades!$E$2:$E$884,$A81)</f>
        <v>5</v>
      </c>
      <c r="C81" s="28" t="n">
        <f aca="false">COUNTIFS(Trades!$E$2:$E$884,$A81,Trades!$Z$2:$Z$884,"Win")</f>
        <v>1</v>
      </c>
      <c r="D81" s="28" t="n">
        <f aca="false">COUNTIFS(Trades!$E$2:$E$884,$A81,Trades!$Z$2:$Z$884,"Loss")</f>
        <v>4</v>
      </c>
      <c r="E81" s="29" t="n">
        <f aca="false">IFERROR(C81/B81,0)</f>
        <v>0.2</v>
      </c>
      <c r="F81" s="30" t="n">
        <f aca="false">SUMIFS(Trades!$X$2:$X$884,Trades!$E$2:$E$884,$A81)</f>
        <v>-156.29</v>
      </c>
      <c r="G81" s="30" t="n">
        <f aca="false">SUMIFS(Trades!$X$2:$X$884,Trades!$E$2:$E$884,$A81,Trades!$X$2:$X$884,"&gt;0")</f>
        <v>236.72</v>
      </c>
      <c r="H81" s="30" t="n">
        <f aca="false">SUMIFS(Trades!$X$2:$X$884,Trades!$E$2:$E$884,$A81,Trades!$X$2:$X$884,"&lt;0")</f>
        <v>-393.01</v>
      </c>
      <c r="I81" s="31" t="n">
        <f aca="false">IFERROR(G81/-H81,"no loss")</f>
        <v>0.602325640568942</v>
      </c>
      <c r="J81" s="30" t="n">
        <f aca="false">_xlfn.MAXIFS(Trades!$X$2:$X$884,Trades!$E$2:$E$884,$A81)</f>
        <v>236.72</v>
      </c>
      <c r="K81" s="30" t="n">
        <f aca="false">_xlfn.MINIFS(Trades!$X$2:$X$884,Trades!$E$2:$E$884,$A81)</f>
        <v>-177.55</v>
      </c>
      <c r="L81" s="32" t="n">
        <f aca="false">SUMIFS(Trades!$Y$2:$Y$884,Trades!$E$2:$E$884,$A81)</f>
        <v>-1.1852489929622</v>
      </c>
      <c r="M81" s="30" t="n">
        <f aca="false">P80</f>
        <v>105669.72</v>
      </c>
      <c r="N81" s="29" t="n">
        <f aca="false">IFERROR(F81/M81,0)</f>
        <v>-0.00147904243524067</v>
      </c>
      <c r="O81" s="28" t="str">
        <f aca="false">IF(F81&lt;0,"down week","")</f>
        <v>down week</v>
      </c>
      <c r="P81" s="30" t="n">
        <f aca="false">M81+F81</f>
        <v>105513.43</v>
      </c>
      <c r="Q81" s="30" t="n">
        <f aca="false">P81-Summary!$C$5</f>
        <v>5513.43000000001</v>
      </c>
    </row>
    <row r="82" customFormat="false" ht="15" hidden="false" customHeight="false" outlineLevel="0" collapsed="false">
      <c r="A82" s="42" t="n">
        <v>45579</v>
      </c>
      <c r="B82" s="28" t="n">
        <f aca="false">COUNTIFS(Trades!$E$2:$E$884,$A82)</f>
        <v>4</v>
      </c>
      <c r="C82" s="28" t="n">
        <f aca="false">COUNTIFS(Trades!$E$2:$E$884,$A82,Trades!$Z$2:$Z$884,"Win")</f>
        <v>2</v>
      </c>
      <c r="D82" s="28" t="n">
        <f aca="false">COUNTIFS(Trades!$E$2:$E$884,$A82,Trades!$Z$2:$Z$884,"Loss")</f>
        <v>2</v>
      </c>
      <c r="E82" s="29" t="n">
        <f aca="false">IFERROR(C82/B82,0)</f>
        <v>0.5</v>
      </c>
      <c r="F82" s="30" t="n">
        <f aca="false">SUMIFS(Trades!$X$2:$X$884,Trades!$E$2:$E$884,$A82)</f>
        <v>-71.26</v>
      </c>
      <c r="G82" s="30" t="n">
        <f aca="false">SUMIFS(Trades!$X$2:$X$884,Trades!$E$2:$E$884,$A82,Trades!$X$2:$X$884,"&gt;0")</f>
        <v>235.29</v>
      </c>
      <c r="H82" s="30" t="n">
        <f aca="false">SUMIFS(Trades!$X$2:$X$884,Trades!$E$2:$E$884,$A82,Trades!$X$2:$X$884,"&lt;0")</f>
        <v>-306.55</v>
      </c>
      <c r="I82" s="31" t="n">
        <f aca="false">IFERROR(G82/-H82,"no loss")</f>
        <v>0.767541999673789</v>
      </c>
      <c r="J82" s="30" t="n">
        <f aca="false">_xlfn.MAXIFS(Trades!$X$2:$X$884,Trades!$E$2:$E$884,$A82)</f>
        <v>170.66</v>
      </c>
      <c r="K82" s="30" t="n">
        <f aca="false">_xlfn.MINIFS(Trades!$X$2:$X$884,Trades!$E$2:$E$884,$A82)</f>
        <v>-303.28</v>
      </c>
      <c r="L82" s="32" t="n">
        <f aca="false">SUMIFS(Trades!$Y$2:$Y$884,Trades!$E$2:$E$884,$A82)</f>
        <v>3.08780229657071</v>
      </c>
      <c r="M82" s="30" t="n">
        <f aca="false">P81</f>
        <v>105513.43</v>
      </c>
      <c r="N82" s="29" t="n">
        <f aca="false">IFERROR(F82/M82,0)</f>
        <v>-0.000675364264056244</v>
      </c>
      <c r="O82" s="28" t="str">
        <f aca="false">IF(F82&lt;0,"down week","")</f>
        <v>down week</v>
      </c>
      <c r="P82" s="30" t="n">
        <f aca="false">M82+F82</f>
        <v>105442.17</v>
      </c>
      <c r="Q82" s="30" t="n">
        <f aca="false">P82-Summary!$C$5</f>
        <v>5442.17000000001</v>
      </c>
    </row>
    <row r="83" customFormat="false" ht="15" hidden="false" customHeight="false" outlineLevel="0" collapsed="false">
      <c r="A83" s="42" t="n">
        <v>45586</v>
      </c>
      <c r="B83" s="28" t="n">
        <f aca="false">COUNTIFS(Trades!$E$2:$E$884,$A83)</f>
        <v>4</v>
      </c>
      <c r="C83" s="28" t="n">
        <f aca="false">COUNTIFS(Trades!$E$2:$E$884,$A83,Trades!$Z$2:$Z$884,"Win")</f>
        <v>0</v>
      </c>
      <c r="D83" s="28" t="n">
        <f aca="false">COUNTIFS(Trades!$E$2:$E$884,$A83,Trades!$Z$2:$Z$884,"Loss")</f>
        <v>4</v>
      </c>
      <c r="E83" s="29" t="n">
        <f aca="false">IFERROR(C83/B83,0)</f>
        <v>0</v>
      </c>
      <c r="F83" s="30" t="n">
        <f aca="false">SUMIFS(Trades!$X$2:$X$884,Trades!$E$2:$E$884,$A83)</f>
        <v>-233.32</v>
      </c>
      <c r="G83" s="30" t="n">
        <f aca="false">SUMIFS(Trades!$X$2:$X$884,Trades!$E$2:$E$884,$A83,Trades!$X$2:$X$884,"&gt;0")</f>
        <v>0</v>
      </c>
      <c r="H83" s="30" t="n">
        <f aca="false">SUMIFS(Trades!$X$2:$X$884,Trades!$E$2:$E$884,$A83,Trades!$X$2:$X$884,"&lt;0")</f>
        <v>-233.32</v>
      </c>
      <c r="I83" s="31" t="n">
        <f aca="false">IFERROR(G83/-H83,"no loss")</f>
        <v>0</v>
      </c>
      <c r="J83" s="30" t="n">
        <f aca="false">_xlfn.MAXIFS(Trades!$X$2:$X$884,Trades!$E$2:$E$884,$A83)</f>
        <v>-0.05</v>
      </c>
      <c r="K83" s="30" t="n">
        <f aca="false">_xlfn.MINIFS(Trades!$X$2:$X$884,Trades!$E$2:$E$884,$A83)</f>
        <v>-142.92</v>
      </c>
      <c r="L83" s="32" t="n">
        <f aca="false">SUMIFS(Trades!$Y$2:$Y$884,Trades!$E$2:$E$884,$A83)</f>
        <v>-2.04856574438455</v>
      </c>
      <c r="M83" s="30" t="n">
        <f aca="false">P82</f>
        <v>105442.17</v>
      </c>
      <c r="N83" s="29" t="n">
        <f aca="false">IFERROR(F83/M83,0)</f>
        <v>-0.00221277691838095</v>
      </c>
      <c r="O83" s="28" t="str">
        <f aca="false">IF(F83&lt;0,"down week","")</f>
        <v>down week</v>
      </c>
      <c r="P83" s="30" t="n">
        <f aca="false">M83+F83</f>
        <v>105208.85</v>
      </c>
      <c r="Q83" s="30" t="n">
        <f aca="false">P83-Summary!$C$5</f>
        <v>5208.85000000001</v>
      </c>
    </row>
    <row r="84" customFormat="false" ht="15" hidden="false" customHeight="false" outlineLevel="0" collapsed="false">
      <c r="A84" s="42" t="n">
        <v>45593</v>
      </c>
      <c r="B84" s="28" t="n">
        <f aca="false">COUNTIFS(Trades!$E$2:$E$884,$A84)</f>
        <v>4</v>
      </c>
      <c r="C84" s="28" t="n">
        <f aca="false">COUNTIFS(Trades!$E$2:$E$884,$A84,Trades!$Z$2:$Z$884,"Win")</f>
        <v>1</v>
      </c>
      <c r="D84" s="28" t="n">
        <f aca="false">COUNTIFS(Trades!$E$2:$E$884,$A84,Trades!$Z$2:$Z$884,"Loss")</f>
        <v>3</v>
      </c>
      <c r="E84" s="29" t="n">
        <f aca="false">IFERROR(C84/B84,0)</f>
        <v>0.25</v>
      </c>
      <c r="F84" s="30" t="n">
        <f aca="false">SUMIFS(Trades!$X$2:$X$884,Trades!$E$2:$E$884,$A84)</f>
        <v>406.68</v>
      </c>
      <c r="G84" s="30" t="n">
        <f aca="false">SUMIFS(Trades!$X$2:$X$884,Trades!$E$2:$E$884,$A84,Trades!$X$2:$X$884,"&gt;0")</f>
        <v>556.6</v>
      </c>
      <c r="H84" s="30" t="n">
        <f aca="false">SUMIFS(Trades!$X$2:$X$884,Trades!$E$2:$E$884,$A84,Trades!$X$2:$X$884,"&lt;0")</f>
        <v>-149.92</v>
      </c>
      <c r="I84" s="31" t="n">
        <f aca="false">IFERROR(G84/-H84,"no loss")</f>
        <v>3.71264674493063</v>
      </c>
      <c r="J84" s="30" t="n">
        <f aca="false">_xlfn.MAXIFS(Trades!$X$2:$X$884,Trades!$E$2:$E$884,$A84)</f>
        <v>556.6</v>
      </c>
      <c r="K84" s="30" t="n">
        <f aca="false">_xlfn.MINIFS(Trades!$X$2:$X$884,Trades!$E$2:$E$884,$A84)</f>
        <v>-89.75</v>
      </c>
      <c r="L84" s="32" t="n">
        <f aca="false">SUMIFS(Trades!$Y$2:$Y$884,Trades!$E$2:$E$884,$A84)</f>
        <v>0.00605863303714098</v>
      </c>
      <c r="M84" s="30" t="n">
        <f aca="false">P83</f>
        <v>105208.85</v>
      </c>
      <c r="N84" s="29" t="n">
        <f aca="false">IFERROR(F84/M84,0)</f>
        <v>0.00386545428450173</v>
      </c>
      <c r="O84" s="28" t="str">
        <f aca="false">IF(F84&lt;0,"down week","")</f>
        <v/>
      </c>
      <c r="P84" s="30" t="n">
        <f aca="false">M84+F84</f>
        <v>105615.53</v>
      </c>
      <c r="Q84" s="30" t="n">
        <f aca="false">P84-Summary!$C$5</f>
        <v>5615.53</v>
      </c>
    </row>
    <row r="85" customFormat="false" ht="15" hidden="false" customHeight="false" outlineLevel="0" collapsed="false">
      <c r="A85" s="42" t="n">
        <v>45600</v>
      </c>
      <c r="B85" s="28" t="n">
        <f aca="false">COUNTIFS(Trades!$E$2:$E$884,$A85)</f>
        <v>4</v>
      </c>
      <c r="C85" s="28" t="n">
        <f aca="false">COUNTIFS(Trades!$E$2:$E$884,$A85,Trades!$Z$2:$Z$884,"Win")</f>
        <v>1</v>
      </c>
      <c r="D85" s="28" t="n">
        <f aca="false">COUNTIFS(Trades!$E$2:$E$884,$A85,Trades!$Z$2:$Z$884,"Loss")</f>
        <v>2</v>
      </c>
      <c r="E85" s="29" t="n">
        <f aca="false">IFERROR(C85/B85,0)</f>
        <v>0.25</v>
      </c>
      <c r="F85" s="30" t="n">
        <f aca="false">SUMIFS(Trades!$X$2:$X$884,Trades!$E$2:$E$884,$A85)</f>
        <v>269.95</v>
      </c>
      <c r="G85" s="30" t="n">
        <f aca="false">SUMIFS(Trades!$X$2:$X$884,Trades!$E$2:$E$884,$A85,Trades!$X$2:$X$884,"&gt;0")</f>
        <v>319.15</v>
      </c>
      <c r="H85" s="30" t="n">
        <f aca="false">SUMIFS(Trades!$X$2:$X$884,Trades!$E$2:$E$884,$A85,Trades!$X$2:$X$884,"&lt;0")</f>
        <v>-49.2</v>
      </c>
      <c r="I85" s="31" t="n">
        <f aca="false">IFERROR(G85/-H85,"no loss")</f>
        <v>6.48678861788618</v>
      </c>
      <c r="J85" s="30" t="n">
        <f aca="false">_xlfn.MAXIFS(Trades!$X$2:$X$884,Trades!$E$2:$E$884,$A85)</f>
        <v>319.15</v>
      </c>
      <c r="K85" s="30" t="n">
        <f aca="false">_xlfn.MINIFS(Trades!$X$2:$X$884,Trades!$E$2:$E$884,$A85)</f>
        <v>-45.94</v>
      </c>
      <c r="L85" s="32" t="n">
        <f aca="false">SUMIFS(Trades!$Y$2:$Y$884,Trades!$E$2:$E$884,$A85)</f>
        <v>0.909537987821253</v>
      </c>
      <c r="M85" s="30" t="n">
        <f aca="false">P84</f>
        <v>105615.53</v>
      </c>
      <c r="N85" s="29" t="n">
        <f aca="false">IFERROR(F85/M85,0)</f>
        <v>0.00255596880496647</v>
      </c>
      <c r="O85" s="28" t="str">
        <f aca="false">IF(F85&lt;0,"down week","")</f>
        <v/>
      </c>
      <c r="P85" s="30" t="n">
        <f aca="false">M85+F85</f>
        <v>105885.48</v>
      </c>
      <c r="Q85" s="30" t="n">
        <f aca="false">P85-Summary!$C$5</f>
        <v>5885.48</v>
      </c>
    </row>
    <row r="86" customFormat="false" ht="15" hidden="false" customHeight="false" outlineLevel="0" collapsed="false">
      <c r="A86" s="42" t="n">
        <v>45607</v>
      </c>
      <c r="B86" s="28" t="n">
        <f aca="false">COUNTIFS(Trades!$E$2:$E$884,$A86)</f>
        <v>6</v>
      </c>
      <c r="C86" s="28" t="n">
        <f aca="false">COUNTIFS(Trades!$E$2:$E$884,$A86,Trades!$Z$2:$Z$884,"Win")</f>
        <v>1</v>
      </c>
      <c r="D86" s="28" t="n">
        <f aca="false">COUNTIFS(Trades!$E$2:$E$884,$A86,Trades!$Z$2:$Z$884,"Loss")</f>
        <v>5</v>
      </c>
      <c r="E86" s="29" t="n">
        <f aca="false">IFERROR(C86/B86,0)</f>
        <v>0.166666666666667</v>
      </c>
      <c r="F86" s="30" t="n">
        <f aca="false">SUMIFS(Trades!$X$2:$X$884,Trades!$E$2:$E$884,$A86)</f>
        <v>-219.35</v>
      </c>
      <c r="G86" s="30" t="n">
        <f aca="false">SUMIFS(Trades!$X$2:$X$884,Trades!$E$2:$E$884,$A86,Trades!$X$2:$X$884,"&gt;0")</f>
        <v>151.98</v>
      </c>
      <c r="H86" s="30" t="n">
        <f aca="false">SUMIFS(Trades!$X$2:$X$884,Trades!$E$2:$E$884,$A86,Trades!$X$2:$X$884,"&lt;0")</f>
        <v>-371.33</v>
      </c>
      <c r="I86" s="31" t="n">
        <f aca="false">IFERROR(G86/-H86,"no loss")</f>
        <v>0.409285541162847</v>
      </c>
      <c r="J86" s="30" t="n">
        <f aca="false">_xlfn.MAXIFS(Trades!$X$2:$X$884,Trades!$E$2:$E$884,$A86)</f>
        <v>151.98</v>
      </c>
      <c r="K86" s="30" t="n">
        <f aca="false">_xlfn.MINIFS(Trades!$X$2:$X$884,Trades!$E$2:$E$884,$A86)</f>
        <v>-142.52</v>
      </c>
      <c r="L86" s="32" t="n">
        <f aca="false">SUMIFS(Trades!$Y$2:$Y$884,Trades!$E$2:$E$884,$A86)</f>
        <v>-2.07369903387704</v>
      </c>
      <c r="M86" s="30" t="n">
        <f aca="false">P85</f>
        <v>105885.48</v>
      </c>
      <c r="N86" s="29" t="n">
        <f aca="false">IFERROR(F86/M86,0)</f>
        <v>-0.0020715777082939</v>
      </c>
      <c r="O86" s="28" t="str">
        <f aca="false">IF(F86&lt;0,"down week","")</f>
        <v>down week</v>
      </c>
      <c r="P86" s="30" t="n">
        <f aca="false">M86+F86</f>
        <v>105666.13</v>
      </c>
      <c r="Q86" s="30" t="n">
        <f aca="false">P86-Summary!$C$5</f>
        <v>5666.12999999999</v>
      </c>
    </row>
    <row r="87" customFormat="false" ht="15" hidden="false" customHeight="false" outlineLevel="0" collapsed="false">
      <c r="A87" s="42" t="n">
        <v>45614</v>
      </c>
      <c r="B87" s="28" t="n">
        <f aca="false">COUNTIFS(Trades!$E$2:$E$884,$A87)</f>
        <v>4</v>
      </c>
      <c r="C87" s="28" t="n">
        <f aca="false">COUNTIFS(Trades!$E$2:$E$884,$A87,Trades!$Z$2:$Z$884,"Win")</f>
        <v>3</v>
      </c>
      <c r="D87" s="28" t="n">
        <f aca="false">COUNTIFS(Trades!$E$2:$E$884,$A87,Trades!$Z$2:$Z$884,"Loss")</f>
        <v>1</v>
      </c>
      <c r="E87" s="29" t="n">
        <f aca="false">IFERROR(C87/B87,0)</f>
        <v>0.75</v>
      </c>
      <c r="F87" s="30" t="n">
        <f aca="false">SUMIFS(Trades!$X$2:$X$884,Trades!$E$2:$E$884,$A87)</f>
        <v>474.19</v>
      </c>
      <c r="G87" s="30" t="n">
        <f aca="false">SUMIFS(Trades!$X$2:$X$884,Trades!$E$2:$E$884,$A87,Trades!$X$2:$X$884,"&gt;0")</f>
        <v>475.55</v>
      </c>
      <c r="H87" s="30" t="n">
        <f aca="false">SUMIFS(Trades!$X$2:$X$884,Trades!$E$2:$E$884,$A87,Trades!$X$2:$X$884,"&lt;0")</f>
        <v>-1.36</v>
      </c>
      <c r="I87" s="31" t="n">
        <f aca="false">IFERROR(G87/-H87,"no loss")</f>
        <v>349.669117647059</v>
      </c>
      <c r="J87" s="30" t="n">
        <f aca="false">_xlfn.MAXIFS(Trades!$X$2:$X$884,Trades!$E$2:$E$884,$A87)</f>
        <v>246.61</v>
      </c>
      <c r="K87" s="30" t="n">
        <f aca="false">_xlfn.MINIFS(Trades!$X$2:$X$884,Trades!$E$2:$E$884,$A87)</f>
        <v>-1.36</v>
      </c>
      <c r="L87" s="32" t="n">
        <f aca="false">SUMIFS(Trades!$Y$2:$Y$884,Trades!$E$2:$E$884,$A87)</f>
        <v>6.06860850769735</v>
      </c>
      <c r="M87" s="30" t="n">
        <f aca="false">P86</f>
        <v>105666.13</v>
      </c>
      <c r="N87" s="29" t="n">
        <f aca="false">IFERROR(F87/M87,0)</f>
        <v>0.00448762531569955</v>
      </c>
      <c r="O87" s="28" t="str">
        <f aca="false">IF(F87&lt;0,"down week","")</f>
        <v/>
      </c>
      <c r="P87" s="30" t="n">
        <f aca="false">M87+F87</f>
        <v>106140.32</v>
      </c>
      <c r="Q87" s="30" t="n">
        <f aca="false">P87-Summary!$C$5</f>
        <v>6140.31999999999</v>
      </c>
    </row>
    <row r="88" customFormat="false" ht="15" hidden="false" customHeight="false" outlineLevel="0" collapsed="false">
      <c r="A88" s="42" t="n">
        <v>45621</v>
      </c>
      <c r="B88" s="28" t="n">
        <f aca="false">COUNTIFS(Trades!$E$2:$E$884,$A88)</f>
        <v>4</v>
      </c>
      <c r="C88" s="28" t="n">
        <f aca="false">COUNTIFS(Trades!$E$2:$E$884,$A88,Trades!$Z$2:$Z$884,"Win")</f>
        <v>1</v>
      </c>
      <c r="D88" s="28" t="n">
        <f aca="false">COUNTIFS(Trades!$E$2:$E$884,$A88,Trades!$Z$2:$Z$884,"Loss")</f>
        <v>3</v>
      </c>
      <c r="E88" s="29" t="n">
        <f aca="false">IFERROR(C88/B88,0)</f>
        <v>0.25</v>
      </c>
      <c r="F88" s="30" t="n">
        <f aca="false">SUMIFS(Trades!$X$2:$X$884,Trades!$E$2:$E$884,$A88)</f>
        <v>-183.33</v>
      </c>
      <c r="G88" s="30" t="n">
        <f aca="false">SUMIFS(Trades!$X$2:$X$884,Trades!$E$2:$E$884,$A88,Trades!$X$2:$X$884,"&gt;0")</f>
        <v>59</v>
      </c>
      <c r="H88" s="30" t="n">
        <f aca="false">SUMIFS(Trades!$X$2:$X$884,Trades!$E$2:$E$884,$A88,Trades!$X$2:$X$884,"&lt;0")</f>
        <v>-242.33</v>
      </c>
      <c r="I88" s="31" t="n">
        <f aca="false">IFERROR(G88/-H88,"no loss")</f>
        <v>0.243469648825981</v>
      </c>
      <c r="J88" s="30" t="n">
        <f aca="false">_xlfn.MAXIFS(Trades!$X$2:$X$884,Trades!$E$2:$E$884,$A88)</f>
        <v>59</v>
      </c>
      <c r="K88" s="30" t="n">
        <f aca="false">_xlfn.MINIFS(Trades!$X$2:$X$884,Trades!$E$2:$E$884,$A88)</f>
        <v>-131.33</v>
      </c>
      <c r="L88" s="32" t="n">
        <f aca="false">SUMIFS(Trades!$Y$2:$Y$884,Trades!$E$2:$E$884,$A88)</f>
        <v>-0.0379050310587092</v>
      </c>
      <c r="M88" s="30" t="n">
        <f aca="false">P87</f>
        <v>106140.32</v>
      </c>
      <c r="N88" s="29" t="n">
        <f aca="false">IFERROR(F88/M88,0)</f>
        <v>-0.0017272418247844</v>
      </c>
      <c r="O88" s="28" t="str">
        <f aca="false">IF(F88&lt;0,"down week","")</f>
        <v>down week</v>
      </c>
      <c r="P88" s="30" t="n">
        <f aca="false">M88+F88</f>
        <v>105956.99</v>
      </c>
      <c r="Q88" s="30" t="n">
        <f aca="false">P88-Summary!$C$5</f>
        <v>5956.98999999999</v>
      </c>
    </row>
    <row r="89" customFormat="false" ht="15" hidden="false" customHeight="false" outlineLevel="0" collapsed="false">
      <c r="A89" s="42" t="n">
        <v>45628</v>
      </c>
      <c r="B89" s="28" t="n">
        <f aca="false">COUNTIFS(Trades!$E$2:$E$884,$A89)</f>
        <v>6</v>
      </c>
      <c r="C89" s="28" t="n">
        <f aca="false">COUNTIFS(Trades!$E$2:$E$884,$A89,Trades!$Z$2:$Z$884,"Win")</f>
        <v>3</v>
      </c>
      <c r="D89" s="28" t="n">
        <f aca="false">COUNTIFS(Trades!$E$2:$E$884,$A89,Trades!$Z$2:$Z$884,"Loss")</f>
        <v>2</v>
      </c>
      <c r="E89" s="29" t="n">
        <f aca="false">IFERROR(C89/B89,0)</f>
        <v>0.5</v>
      </c>
      <c r="F89" s="30" t="n">
        <f aca="false">SUMIFS(Trades!$X$2:$X$884,Trades!$E$2:$E$884,$A89)</f>
        <v>370.7</v>
      </c>
      <c r="G89" s="30" t="n">
        <f aca="false">SUMIFS(Trades!$X$2:$X$884,Trades!$E$2:$E$884,$A89,Trades!$X$2:$X$884,"&gt;0")</f>
        <v>443.43</v>
      </c>
      <c r="H89" s="30" t="n">
        <f aca="false">SUMIFS(Trades!$X$2:$X$884,Trades!$E$2:$E$884,$A89,Trades!$X$2:$X$884,"&lt;0")</f>
        <v>-72.73</v>
      </c>
      <c r="I89" s="31" t="n">
        <f aca="false">IFERROR(G89/-H89,"no loss")</f>
        <v>6.09693386498006</v>
      </c>
      <c r="J89" s="30" t="n">
        <f aca="false">_xlfn.MAXIFS(Trades!$X$2:$X$884,Trades!$E$2:$E$884,$A89)</f>
        <v>239.89</v>
      </c>
      <c r="K89" s="30" t="n">
        <f aca="false">_xlfn.MINIFS(Trades!$X$2:$X$884,Trades!$E$2:$E$884,$A89)</f>
        <v>-72.47</v>
      </c>
      <c r="L89" s="32" t="n">
        <f aca="false">SUMIFS(Trades!$Y$2:$Y$884,Trades!$E$2:$E$884,$A89)</f>
        <v>5.20749126735988</v>
      </c>
      <c r="M89" s="30" t="n">
        <f aca="false">P88</f>
        <v>105956.99</v>
      </c>
      <c r="N89" s="29" t="n">
        <f aca="false">IFERROR(F89/M89,0)</f>
        <v>0.00349858938046466</v>
      </c>
      <c r="O89" s="28" t="str">
        <f aca="false">IF(F89&lt;0,"down week","")</f>
        <v/>
      </c>
      <c r="P89" s="30" t="n">
        <f aca="false">M89+F89</f>
        <v>106327.69</v>
      </c>
      <c r="Q89" s="30" t="n">
        <f aca="false">P89-Summary!$C$5</f>
        <v>6327.68999999999</v>
      </c>
    </row>
    <row r="90" customFormat="false" ht="15" hidden="false" customHeight="false" outlineLevel="0" collapsed="false">
      <c r="A90" s="42" t="n">
        <v>45635</v>
      </c>
      <c r="B90" s="28" t="n">
        <f aca="false">COUNTIFS(Trades!$E$2:$E$884,$A90)</f>
        <v>4</v>
      </c>
      <c r="C90" s="28" t="n">
        <f aca="false">COUNTIFS(Trades!$E$2:$E$884,$A90,Trades!$Z$2:$Z$884,"Win")</f>
        <v>0</v>
      </c>
      <c r="D90" s="28" t="n">
        <f aca="false">COUNTIFS(Trades!$E$2:$E$884,$A90,Trades!$Z$2:$Z$884,"Loss")</f>
        <v>4</v>
      </c>
      <c r="E90" s="29" t="n">
        <f aca="false">IFERROR(C90/B90,0)</f>
        <v>0</v>
      </c>
      <c r="F90" s="30" t="n">
        <f aca="false">SUMIFS(Trades!$X$2:$X$884,Trades!$E$2:$E$884,$A90)</f>
        <v>-224.88</v>
      </c>
      <c r="G90" s="30" t="n">
        <f aca="false">SUMIFS(Trades!$X$2:$X$884,Trades!$E$2:$E$884,$A90,Trades!$X$2:$X$884,"&gt;0")</f>
        <v>0</v>
      </c>
      <c r="H90" s="30" t="n">
        <f aca="false">SUMIFS(Trades!$X$2:$X$884,Trades!$E$2:$E$884,$A90,Trades!$X$2:$X$884,"&lt;0")</f>
        <v>-224.88</v>
      </c>
      <c r="I90" s="31" t="n">
        <f aca="false">IFERROR(G90/-H90,"no loss")</f>
        <v>0</v>
      </c>
      <c r="J90" s="30" t="n">
        <f aca="false">_xlfn.MAXIFS(Trades!$X$2:$X$884,Trades!$E$2:$E$884,$A90)</f>
        <v>-24.86</v>
      </c>
      <c r="K90" s="30" t="n">
        <f aca="false">_xlfn.MINIFS(Trades!$X$2:$X$884,Trades!$E$2:$E$884,$A90)</f>
        <v>-110.13</v>
      </c>
      <c r="L90" s="32" t="n">
        <f aca="false">SUMIFS(Trades!$Y$2:$Y$884,Trades!$E$2:$E$884,$A90)</f>
        <v>-4.23158464174972</v>
      </c>
      <c r="M90" s="30" t="n">
        <f aca="false">P89</f>
        <v>106327.69</v>
      </c>
      <c r="N90" s="29" t="n">
        <f aca="false">IFERROR(F90/M90,0)</f>
        <v>-0.00211497118013191</v>
      </c>
      <c r="O90" s="28" t="str">
        <f aca="false">IF(F90&lt;0,"down week","")</f>
        <v>down week</v>
      </c>
      <c r="P90" s="30" t="n">
        <f aca="false">M90+F90</f>
        <v>106102.81</v>
      </c>
      <c r="Q90" s="30" t="n">
        <f aca="false">P90-Summary!$C$5</f>
        <v>6102.80999999998</v>
      </c>
    </row>
    <row r="91" customFormat="false" ht="15" hidden="false" customHeight="false" outlineLevel="0" collapsed="false">
      <c r="A91" s="42" t="n">
        <v>45642</v>
      </c>
      <c r="B91" s="28" t="n">
        <f aca="false">COUNTIFS(Trades!$E$2:$E$884,$A91)</f>
        <v>4</v>
      </c>
      <c r="C91" s="28" t="n">
        <f aca="false">COUNTIFS(Trades!$E$2:$E$884,$A91,Trades!$Z$2:$Z$884,"Win")</f>
        <v>2</v>
      </c>
      <c r="D91" s="28" t="n">
        <f aca="false">COUNTIFS(Trades!$E$2:$E$884,$A91,Trades!$Z$2:$Z$884,"Loss")</f>
        <v>2</v>
      </c>
      <c r="E91" s="29" t="n">
        <f aca="false">IFERROR(C91/B91,0)</f>
        <v>0.5</v>
      </c>
      <c r="F91" s="30" t="n">
        <f aca="false">SUMIFS(Trades!$X$2:$X$884,Trades!$E$2:$E$884,$A91)</f>
        <v>426.98</v>
      </c>
      <c r="G91" s="30" t="n">
        <f aca="false">SUMIFS(Trades!$X$2:$X$884,Trades!$E$2:$E$884,$A91,Trades!$X$2:$X$884,"&gt;0")</f>
        <v>467.68</v>
      </c>
      <c r="H91" s="30" t="n">
        <f aca="false">SUMIFS(Trades!$X$2:$X$884,Trades!$E$2:$E$884,$A91,Trades!$X$2:$X$884,"&lt;0")</f>
        <v>-40.7</v>
      </c>
      <c r="I91" s="31" t="n">
        <f aca="false">IFERROR(G91/-H91,"no loss")</f>
        <v>11.4909090909091</v>
      </c>
      <c r="J91" s="30" t="n">
        <f aca="false">_xlfn.MAXIFS(Trades!$X$2:$X$884,Trades!$E$2:$E$884,$A91)</f>
        <v>296.87</v>
      </c>
      <c r="K91" s="30" t="n">
        <f aca="false">_xlfn.MINIFS(Trades!$X$2:$X$884,Trades!$E$2:$E$884,$A91)</f>
        <v>-39.82</v>
      </c>
      <c r="L91" s="32" t="n">
        <f aca="false">SUMIFS(Trades!$Y$2:$Y$884,Trades!$E$2:$E$884,$A91)</f>
        <v>3.0723413402727</v>
      </c>
      <c r="M91" s="30" t="n">
        <f aca="false">P90</f>
        <v>106102.81</v>
      </c>
      <c r="N91" s="29" t="n">
        <f aca="false">IFERROR(F91/M91,0)</f>
        <v>0.00402421010338935</v>
      </c>
      <c r="O91" s="28" t="str">
        <f aca="false">IF(F91&lt;0,"down week","")</f>
        <v/>
      </c>
      <c r="P91" s="30" t="n">
        <f aca="false">M91+F91</f>
        <v>106529.79</v>
      </c>
      <c r="Q91" s="30" t="n">
        <f aca="false">P91-Summary!$C$5</f>
        <v>6529.78999999998</v>
      </c>
    </row>
    <row r="92" customFormat="false" ht="15" hidden="false" customHeight="false" outlineLevel="0" collapsed="false">
      <c r="A92" s="42" t="n">
        <v>45649</v>
      </c>
      <c r="B92" s="28" t="n">
        <f aca="false">COUNTIFS(Trades!$E$2:$E$884,$A92)</f>
        <v>3</v>
      </c>
      <c r="C92" s="28" t="n">
        <f aca="false">COUNTIFS(Trades!$E$2:$E$884,$A92,Trades!$Z$2:$Z$884,"Win")</f>
        <v>0</v>
      </c>
      <c r="D92" s="28" t="n">
        <f aca="false">COUNTIFS(Trades!$E$2:$E$884,$A92,Trades!$Z$2:$Z$884,"Loss")</f>
        <v>3</v>
      </c>
      <c r="E92" s="29" t="n">
        <f aca="false">IFERROR(C92/B92,0)</f>
        <v>0</v>
      </c>
      <c r="F92" s="30" t="n">
        <f aca="false">SUMIFS(Trades!$X$2:$X$884,Trades!$E$2:$E$884,$A92)</f>
        <v>-5.71</v>
      </c>
      <c r="G92" s="30" t="n">
        <f aca="false">SUMIFS(Trades!$X$2:$X$884,Trades!$E$2:$E$884,$A92,Trades!$X$2:$X$884,"&gt;0")</f>
        <v>0</v>
      </c>
      <c r="H92" s="30" t="n">
        <f aca="false">SUMIFS(Trades!$X$2:$X$884,Trades!$E$2:$E$884,$A92,Trades!$X$2:$X$884,"&lt;0")</f>
        <v>-5.71</v>
      </c>
      <c r="I92" s="31" t="n">
        <f aca="false">IFERROR(G92/-H92,"no loss")</f>
        <v>0</v>
      </c>
      <c r="J92" s="30" t="n">
        <f aca="false">_xlfn.MAXIFS(Trades!$X$2:$X$884,Trades!$E$2:$E$884,$A92)</f>
        <v>-0.13</v>
      </c>
      <c r="K92" s="30" t="n">
        <f aca="false">_xlfn.MINIFS(Trades!$X$2:$X$884,Trades!$E$2:$E$884,$A92)</f>
        <v>-3.56</v>
      </c>
      <c r="L92" s="32" t="n">
        <f aca="false">SUMIFS(Trades!$Y$2:$Y$884,Trades!$E$2:$E$884,$A92)</f>
        <v>-0.0917839877234604</v>
      </c>
      <c r="M92" s="30" t="n">
        <f aca="false">P91</f>
        <v>106529.79</v>
      </c>
      <c r="N92" s="29" t="n">
        <f aca="false">IFERROR(F92/M92,0)</f>
        <v>-5.36000305642206E-005</v>
      </c>
      <c r="O92" s="28" t="str">
        <f aca="false">IF(F92&lt;0,"down week","")</f>
        <v>down week</v>
      </c>
      <c r="P92" s="30" t="n">
        <f aca="false">M92+F92</f>
        <v>106524.08</v>
      </c>
      <c r="Q92" s="30" t="n">
        <f aca="false">P92-Summary!$C$5</f>
        <v>6524.07999999997</v>
      </c>
    </row>
    <row r="93" customFormat="false" ht="15" hidden="false" customHeight="false" outlineLevel="0" collapsed="false">
      <c r="A93" s="42" t="n">
        <v>45656</v>
      </c>
      <c r="B93" s="28" t="n">
        <f aca="false">COUNTIFS(Trades!$E$2:$E$884,$A93)</f>
        <v>4</v>
      </c>
      <c r="C93" s="28" t="n">
        <f aca="false">COUNTIFS(Trades!$E$2:$E$884,$A93,Trades!$Z$2:$Z$884,"Win")</f>
        <v>1</v>
      </c>
      <c r="D93" s="28" t="n">
        <f aca="false">COUNTIFS(Trades!$E$2:$E$884,$A93,Trades!$Z$2:$Z$884,"Loss")</f>
        <v>3</v>
      </c>
      <c r="E93" s="29" t="n">
        <f aca="false">IFERROR(C93/B93,0)</f>
        <v>0.25</v>
      </c>
      <c r="F93" s="30" t="n">
        <f aca="false">SUMIFS(Trades!$X$2:$X$884,Trades!$E$2:$E$884,$A93)</f>
        <v>238.09</v>
      </c>
      <c r="G93" s="30" t="n">
        <f aca="false">SUMIFS(Trades!$X$2:$X$884,Trades!$E$2:$E$884,$A93,Trades!$X$2:$X$884,"&gt;0")</f>
        <v>322.21</v>
      </c>
      <c r="H93" s="30" t="n">
        <f aca="false">SUMIFS(Trades!$X$2:$X$884,Trades!$E$2:$E$884,$A93,Trades!$X$2:$X$884,"&lt;0")</f>
        <v>-84.12</v>
      </c>
      <c r="I93" s="31" t="n">
        <f aca="false">IFERROR(G93/-H93,"no loss")</f>
        <v>3.83036138849263</v>
      </c>
      <c r="J93" s="30" t="n">
        <f aca="false">_xlfn.MAXIFS(Trades!$X$2:$X$884,Trades!$E$2:$E$884,$A93)</f>
        <v>322.21</v>
      </c>
      <c r="K93" s="30" t="n">
        <f aca="false">_xlfn.MINIFS(Trades!$X$2:$X$884,Trades!$E$2:$E$884,$A93)</f>
        <v>-79.46</v>
      </c>
      <c r="L93" s="32" t="n">
        <f aca="false">SUMIFS(Trades!$Y$2:$Y$884,Trades!$E$2:$E$884,$A93)</f>
        <v>0.964781176319</v>
      </c>
      <c r="M93" s="30" t="n">
        <f aca="false">P92</f>
        <v>106524.08</v>
      </c>
      <c r="N93" s="29" t="n">
        <f aca="false">IFERROR(F93/M93,0)</f>
        <v>0.00223508149518869</v>
      </c>
      <c r="O93" s="28" t="str">
        <f aca="false">IF(F93&lt;0,"down week","")</f>
        <v/>
      </c>
      <c r="P93" s="30" t="n">
        <f aca="false">M93+F93</f>
        <v>106762.17</v>
      </c>
      <c r="Q93" s="30" t="n">
        <f aca="false">P93-Summary!$C$5</f>
        <v>6762.16999999997</v>
      </c>
    </row>
    <row r="94" customFormat="false" ht="15" hidden="false" customHeight="false" outlineLevel="0" collapsed="false">
      <c r="A94" s="42" t="n">
        <v>45663</v>
      </c>
      <c r="B94" s="28" t="n">
        <f aca="false">COUNTIFS(Trades!$E$2:$E$884,$A94)</f>
        <v>5</v>
      </c>
      <c r="C94" s="28" t="n">
        <f aca="false">COUNTIFS(Trades!$E$2:$E$884,$A94,Trades!$Z$2:$Z$884,"Win")</f>
        <v>2</v>
      </c>
      <c r="D94" s="28" t="n">
        <f aca="false">COUNTIFS(Trades!$E$2:$E$884,$A94,Trades!$Z$2:$Z$884,"Loss")</f>
        <v>3</v>
      </c>
      <c r="E94" s="29" t="n">
        <f aca="false">IFERROR(C94/B94,0)</f>
        <v>0.4</v>
      </c>
      <c r="F94" s="30" t="n">
        <f aca="false">SUMIFS(Trades!$X$2:$X$884,Trades!$E$2:$E$884,$A94)</f>
        <v>-106.48</v>
      </c>
      <c r="G94" s="30" t="n">
        <f aca="false">SUMIFS(Trades!$X$2:$X$884,Trades!$E$2:$E$884,$A94,Trades!$X$2:$X$884,"&gt;0")</f>
        <v>191.62</v>
      </c>
      <c r="H94" s="30" t="n">
        <f aca="false">SUMIFS(Trades!$X$2:$X$884,Trades!$E$2:$E$884,$A94,Trades!$X$2:$X$884,"&lt;0")</f>
        <v>-298.1</v>
      </c>
      <c r="I94" s="31" t="n">
        <f aca="false">IFERROR(G94/-H94,"no loss")</f>
        <v>0.64280442804428</v>
      </c>
      <c r="J94" s="30" t="n">
        <f aca="false">_xlfn.MAXIFS(Trades!$X$2:$X$884,Trades!$E$2:$E$884,$A94)</f>
        <v>104.85</v>
      </c>
      <c r="K94" s="30" t="n">
        <f aca="false">_xlfn.MINIFS(Trades!$X$2:$X$884,Trades!$E$2:$E$884,$A94)</f>
        <v>-287.8</v>
      </c>
      <c r="L94" s="32" t="n">
        <f aca="false">SUMIFS(Trades!$Y$2:$Y$884,Trades!$E$2:$E$884,$A94)</f>
        <v>2.99862699921078</v>
      </c>
      <c r="M94" s="30" t="n">
        <f aca="false">P93</f>
        <v>106762.17</v>
      </c>
      <c r="N94" s="29" t="n">
        <f aca="false">IFERROR(F94/M94,0)</f>
        <v>-0.000997357022623276</v>
      </c>
      <c r="O94" s="28" t="str">
        <f aca="false">IF(F94&lt;0,"down week","")</f>
        <v>down week</v>
      </c>
      <c r="P94" s="30" t="n">
        <f aca="false">M94+F94</f>
        <v>106655.69</v>
      </c>
      <c r="Q94" s="30" t="n">
        <f aca="false">P94-Summary!$C$5</f>
        <v>6655.68999999997</v>
      </c>
    </row>
    <row r="95" customFormat="false" ht="15" hidden="false" customHeight="false" outlineLevel="0" collapsed="false">
      <c r="A95" s="42" t="n">
        <v>45670</v>
      </c>
      <c r="B95" s="28" t="n">
        <f aca="false">COUNTIFS(Trades!$E$2:$E$884,$A95)</f>
        <v>5</v>
      </c>
      <c r="C95" s="28" t="n">
        <f aca="false">COUNTIFS(Trades!$E$2:$E$884,$A95,Trades!$Z$2:$Z$884,"Win")</f>
        <v>3</v>
      </c>
      <c r="D95" s="28" t="n">
        <f aca="false">COUNTIFS(Trades!$E$2:$E$884,$A95,Trades!$Z$2:$Z$884,"Loss")</f>
        <v>2</v>
      </c>
      <c r="E95" s="29" t="n">
        <f aca="false">IFERROR(C95/B95,0)</f>
        <v>0.6</v>
      </c>
      <c r="F95" s="30" t="n">
        <f aca="false">SUMIFS(Trades!$X$2:$X$884,Trades!$E$2:$E$884,$A95)</f>
        <v>738.71</v>
      </c>
      <c r="G95" s="30" t="n">
        <f aca="false">SUMIFS(Trades!$X$2:$X$884,Trades!$E$2:$E$884,$A95,Trades!$X$2:$X$884,"&gt;0")</f>
        <v>858.62</v>
      </c>
      <c r="H95" s="30" t="n">
        <f aca="false">SUMIFS(Trades!$X$2:$X$884,Trades!$E$2:$E$884,$A95,Trades!$X$2:$X$884,"&lt;0")</f>
        <v>-119.91</v>
      </c>
      <c r="I95" s="31" t="n">
        <f aca="false">IFERROR(G95/-H95,"no loss")</f>
        <v>7.16053706946877</v>
      </c>
      <c r="J95" s="30" t="n">
        <f aca="false">_xlfn.MAXIFS(Trades!$X$2:$X$884,Trades!$E$2:$E$884,$A95)</f>
        <v>518.63</v>
      </c>
      <c r="K95" s="30" t="n">
        <f aca="false">_xlfn.MINIFS(Trades!$X$2:$X$884,Trades!$E$2:$E$884,$A95)</f>
        <v>-112.56</v>
      </c>
      <c r="L95" s="32" t="n">
        <f aca="false">SUMIFS(Trades!$Y$2:$Y$884,Trades!$E$2:$E$884,$A95)</f>
        <v>5.03999409971631</v>
      </c>
      <c r="M95" s="30" t="n">
        <f aca="false">P94</f>
        <v>106655.69</v>
      </c>
      <c r="N95" s="29" t="n">
        <f aca="false">IFERROR(F95/M95,0)</f>
        <v>0.00692611899093241</v>
      </c>
      <c r="O95" s="28" t="str">
        <f aca="false">IF(F95&lt;0,"down week","")</f>
        <v/>
      </c>
      <c r="P95" s="30" t="n">
        <f aca="false">M95+F95</f>
        <v>107394.4</v>
      </c>
      <c r="Q95" s="30" t="n">
        <f aca="false">P95-Summary!$C$5</f>
        <v>7394.39999999998</v>
      </c>
    </row>
    <row r="96" customFormat="false" ht="15" hidden="false" customHeight="false" outlineLevel="0" collapsed="false">
      <c r="A96" s="42" t="n">
        <v>45677</v>
      </c>
      <c r="B96" s="28" t="n">
        <f aca="false">COUNTIFS(Trades!$E$2:$E$884,$A96)</f>
        <v>4</v>
      </c>
      <c r="C96" s="28" t="n">
        <f aca="false">COUNTIFS(Trades!$E$2:$E$884,$A96,Trades!$Z$2:$Z$884,"Win")</f>
        <v>0</v>
      </c>
      <c r="D96" s="28" t="n">
        <f aca="false">COUNTIFS(Trades!$E$2:$E$884,$A96,Trades!$Z$2:$Z$884,"Loss")</f>
        <v>4</v>
      </c>
      <c r="E96" s="29" t="n">
        <f aca="false">IFERROR(C96/B96,0)</f>
        <v>0</v>
      </c>
      <c r="F96" s="30" t="n">
        <f aca="false">SUMIFS(Trades!$X$2:$X$884,Trades!$E$2:$E$884,$A96)</f>
        <v>-11.35</v>
      </c>
      <c r="G96" s="30" t="n">
        <f aca="false">SUMIFS(Trades!$X$2:$X$884,Trades!$E$2:$E$884,$A96,Trades!$X$2:$X$884,"&gt;0")</f>
        <v>0</v>
      </c>
      <c r="H96" s="30" t="n">
        <f aca="false">SUMIFS(Trades!$X$2:$X$884,Trades!$E$2:$E$884,$A96,Trades!$X$2:$X$884,"&lt;0")</f>
        <v>-11.35</v>
      </c>
      <c r="I96" s="31" t="n">
        <f aca="false">IFERROR(G96/-H96,"no loss")</f>
        <v>0</v>
      </c>
      <c r="J96" s="30" t="n">
        <f aca="false">_xlfn.MAXIFS(Trades!$X$2:$X$884,Trades!$E$2:$E$884,$A96)</f>
        <v>-0.31</v>
      </c>
      <c r="K96" s="30" t="n">
        <f aca="false">_xlfn.MINIFS(Trades!$X$2:$X$884,Trades!$E$2:$E$884,$A96)</f>
        <v>-5.94</v>
      </c>
      <c r="L96" s="32" t="n">
        <f aca="false">SUMIFS(Trades!$Y$2:$Y$884,Trades!$E$2:$E$884,$A96)</f>
        <v>-0.0903476222306574</v>
      </c>
      <c r="M96" s="30" t="n">
        <f aca="false">P95</f>
        <v>107394.4</v>
      </c>
      <c r="N96" s="29" t="n">
        <f aca="false">IFERROR(F96/M96,0)</f>
        <v>-0.000105685212636786</v>
      </c>
      <c r="O96" s="28" t="str">
        <f aca="false">IF(F96&lt;0,"down week","")</f>
        <v>down week</v>
      </c>
      <c r="P96" s="30" t="n">
        <f aca="false">M96+F96</f>
        <v>107383.05</v>
      </c>
      <c r="Q96" s="30" t="n">
        <f aca="false">P96-Summary!$C$5</f>
        <v>7383.04999999997</v>
      </c>
    </row>
    <row r="97" customFormat="false" ht="15" hidden="false" customHeight="false" outlineLevel="0" collapsed="false">
      <c r="A97" s="42" t="n">
        <v>45684</v>
      </c>
      <c r="B97" s="28" t="n">
        <f aca="false">COUNTIFS(Trades!$E$2:$E$884,$A97)</f>
        <v>4</v>
      </c>
      <c r="C97" s="28" t="n">
        <f aca="false">COUNTIFS(Trades!$E$2:$E$884,$A97,Trades!$Z$2:$Z$884,"Win")</f>
        <v>2</v>
      </c>
      <c r="D97" s="28" t="n">
        <f aca="false">COUNTIFS(Trades!$E$2:$E$884,$A97,Trades!$Z$2:$Z$884,"Loss")</f>
        <v>2</v>
      </c>
      <c r="E97" s="29" t="n">
        <f aca="false">IFERROR(C97/B97,0)</f>
        <v>0.5</v>
      </c>
      <c r="F97" s="30" t="n">
        <f aca="false">SUMIFS(Trades!$X$2:$X$884,Trades!$E$2:$E$884,$A97)</f>
        <v>501.25</v>
      </c>
      <c r="G97" s="30" t="n">
        <f aca="false">SUMIFS(Trades!$X$2:$X$884,Trades!$E$2:$E$884,$A97,Trades!$X$2:$X$884,"&gt;0")</f>
        <v>557.79</v>
      </c>
      <c r="H97" s="30" t="n">
        <f aca="false">SUMIFS(Trades!$X$2:$X$884,Trades!$E$2:$E$884,$A97,Trades!$X$2:$X$884,"&lt;0")</f>
        <v>-56.54</v>
      </c>
      <c r="I97" s="31" t="n">
        <f aca="false">IFERROR(G97/-H97,"no loss")</f>
        <v>9.86540502299257</v>
      </c>
      <c r="J97" s="30" t="n">
        <f aca="false">_xlfn.MAXIFS(Trades!$X$2:$X$884,Trades!$E$2:$E$884,$A97)</f>
        <v>456.94</v>
      </c>
      <c r="K97" s="30" t="n">
        <f aca="false">_xlfn.MINIFS(Trades!$X$2:$X$884,Trades!$E$2:$E$884,$A97)</f>
        <v>-55.22</v>
      </c>
      <c r="L97" s="32" t="n">
        <f aca="false">SUMIFS(Trades!$Y$2:$Y$884,Trades!$E$2:$E$884,$A97)</f>
        <v>3.0268513266172</v>
      </c>
      <c r="M97" s="30" t="n">
        <f aca="false">P96</f>
        <v>107383.05</v>
      </c>
      <c r="N97" s="29" t="n">
        <f aca="false">IFERROR(F97/M97,0)</f>
        <v>0.0046678689048225</v>
      </c>
      <c r="O97" s="28" t="str">
        <f aca="false">IF(F97&lt;0,"down week","")</f>
        <v/>
      </c>
      <c r="P97" s="30" t="n">
        <f aca="false">M97+F97</f>
        <v>107884.3</v>
      </c>
      <c r="Q97" s="30" t="n">
        <f aca="false">P97-Summary!$C$5</f>
        <v>7884.29999999997</v>
      </c>
    </row>
    <row r="98" customFormat="false" ht="15" hidden="false" customHeight="false" outlineLevel="0" collapsed="false">
      <c r="A98" s="42" t="n">
        <v>45691</v>
      </c>
      <c r="B98" s="28" t="n">
        <f aca="false">COUNTIFS(Trades!$E$2:$E$884,$A98)</f>
        <v>6</v>
      </c>
      <c r="C98" s="28" t="n">
        <f aca="false">COUNTIFS(Trades!$E$2:$E$884,$A98,Trades!$Z$2:$Z$884,"Win")</f>
        <v>2</v>
      </c>
      <c r="D98" s="28" t="n">
        <f aca="false">COUNTIFS(Trades!$E$2:$E$884,$A98,Trades!$Z$2:$Z$884,"Loss")</f>
        <v>4</v>
      </c>
      <c r="E98" s="29" t="n">
        <f aca="false">IFERROR(C98/B98,0)</f>
        <v>0.333333333333333</v>
      </c>
      <c r="F98" s="30" t="n">
        <f aca="false">SUMIFS(Trades!$X$2:$X$884,Trades!$E$2:$E$884,$A98)</f>
        <v>-826.23</v>
      </c>
      <c r="G98" s="30" t="n">
        <f aca="false">SUMIFS(Trades!$X$2:$X$884,Trades!$E$2:$E$884,$A98,Trades!$X$2:$X$884,"&gt;0")</f>
        <v>219.47</v>
      </c>
      <c r="H98" s="30" t="n">
        <f aca="false">SUMIFS(Trades!$X$2:$X$884,Trades!$E$2:$E$884,$A98,Trades!$X$2:$X$884,"&lt;0")</f>
        <v>-1045.7</v>
      </c>
      <c r="I98" s="31" t="n">
        <f aca="false">IFERROR(G98/-H98,"no loss")</f>
        <v>0.209878550253419</v>
      </c>
      <c r="J98" s="30" t="n">
        <f aca="false">_xlfn.MAXIFS(Trades!$X$2:$X$884,Trades!$E$2:$E$884,$A98)</f>
        <v>167.51</v>
      </c>
      <c r="K98" s="30" t="n">
        <f aca="false">_xlfn.MINIFS(Trades!$X$2:$X$884,Trades!$E$2:$E$884,$A98)</f>
        <v>-537.23</v>
      </c>
      <c r="L98" s="32" t="n">
        <f aca="false">SUMIFS(Trades!$Y$2:$Y$884,Trades!$E$2:$E$884,$A98)</f>
        <v>1.01956693339932</v>
      </c>
      <c r="M98" s="30" t="n">
        <f aca="false">P97</f>
        <v>107884.3</v>
      </c>
      <c r="N98" s="29" t="n">
        <f aca="false">IFERROR(F98/M98,0)</f>
        <v>-0.00765848228148118</v>
      </c>
      <c r="O98" s="28" t="str">
        <f aca="false">IF(F98&lt;0,"down week","")</f>
        <v>down week</v>
      </c>
      <c r="P98" s="30" t="n">
        <f aca="false">M98+F98</f>
        <v>107058.07</v>
      </c>
      <c r="Q98" s="30" t="n">
        <f aca="false">P98-Summary!$C$5</f>
        <v>7058.06999999998</v>
      </c>
    </row>
    <row r="99" customFormat="false" ht="15" hidden="false" customHeight="false" outlineLevel="0" collapsed="false">
      <c r="A99" s="42" t="n">
        <v>45698</v>
      </c>
      <c r="B99" s="28" t="n">
        <f aca="false">COUNTIFS(Trades!$E$2:$E$884,$A99)</f>
        <v>4</v>
      </c>
      <c r="C99" s="28" t="n">
        <f aca="false">COUNTIFS(Trades!$E$2:$E$884,$A99,Trades!$Z$2:$Z$884,"Win")</f>
        <v>2</v>
      </c>
      <c r="D99" s="28" t="n">
        <f aca="false">COUNTIFS(Trades!$E$2:$E$884,$A99,Trades!$Z$2:$Z$884,"Loss")</f>
        <v>2</v>
      </c>
      <c r="E99" s="29" t="n">
        <f aca="false">IFERROR(C99/B99,0)</f>
        <v>0.5</v>
      </c>
      <c r="F99" s="30" t="n">
        <f aca="false">SUMIFS(Trades!$X$2:$X$884,Trades!$E$2:$E$884,$A99)</f>
        <v>104.64</v>
      </c>
      <c r="G99" s="30" t="n">
        <f aca="false">SUMIFS(Trades!$X$2:$X$884,Trades!$E$2:$E$884,$A99,Trades!$X$2:$X$884,"&gt;0")</f>
        <v>293.89</v>
      </c>
      <c r="H99" s="30" t="n">
        <f aca="false">SUMIFS(Trades!$X$2:$X$884,Trades!$E$2:$E$884,$A99,Trades!$X$2:$X$884,"&lt;0")</f>
        <v>-189.25</v>
      </c>
      <c r="I99" s="31" t="n">
        <f aca="false">IFERROR(G99/-H99,"no loss")</f>
        <v>1.55291941875826</v>
      </c>
      <c r="J99" s="30" t="n">
        <f aca="false">_xlfn.MAXIFS(Trades!$X$2:$X$884,Trades!$E$2:$E$884,$A99)</f>
        <v>206.32</v>
      </c>
      <c r="K99" s="30" t="n">
        <f aca="false">_xlfn.MINIFS(Trades!$X$2:$X$884,Trades!$E$2:$E$884,$A99)</f>
        <v>-188.28</v>
      </c>
      <c r="L99" s="32" t="n">
        <f aca="false">SUMIFS(Trades!$Y$2:$Y$884,Trades!$E$2:$E$884,$A99)</f>
        <v>3.14835627675076</v>
      </c>
      <c r="M99" s="30" t="n">
        <f aca="false">P98</f>
        <v>107058.07</v>
      </c>
      <c r="N99" s="29" t="n">
        <f aca="false">IFERROR(F99/M99,0)</f>
        <v>0.00097741347289373</v>
      </c>
      <c r="O99" s="28" t="str">
        <f aca="false">IF(F99&lt;0,"down week","")</f>
        <v/>
      </c>
      <c r="P99" s="30" t="n">
        <f aca="false">M99+F99</f>
        <v>107162.71</v>
      </c>
      <c r="Q99" s="30" t="n">
        <f aca="false">P99-Summary!$C$5</f>
        <v>7162.70999999998</v>
      </c>
    </row>
    <row r="100" customFormat="false" ht="15" hidden="false" customHeight="false" outlineLevel="0" collapsed="false">
      <c r="A100" s="42" t="n">
        <v>45705</v>
      </c>
      <c r="B100" s="28" t="n">
        <f aca="false">COUNTIFS(Trades!$E$2:$E$884,$A100)</f>
        <v>6</v>
      </c>
      <c r="C100" s="28" t="n">
        <f aca="false">COUNTIFS(Trades!$E$2:$E$884,$A100,Trades!$Z$2:$Z$884,"Win")</f>
        <v>2</v>
      </c>
      <c r="D100" s="28" t="n">
        <f aca="false">COUNTIFS(Trades!$E$2:$E$884,$A100,Trades!$Z$2:$Z$884,"Loss")</f>
        <v>4</v>
      </c>
      <c r="E100" s="29" t="n">
        <f aca="false">IFERROR(C100/B100,0)</f>
        <v>0.333333333333333</v>
      </c>
      <c r="F100" s="30" t="n">
        <f aca="false">SUMIFS(Trades!$X$2:$X$884,Trades!$E$2:$E$884,$A100)</f>
        <v>-9.95</v>
      </c>
      <c r="G100" s="30" t="n">
        <f aca="false">SUMIFS(Trades!$X$2:$X$884,Trades!$E$2:$E$884,$A100,Trades!$X$2:$X$884,"&gt;0")</f>
        <v>404.92</v>
      </c>
      <c r="H100" s="30" t="n">
        <f aca="false">SUMIFS(Trades!$X$2:$X$884,Trades!$E$2:$E$884,$A100,Trades!$X$2:$X$884,"&lt;0")</f>
        <v>-414.87</v>
      </c>
      <c r="I100" s="31" t="n">
        <f aca="false">IFERROR(G100/-H100,"no loss")</f>
        <v>0.976016583508087</v>
      </c>
      <c r="J100" s="30" t="n">
        <f aca="false">_xlfn.MAXIFS(Trades!$X$2:$X$884,Trades!$E$2:$E$884,$A100)</f>
        <v>330.41</v>
      </c>
      <c r="K100" s="30" t="n">
        <f aca="false">_xlfn.MINIFS(Trades!$X$2:$X$884,Trades!$E$2:$E$884,$A100)</f>
        <v>-158.8</v>
      </c>
      <c r="L100" s="32" t="n">
        <f aca="false">SUMIFS(Trades!$Y$2:$Y$884,Trades!$E$2:$E$884,$A100)</f>
        <v>0.0869463267865698</v>
      </c>
      <c r="M100" s="30" t="n">
        <f aca="false">P99</f>
        <v>107162.71</v>
      </c>
      <c r="N100" s="29" t="n">
        <f aca="false">IFERROR(F100/M100,0)</f>
        <v>-9.28494622803025E-005</v>
      </c>
      <c r="O100" s="28" t="str">
        <f aca="false">IF(F100&lt;0,"down week","")</f>
        <v>down week</v>
      </c>
      <c r="P100" s="30" t="n">
        <f aca="false">M100+F100</f>
        <v>107152.76</v>
      </c>
      <c r="Q100" s="30" t="n">
        <f aca="false">P100-Summary!$C$5</f>
        <v>7152.75999999998</v>
      </c>
    </row>
    <row r="101" customFormat="false" ht="15" hidden="false" customHeight="false" outlineLevel="0" collapsed="false">
      <c r="A101" s="42" t="n">
        <v>45712</v>
      </c>
      <c r="B101" s="28" t="n">
        <f aca="false">COUNTIFS(Trades!$E$2:$E$884,$A101)</f>
        <v>4</v>
      </c>
      <c r="C101" s="28" t="n">
        <f aca="false">COUNTIFS(Trades!$E$2:$E$884,$A101,Trades!$Z$2:$Z$884,"Win")</f>
        <v>3</v>
      </c>
      <c r="D101" s="28" t="n">
        <f aca="false">COUNTIFS(Trades!$E$2:$E$884,$A101,Trades!$Z$2:$Z$884,"Loss")</f>
        <v>1</v>
      </c>
      <c r="E101" s="29" t="n">
        <f aca="false">IFERROR(C101/B101,0)</f>
        <v>0.75</v>
      </c>
      <c r="F101" s="30" t="n">
        <f aca="false">SUMIFS(Trades!$X$2:$X$884,Trades!$E$2:$E$884,$A101)</f>
        <v>1000.29</v>
      </c>
      <c r="G101" s="30" t="n">
        <f aca="false">SUMIFS(Trades!$X$2:$X$884,Trades!$E$2:$E$884,$A101,Trades!$X$2:$X$884,"&gt;0")</f>
        <v>1141.37</v>
      </c>
      <c r="H101" s="30" t="n">
        <f aca="false">SUMIFS(Trades!$X$2:$X$884,Trades!$E$2:$E$884,$A101,Trades!$X$2:$X$884,"&lt;0")</f>
        <v>-141.08</v>
      </c>
      <c r="I101" s="31" t="n">
        <f aca="false">IFERROR(G101/-H101,"no loss")</f>
        <v>8.090232492203</v>
      </c>
      <c r="J101" s="30" t="n">
        <f aca="false">_xlfn.MAXIFS(Trades!$X$2:$X$884,Trades!$E$2:$E$884,$A101)</f>
        <v>634.62</v>
      </c>
      <c r="K101" s="30" t="n">
        <f aca="false">_xlfn.MINIFS(Trades!$X$2:$X$884,Trades!$E$2:$E$884,$A101)</f>
        <v>-141.08</v>
      </c>
      <c r="L101" s="32" t="n">
        <f aca="false">SUMIFS(Trades!$Y$2:$Y$884,Trades!$E$2:$E$884,$A101)</f>
        <v>5.08363319653142</v>
      </c>
      <c r="M101" s="30" t="n">
        <f aca="false">P100</f>
        <v>107152.76</v>
      </c>
      <c r="N101" s="29" t="n">
        <f aca="false">IFERROR(F101/M101,0)</f>
        <v>0.00933517718069045</v>
      </c>
      <c r="O101" s="28" t="str">
        <f aca="false">IF(F101&lt;0,"down week","")</f>
        <v/>
      </c>
      <c r="P101" s="30" t="n">
        <f aca="false">M101+F101</f>
        <v>108153.05</v>
      </c>
      <c r="Q101" s="30" t="n">
        <f aca="false">P101-Summary!$C$5</f>
        <v>8153.04999999997</v>
      </c>
    </row>
    <row r="102" customFormat="false" ht="15" hidden="false" customHeight="false" outlineLevel="0" collapsed="false">
      <c r="A102" s="42" t="n">
        <v>45719</v>
      </c>
      <c r="B102" s="28" t="n">
        <f aca="false">COUNTIFS(Trades!$E$2:$E$884,$A102)</f>
        <v>5</v>
      </c>
      <c r="C102" s="28" t="n">
        <f aca="false">COUNTIFS(Trades!$E$2:$E$884,$A102,Trades!$Z$2:$Z$884,"Win")</f>
        <v>0</v>
      </c>
      <c r="D102" s="28" t="n">
        <f aca="false">COUNTIFS(Trades!$E$2:$E$884,$A102,Trades!$Z$2:$Z$884,"Loss")</f>
        <v>4</v>
      </c>
      <c r="E102" s="29" t="n">
        <f aca="false">IFERROR(C102/B102,0)</f>
        <v>0</v>
      </c>
      <c r="F102" s="30" t="n">
        <f aca="false">SUMIFS(Trades!$X$2:$X$884,Trades!$E$2:$E$884,$A102)</f>
        <v>-193.56</v>
      </c>
      <c r="G102" s="30" t="n">
        <f aca="false">SUMIFS(Trades!$X$2:$X$884,Trades!$E$2:$E$884,$A102,Trades!$X$2:$X$884,"&gt;0")</f>
        <v>0</v>
      </c>
      <c r="H102" s="30" t="n">
        <f aca="false">SUMIFS(Trades!$X$2:$X$884,Trades!$E$2:$E$884,$A102,Trades!$X$2:$X$884,"&lt;0")</f>
        <v>-193.56</v>
      </c>
      <c r="I102" s="31" t="n">
        <f aca="false">IFERROR(G102/-H102,"no loss")</f>
        <v>0</v>
      </c>
      <c r="J102" s="30" t="n">
        <f aca="false">_xlfn.MAXIFS(Trades!$X$2:$X$884,Trades!$E$2:$E$884,$A102)</f>
        <v>0</v>
      </c>
      <c r="K102" s="30" t="n">
        <f aca="false">_xlfn.MINIFS(Trades!$X$2:$X$884,Trades!$E$2:$E$884,$A102)</f>
        <v>-189.7</v>
      </c>
      <c r="L102" s="32" t="n">
        <f aca="false">SUMIFS(Trades!$Y$2:$Y$884,Trades!$E$2:$E$884,$A102)</f>
        <v>-1.04527397817691</v>
      </c>
      <c r="M102" s="30" t="n">
        <f aca="false">P101</f>
        <v>108153.05</v>
      </c>
      <c r="N102" s="29" t="n">
        <f aca="false">IFERROR(F102/M102,0)</f>
        <v>-0.00178968600515658</v>
      </c>
      <c r="O102" s="28" t="str">
        <f aca="false">IF(F102&lt;0,"down week","")</f>
        <v>down week</v>
      </c>
      <c r="P102" s="30" t="n">
        <f aca="false">M102+F102</f>
        <v>107959.49</v>
      </c>
      <c r="Q102" s="30" t="n">
        <f aca="false">P102-Summary!$C$5</f>
        <v>7959.48999999998</v>
      </c>
    </row>
    <row r="103" customFormat="false" ht="15" hidden="false" customHeight="false" outlineLevel="0" collapsed="false">
      <c r="A103" s="42" t="n">
        <v>45726</v>
      </c>
      <c r="B103" s="28" t="n">
        <f aca="false">COUNTIFS(Trades!$E$2:$E$884,$A103)</f>
        <v>5</v>
      </c>
      <c r="C103" s="28" t="n">
        <f aca="false">COUNTIFS(Trades!$E$2:$E$884,$A103,Trades!$Z$2:$Z$884,"Win")</f>
        <v>1</v>
      </c>
      <c r="D103" s="28" t="n">
        <f aca="false">COUNTIFS(Trades!$E$2:$E$884,$A103,Trades!$Z$2:$Z$884,"Loss")</f>
        <v>4</v>
      </c>
      <c r="E103" s="29" t="n">
        <f aca="false">IFERROR(C103/B103,0)</f>
        <v>0.2</v>
      </c>
      <c r="F103" s="30" t="n">
        <f aca="false">SUMIFS(Trades!$X$2:$X$884,Trades!$E$2:$E$884,$A103)</f>
        <v>-195.16</v>
      </c>
      <c r="G103" s="30" t="n">
        <f aca="false">SUMIFS(Trades!$X$2:$X$884,Trades!$E$2:$E$884,$A103,Trades!$X$2:$X$884,"&gt;0")</f>
        <v>716.35</v>
      </c>
      <c r="H103" s="30" t="n">
        <f aca="false">SUMIFS(Trades!$X$2:$X$884,Trades!$E$2:$E$884,$A103,Trades!$X$2:$X$884,"&lt;0")</f>
        <v>-911.51</v>
      </c>
      <c r="I103" s="31" t="n">
        <f aca="false">IFERROR(G103/-H103,"no loss")</f>
        <v>0.785893736766465</v>
      </c>
      <c r="J103" s="30" t="n">
        <f aca="false">_xlfn.MAXIFS(Trades!$X$2:$X$884,Trades!$E$2:$E$884,$A103)</f>
        <v>716.35</v>
      </c>
      <c r="K103" s="30" t="n">
        <f aca="false">_xlfn.MINIFS(Trades!$X$2:$X$884,Trades!$E$2:$E$884,$A103)</f>
        <v>-322.5</v>
      </c>
      <c r="L103" s="32" t="n">
        <f aca="false">SUMIFS(Trades!$Y$2:$Y$884,Trades!$E$2:$E$884,$A103)</f>
        <v>-2.0226490612936</v>
      </c>
      <c r="M103" s="30" t="n">
        <f aca="false">P102</f>
        <v>107959.49</v>
      </c>
      <c r="N103" s="29" t="n">
        <f aca="false">IFERROR(F103/M103,0)</f>
        <v>-0.00180771509757966</v>
      </c>
      <c r="O103" s="28" t="str">
        <f aca="false">IF(F103&lt;0,"down week","")</f>
        <v>down week</v>
      </c>
      <c r="P103" s="30" t="n">
        <f aca="false">M103+F103</f>
        <v>107764.33</v>
      </c>
      <c r="Q103" s="30" t="n">
        <f aca="false">P103-Summary!$C$5</f>
        <v>7764.32999999997</v>
      </c>
    </row>
    <row r="104" customFormat="false" ht="15" hidden="false" customHeight="false" outlineLevel="0" collapsed="false">
      <c r="A104" s="42" t="n">
        <v>45733</v>
      </c>
      <c r="B104" s="28" t="n">
        <f aca="false">COUNTIFS(Trades!$E$2:$E$884,$A104)</f>
        <v>4</v>
      </c>
      <c r="C104" s="28" t="n">
        <f aca="false">COUNTIFS(Trades!$E$2:$E$884,$A104,Trades!$Z$2:$Z$884,"Win")</f>
        <v>1</v>
      </c>
      <c r="D104" s="28" t="n">
        <f aca="false">COUNTIFS(Trades!$E$2:$E$884,$A104,Trades!$Z$2:$Z$884,"Loss")</f>
        <v>3</v>
      </c>
      <c r="E104" s="29" t="n">
        <f aca="false">IFERROR(C104/B104,0)</f>
        <v>0.25</v>
      </c>
      <c r="F104" s="30" t="n">
        <f aca="false">SUMIFS(Trades!$X$2:$X$884,Trades!$E$2:$E$884,$A104)</f>
        <v>74.11</v>
      </c>
      <c r="G104" s="30" t="n">
        <f aca="false">SUMIFS(Trades!$X$2:$X$884,Trades!$E$2:$E$884,$A104,Trades!$X$2:$X$884,"&gt;0")</f>
        <v>276.29</v>
      </c>
      <c r="H104" s="30" t="n">
        <f aca="false">SUMIFS(Trades!$X$2:$X$884,Trades!$E$2:$E$884,$A104,Trades!$X$2:$X$884,"&lt;0")</f>
        <v>-202.18</v>
      </c>
      <c r="I104" s="31" t="n">
        <f aca="false">IFERROR(G104/-H104,"no loss")</f>
        <v>1.36655455534672</v>
      </c>
      <c r="J104" s="30" t="n">
        <f aca="false">_xlfn.MAXIFS(Trades!$X$2:$X$884,Trades!$E$2:$E$884,$A104)</f>
        <v>276.29</v>
      </c>
      <c r="K104" s="30" t="n">
        <f aca="false">_xlfn.MINIFS(Trades!$X$2:$X$884,Trades!$E$2:$E$884,$A104)</f>
        <v>-201.26</v>
      </c>
      <c r="L104" s="32" t="n">
        <f aca="false">SUMIFS(Trades!$Y$2:$Y$884,Trades!$E$2:$E$884,$A104)</f>
        <v>0.998202071972989</v>
      </c>
      <c r="M104" s="30" t="n">
        <f aca="false">P103</f>
        <v>107764.33</v>
      </c>
      <c r="N104" s="29" t="n">
        <f aca="false">IFERROR(F104/M104,0)</f>
        <v>0.000687704363772317</v>
      </c>
      <c r="O104" s="28" t="str">
        <f aca="false">IF(F104&lt;0,"down week","")</f>
        <v/>
      </c>
      <c r="P104" s="30" t="n">
        <f aca="false">M104+F104</f>
        <v>107838.44</v>
      </c>
      <c r="Q104" s="30" t="n">
        <f aca="false">P104-Summary!$C$5</f>
        <v>7838.43999999997</v>
      </c>
    </row>
    <row r="105" customFormat="false" ht="15" hidden="false" customHeight="false" outlineLevel="0" collapsed="false">
      <c r="A105" s="42" t="n">
        <v>45740</v>
      </c>
      <c r="B105" s="28" t="n">
        <f aca="false">COUNTIFS(Trades!$E$2:$E$884,$A105)</f>
        <v>6</v>
      </c>
      <c r="C105" s="28" t="n">
        <f aca="false">COUNTIFS(Trades!$E$2:$E$884,$A105,Trades!$Z$2:$Z$884,"Win")</f>
        <v>2</v>
      </c>
      <c r="D105" s="28" t="n">
        <f aca="false">COUNTIFS(Trades!$E$2:$E$884,$A105,Trades!$Z$2:$Z$884,"Loss")</f>
        <v>3</v>
      </c>
      <c r="E105" s="29" t="n">
        <f aca="false">IFERROR(C105/B105,0)</f>
        <v>0.333333333333333</v>
      </c>
      <c r="F105" s="30" t="n">
        <f aca="false">SUMIFS(Trades!$X$2:$X$884,Trades!$E$2:$E$884,$A105)</f>
        <v>647.42</v>
      </c>
      <c r="G105" s="30" t="n">
        <f aca="false">SUMIFS(Trades!$X$2:$X$884,Trades!$E$2:$E$884,$A105,Trades!$X$2:$X$884,"&gt;0")</f>
        <v>648.82</v>
      </c>
      <c r="H105" s="30" t="n">
        <f aca="false">SUMIFS(Trades!$X$2:$X$884,Trades!$E$2:$E$884,$A105,Trades!$X$2:$X$884,"&lt;0")</f>
        <v>-1.4</v>
      </c>
      <c r="I105" s="31" t="n">
        <f aca="false">IFERROR(G105/-H105,"no loss")</f>
        <v>463.442857142857</v>
      </c>
      <c r="J105" s="30" t="n">
        <f aca="false">_xlfn.MAXIFS(Trades!$X$2:$X$884,Trades!$E$2:$E$884,$A105)</f>
        <v>385.97</v>
      </c>
      <c r="K105" s="30" t="n">
        <f aca="false">_xlfn.MINIFS(Trades!$X$2:$X$884,Trades!$E$2:$E$884,$A105)</f>
        <v>-0.72</v>
      </c>
      <c r="L105" s="32" t="n">
        <f aca="false">SUMIFS(Trades!$Y$2:$Y$884,Trades!$E$2:$E$884,$A105)</f>
        <v>4.00982362866215</v>
      </c>
      <c r="M105" s="30" t="n">
        <f aca="false">P104</f>
        <v>107838.44</v>
      </c>
      <c r="N105" s="29" t="n">
        <f aca="false">IFERROR(F105/M105,0)</f>
        <v>0.00600361058635492</v>
      </c>
      <c r="O105" s="28" t="str">
        <f aca="false">IF(F105&lt;0,"down week","")</f>
        <v/>
      </c>
      <c r="P105" s="30" t="n">
        <f aca="false">M105+F105</f>
        <v>108485.86</v>
      </c>
      <c r="Q105" s="30" t="n">
        <f aca="false">P105-Summary!$C$5</f>
        <v>8485.85999999997</v>
      </c>
    </row>
    <row r="106" customFormat="false" ht="15" hidden="false" customHeight="false" outlineLevel="0" collapsed="false">
      <c r="A106" s="42" t="n">
        <v>45747</v>
      </c>
      <c r="B106" s="28" t="n">
        <f aca="false">COUNTIFS(Trades!$E$2:$E$884,$A106)</f>
        <v>4</v>
      </c>
      <c r="C106" s="28" t="n">
        <f aca="false">COUNTIFS(Trades!$E$2:$E$884,$A106,Trades!$Z$2:$Z$884,"Win")</f>
        <v>2</v>
      </c>
      <c r="D106" s="28" t="n">
        <f aca="false">COUNTIFS(Trades!$E$2:$E$884,$A106,Trades!$Z$2:$Z$884,"Loss")</f>
        <v>2</v>
      </c>
      <c r="E106" s="29" t="n">
        <f aca="false">IFERROR(C106/B106,0)</f>
        <v>0.5</v>
      </c>
      <c r="F106" s="30" t="n">
        <f aca="false">SUMIFS(Trades!$X$2:$X$884,Trades!$E$2:$E$884,$A106)</f>
        <v>1158.08</v>
      </c>
      <c r="G106" s="30" t="n">
        <f aca="false">SUMIFS(Trades!$X$2:$X$884,Trades!$E$2:$E$884,$A106,Trades!$X$2:$X$884,"&gt;0")</f>
        <v>1362.63</v>
      </c>
      <c r="H106" s="30" t="n">
        <f aca="false">SUMIFS(Trades!$X$2:$X$884,Trades!$E$2:$E$884,$A106,Trades!$X$2:$X$884,"&lt;0")</f>
        <v>-204.55</v>
      </c>
      <c r="I106" s="31" t="n">
        <f aca="false">IFERROR(G106/-H106,"no loss")</f>
        <v>6.66159863114153</v>
      </c>
      <c r="J106" s="30" t="n">
        <f aca="false">_xlfn.MAXIFS(Trades!$X$2:$X$884,Trades!$E$2:$E$884,$A106)</f>
        <v>986.13</v>
      </c>
      <c r="K106" s="30" t="n">
        <f aca="false">_xlfn.MINIFS(Trades!$X$2:$X$884,Trades!$E$2:$E$884,$A106)</f>
        <v>-124.45</v>
      </c>
      <c r="L106" s="32" t="n">
        <f aca="false">SUMIFS(Trades!$Y$2:$Y$884,Trades!$E$2:$E$884,$A106)</f>
        <v>2.03919266840776</v>
      </c>
      <c r="M106" s="30" t="n">
        <f aca="false">P105</f>
        <v>108485.86</v>
      </c>
      <c r="N106" s="29" t="n">
        <f aca="false">IFERROR(F106/M106,0)</f>
        <v>0.0106749395727701</v>
      </c>
      <c r="O106" s="28" t="str">
        <f aca="false">IF(F106&lt;0,"down week","")</f>
        <v/>
      </c>
      <c r="P106" s="30" t="n">
        <f aca="false">M106+F106</f>
        <v>109643.94</v>
      </c>
      <c r="Q106" s="30" t="n">
        <f aca="false">P106-Summary!$C$5</f>
        <v>9643.93999999997</v>
      </c>
    </row>
    <row r="107" customFormat="false" ht="15" hidden="false" customHeight="false" outlineLevel="0" collapsed="false">
      <c r="A107" s="42" t="n">
        <v>45754</v>
      </c>
      <c r="B107" s="28" t="n">
        <f aca="false">COUNTIFS(Trades!$E$2:$E$884,$A107)</f>
        <v>4</v>
      </c>
      <c r="C107" s="28" t="n">
        <f aca="false">COUNTIFS(Trades!$E$2:$E$884,$A107,Trades!$Z$2:$Z$884,"Win")</f>
        <v>1</v>
      </c>
      <c r="D107" s="28" t="n">
        <f aca="false">COUNTIFS(Trades!$E$2:$E$884,$A107,Trades!$Z$2:$Z$884,"Loss")</f>
        <v>3</v>
      </c>
      <c r="E107" s="29" t="n">
        <f aca="false">IFERROR(C107/B107,0)</f>
        <v>0.25</v>
      </c>
      <c r="F107" s="30" t="n">
        <f aca="false">SUMIFS(Trades!$X$2:$X$884,Trades!$E$2:$E$884,$A107)</f>
        <v>924.62</v>
      </c>
      <c r="G107" s="30" t="n">
        <f aca="false">SUMIFS(Trades!$X$2:$X$884,Trades!$E$2:$E$884,$A107,Trades!$X$2:$X$884,"&gt;0")</f>
        <v>1033.59</v>
      </c>
      <c r="H107" s="30" t="n">
        <f aca="false">SUMIFS(Trades!$X$2:$X$884,Trades!$E$2:$E$884,$A107,Trades!$X$2:$X$884,"&lt;0")</f>
        <v>-108.97</v>
      </c>
      <c r="I107" s="31" t="n">
        <f aca="false">IFERROR(G107/-H107,"no loss")</f>
        <v>9.48508763879967</v>
      </c>
      <c r="J107" s="30" t="n">
        <f aca="false">_xlfn.MAXIFS(Trades!$X$2:$X$884,Trades!$E$2:$E$884,$A107)</f>
        <v>1033.59</v>
      </c>
      <c r="K107" s="30" t="n">
        <f aca="false">_xlfn.MINIFS(Trades!$X$2:$X$884,Trades!$E$2:$E$884,$A107)</f>
        <v>-105.25</v>
      </c>
      <c r="L107" s="32" t="n">
        <f aca="false">SUMIFS(Trades!$Y$2:$Y$884,Trades!$E$2:$E$884,$A107)</f>
        <v>0.985272588205049</v>
      </c>
      <c r="M107" s="30" t="n">
        <f aca="false">P106</f>
        <v>109643.94</v>
      </c>
      <c r="N107" s="29" t="n">
        <f aca="false">IFERROR(F107/M107,0)</f>
        <v>0.00843293300113075</v>
      </c>
      <c r="O107" s="28" t="str">
        <f aca="false">IF(F107&lt;0,"down week","")</f>
        <v/>
      </c>
      <c r="P107" s="30" t="n">
        <f aca="false">M107+F107</f>
        <v>110568.56</v>
      </c>
      <c r="Q107" s="30" t="n">
        <f aca="false">P107-Summary!$C$5</f>
        <v>10568.56</v>
      </c>
    </row>
    <row r="108" customFormat="false" ht="15" hidden="false" customHeight="false" outlineLevel="0" collapsed="false">
      <c r="A108" s="42" t="n">
        <v>45761</v>
      </c>
      <c r="B108" s="28" t="n">
        <f aca="false">COUNTIFS(Trades!$E$2:$E$884,$A108)</f>
        <v>2</v>
      </c>
      <c r="C108" s="28" t="n">
        <f aca="false">COUNTIFS(Trades!$E$2:$E$884,$A108,Trades!$Z$2:$Z$884,"Win")</f>
        <v>1</v>
      </c>
      <c r="D108" s="28" t="n">
        <f aca="false">COUNTIFS(Trades!$E$2:$E$884,$A108,Trades!$Z$2:$Z$884,"Loss")</f>
        <v>1</v>
      </c>
      <c r="E108" s="29" t="n">
        <f aca="false">IFERROR(C108/B108,0)</f>
        <v>0.5</v>
      </c>
      <c r="F108" s="30" t="n">
        <f aca="false">SUMIFS(Trades!$X$2:$X$884,Trades!$E$2:$E$884,$A108)</f>
        <v>221.06</v>
      </c>
      <c r="G108" s="30" t="n">
        <f aca="false">SUMIFS(Trades!$X$2:$X$884,Trades!$E$2:$E$884,$A108,Trades!$X$2:$X$884,"&gt;0")</f>
        <v>584.9</v>
      </c>
      <c r="H108" s="30" t="n">
        <f aca="false">SUMIFS(Trades!$X$2:$X$884,Trades!$E$2:$E$884,$A108,Trades!$X$2:$X$884,"&lt;0")</f>
        <v>-363.84</v>
      </c>
      <c r="I108" s="31" t="n">
        <f aca="false">IFERROR(G108/-H108,"no loss")</f>
        <v>1.60757475813544</v>
      </c>
      <c r="J108" s="30" t="n">
        <f aca="false">_xlfn.MAXIFS(Trades!$X$2:$X$884,Trades!$E$2:$E$884,$A108)</f>
        <v>584.9</v>
      </c>
      <c r="K108" s="30" t="n">
        <f aca="false">_xlfn.MINIFS(Trades!$X$2:$X$884,Trades!$E$2:$E$884,$A108)</f>
        <v>-363.84</v>
      </c>
      <c r="L108" s="32" t="n">
        <f aca="false">SUMIFS(Trades!$Y$2:$Y$884,Trades!$E$2:$E$884,$A108)</f>
        <v>0.989269163858172</v>
      </c>
      <c r="M108" s="30" t="n">
        <f aca="false">P107</f>
        <v>110568.56</v>
      </c>
      <c r="N108" s="29" t="n">
        <f aca="false">IFERROR(F108/M108,0)</f>
        <v>0.00199930251420476</v>
      </c>
      <c r="O108" s="28" t="str">
        <f aca="false">IF(F108&lt;0,"down week","")</f>
        <v/>
      </c>
      <c r="P108" s="30" t="n">
        <f aca="false">M108+F108</f>
        <v>110789.62</v>
      </c>
      <c r="Q108" s="30" t="n">
        <f aca="false">P108-Summary!$C$5</f>
        <v>10789.62</v>
      </c>
    </row>
    <row r="109" customFormat="false" ht="15" hidden="false" customHeight="false" outlineLevel="0" collapsed="false">
      <c r="A109" s="42" t="n">
        <v>45768</v>
      </c>
      <c r="B109" s="28" t="n">
        <f aca="false">COUNTIFS(Trades!$E$2:$E$884,$A109)</f>
        <v>6</v>
      </c>
      <c r="C109" s="28" t="n">
        <f aca="false">COUNTIFS(Trades!$E$2:$E$884,$A109,Trades!$Z$2:$Z$884,"Win")</f>
        <v>1</v>
      </c>
      <c r="D109" s="28" t="n">
        <f aca="false">COUNTIFS(Trades!$E$2:$E$884,$A109,Trades!$Z$2:$Z$884,"Loss")</f>
        <v>5</v>
      </c>
      <c r="E109" s="29" t="n">
        <f aca="false">IFERROR(C109/B109,0)</f>
        <v>0.166666666666667</v>
      </c>
      <c r="F109" s="30" t="n">
        <f aca="false">SUMIFS(Trades!$X$2:$X$884,Trades!$E$2:$E$884,$A109)</f>
        <v>344.33</v>
      </c>
      <c r="G109" s="30" t="n">
        <f aca="false">SUMIFS(Trades!$X$2:$X$884,Trades!$E$2:$E$884,$A109,Trades!$X$2:$X$884,"&gt;0")</f>
        <v>1020.55</v>
      </c>
      <c r="H109" s="30" t="n">
        <f aca="false">SUMIFS(Trades!$X$2:$X$884,Trades!$E$2:$E$884,$A109,Trades!$X$2:$X$884,"&lt;0")</f>
        <v>-676.22</v>
      </c>
      <c r="I109" s="31" t="n">
        <f aca="false">IFERROR(G109/-H109,"no loss")</f>
        <v>1.50919818993819</v>
      </c>
      <c r="J109" s="30" t="n">
        <f aca="false">_xlfn.MAXIFS(Trades!$X$2:$X$884,Trades!$E$2:$E$884,$A109)</f>
        <v>1020.55</v>
      </c>
      <c r="K109" s="30" t="n">
        <f aca="false">_xlfn.MINIFS(Trades!$X$2:$X$884,Trades!$E$2:$E$884,$A109)</f>
        <v>-308.99</v>
      </c>
      <c r="L109" s="32" t="n">
        <f aca="false">SUMIFS(Trades!$Y$2:$Y$884,Trades!$E$2:$E$884,$A109)</f>
        <v>-2.06578513139404</v>
      </c>
      <c r="M109" s="30" t="n">
        <f aca="false">P108</f>
        <v>110789.62</v>
      </c>
      <c r="N109" s="29" t="n">
        <f aca="false">IFERROR(F109/M109,0)</f>
        <v>0.00310796264126549</v>
      </c>
      <c r="O109" s="28" t="str">
        <f aca="false">IF(F109&lt;0,"down week","")</f>
        <v/>
      </c>
      <c r="P109" s="30" t="n">
        <f aca="false">M109+F109</f>
        <v>111133.95</v>
      </c>
      <c r="Q109" s="30" t="n">
        <f aca="false">P109-Summary!$C$5</f>
        <v>11133.95</v>
      </c>
    </row>
    <row r="110" customFormat="false" ht="15" hidden="false" customHeight="false" outlineLevel="0" collapsed="false">
      <c r="A110" s="42" t="n">
        <v>45775</v>
      </c>
      <c r="B110" s="28" t="n">
        <f aca="false">COUNTIFS(Trades!$E$2:$E$884,$A110)</f>
        <v>7</v>
      </c>
      <c r="C110" s="28" t="n">
        <f aca="false">COUNTIFS(Trades!$E$2:$E$884,$A110,Trades!$Z$2:$Z$884,"Win")</f>
        <v>2</v>
      </c>
      <c r="D110" s="28" t="n">
        <f aca="false">COUNTIFS(Trades!$E$2:$E$884,$A110,Trades!$Z$2:$Z$884,"Loss")</f>
        <v>5</v>
      </c>
      <c r="E110" s="29" t="n">
        <f aca="false">IFERROR(C110/B110,0)</f>
        <v>0.285714285714286</v>
      </c>
      <c r="F110" s="30" t="n">
        <f aca="false">SUMIFS(Trades!$X$2:$X$884,Trades!$E$2:$E$884,$A110)</f>
        <v>497.75</v>
      </c>
      <c r="G110" s="30" t="n">
        <f aca="false">SUMIFS(Trades!$X$2:$X$884,Trades!$E$2:$E$884,$A110,Trades!$X$2:$X$884,"&gt;0")</f>
        <v>1204</v>
      </c>
      <c r="H110" s="30" t="n">
        <f aca="false">SUMIFS(Trades!$X$2:$X$884,Trades!$E$2:$E$884,$A110,Trades!$X$2:$X$884,"&lt;0")</f>
        <v>-706.25</v>
      </c>
      <c r="I110" s="31" t="n">
        <f aca="false">IFERROR(G110/-H110,"no loss")</f>
        <v>1.70477876106195</v>
      </c>
      <c r="J110" s="30" t="n">
        <f aca="false">_xlfn.MAXIFS(Trades!$X$2:$X$884,Trades!$E$2:$E$884,$A110)</f>
        <v>624.85</v>
      </c>
      <c r="K110" s="30" t="n">
        <f aca="false">_xlfn.MINIFS(Trades!$X$2:$X$884,Trades!$E$2:$E$884,$A110)</f>
        <v>-285.45</v>
      </c>
      <c r="L110" s="32" t="n">
        <f aca="false">SUMIFS(Trades!$Y$2:$Y$884,Trades!$E$2:$E$884,$A110)</f>
        <v>-1.04158119597129</v>
      </c>
      <c r="M110" s="30" t="n">
        <f aca="false">P109</f>
        <v>111133.95</v>
      </c>
      <c r="N110" s="29" t="n">
        <f aca="false">IFERROR(F110/M110,0)</f>
        <v>0.00447882937662164</v>
      </c>
      <c r="O110" s="28" t="str">
        <f aca="false">IF(F110&lt;0,"down week","")</f>
        <v/>
      </c>
      <c r="P110" s="30" t="n">
        <f aca="false">M110+F110</f>
        <v>111631.7</v>
      </c>
      <c r="Q110" s="30" t="n">
        <f aca="false">P110-Summary!$C$5</f>
        <v>11631.7</v>
      </c>
    </row>
    <row r="111" customFormat="false" ht="15" hidden="false" customHeight="false" outlineLevel="0" collapsed="false">
      <c r="A111" s="42" t="n">
        <v>45782</v>
      </c>
      <c r="B111" s="28" t="n">
        <f aca="false">COUNTIFS(Trades!$E$2:$E$884,$A111)</f>
        <v>4</v>
      </c>
      <c r="C111" s="28" t="n">
        <f aca="false">COUNTIFS(Trades!$E$2:$E$884,$A111,Trades!$Z$2:$Z$884,"Win")</f>
        <v>1</v>
      </c>
      <c r="D111" s="28" t="n">
        <f aca="false">COUNTIFS(Trades!$E$2:$E$884,$A111,Trades!$Z$2:$Z$884,"Loss")</f>
        <v>3</v>
      </c>
      <c r="E111" s="29" t="n">
        <f aca="false">IFERROR(C111/B111,0)</f>
        <v>0.25</v>
      </c>
      <c r="F111" s="30" t="n">
        <f aca="false">SUMIFS(Trades!$X$2:$X$884,Trades!$E$2:$E$884,$A111)</f>
        <v>-492.6</v>
      </c>
      <c r="G111" s="30" t="n">
        <f aca="false">SUMIFS(Trades!$X$2:$X$884,Trades!$E$2:$E$884,$A111,Trades!$X$2:$X$884,"&gt;0")</f>
        <v>110.5</v>
      </c>
      <c r="H111" s="30" t="n">
        <f aca="false">SUMIFS(Trades!$X$2:$X$884,Trades!$E$2:$E$884,$A111,Trades!$X$2:$X$884,"&lt;0")</f>
        <v>-603.1</v>
      </c>
      <c r="I111" s="31" t="n">
        <f aca="false">IFERROR(G111/-H111,"no loss")</f>
        <v>0.183220029845797</v>
      </c>
      <c r="J111" s="30" t="n">
        <f aca="false">_xlfn.MAXIFS(Trades!$X$2:$X$884,Trades!$E$2:$E$884,$A111)</f>
        <v>110.5</v>
      </c>
      <c r="K111" s="30" t="n">
        <f aca="false">_xlfn.MINIFS(Trades!$X$2:$X$884,Trades!$E$2:$E$884,$A111)</f>
        <v>-314.9</v>
      </c>
      <c r="L111" s="32" t="n">
        <f aca="false">SUMIFS(Trades!$Y$2:$Y$884,Trades!$E$2:$E$884,$A111)</f>
        <v>-0.00179449817295101</v>
      </c>
      <c r="M111" s="30" t="n">
        <f aca="false">P110</f>
        <v>111631.7</v>
      </c>
      <c r="N111" s="29" t="n">
        <f aca="false">IFERROR(F111/M111,0)</f>
        <v>-0.00441272505927976</v>
      </c>
      <c r="O111" s="28" t="str">
        <f aca="false">IF(F111&lt;0,"down week","")</f>
        <v>down week</v>
      </c>
      <c r="P111" s="30" t="n">
        <f aca="false">M111+F111</f>
        <v>111139.1</v>
      </c>
      <c r="Q111" s="30" t="n">
        <f aca="false">P111-Summary!$C$5</f>
        <v>11139.1</v>
      </c>
    </row>
    <row r="112" customFormat="false" ht="15" hidden="false" customHeight="false" outlineLevel="0" collapsed="false">
      <c r="A112" s="42" t="n">
        <v>45789</v>
      </c>
      <c r="B112" s="28" t="n">
        <f aca="false">COUNTIFS(Trades!$E$2:$E$884,$A112)</f>
        <v>5</v>
      </c>
      <c r="C112" s="28" t="n">
        <f aca="false">COUNTIFS(Trades!$E$2:$E$884,$A112,Trades!$Z$2:$Z$884,"Win")</f>
        <v>1</v>
      </c>
      <c r="D112" s="28" t="n">
        <f aca="false">COUNTIFS(Trades!$E$2:$E$884,$A112,Trades!$Z$2:$Z$884,"Loss")</f>
        <v>4</v>
      </c>
      <c r="E112" s="29" t="n">
        <f aca="false">IFERROR(C112/B112,0)</f>
        <v>0.2</v>
      </c>
      <c r="F112" s="30" t="n">
        <f aca="false">SUMIFS(Trades!$X$2:$X$884,Trades!$E$2:$E$884,$A112)</f>
        <v>439.88</v>
      </c>
      <c r="G112" s="30" t="n">
        <f aca="false">SUMIFS(Trades!$X$2:$X$884,Trades!$E$2:$E$884,$A112,Trades!$X$2:$X$884,"&gt;0")</f>
        <v>634.42</v>
      </c>
      <c r="H112" s="30" t="n">
        <f aca="false">SUMIFS(Trades!$X$2:$X$884,Trades!$E$2:$E$884,$A112,Trades!$X$2:$X$884,"&lt;0")</f>
        <v>-194.54</v>
      </c>
      <c r="I112" s="31" t="n">
        <f aca="false">IFERROR(G112/-H112,"no loss")</f>
        <v>3.2611288166958</v>
      </c>
      <c r="J112" s="30" t="n">
        <f aca="false">_xlfn.MAXIFS(Trades!$X$2:$X$884,Trades!$E$2:$E$884,$A112)</f>
        <v>634.42</v>
      </c>
      <c r="K112" s="30" t="n">
        <f aca="false">_xlfn.MINIFS(Trades!$X$2:$X$884,Trades!$E$2:$E$884,$A112)</f>
        <v>-137.81</v>
      </c>
      <c r="L112" s="32" t="n">
        <f aca="false">SUMIFS(Trades!$Y$2:$Y$884,Trades!$E$2:$E$884,$A112)</f>
        <v>-0.0593943569888796</v>
      </c>
      <c r="M112" s="30" t="n">
        <f aca="false">P111</f>
        <v>111139.1</v>
      </c>
      <c r="N112" s="29" t="n">
        <f aca="false">IFERROR(F112/M112,0)</f>
        <v>0.0039579229991965</v>
      </c>
      <c r="O112" s="28" t="str">
        <f aca="false">IF(F112&lt;0,"down week","")</f>
        <v/>
      </c>
      <c r="P112" s="30" t="n">
        <f aca="false">M112+F112</f>
        <v>111578.98</v>
      </c>
      <c r="Q112" s="30" t="n">
        <f aca="false">P112-Summary!$C$5</f>
        <v>11578.98</v>
      </c>
    </row>
    <row r="113" customFormat="false" ht="15" hidden="false" customHeight="false" outlineLevel="0" collapsed="false">
      <c r="A113" s="42" t="n">
        <v>45796</v>
      </c>
      <c r="B113" s="28" t="n">
        <f aca="false">COUNTIFS(Trades!$E$2:$E$884,$A113)</f>
        <v>6</v>
      </c>
      <c r="C113" s="28" t="n">
        <f aca="false">COUNTIFS(Trades!$E$2:$E$884,$A113,Trades!$Z$2:$Z$884,"Win")</f>
        <v>2</v>
      </c>
      <c r="D113" s="28" t="n">
        <f aca="false">COUNTIFS(Trades!$E$2:$E$884,$A113,Trades!$Z$2:$Z$884,"Loss")</f>
        <v>4</v>
      </c>
      <c r="E113" s="29" t="n">
        <f aca="false">IFERROR(C113/B113,0)</f>
        <v>0.333333333333333</v>
      </c>
      <c r="F113" s="30" t="n">
        <f aca="false">SUMIFS(Trades!$X$2:$X$884,Trades!$E$2:$E$884,$A113)</f>
        <v>136.47</v>
      </c>
      <c r="G113" s="30" t="n">
        <f aca="false">SUMIFS(Trades!$X$2:$X$884,Trades!$E$2:$E$884,$A113,Trades!$X$2:$X$884,"&gt;0")</f>
        <v>462.94</v>
      </c>
      <c r="H113" s="30" t="n">
        <f aca="false">SUMIFS(Trades!$X$2:$X$884,Trades!$E$2:$E$884,$A113,Trades!$X$2:$X$884,"&lt;0")</f>
        <v>-326.47</v>
      </c>
      <c r="I113" s="31" t="n">
        <f aca="false">IFERROR(G113/-H113,"no loss")</f>
        <v>1.41801696939994</v>
      </c>
      <c r="J113" s="30" t="n">
        <f aca="false">_xlfn.MAXIFS(Trades!$X$2:$X$884,Trades!$E$2:$E$884,$A113)</f>
        <v>384.05</v>
      </c>
      <c r="K113" s="30" t="n">
        <f aca="false">_xlfn.MINIFS(Trades!$X$2:$X$884,Trades!$E$2:$E$884,$A113)</f>
        <v>-250.15</v>
      </c>
      <c r="L113" s="32" t="n">
        <f aca="false">SUMIFS(Trades!$Y$2:$Y$884,Trades!$E$2:$E$884,$A113)</f>
        <v>2.06211863158197</v>
      </c>
      <c r="M113" s="30" t="n">
        <f aca="false">P112</f>
        <v>111578.98</v>
      </c>
      <c r="N113" s="29" t="n">
        <f aca="false">IFERROR(F113/M113,0)</f>
        <v>0.00122307983098609</v>
      </c>
      <c r="O113" s="28" t="str">
        <f aca="false">IF(F113&lt;0,"down week","")</f>
        <v/>
      </c>
      <c r="P113" s="30" t="n">
        <f aca="false">M113+F113</f>
        <v>111715.45</v>
      </c>
      <c r="Q113" s="30" t="n">
        <f aca="false">P113-Summary!$C$5</f>
        <v>11715.45</v>
      </c>
    </row>
    <row r="114" customFormat="false" ht="15" hidden="false" customHeight="false" outlineLevel="0" collapsed="false">
      <c r="A114" s="42" t="n">
        <v>45803</v>
      </c>
      <c r="B114" s="28" t="n">
        <f aca="false">COUNTIFS(Trades!$E$2:$E$884,$A114)</f>
        <v>6</v>
      </c>
      <c r="C114" s="28" t="n">
        <f aca="false">COUNTIFS(Trades!$E$2:$E$884,$A114,Trades!$Z$2:$Z$884,"Win")</f>
        <v>3</v>
      </c>
      <c r="D114" s="28" t="n">
        <f aca="false">COUNTIFS(Trades!$E$2:$E$884,$A114,Trades!$Z$2:$Z$884,"Loss")</f>
        <v>3</v>
      </c>
      <c r="E114" s="29" t="n">
        <f aca="false">IFERROR(C114/B114,0)</f>
        <v>0.5</v>
      </c>
      <c r="F114" s="30" t="n">
        <f aca="false">SUMIFS(Trades!$X$2:$X$884,Trades!$E$2:$E$884,$A114)</f>
        <v>7.41000000000003</v>
      </c>
      <c r="G114" s="30" t="n">
        <f aca="false">SUMIFS(Trades!$X$2:$X$884,Trades!$E$2:$E$884,$A114,Trades!$X$2:$X$884,"&gt;0")</f>
        <v>406</v>
      </c>
      <c r="H114" s="30" t="n">
        <f aca="false">SUMIFS(Trades!$X$2:$X$884,Trades!$E$2:$E$884,$A114,Trades!$X$2:$X$884,"&lt;0")</f>
        <v>-398.59</v>
      </c>
      <c r="I114" s="31" t="n">
        <f aca="false">IFERROR(G114/-H114,"no loss")</f>
        <v>1.01859053162397</v>
      </c>
      <c r="J114" s="30" t="n">
        <f aca="false">_xlfn.MAXIFS(Trades!$X$2:$X$884,Trades!$E$2:$E$884,$A114)</f>
        <v>168.18</v>
      </c>
      <c r="K114" s="30" t="n">
        <f aca="false">_xlfn.MINIFS(Trades!$X$2:$X$884,Trades!$E$2:$E$884,$A114)</f>
        <v>-240.35</v>
      </c>
      <c r="L114" s="32" t="n">
        <f aca="false">SUMIFS(Trades!$Y$2:$Y$884,Trades!$E$2:$E$884,$A114)</f>
        <v>3.00477193292323</v>
      </c>
      <c r="M114" s="30" t="n">
        <f aca="false">P113</f>
        <v>111715.45</v>
      </c>
      <c r="N114" s="29" t="n">
        <f aca="false">IFERROR(F114/M114,0)</f>
        <v>6.6329231990741E-005</v>
      </c>
      <c r="O114" s="28" t="str">
        <f aca="false">IF(F114&lt;0,"down week","")</f>
        <v/>
      </c>
      <c r="P114" s="30" t="n">
        <f aca="false">M114+F114</f>
        <v>111722.86</v>
      </c>
      <c r="Q114" s="30" t="n">
        <f aca="false">P114-Summary!$C$5</f>
        <v>11722.86</v>
      </c>
    </row>
    <row r="115" customFormat="false" ht="15" hidden="false" customHeight="false" outlineLevel="0" collapsed="false">
      <c r="A115" s="42" t="n">
        <v>45810</v>
      </c>
      <c r="B115" s="28" t="n">
        <f aca="false">COUNTIFS(Trades!$E$2:$E$884,$A115)</f>
        <v>6</v>
      </c>
      <c r="C115" s="28" t="n">
        <f aca="false">COUNTIFS(Trades!$E$2:$E$884,$A115,Trades!$Z$2:$Z$884,"Win")</f>
        <v>1</v>
      </c>
      <c r="D115" s="28" t="n">
        <f aca="false">COUNTIFS(Trades!$E$2:$E$884,$A115,Trades!$Z$2:$Z$884,"Loss")</f>
        <v>5</v>
      </c>
      <c r="E115" s="29" t="n">
        <f aca="false">IFERROR(C115/B115,0)</f>
        <v>0.166666666666667</v>
      </c>
      <c r="F115" s="30" t="n">
        <f aca="false">SUMIFS(Trades!$X$2:$X$884,Trades!$E$2:$E$884,$A115)</f>
        <v>-569.34</v>
      </c>
      <c r="G115" s="30" t="n">
        <f aca="false">SUMIFS(Trades!$X$2:$X$884,Trades!$E$2:$E$884,$A115,Trades!$X$2:$X$884,"&gt;0")</f>
        <v>144.95</v>
      </c>
      <c r="H115" s="30" t="n">
        <f aca="false">SUMIFS(Trades!$X$2:$X$884,Trades!$E$2:$E$884,$A115,Trades!$X$2:$X$884,"&lt;0")</f>
        <v>-714.29</v>
      </c>
      <c r="I115" s="31" t="n">
        <f aca="false">IFERROR(G115/-H115,"no loss")</f>
        <v>0.202928782427305</v>
      </c>
      <c r="J115" s="30" t="n">
        <f aca="false">_xlfn.MAXIFS(Trades!$X$2:$X$884,Trades!$E$2:$E$884,$A115)</f>
        <v>144.95</v>
      </c>
      <c r="K115" s="30" t="n">
        <f aca="false">_xlfn.MINIFS(Trades!$X$2:$X$884,Trades!$E$2:$E$884,$A115)</f>
        <v>-245.04</v>
      </c>
      <c r="L115" s="32" t="n">
        <f aca="false">SUMIFS(Trades!$Y$2:$Y$884,Trades!$E$2:$E$884,$A115)</f>
        <v>-2.09910155999768</v>
      </c>
      <c r="M115" s="30" t="n">
        <f aca="false">P114</f>
        <v>111722.86</v>
      </c>
      <c r="N115" s="29" t="n">
        <f aca="false">IFERROR(F115/M115,0)</f>
        <v>-0.00509600273390782</v>
      </c>
      <c r="O115" s="28" t="str">
        <f aca="false">IF(F115&lt;0,"down week","")</f>
        <v>down week</v>
      </c>
      <c r="P115" s="30" t="n">
        <f aca="false">M115+F115</f>
        <v>111153.52</v>
      </c>
      <c r="Q115" s="30" t="n">
        <f aca="false">P115-Summary!$C$5</f>
        <v>11153.52</v>
      </c>
    </row>
    <row r="116" customFormat="false" ht="15" hidden="false" customHeight="false" outlineLevel="0" collapsed="false">
      <c r="A116" s="42" t="n">
        <v>45817</v>
      </c>
      <c r="B116" s="28" t="n">
        <f aca="false">COUNTIFS(Trades!$E$2:$E$884,$A116)</f>
        <v>5</v>
      </c>
      <c r="C116" s="28" t="n">
        <f aca="false">COUNTIFS(Trades!$E$2:$E$884,$A116,Trades!$Z$2:$Z$884,"Win")</f>
        <v>3</v>
      </c>
      <c r="D116" s="28" t="n">
        <f aca="false">COUNTIFS(Trades!$E$2:$E$884,$A116,Trades!$Z$2:$Z$884,"Loss")</f>
        <v>2</v>
      </c>
      <c r="E116" s="29" t="n">
        <f aca="false">IFERROR(C116/B116,0)</f>
        <v>0.6</v>
      </c>
      <c r="F116" s="30" t="n">
        <f aca="false">SUMIFS(Trades!$X$2:$X$884,Trades!$E$2:$E$884,$A116)</f>
        <v>461.3</v>
      </c>
      <c r="G116" s="30" t="n">
        <f aca="false">SUMIFS(Trades!$X$2:$X$884,Trades!$E$2:$E$884,$A116,Trades!$X$2:$X$884,"&gt;0")</f>
        <v>712.71</v>
      </c>
      <c r="H116" s="30" t="n">
        <f aca="false">SUMIFS(Trades!$X$2:$X$884,Trades!$E$2:$E$884,$A116,Trades!$X$2:$X$884,"&lt;0")</f>
        <v>-251.41</v>
      </c>
      <c r="I116" s="31" t="n">
        <f aca="false">IFERROR(G116/-H116,"no loss")</f>
        <v>2.8348514378903</v>
      </c>
      <c r="J116" s="30" t="n">
        <f aca="false">_xlfn.MAXIFS(Trades!$X$2:$X$884,Trades!$E$2:$E$884,$A116)</f>
        <v>489.76</v>
      </c>
      <c r="K116" s="30" t="n">
        <f aca="false">_xlfn.MINIFS(Trades!$X$2:$X$884,Trades!$E$2:$E$884,$A116)</f>
        <v>-145.11</v>
      </c>
      <c r="L116" s="32" t="n">
        <f aca="false">SUMIFS(Trades!$Y$2:$Y$884,Trades!$E$2:$E$884,$A116)</f>
        <v>4.09478383387797</v>
      </c>
      <c r="M116" s="30" t="n">
        <f aca="false">P115</f>
        <v>111153.52</v>
      </c>
      <c r="N116" s="29" t="n">
        <f aca="false">IFERROR(F116/M116,0)</f>
        <v>0.00415011598373133</v>
      </c>
      <c r="O116" s="28" t="str">
        <f aca="false">IF(F116&lt;0,"down week","")</f>
        <v/>
      </c>
      <c r="P116" s="30" t="n">
        <f aca="false">M116+F116</f>
        <v>111614.82</v>
      </c>
      <c r="Q116" s="30" t="n">
        <f aca="false">P116-Summary!$C$5</f>
        <v>11614.82</v>
      </c>
    </row>
    <row r="117" customFormat="false" ht="15" hidden="false" customHeight="false" outlineLevel="0" collapsed="false">
      <c r="A117" s="42" t="n">
        <v>45824</v>
      </c>
      <c r="B117" s="28" t="n">
        <f aca="false">COUNTIFS(Trades!$E$2:$E$884,$A117)</f>
        <v>4</v>
      </c>
      <c r="C117" s="28" t="n">
        <f aca="false">COUNTIFS(Trades!$E$2:$E$884,$A117,Trades!$Z$2:$Z$884,"Win")</f>
        <v>3</v>
      </c>
      <c r="D117" s="28" t="n">
        <f aca="false">COUNTIFS(Trades!$E$2:$E$884,$A117,Trades!$Z$2:$Z$884,"Loss")</f>
        <v>1</v>
      </c>
      <c r="E117" s="29" t="n">
        <f aca="false">IFERROR(C117/B117,0)</f>
        <v>0.75</v>
      </c>
      <c r="F117" s="30" t="n">
        <f aca="false">SUMIFS(Trades!$X$2:$X$884,Trades!$E$2:$E$884,$A117)</f>
        <v>523.14</v>
      </c>
      <c r="G117" s="30" t="n">
        <f aca="false">SUMIFS(Trades!$X$2:$X$884,Trades!$E$2:$E$884,$A117,Trades!$X$2:$X$884,"&gt;0")</f>
        <v>635.2</v>
      </c>
      <c r="H117" s="30" t="n">
        <f aca="false">SUMIFS(Trades!$X$2:$X$884,Trades!$E$2:$E$884,$A117,Trades!$X$2:$X$884,"&lt;0")</f>
        <v>-112.06</v>
      </c>
      <c r="I117" s="31" t="n">
        <f aca="false">IFERROR(G117/-H117,"no loss")</f>
        <v>5.66839193289309</v>
      </c>
      <c r="J117" s="30" t="n">
        <f aca="false">_xlfn.MAXIFS(Trades!$X$2:$X$884,Trades!$E$2:$E$884,$A117)</f>
        <v>380.73</v>
      </c>
      <c r="K117" s="30" t="n">
        <f aca="false">_xlfn.MINIFS(Trades!$X$2:$X$884,Trades!$E$2:$E$884,$A117)</f>
        <v>-112.06</v>
      </c>
      <c r="L117" s="32" t="n">
        <f aca="false">SUMIFS(Trades!$Y$2:$Y$884,Trades!$E$2:$E$884,$A117)</f>
        <v>4.44421276358456</v>
      </c>
      <c r="M117" s="30" t="n">
        <f aca="false">P116</f>
        <v>111614.82</v>
      </c>
      <c r="N117" s="29" t="n">
        <f aca="false">IFERROR(F117/M117,0)</f>
        <v>0.0046870119935686</v>
      </c>
      <c r="O117" s="28" t="str">
        <f aca="false">IF(F117&lt;0,"down week","")</f>
        <v/>
      </c>
      <c r="P117" s="30" t="n">
        <f aca="false">M117+F117</f>
        <v>112137.96</v>
      </c>
      <c r="Q117" s="30" t="n">
        <f aca="false">P117-Summary!$C$5</f>
        <v>12137.96</v>
      </c>
    </row>
    <row r="118" customFormat="false" ht="15" hidden="false" customHeight="false" outlineLevel="0" collapsed="false">
      <c r="A118" s="42" t="n">
        <v>45831</v>
      </c>
      <c r="B118" s="28" t="n">
        <f aca="false">COUNTIFS(Trades!$E$2:$E$884,$A118)</f>
        <v>5</v>
      </c>
      <c r="C118" s="28" t="n">
        <f aca="false">COUNTIFS(Trades!$E$2:$E$884,$A118,Trades!$Z$2:$Z$884,"Win")</f>
        <v>1</v>
      </c>
      <c r="D118" s="28" t="n">
        <f aca="false">COUNTIFS(Trades!$E$2:$E$884,$A118,Trades!$Z$2:$Z$884,"Loss")</f>
        <v>3</v>
      </c>
      <c r="E118" s="29" t="n">
        <f aca="false">IFERROR(C118/B118,0)</f>
        <v>0.2</v>
      </c>
      <c r="F118" s="30" t="n">
        <f aca="false">SUMIFS(Trades!$X$2:$X$884,Trades!$E$2:$E$884,$A118)</f>
        <v>-3.79999999999999</v>
      </c>
      <c r="G118" s="30" t="n">
        <f aca="false">SUMIFS(Trades!$X$2:$X$884,Trades!$E$2:$E$884,$A118,Trades!$X$2:$X$884,"&gt;0")</f>
        <v>199.58</v>
      </c>
      <c r="H118" s="30" t="n">
        <f aca="false">SUMIFS(Trades!$X$2:$X$884,Trades!$E$2:$E$884,$A118,Trades!$X$2:$X$884,"&lt;0")</f>
        <v>-203.38</v>
      </c>
      <c r="I118" s="31" t="n">
        <f aca="false">IFERROR(G118/-H118,"no loss")</f>
        <v>0.981315763595241</v>
      </c>
      <c r="J118" s="30" t="n">
        <f aca="false">_xlfn.MAXIFS(Trades!$X$2:$X$884,Trades!$E$2:$E$884,$A118)</f>
        <v>199.58</v>
      </c>
      <c r="K118" s="30" t="n">
        <f aca="false">_xlfn.MINIFS(Trades!$X$2:$X$884,Trades!$E$2:$E$884,$A118)</f>
        <v>-201.62</v>
      </c>
      <c r="L118" s="32" t="n">
        <f aca="false">SUMIFS(Trades!$Y$2:$Y$884,Trades!$E$2:$E$884,$A118)</f>
        <v>0.943676227372002</v>
      </c>
      <c r="M118" s="30" t="n">
        <f aca="false">P117</f>
        <v>112137.96</v>
      </c>
      <c r="N118" s="29" t="n">
        <f aca="false">IFERROR(F118/M118,0)</f>
        <v>-3.38868301153329E-005</v>
      </c>
      <c r="O118" s="28" t="str">
        <f aca="false">IF(F118&lt;0,"down week","")</f>
        <v>down week</v>
      </c>
      <c r="P118" s="30" t="n">
        <f aca="false">M118+F118</f>
        <v>112134.16</v>
      </c>
      <c r="Q118" s="30" t="n">
        <f aca="false">P118-Summary!$C$5</f>
        <v>12134.16</v>
      </c>
    </row>
    <row r="119" customFormat="false" ht="15" hidden="false" customHeight="false" outlineLevel="0" collapsed="false">
      <c r="A119" s="42" t="n">
        <v>45838</v>
      </c>
      <c r="B119" s="28" t="n">
        <f aca="false">COUNTIFS(Trades!$E$2:$E$884,$A119)</f>
        <v>4</v>
      </c>
      <c r="C119" s="28" t="n">
        <f aca="false">COUNTIFS(Trades!$E$2:$E$884,$A119,Trades!$Z$2:$Z$884,"Win")</f>
        <v>1</v>
      </c>
      <c r="D119" s="28" t="n">
        <f aca="false">COUNTIFS(Trades!$E$2:$E$884,$A119,Trades!$Z$2:$Z$884,"Loss")</f>
        <v>3</v>
      </c>
      <c r="E119" s="29" t="n">
        <f aca="false">IFERROR(C119/B119,0)</f>
        <v>0.25</v>
      </c>
      <c r="F119" s="30" t="n">
        <f aca="false">SUMIFS(Trades!$X$2:$X$884,Trades!$E$2:$E$884,$A119)</f>
        <v>72.16</v>
      </c>
      <c r="G119" s="30" t="n">
        <f aca="false">SUMIFS(Trades!$X$2:$X$884,Trades!$E$2:$E$884,$A119,Trades!$X$2:$X$884,"&gt;0")</f>
        <v>277.86</v>
      </c>
      <c r="H119" s="30" t="n">
        <f aca="false">SUMIFS(Trades!$X$2:$X$884,Trades!$E$2:$E$884,$A119,Trades!$X$2:$X$884,"&lt;0")</f>
        <v>-205.7</v>
      </c>
      <c r="I119" s="31" t="n">
        <f aca="false">IFERROR(G119/-H119,"no loss")</f>
        <v>1.35080213903743</v>
      </c>
      <c r="J119" s="30" t="n">
        <f aca="false">_xlfn.MAXIFS(Trades!$X$2:$X$884,Trades!$E$2:$E$884,$A119)</f>
        <v>277.86</v>
      </c>
      <c r="K119" s="30" t="n">
        <f aca="false">_xlfn.MINIFS(Trades!$X$2:$X$884,Trades!$E$2:$E$884,$A119)</f>
        <v>-98.78</v>
      </c>
      <c r="L119" s="32" t="n">
        <f aca="false">SUMIFS(Trades!$Y$2:$Y$884,Trades!$E$2:$E$884,$A119)</f>
        <v>-1.06245219049829</v>
      </c>
      <c r="M119" s="30" t="n">
        <f aca="false">P118</f>
        <v>112134.16</v>
      </c>
      <c r="N119" s="29" t="n">
        <f aca="false">IFERROR(F119/M119,0)</f>
        <v>0.000643514875395687</v>
      </c>
      <c r="O119" s="28" t="str">
        <f aca="false">IF(F119&lt;0,"down week","")</f>
        <v/>
      </c>
      <c r="P119" s="30" t="n">
        <f aca="false">M119+F119</f>
        <v>112206.32</v>
      </c>
      <c r="Q119" s="30" t="n">
        <f aca="false">P119-Summary!$C$5</f>
        <v>12206.32</v>
      </c>
    </row>
    <row r="120" customFormat="false" ht="15" hidden="false" customHeight="false" outlineLevel="0" collapsed="false">
      <c r="A120" s="42" t="n">
        <v>45845</v>
      </c>
      <c r="B120" s="28" t="n">
        <f aca="false">COUNTIFS(Trades!$E$2:$E$884,$A120)</f>
        <v>3</v>
      </c>
      <c r="C120" s="28" t="n">
        <f aca="false">COUNTIFS(Trades!$E$2:$E$884,$A120,Trades!$Z$2:$Z$884,"Win")</f>
        <v>1</v>
      </c>
      <c r="D120" s="28" t="n">
        <f aca="false">COUNTIFS(Trades!$E$2:$E$884,$A120,Trades!$Z$2:$Z$884,"Loss")</f>
        <v>2</v>
      </c>
      <c r="E120" s="29" t="n">
        <f aca="false">IFERROR(C120/B120,0)</f>
        <v>0.333333333333333</v>
      </c>
      <c r="F120" s="30" t="n">
        <f aca="false">SUMIFS(Trades!$X$2:$X$884,Trades!$E$2:$E$884,$A120)</f>
        <v>86.25</v>
      </c>
      <c r="G120" s="30" t="n">
        <f aca="false">SUMIFS(Trades!$X$2:$X$884,Trades!$E$2:$E$884,$A120,Trades!$X$2:$X$884,"&gt;0")</f>
        <v>88.97</v>
      </c>
      <c r="H120" s="30" t="n">
        <f aca="false">SUMIFS(Trades!$X$2:$X$884,Trades!$E$2:$E$884,$A120,Trades!$X$2:$X$884,"&lt;0")</f>
        <v>-2.72</v>
      </c>
      <c r="I120" s="31" t="n">
        <f aca="false">IFERROR(G120/-H120,"no loss")</f>
        <v>32.7095588235294</v>
      </c>
      <c r="J120" s="30" t="n">
        <f aca="false">_xlfn.MAXIFS(Trades!$X$2:$X$884,Trades!$E$2:$E$884,$A120)</f>
        <v>88.97</v>
      </c>
      <c r="K120" s="30" t="n">
        <f aca="false">_xlfn.MINIFS(Trades!$X$2:$X$884,Trades!$E$2:$E$884,$A120)</f>
        <v>-2.02</v>
      </c>
      <c r="L120" s="32" t="n">
        <f aca="false">SUMIFS(Trades!$Y$2:$Y$884,Trades!$E$2:$E$884,$A120)</f>
        <v>1.70556820640879</v>
      </c>
      <c r="M120" s="30" t="n">
        <f aca="false">P119</f>
        <v>112206.32</v>
      </c>
      <c r="N120" s="29" t="n">
        <f aca="false">IFERROR(F120/M120,0)</f>
        <v>0.000768673279722568</v>
      </c>
      <c r="O120" s="28" t="str">
        <f aca="false">IF(F120&lt;0,"down week","")</f>
        <v/>
      </c>
      <c r="P120" s="30" t="n">
        <f aca="false">M120+F120</f>
        <v>112292.57</v>
      </c>
      <c r="Q120" s="30" t="n">
        <f aca="false">P120-Summary!$C$5</f>
        <v>12292.57</v>
      </c>
    </row>
    <row r="121" customFormat="false" ht="15" hidden="false" customHeight="false" outlineLevel="0" collapsed="false">
      <c r="A121" s="42" t="n">
        <v>45852</v>
      </c>
      <c r="B121" s="28" t="n">
        <f aca="false">COUNTIFS(Trades!$E$2:$E$884,$A121)</f>
        <v>6</v>
      </c>
      <c r="C121" s="28" t="n">
        <f aca="false">COUNTIFS(Trades!$E$2:$E$884,$A121,Trades!$Z$2:$Z$884,"Win")</f>
        <v>3</v>
      </c>
      <c r="D121" s="28" t="n">
        <f aca="false">COUNTIFS(Trades!$E$2:$E$884,$A121,Trades!$Z$2:$Z$884,"Loss")</f>
        <v>3</v>
      </c>
      <c r="E121" s="29" t="n">
        <f aca="false">IFERROR(C121/B121,0)</f>
        <v>0.5</v>
      </c>
      <c r="F121" s="30" t="n">
        <f aca="false">SUMIFS(Trades!$X$2:$X$884,Trades!$E$2:$E$884,$A121)</f>
        <v>75.7</v>
      </c>
      <c r="G121" s="30" t="n">
        <f aca="false">SUMIFS(Trades!$X$2:$X$884,Trades!$E$2:$E$884,$A121,Trades!$X$2:$X$884,"&gt;0")</f>
        <v>319.31</v>
      </c>
      <c r="H121" s="30" t="n">
        <f aca="false">SUMIFS(Trades!$X$2:$X$884,Trades!$E$2:$E$884,$A121,Trades!$X$2:$X$884,"&lt;0")</f>
        <v>-243.61</v>
      </c>
      <c r="I121" s="31" t="n">
        <f aca="false">IFERROR(G121/-H121,"no loss")</f>
        <v>1.31074258035384</v>
      </c>
      <c r="J121" s="30" t="n">
        <f aca="false">_xlfn.MAXIFS(Trades!$X$2:$X$884,Trades!$E$2:$E$884,$A121)</f>
        <v>177.85</v>
      </c>
      <c r="K121" s="30" t="n">
        <f aca="false">_xlfn.MINIFS(Trades!$X$2:$X$884,Trades!$E$2:$E$884,$A121)</f>
        <v>-179.52</v>
      </c>
      <c r="L121" s="32" t="n">
        <f aca="false">SUMIFS(Trades!$Y$2:$Y$884,Trades!$E$2:$E$884,$A121)</f>
        <v>4.03844960334069</v>
      </c>
      <c r="M121" s="30" t="n">
        <f aca="false">P120</f>
        <v>112292.57</v>
      </c>
      <c r="N121" s="29" t="n">
        <f aca="false">IFERROR(F121/M121,0)</f>
        <v>0.000674131868208199</v>
      </c>
      <c r="O121" s="28" t="str">
        <f aca="false">IF(F121&lt;0,"down week","")</f>
        <v/>
      </c>
      <c r="P121" s="30" t="n">
        <f aca="false">M121+F121</f>
        <v>112368.27</v>
      </c>
      <c r="Q121" s="30" t="n">
        <f aca="false">P121-Summary!$C$5</f>
        <v>12368.27</v>
      </c>
    </row>
    <row r="122" customFormat="false" ht="15" hidden="false" customHeight="false" outlineLevel="0" collapsed="false">
      <c r="A122" s="42" t="n">
        <v>45859</v>
      </c>
      <c r="B122" s="28" t="n">
        <f aca="false">COUNTIFS(Trades!$E$2:$E$884,$A122)</f>
        <v>5</v>
      </c>
      <c r="C122" s="28" t="n">
        <f aca="false">COUNTIFS(Trades!$E$2:$E$884,$A122,Trades!$Z$2:$Z$884,"Win")</f>
        <v>1</v>
      </c>
      <c r="D122" s="28" t="n">
        <f aca="false">COUNTIFS(Trades!$E$2:$E$884,$A122,Trades!$Z$2:$Z$884,"Loss")</f>
        <v>4</v>
      </c>
      <c r="E122" s="29" t="n">
        <f aca="false">IFERROR(C122/B122,0)</f>
        <v>0.2</v>
      </c>
      <c r="F122" s="30" t="n">
        <f aca="false">SUMIFS(Trades!$X$2:$X$884,Trades!$E$2:$E$884,$A122)</f>
        <v>-35.23</v>
      </c>
      <c r="G122" s="30" t="n">
        <f aca="false">SUMIFS(Trades!$X$2:$X$884,Trades!$E$2:$E$884,$A122,Trades!$X$2:$X$884,"&gt;0")</f>
        <v>204.08</v>
      </c>
      <c r="H122" s="30" t="n">
        <f aca="false">SUMIFS(Trades!$X$2:$X$884,Trades!$E$2:$E$884,$A122,Trades!$X$2:$X$884,"&lt;0")</f>
        <v>-239.31</v>
      </c>
      <c r="I122" s="31" t="n">
        <f aca="false">IFERROR(G122/-H122,"no loss")</f>
        <v>0.85278509046843</v>
      </c>
      <c r="J122" s="30" t="n">
        <f aca="false">_xlfn.MAXIFS(Trades!$X$2:$X$884,Trades!$E$2:$E$884,$A122)</f>
        <v>204.08</v>
      </c>
      <c r="K122" s="30" t="n">
        <f aca="false">_xlfn.MINIFS(Trades!$X$2:$X$884,Trades!$E$2:$E$884,$A122)</f>
        <v>-173.12</v>
      </c>
      <c r="L122" s="32" t="n">
        <f aca="false">SUMIFS(Trades!$Y$2:$Y$884,Trades!$E$2:$E$884,$A122)</f>
        <v>-1.17100105350847</v>
      </c>
      <c r="M122" s="30" t="n">
        <f aca="false">P121</f>
        <v>112368.27</v>
      </c>
      <c r="N122" s="29" t="n">
        <f aca="false">IFERROR(F122/M122,0)</f>
        <v>-0.000313522669700263</v>
      </c>
      <c r="O122" s="28" t="str">
        <f aca="false">IF(F122&lt;0,"down week","")</f>
        <v>down week</v>
      </c>
      <c r="P122" s="30" t="n">
        <f aca="false">M122+F122</f>
        <v>112333.04</v>
      </c>
      <c r="Q122" s="30" t="n">
        <f aca="false">P122-Summary!$C$5</f>
        <v>12333.04</v>
      </c>
    </row>
    <row r="123" customFormat="false" ht="15" hidden="false" customHeight="false" outlineLevel="0" collapsed="false">
      <c r="A123" s="42" t="n">
        <v>45866</v>
      </c>
      <c r="B123" s="28" t="n">
        <f aca="false">COUNTIFS(Trades!$E$2:$E$884,$A123)</f>
        <v>7</v>
      </c>
      <c r="C123" s="28" t="n">
        <f aca="false">COUNTIFS(Trades!$E$2:$E$884,$A123,Trades!$Z$2:$Z$884,"Win")</f>
        <v>4</v>
      </c>
      <c r="D123" s="28" t="n">
        <f aca="false">COUNTIFS(Trades!$E$2:$E$884,$A123,Trades!$Z$2:$Z$884,"Loss")</f>
        <v>3</v>
      </c>
      <c r="E123" s="29" t="n">
        <f aca="false">IFERROR(C123/B123,0)</f>
        <v>0.571428571428571</v>
      </c>
      <c r="F123" s="30" t="n">
        <f aca="false">SUMIFS(Trades!$X$2:$X$884,Trades!$E$2:$E$884,$A123)</f>
        <v>701.93</v>
      </c>
      <c r="G123" s="30" t="n">
        <f aca="false">SUMIFS(Trades!$X$2:$X$884,Trades!$E$2:$E$884,$A123,Trades!$X$2:$X$884,"&gt;0")</f>
        <v>994.59</v>
      </c>
      <c r="H123" s="30" t="n">
        <f aca="false">SUMIFS(Trades!$X$2:$X$884,Trades!$E$2:$E$884,$A123,Trades!$X$2:$X$884,"&lt;0")</f>
        <v>-292.66</v>
      </c>
      <c r="I123" s="31" t="n">
        <f aca="false">IFERROR(G123/-H123,"no loss")</f>
        <v>3.39844871181576</v>
      </c>
      <c r="J123" s="30" t="n">
        <f aca="false">_xlfn.MAXIFS(Trades!$X$2:$X$884,Trades!$E$2:$E$884,$A123)</f>
        <v>596.31</v>
      </c>
      <c r="K123" s="30" t="n">
        <f aca="false">_xlfn.MINIFS(Trades!$X$2:$X$884,Trades!$E$2:$E$884,$A123)</f>
        <v>-232.18</v>
      </c>
      <c r="L123" s="32" t="n">
        <f aca="false">SUMIFS(Trades!$Y$2:$Y$884,Trades!$E$2:$E$884,$A123)</f>
        <v>5.9314551942281</v>
      </c>
      <c r="M123" s="30" t="n">
        <f aca="false">P122</f>
        <v>112333.04</v>
      </c>
      <c r="N123" s="29" t="n">
        <f aca="false">IFERROR(F123/M123,0)</f>
        <v>0.00624865133178983</v>
      </c>
      <c r="O123" s="28" t="str">
        <f aca="false">IF(F123&lt;0,"down week","")</f>
        <v/>
      </c>
      <c r="P123" s="30" t="n">
        <f aca="false">M123+F123</f>
        <v>113034.97</v>
      </c>
      <c r="Q123" s="30" t="n">
        <f aca="false">P123-Summary!$C$5</f>
        <v>13034.97</v>
      </c>
    </row>
    <row r="124" customFormat="false" ht="15" hidden="false" customHeight="false" outlineLevel="0" collapsed="false">
      <c r="A124" s="42" t="n">
        <v>45873</v>
      </c>
      <c r="B124" s="28" t="n">
        <f aca="false">COUNTIFS(Trades!$E$2:$E$884,$A124)</f>
        <v>5</v>
      </c>
      <c r="C124" s="28" t="n">
        <f aca="false">COUNTIFS(Trades!$E$2:$E$884,$A124,Trades!$Z$2:$Z$884,"Win")</f>
        <v>1</v>
      </c>
      <c r="D124" s="28" t="n">
        <f aca="false">COUNTIFS(Trades!$E$2:$E$884,$A124,Trades!$Z$2:$Z$884,"Loss")</f>
        <v>4</v>
      </c>
      <c r="E124" s="29" t="n">
        <f aca="false">IFERROR(C124/B124,0)</f>
        <v>0.2</v>
      </c>
      <c r="F124" s="30" t="n">
        <f aca="false">SUMIFS(Trades!$X$2:$X$884,Trades!$E$2:$E$884,$A124)</f>
        <v>-1.22</v>
      </c>
      <c r="G124" s="30" t="n">
        <f aca="false">SUMIFS(Trades!$X$2:$X$884,Trades!$E$2:$E$884,$A124,Trades!$X$2:$X$884,"&gt;0")</f>
        <v>132.97</v>
      </c>
      <c r="H124" s="30" t="n">
        <f aca="false">SUMIFS(Trades!$X$2:$X$884,Trades!$E$2:$E$884,$A124,Trades!$X$2:$X$884,"&lt;0")</f>
        <v>-134.19</v>
      </c>
      <c r="I124" s="31" t="n">
        <f aca="false">IFERROR(G124/-H124,"no loss")</f>
        <v>0.990908413443625</v>
      </c>
      <c r="J124" s="30" t="n">
        <f aca="false">_xlfn.MAXIFS(Trades!$X$2:$X$884,Trades!$E$2:$E$884,$A124)</f>
        <v>132.97</v>
      </c>
      <c r="K124" s="30" t="n">
        <f aca="false">_xlfn.MINIFS(Trades!$X$2:$X$884,Trades!$E$2:$E$884,$A124)</f>
        <v>-112.73</v>
      </c>
      <c r="L124" s="32" t="n">
        <f aca="false">SUMIFS(Trades!$Y$2:$Y$884,Trades!$E$2:$E$884,$A124)</f>
        <v>0.809606584872589</v>
      </c>
      <c r="M124" s="30" t="n">
        <f aca="false">P123</f>
        <v>113034.97</v>
      </c>
      <c r="N124" s="29" t="n">
        <f aca="false">IFERROR(F124/M124,0)</f>
        <v>-1.07931200406388E-005</v>
      </c>
      <c r="O124" s="28" t="str">
        <f aca="false">IF(F124&lt;0,"down week","")</f>
        <v>down week</v>
      </c>
      <c r="P124" s="30" t="n">
        <f aca="false">M124+F124</f>
        <v>113033.75</v>
      </c>
      <c r="Q124" s="30" t="n">
        <f aca="false">P124-Summary!$C$5</f>
        <v>13033.75</v>
      </c>
    </row>
    <row r="125" customFormat="false" ht="15" hidden="false" customHeight="false" outlineLevel="0" collapsed="false">
      <c r="A125" s="42" t="n">
        <v>45880</v>
      </c>
      <c r="B125" s="28" t="n">
        <f aca="false">COUNTIFS(Trades!$E$2:$E$884,$A125)</f>
        <v>5</v>
      </c>
      <c r="C125" s="28" t="n">
        <f aca="false">COUNTIFS(Trades!$E$2:$E$884,$A125,Trades!$Z$2:$Z$884,"Win")</f>
        <v>1</v>
      </c>
      <c r="D125" s="28" t="n">
        <f aca="false">COUNTIFS(Trades!$E$2:$E$884,$A125,Trades!$Z$2:$Z$884,"Loss")</f>
        <v>4</v>
      </c>
      <c r="E125" s="29" t="n">
        <f aca="false">IFERROR(C125/B125,0)</f>
        <v>0.2</v>
      </c>
      <c r="F125" s="30" t="n">
        <f aca="false">SUMIFS(Trades!$X$2:$X$884,Trades!$E$2:$E$884,$A125)</f>
        <v>-102.39</v>
      </c>
      <c r="G125" s="30" t="n">
        <f aca="false">SUMIFS(Trades!$X$2:$X$884,Trades!$E$2:$E$884,$A125,Trades!$X$2:$X$884,"&gt;0")</f>
        <v>260.57</v>
      </c>
      <c r="H125" s="30" t="n">
        <f aca="false">SUMIFS(Trades!$X$2:$X$884,Trades!$E$2:$E$884,$A125,Trades!$X$2:$X$884,"&lt;0")</f>
        <v>-362.96</v>
      </c>
      <c r="I125" s="31" t="n">
        <f aca="false">IFERROR(G125/-H125,"no loss")</f>
        <v>0.717902799206524</v>
      </c>
      <c r="J125" s="30" t="n">
        <f aca="false">_xlfn.MAXIFS(Trades!$X$2:$X$884,Trades!$E$2:$E$884,$A125)</f>
        <v>260.57</v>
      </c>
      <c r="K125" s="30" t="n">
        <f aca="false">_xlfn.MINIFS(Trades!$X$2:$X$884,Trades!$E$2:$E$884,$A125)</f>
        <v>-167.79</v>
      </c>
      <c r="L125" s="32" t="n">
        <f aca="false">SUMIFS(Trades!$Y$2:$Y$884,Trades!$E$2:$E$884,$A125)</f>
        <v>-2.17998194879883</v>
      </c>
      <c r="M125" s="30" t="n">
        <f aca="false">P124</f>
        <v>113033.75</v>
      </c>
      <c r="N125" s="29" t="n">
        <f aca="false">IFERROR(F125/M125,0)</f>
        <v>-0.000905835646433035</v>
      </c>
      <c r="O125" s="28" t="str">
        <f aca="false">IF(F125&lt;0,"down week","")</f>
        <v>down week</v>
      </c>
      <c r="P125" s="30" t="n">
        <f aca="false">M125+F125</f>
        <v>112931.36</v>
      </c>
      <c r="Q125" s="30" t="n">
        <f aca="false">P125-Summary!$C$5</f>
        <v>12931.36</v>
      </c>
    </row>
    <row r="126" customFormat="false" ht="15" hidden="false" customHeight="false" outlineLevel="0" collapsed="false">
      <c r="A126" s="42" t="n">
        <v>45887</v>
      </c>
      <c r="B126" s="28" t="n">
        <f aca="false">COUNTIFS(Trades!$E$2:$E$884,$A126)</f>
        <v>5</v>
      </c>
      <c r="C126" s="28" t="n">
        <f aca="false">COUNTIFS(Trades!$E$2:$E$884,$A126,Trades!$Z$2:$Z$884,"Win")</f>
        <v>1</v>
      </c>
      <c r="D126" s="28" t="n">
        <f aca="false">COUNTIFS(Trades!$E$2:$E$884,$A126,Trades!$Z$2:$Z$884,"Loss")</f>
        <v>4</v>
      </c>
      <c r="E126" s="29" t="n">
        <f aca="false">IFERROR(C126/B126,0)</f>
        <v>0.2</v>
      </c>
      <c r="F126" s="30" t="n">
        <f aca="false">SUMIFS(Trades!$X$2:$X$884,Trades!$E$2:$E$884,$A126)</f>
        <v>268.01</v>
      </c>
      <c r="G126" s="30" t="n">
        <f aca="false">SUMIFS(Trades!$X$2:$X$884,Trades!$E$2:$E$884,$A126,Trades!$X$2:$X$884,"&gt;0")</f>
        <v>517.94</v>
      </c>
      <c r="H126" s="30" t="n">
        <f aca="false">SUMIFS(Trades!$X$2:$X$884,Trades!$E$2:$E$884,$A126,Trades!$X$2:$X$884,"&lt;0")</f>
        <v>-249.93</v>
      </c>
      <c r="I126" s="31" t="n">
        <f aca="false">IFERROR(G126/-H126,"no loss")</f>
        <v>2.07234025527148</v>
      </c>
      <c r="J126" s="30" t="n">
        <f aca="false">_xlfn.MAXIFS(Trades!$X$2:$X$884,Trades!$E$2:$E$884,$A126)</f>
        <v>517.94</v>
      </c>
      <c r="K126" s="30" t="n">
        <f aca="false">_xlfn.MINIFS(Trades!$X$2:$X$884,Trades!$E$2:$E$884,$A126)</f>
        <v>-97.77</v>
      </c>
      <c r="L126" s="32" t="n">
        <f aca="false">SUMIFS(Trades!$Y$2:$Y$884,Trades!$E$2:$E$884,$A126)</f>
        <v>-1.04047834155824</v>
      </c>
      <c r="M126" s="30" t="n">
        <f aca="false">P125</f>
        <v>112931.36</v>
      </c>
      <c r="N126" s="29" t="n">
        <f aca="false">IFERROR(F126/M126,0)</f>
        <v>0.00237321147996447</v>
      </c>
      <c r="O126" s="28" t="str">
        <f aca="false">IF(F126&lt;0,"down week","")</f>
        <v/>
      </c>
      <c r="P126" s="30" t="n">
        <f aca="false">M126+F126</f>
        <v>113199.37</v>
      </c>
      <c r="Q126" s="30" t="n">
        <f aca="false">P126-Summary!$C$5</f>
        <v>13199.37</v>
      </c>
    </row>
    <row r="127" customFormat="false" ht="15" hidden="false" customHeight="false" outlineLevel="0" collapsed="false">
      <c r="A127" s="42" t="n">
        <v>45894</v>
      </c>
      <c r="B127" s="28" t="n">
        <f aca="false">COUNTIFS(Trades!$E$2:$E$884,$A127)</f>
        <v>5</v>
      </c>
      <c r="C127" s="28" t="n">
        <f aca="false">COUNTIFS(Trades!$E$2:$E$884,$A127,Trades!$Z$2:$Z$884,"Win")</f>
        <v>0</v>
      </c>
      <c r="D127" s="28" t="n">
        <f aca="false">COUNTIFS(Trades!$E$2:$E$884,$A127,Trades!$Z$2:$Z$884,"Loss")</f>
        <v>5</v>
      </c>
      <c r="E127" s="29" t="n">
        <f aca="false">IFERROR(C127/B127,0)</f>
        <v>0</v>
      </c>
      <c r="F127" s="30" t="n">
        <f aca="false">SUMIFS(Trades!$X$2:$X$884,Trades!$E$2:$E$884,$A127)</f>
        <v>-435.28</v>
      </c>
      <c r="G127" s="30" t="n">
        <f aca="false">SUMIFS(Trades!$X$2:$X$884,Trades!$E$2:$E$884,$A127,Trades!$X$2:$X$884,"&gt;0")</f>
        <v>0</v>
      </c>
      <c r="H127" s="30" t="n">
        <f aca="false">SUMIFS(Trades!$X$2:$X$884,Trades!$E$2:$E$884,$A127,Trades!$X$2:$X$884,"&lt;0")</f>
        <v>-435.28</v>
      </c>
      <c r="I127" s="31" t="n">
        <f aca="false">IFERROR(G127/-H127,"no loss")</f>
        <v>0</v>
      </c>
      <c r="J127" s="30" t="n">
        <f aca="false">_xlfn.MAXIFS(Trades!$X$2:$X$884,Trades!$E$2:$E$884,$A127)</f>
        <v>-1.26</v>
      </c>
      <c r="K127" s="30" t="n">
        <f aca="false">_xlfn.MINIFS(Trades!$X$2:$X$884,Trades!$E$2:$E$884,$A127)</f>
        <v>-212.31</v>
      </c>
      <c r="L127" s="32" t="n">
        <f aca="false">SUMIFS(Trades!$Y$2:$Y$884,Trades!$E$2:$E$884,$A127)</f>
        <v>-4.06423770500961</v>
      </c>
      <c r="M127" s="30" t="n">
        <f aca="false">P126</f>
        <v>113199.37</v>
      </c>
      <c r="N127" s="29" t="n">
        <f aca="false">IFERROR(F127/M127,0)</f>
        <v>-0.00384525108222776</v>
      </c>
      <c r="O127" s="28" t="str">
        <f aca="false">IF(F127&lt;0,"down week","")</f>
        <v>down week</v>
      </c>
      <c r="P127" s="30" t="n">
        <f aca="false">M127+F127</f>
        <v>112764.09</v>
      </c>
      <c r="Q127" s="30" t="n">
        <f aca="false">P127-Summary!$C$5</f>
        <v>12764.09</v>
      </c>
    </row>
    <row r="128" customFormat="false" ht="15" hidden="false" customHeight="false" outlineLevel="0" collapsed="false">
      <c r="A128" s="42" t="n">
        <v>45901</v>
      </c>
      <c r="B128" s="28" t="n">
        <f aca="false">COUNTIFS(Trades!$E$2:$E$884,$A128)</f>
        <v>5</v>
      </c>
      <c r="C128" s="28" t="n">
        <f aca="false">COUNTIFS(Trades!$E$2:$E$884,$A128,Trades!$Z$2:$Z$884,"Win")</f>
        <v>2</v>
      </c>
      <c r="D128" s="28" t="n">
        <f aca="false">COUNTIFS(Trades!$E$2:$E$884,$A128,Trades!$Z$2:$Z$884,"Loss")</f>
        <v>3</v>
      </c>
      <c r="E128" s="29" t="n">
        <f aca="false">IFERROR(C128/B128,0)</f>
        <v>0.4</v>
      </c>
      <c r="F128" s="30" t="n">
        <f aca="false">SUMIFS(Trades!$X$2:$X$884,Trades!$E$2:$E$884,$A128)</f>
        <v>177.02</v>
      </c>
      <c r="G128" s="30" t="n">
        <f aca="false">SUMIFS(Trades!$X$2:$X$884,Trades!$E$2:$E$884,$A128,Trades!$X$2:$X$884,"&gt;0")</f>
        <v>315.88</v>
      </c>
      <c r="H128" s="30" t="n">
        <f aca="false">SUMIFS(Trades!$X$2:$X$884,Trades!$E$2:$E$884,$A128,Trades!$X$2:$X$884,"&lt;0")</f>
        <v>-138.86</v>
      </c>
      <c r="I128" s="31" t="n">
        <f aca="false">IFERROR(G128/-H128,"no loss")</f>
        <v>2.27480916030534</v>
      </c>
      <c r="J128" s="30" t="n">
        <f aca="false">_xlfn.MAXIFS(Trades!$X$2:$X$884,Trades!$E$2:$E$884,$A128)</f>
        <v>166.4</v>
      </c>
      <c r="K128" s="30" t="n">
        <f aca="false">_xlfn.MINIFS(Trades!$X$2:$X$884,Trades!$E$2:$E$884,$A128)</f>
        <v>-86.48</v>
      </c>
      <c r="L128" s="32" t="n">
        <f aca="false">SUMIFS(Trades!$Y$2:$Y$884,Trades!$E$2:$E$884,$A128)</f>
        <v>1.90662393915645</v>
      </c>
      <c r="M128" s="30" t="n">
        <f aca="false">P127</f>
        <v>112764.09</v>
      </c>
      <c r="N128" s="29" t="n">
        <f aca="false">IFERROR(F128/M128,0)</f>
        <v>0.0015698259969109</v>
      </c>
      <c r="O128" s="28" t="str">
        <f aca="false">IF(F128&lt;0,"down week","")</f>
        <v/>
      </c>
      <c r="P128" s="30" t="n">
        <f aca="false">M128+F128</f>
        <v>112941.11</v>
      </c>
      <c r="Q128" s="30" t="n">
        <f aca="false">P128-Summary!$C$5</f>
        <v>12941.11</v>
      </c>
    </row>
    <row r="129" customFormat="false" ht="15" hidden="false" customHeight="false" outlineLevel="0" collapsed="false">
      <c r="A129" s="42" t="n">
        <v>45908</v>
      </c>
      <c r="B129" s="28" t="n">
        <f aca="false">COUNTIFS(Trades!$E$2:$E$884,$A129)</f>
        <v>4</v>
      </c>
      <c r="C129" s="28" t="n">
        <f aca="false">COUNTIFS(Trades!$E$2:$E$884,$A129,Trades!$Z$2:$Z$884,"Win")</f>
        <v>0</v>
      </c>
      <c r="D129" s="28" t="n">
        <f aca="false">COUNTIFS(Trades!$E$2:$E$884,$A129,Trades!$Z$2:$Z$884,"Loss")</f>
        <v>4</v>
      </c>
      <c r="E129" s="29" t="n">
        <f aca="false">IFERROR(C129/B129,0)</f>
        <v>0</v>
      </c>
      <c r="F129" s="30" t="n">
        <f aca="false">SUMIFS(Trades!$X$2:$X$884,Trades!$E$2:$E$884,$A129)</f>
        <v>-218.52</v>
      </c>
      <c r="G129" s="30" t="n">
        <f aca="false">SUMIFS(Trades!$X$2:$X$884,Trades!$E$2:$E$884,$A129,Trades!$X$2:$X$884,"&gt;0")</f>
        <v>0</v>
      </c>
      <c r="H129" s="30" t="n">
        <f aca="false">SUMIFS(Trades!$X$2:$X$884,Trades!$E$2:$E$884,$A129,Trades!$X$2:$X$884,"&lt;0")</f>
        <v>-218.52</v>
      </c>
      <c r="I129" s="31" t="n">
        <f aca="false">IFERROR(G129/-H129,"no loss")</f>
        <v>0</v>
      </c>
      <c r="J129" s="30" t="n">
        <f aca="false">_xlfn.MAXIFS(Trades!$X$2:$X$884,Trades!$E$2:$E$884,$A129)</f>
        <v>-17.93</v>
      </c>
      <c r="K129" s="30" t="n">
        <f aca="false">_xlfn.MINIFS(Trades!$X$2:$X$884,Trades!$E$2:$E$884,$A129)</f>
        <v>-69.38</v>
      </c>
      <c r="L129" s="32" t="n">
        <f aca="false">SUMIFS(Trades!$Y$2:$Y$884,Trades!$E$2:$E$884,$A129)</f>
        <v>-4.03199753418345</v>
      </c>
      <c r="M129" s="30" t="n">
        <f aca="false">P128</f>
        <v>112941.11</v>
      </c>
      <c r="N129" s="29" t="n">
        <f aca="false">IFERROR(F129/M129,0)</f>
        <v>-0.00193481363871844</v>
      </c>
      <c r="O129" s="28" t="str">
        <f aca="false">IF(F129&lt;0,"down week","")</f>
        <v>down week</v>
      </c>
      <c r="P129" s="30" t="n">
        <f aca="false">M129+F129</f>
        <v>112722.59</v>
      </c>
      <c r="Q129" s="30" t="n">
        <f aca="false">P129-Summary!$C$5</f>
        <v>12722.59</v>
      </c>
    </row>
    <row r="130" customFormat="false" ht="15" hidden="false" customHeight="false" outlineLevel="0" collapsed="false">
      <c r="A130" s="42" t="n">
        <v>45915</v>
      </c>
      <c r="B130" s="28" t="n">
        <f aca="false">COUNTIFS(Trades!$E$2:$E$884,$A130)</f>
        <v>5</v>
      </c>
      <c r="C130" s="28" t="n">
        <f aca="false">COUNTIFS(Trades!$E$2:$E$884,$A130,Trades!$Z$2:$Z$884,"Win")</f>
        <v>1</v>
      </c>
      <c r="D130" s="28" t="n">
        <f aca="false">COUNTIFS(Trades!$E$2:$E$884,$A130,Trades!$Z$2:$Z$884,"Loss")</f>
        <v>4</v>
      </c>
      <c r="E130" s="29" t="n">
        <f aca="false">IFERROR(C130/B130,0)</f>
        <v>0.2</v>
      </c>
      <c r="F130" s="30" t="n">
        <f aca="false">SUMIFS(Trades!$X$2:$X$884,Trades!$E$2:$E$884,$A130)</f>
        <v>-168.33</v>
      </c>
      <c r="G130" s="30" t="n">
        <f aca="false">SUMIFS(Trades!$X$2:$X$884,Trades!$E$2:$E$884,$A130,Trades!$X$2:$X$884,"&gt;0")</f>
        <v>68.12</v>
      </c>
      <c r="H130" s="30" t="n">
        <f aca="false">SUMIFS(Trades!$X$2:$X$884,Trades!$E$2:$E$884,$A130,Trades!$X$2:$X$884,"&lt;0")</f>
        <v>-236.45</v>
      </c>
      <c r="I130" s="31" t="n">
        <f aca="false">IFERROR(G130/-H130,"no loss")</f>
        <v>0.288094734616198</v>
      </c>
      <c r="J130" s="30" t="n">
        <f aca="false">_xlfn.MAXIFS(Trades!$X$2:$X$884,Trades!$E$2:$E$884,$A130)</f>
        <v>68.12</v>
      </c>
      <c r="K130" s="30" t="n">
        <f aca="false">_xlfn.MINIFS(Trades!$X$2:$X$884,Trades!$E$2:$E$884,$A130)</f>
        <v>-139.68</v>
      </c>
      <c r="L130" s="32" t="n">
        <f aca="false">SUMIFS(Trades!$Y$2:$Y$884,Trades!$E$2:$E$884,$A130)</f>
        <v>-0.90445696234941</v>
      </c>
      <c r="M130" s="30" t="n">
        <f aca="false">P129</f>
        <v>112722.59</v>
      </c>
      <c r="N130" s="29" t="n">
        <f aca="false">IFERROR(F130/M130,0)</f>
        <v>-0.00149331203266355</v>
      </c>
      <c r="O130" s="28" t="str">
        <f aca="false">IF(F130&lt;0,"down week","")</f>
        <v>down week</v>
      </c>
      <c r="P130" s="30" t="n">
        <f aca="false">M130+F130</f>
        <v>112554.26</v>
      </c>
      <c r="Q130" s="30" t="n">
        <f aca="false">P130-Summary!$C$5</f>
        <v>12554.26</v>
      </c>
    </row>
    <row r="131" customFormat="false" ht="15" hidden="false" customHeight="false" outlineLevel="0" collapsed="false">
      <c r="A131" s="42" t="n">
        <v>45922</v>
      </c>
      <c r="B131" s="28" t="n">
        <f aca="false">COUNTIFS(Trades!$E$2:$E$884,$A131)</f>
        <v>4</v>
      </c>
      <c r="C131" s="28" t="n">
        <f aca="false">COUNTIFS(Trades!$E$2:$E$884,$A131,Trades!$Z$2:$Z$884,"Win")</f>
        <v>1</v>
      </c>
      <c r="D131" s="28" t="n">
        <f aca="false">COUNTIFS(Trades!$E$2:$E$884,$A131,Trades!$Z$2:$Z$884,"Loss")</f>
        <v>3</v>
      </c>
      <c r="E131" s="29" t="n">
        <f aca="false">IFERROR(C131/B131,0)</f>
        <v>0.25</v>
      </c>
      <c r="F131" s="30" t="n">
        <f aca="false">SUMIFS(Trades!$X$2:$X$884,Trades!$E$2:$E$884,$A131)</f>
        <v>15.08</v>
      </c>
      <c r="G131" s="30" t="n">
        <f aca="false">SUMIFS(Trades!$X$2:$X$884,Trades!$E$2:$E$884,$A131,Trades!$X$2:$X$884,"&gt;0")</f>
        <v>130.8</v>
      </c>
      <c r="H131" s="30" t="n">
        <f aca="false">SUMIFS(Trades!$X$2:$X$884,Trades!$E$2:$E$884,$A131,Trades!$X$2:$X$884,"&lt;0")</f>
        <v>-115.72</v>
      </c>
      <c r="I131" s="31" t="n">
        <f aca="false">IFERROR(G131/-H131,"no loss")</f>
        <v>1.13031455236778</v>
      </c>
      <c r="J131" s="30" t="n">
        <f aca="false">_xlfn.MAXIFS(Trades!$X$2:$X$884,Trades!$E$2:$E$884,$A131)</f>
        <v>130.8</v>
      </c>
      <c r="K131" s="30" t="n">
        <f aca="false">_xlfn.MINIFS(Trades!$X$2:$X$884,Trades!$E$2:$E$884,$A131)</f>
        <v>-82</v>
      </c>
      <c r="L131" s="32" t="n">
        <f aca="false">SUMIFS(Trades!$Y$2:$Y$884,Trades!$E$2:$E$884,$A131)</f>
        <v>0.0270049004117413</v>
      </c>
      <c r="M131" s="30" t="n">
        <f aca="false">P130</f>
        <v>112554.26</v>
      </c>
      <c r="N131" s="29" t="n">
        <f aca="false">IFERROR(F131/M131,0)</f>
        <v>0.00013397982448643</v>
      </c>
      <c r="O131" s="28" t="str">
        <f aca="false">IF(F131&lt;0,"down week","")</f>
        <v/>
      </c>
      <c r="P131" s="30" t="n">
        <f aca="false">M131+F131</f>
        <v>112569.34</v>
      </c>
      <c r="Q131" s="30" t="n">
        <f aca="false">P131-Summary!$C$5</f>
        <v>12569.34</v>
      </c>
    </row>
    <row r="132" customFormat="false" ht="15" hidden="false" customHeight="false" outlineLevel="0" collapsed="false">
      <c r="A132" s="42" t="n">
        <v>45929</v>
      </c>
      <c r="B132" s="28" t="n">
        <f aca="false">COUNTIFS(Trades!$E$2:$E$884,$A132)</f>
        <v>6</v>
      </c>
      <c r="C132" s="28" t="n">
        <f aca="false">COUNTIFS(Trades!$E$2:$E$884,$A132,Trades!$Z$2:$Z$884,"Win")</f>
        <v>4</v>
      </c>
      <c r="D132" s="28" t="n">
        <f aca="false">COUNTIFS(Trades!$E$2:$E$884,$A132,Trades!$Z$2:$Z$884,"Loss")</f>
        <v>2</v>
      </c>
      <c r="E132" s="29" t="n">
        <f aca="false">IFERROR(C132/B132,0)</f>
        <v>0.666666666666667</v>
      </c>
      <c r="F132" s="30" t="n">
        <f aca="false">SUMIFS(Trades!$X$2:$X$884,Trades!$E$2:$E$884,$A132)</f>
        <v>457.64</v>
      </c>
      <c r="G132" s="30" t="n">
        <f aca="false">SUMIFS(Trades!$X$2:$X$884,Trades!$E$2:$E$884,$A132,Trades!$X$2:$X$884,"&gt;0")</f>
        <v>557.76</v>
      </c>
      <c r="H132" s="30" t="n">
        <f aca="false">SUMIFS(Trades!$X$2:$X$884,Trades!$E$2:$E$884,$A132,Trades!$X$2:$X$884,"&lt;0")</f>
        <v>-100.12</v>
      </c>
      <c r="I132" s="31" t="n">
        <f aca="false">IFERROR(G132/-H132,"no loss")</f>
        <v>5.57091490211746</v>
      </c>
      <c r="J132" s="30" t="n">
        <f aca="false">_xlfn.MAXIFS(Trades!$X$2:$X$884,Trades!$E$2:$E$884,$A132)</f>
        <v>249.72</v>
      </c>
      <c r="K132" s="30" t="n">
        <f aca="false">_xlfn.MINIFS(Trades!$X$2:$X$884,Trades!$E$2:$E$884,$A132)</f>
        <v>-78.04</v>
      </c>
      <c r="L132" s="32" t="n">
        <f aca="false">SUMIFS(Trades!$Y$2:$Y$884,Trades!$E$2:$E$884,$A132)</f>
        <v>6.55788864604656</v>
      </c>
      <c r="M132" s="30" t="n">
        <f aca="false">P131</f>
        <v>112569.34</v>
      </c>
      <c r="N132" s="29" t="n">
        <f aca="false">IFERROR(F132/M132,0)</f>
        <v>0.00406540537592208</v>
      </c>
      <c r="O132" s="28" t="str">
        <f aca="false">IF(F132&lt;0,"down week","")</f>
        <v/>
      </c>
      <c r="P132" s="30" t="n">
        <f aca="false">M132+F132</f>
        <v>113026.98</v>
      </c>
      <c r="Q132" s="30" t="n">
        <f aca="false">P132-Summary!$C$5</f>
        <v>13026.98</v>
      </c>
    </row>
    <row r="133" customFormat="false" ht="15" hidden="false" customHeight="false" outlineLevel="0" collapsed="false">
      <c r="A133" s="42" t="n">
        <v>45936</v>
      </c>
      <c r="B133" s="28" t="n">
        <f aca="false">COUNTIFS(Trades!$E$2:$E$884,$A133)</f>
        <v>7</v>
      </c>
      <c r="C133" s="28" t="n">
        <f aca="false">COUNTIFS(Trades!$E$2:$E$884,$A133,Trades!$Z$2:$Z$884,"Win")</f>
        <v>4</v>
      </c>
      <c r="D133" s="28" t="n">
        <f aca="false">COUNTIFS(Trades!$E$2:$E$884,$A133,Trades!$Z$2:$Z$884,"Loss")</f>
        <v>3</v>
      </c>
      <c r="E133" s="29" t="n">
        <f aca="false">IFERROR(C133/B133,0)</f>
        <v>0.571428571428571</v>
      </c>
      <c r="F133" s="30" t="n">
        <f aca="false">SUMIFS(Trades!$X$2:$X$884,Trades!$E$2:$E$884,$A133)</f>
        <v>494.88</v>
      </c>
      <c r="G133" s="30" t="n">
        <f aca="false">SUMIFS(Trades!$X$2:$X$884,Trades!$E$2:$E$884,$A133,Trades!$X$2:$X$884,"&gt;0")</f>
        <v>826.8</v>
      </c>
      <c r="H133" s="30" t="n">
        <f aca="false">SUMIFS(Trades!$X$2:$X$884,Trades!$E$2:$E$884,$A133,Trades!$X$2:$X$884,"&lt;0")</f>
        <v>-331.92</v>
      </c>
      <c r="I133" s="31" t="n">
        <f aca="false">IFERROR(G133/-H133,"no loss")</f>
        <v>2.49096167751265</v>
      </c>
      <c r="J133" s="30" t="n">
        <f aca="false">_xlfn.MAXIFS(Trades!$X$2:$X$884,Trades!$E$2:$E$884,$A133)</f>
        <v>587.68</v>
      </c>
      <c r="K133" s="30" t="n">
        <f aca="false">_xlfn.MINIFS(Trades!$X$2:$X$884,Trades!$E$2:$E$884,$A133)</f>
        <v>-166.24</v>
      </c>
      <c r="L133" s="32" t="n">
        <f aca="false">SUMIFS(Trades!$Y$2:$Y$884,Trades!$E$2:$E$884,$A133)</f>
        <v>5.42233771837702</v>
      </c>
      <c r="M133" s="30" t="n">
        <f aca="false">P132</f>
        <v>113026.98</v>
      </c>
      <c r="N133" s="29" t="n">
        <f aca="false">IFERROR(F133/M133,0)</f>
        <v>0.00437842362947325</v>
      </c>
      <c r="O133" s="28" t="str">
        <f aca="false">IF(F133&lt;0,"down week","")</f>
        <v/>
      </c>
      <c r="P133" s="30" t="n">
        <f aca="false">M133+F133</f>
        <v>113521.86</v>
      </c>
      <c r="Q133" s="30" t="n">
        <f aca="false">P133-Summary!$C$5</f>
        <v>13521.86</v>
      </c>
    </row>
    <row r="134" customFormat="false" ht="15" hidden="false" customHeight="false" outlineLevel="0" collapsed="false">
      <c r="A134" s="42" t="n">
        <v>45943</v>
      </c>
      <c r="B134" s="28" t="n">
        <f aca="false">COUNTIFS(Trades!$E$2:$E$884,$A134)</f>
        <v>6</v>
      </c>
      <c r="C134" s="28" t="n">
        <f aca="false">COUNTIFS(Trades!$E$2:$E$884,$A134,Trades!$Z$2:$Z$884,"Win")</f>
        <v>1</v>
      </c>
      <c r="D134" s="28" t="n">
        <f aca="false">COUNTIFS(Trades!$E$2:$E$884,$A134,Trades!$Z$2:$Z$884,"Loss")</f>
        <v>5</v>
      </c>
      <c r="E134" s="29" t="n">
        <f aca="false">IFERROR(C134/B134,0)</f>
        <v>0.166666666666667</v>
      </c>
      <c r="F134" s="30" t="n">
        <f aca="false">SUMIFS(Trades!$X$2:$X$884,Trades!$E$2:$E$884,$A134)</f>
        <v>-325.64</v>
      </c>
      <c r="G134" s="30" t="n">
        <f aca="false">SUMIFS(Trades!$X$2:$X$884,Trades!$E$2:$E$884,$A134,Trades!$X$2:$X$884,"&gt;0")</f>
        <v>138.2</v>
      </c>
      <c r="H134" s="30" t="n">
        <f aca="false">SUMIFS(Trades!$X$2:$X$884,Trades!$E$2:$E$884,$A134,Trades!$X$2:$X$884,"&lt;0")</f>
        <v>-463.84</v>
      </c>
      <c r="I134" s="31" t="n">
        <f aca="false">IFERROR(G134/-H134,"no loss")</f>
        <v>0.29794756812694</v>
      </c>
      <c r="J134" s="30" t="n">
        <f aca="false">_xlfn.MAXIFS(Trades!$X$2:$X$884,Trades!$E$2:$E$884,$A134)</f>
        <v>138.2</v>
      </c>
      <c r="K134" s="30" t="n">
        <f aca="false">_xlfn.MINIFS(Trades!$X$2:$X$884,Trades!$E$2:$E$884,$A134)</f>
        <v>-193.28</v>
      </c>
      <c r="L134" s="32" t="n">
        <f aca="false">SUMIFS(Trades!$Y$2:$Y$884,Trades!$E$2:$E$884,$A134)</f>
        <v>-0.918870156335963</v>
      </c>
      <c r="M134" s="30" t="n">
        <f aca="false">P133</f>
        <v>113521.86</v>
      </c>
      <c r="N134" s="29" t="n">
        <f aca="false">IFERROR(F134/M134,0)</f>
        <v>-0.00286852241497805</v>
      </c>
      <c r="O134" s="28" t="str">
        <f aca="false">IF(F134&lt;0,"down week","")</f>
        <v>down week</v>
      </c>
      <c r="P134" s="30" t="n">
        <f aca="false">M134+F134</f>
        <v>113196.22</v>
      </c>
      <c r="Q134" s="30" t="n">
        <f aca="false">P134-Summary!$C$5</f>
        <v>13196.22</v>
      </c>
    </row>
    <row r="135" customFormat="false" ht="15" hidden="false" customHeight="false" outlineLevel="0" collapsed="false">
      <c r="A135" s="42" t="n">
        <v>45950</v>
      </c>
      <c r="B135" s="28" t="n">
        <f aca="false">COUNTIFS(Trades!$E$2:$E$884,$A135)</f>
        <v>4</v>
      </c>
      <c r="C135" s="28" t="n">
        <f aca="false">COUNTIFS(Trades!$E$2:$E$884,$A135,Trades!$Z$2:$Z$884,"Win")</f>
        <v>1</v>
      </c>
      <c r="D135" s="28" t="n">
        <f aca="false">COUNTIFS(Trades!$E$2:$E$884,$A135,Trades!$Z$2:$Z$884,"Loss")</f>
        <v>3</v>
      </c>
      <c r="E135" s="29" t="n">
        <f aca="false">IFERROR(C135/B135,0)</f>
        <v>0.25</v>
      </c>
      <c r="F135" s="30" t="n">
        <f aca="false">SUMIFS(Trades!$X$2:$X$884,Trades!$E$2:$E$884,$A135)</f>
        <v>-78.96</v>
      </c>
      <c r="G135" s="30" t="n">
        <f aca="false">SUMIFS(Trades!$X$2:$X$884,Trades!$E$2:$E$884,$A135,Trades!$X$2:$X$884,"&gt;0")</f>
        <v>149.6</v>
      </c>
      <c r="H135" s="30" t="n">
        <f aca="false">SUMIFS(Trades!$X$2:$X$884,Trades!$E$2:$E$884,$A135,Trades!$X$2:$X$884,"&lt;0")</f>
        <v>-228.56</v>
      </c>
      <c r="I135" s="31" t="n">
        <f aca="false">IFERROR(G135/-H135,"no loss")</f>
        <v>0.654532726636332</v>
      </c>
      <c r="J135" s="30" t="n">
        <f aca="false">_xlfn.MAXIFS(Trades!$X$2:$X$884,Trades!$E$2:$E$884,$A135)</f>
        <v>149.6</v>
      </c>
      <c r="K135" s="30" t="n">
        <f aca="false">_xlfn.MINIFS(Trades!$X$2:$X$884,Trades!$E$2:$E$884,$A135)</f>
        <v>-118.28</v>
      </c>
      <c r="L135" s="32" t="n">
        <f aca="false">SUMIFS(Trades!$Y$2:$Y$884,Trades!$E$2:$E$884,$A135)</f>
        <v>-0.0815159830368519</v>
      </c>
      <c r="M135" s="30" t="n">
        <f aca="false">P134</f>
        <v>113196.22</v>
      </c>
      <c r="N135" s="29" t="n">
        <f aca="false">IFERROR(F135/M135,0)</f>
        <v>-0.000697549794507273</v>
      </c>
      <c r="O135" s="28" t="str">
        <f aca="false">IF(F135&lt;0,"down week","")</f>
        <v>down week</v>
      </c>
      <c r="P135" s="30" t="n">
        <f aca="false">M135+F135</f>
        <v>113117.26</v>
      </c>
      <c r="Q135" s="30" t="n">
        <f aca="false">P135-Summary!$C$5</f>
        <v>13117.26</v>
      </c>
    </row>
    <row r="136" customFormat="false" ht="15" hidden="false" customHeight="false" outlineLevel="0" collapsed="false">
      <c r="A136" s="42" t="n">
        <v>45957</v>
      </c>
      <c r="B136" s="28" t="n">
        <f aca="false">COUNTIFS(Trades!$E$2:$E$884,$A136)</f>
        <v>5</v>
      </c>
      <c r="C136" s="28" t="n">
        <f aca="false">COUNTIFS(Trades!$E$2:$E$884,$A136,Trades!$Z$2:$Z$884,"Win")</f>
        <v>2</v>
      </c>
      <c r="D136" s="28" t="n">
        <f aca="false">COUNTIFS(Trades!$E$2:$E$884,$A136,Trades!$Z$2:$Z$884,"Loss")</f>
        <v>3</v>
      </c>
      <c r="E136" s="29" t="n">
        <f aca="false">IFERROR(C136/B136,0)</f>
        <v>0.4</v>
      </c>
      <c r="F136" s="30" t="n">
        <f aca="false">SUMIFS(Trades!$X$2:$X$884,Trades!$E$2:$E$884,$A136)</f>
        <v>772.58</v>
      </c>
      <c r="G136" s="30" t="n">
        <f aca="false">SUMIFS(Trades!$X$2:$X$884,Trades!$E$2:$E$884,$A136,Trades!$X$2:$X$884,"&gt;0")</f>
        <v>809.1</v>
      </c>
      <c r="H136" s="30" t="n">
        <f aca="false">SUMIFS(Trades!$X$2:$X$884,Trades!$E$2:$E$884,$A136,Trades!$X$2:$X$884,"&lt;0")</f>
        <v>-36.52</v>
      </c>
      <c r="I136" s="31" t="n">
        <f aca="false">IFERROR(G136/-H136,"no loss")</f>
        <v>22.1549835706462</v>
      </c>
      <c r="J136" s="30" t="n">
        <f aca="false">_xlfn.MAXIFS(Trades!$X$2:$X$884,Trades!$E$2:$E$884,$A136)</f>
        <v>453.34</v>
      </c>
      <c r="K136" s="30" t="n">
        <f aca="false">_xlfn.MINIFS(Trades!$X$2:$X$884,Trades!$E$2:$E$884,$A136)</f>
        <v>-36.1</v>
      </c>
      <c r="L136" s="32" t="n">
        <f aca="false">SUMIFS(Trades!$Y$2:$Y$884,Trades!$E$2:$E$884,$A136)</f>
        <v>2.95987254744617</v>
      </c>
      <c r="M136" s="30" t="n">
        <f aca="false">P135</f>
        <v>113117.26</v>
      </c>
      <c r="N136" s="29" t="n">
        <f aca="false">IFERROR(F136/M136,0)</f>
        <v>0.00682990376534934</v>
      </c>
      <c r="O136" s="28" t="str">
        <f aca="false">IF(F136&lt;0,"down week","")</f>
        <v/>
      </c>
      <c r="P136" s="30" t="n">
        <f aca="false">M136+F136</f>
        <v>113889.84</v>
      </c>
      <c r="Q136" s="30" t="n">
        <f aca="false">P136-Summary!$C$5</f>
        <v>13889.84</v>
      </c>
    </row>
    <row r="137" customFormat="false" ht="15" hidden="false" customHeight="false" outlineLevel="0" collapsed="false">
      <c r="A137" s="42" t="n">
        <v>45964</v>
      </c>
      <c r="B137" s="28" t="n">
        <f aca="false">COUNTIFS(Trades!$E$2:$E$884,$A137)</f>
        <v>4</v>
      </c>
      <c r="C137" s="28" t="n">
        <f aca="false">COUNTIFS(Trades!$E$2:$E$884,$A137,Trades!$Z$2:$Z$884,"Win")</f>
        <v>1</v>
      </c>
      <c r="D137" s="28" t="n">
        <f aca="false">COUNTIFS(Trades!$E$2:$E$884,$A137,Trades!$Z$2:$Z$884,"Loss")</f>
        <v>3</v>
      </c>
      <c r="E137" s="29" t="n">
        <f aca="false">IFERROR(C137/B137,0)</f>
        <v>0.25</v>
      </c>
      <c r="F137" s="30" t="n">
        <f aca="false">SUMIFS(Trades!$X$2:$X$884,Trades!$E$2:$E$884,$A137)</f>
        <v>-116.79</v>
      </c>
      <c r="G137" s="30" t="n">
        <f aca="false">SUMIFS(Trades!$X$2:$X$884,Trades!$E$2:$E$884,$A137,Trades!$X$2:$X$884,"&gt;0")</f>
        <v>192.4</v>
      </c>
      <c r="H137" s="30" t="n">
        <f aca="false">SUMIFS(Trades!$X$2:$X$884,Trades!$E$2:$E$884,$A137,Trades!$X$2:$X$884,"&lt;0")</f>
        <v>-309.19</v>
      </c>
      <c r="I137" s="31" t="n">
        <f aca="false">IFERROR(G137/-H137,"no loss")</f>
        <v>0.622271095442932</v>
      </c>
      <c r="J137" s="30" t="n">
        <f aca="false">_xlfn.MAXIFS(Trades!$X$2:$X$884,Trades!$E$2:$E$884,$A137)</f>
        <v>192.4</v>
      </c>
      <c r="K137" s="30" t="n">
        <f aca="false">_xlfn.MINIFS(Trades!$X$2:$X$884,Trades!$E$2:$E$884,$A137)</f>
        <v>-212.08</v>
      </c>
      <c r="L137" s="32" t="n">
        <f aca="false">SUMIFS(Trades!$Y$2:$Y$884,Trades!$E$2:$E$884,$A137)</f>
        <v>0.00897226741287233</v>
      </c>
      <c r="M137" s="30" t="n">
        <f aca="false">P136</f>
        <v>113889.84</v>
      </c>
      <c r="N137" s="29" t="n">
        <f aca="false">IFERROR(F137/M137,0)</f>
        <v>-0.00102546460685167</v>
      </c>
      <c r="O137" s="28" t="str">
        <f aca="false">IF(F137&lt;0,"down week","")</f>
        <v>down week</v>
      </c>
      <c r="P137" s="30" t="n">
        <f aca="false">M137+F137</f>
        <v>113773.05</v>
      </c>
      <c r="Q137" s="30" t="n">
        <f aca="false">P137-Summary!$C$5</f>
        <v>13773.05</v>
      </c>
    </row>
    <row r="138" customFormat="false" ht="15" hidden="false" customHeight="false" outlineLevel="0" collapsed="false">
      <c r="A138" s="42" t="n">
        <v>45971</v>
      </c>
      <c r="B138" s="28" t="n">
        <f aca="false">COUNTIFS(Trades!$E$2:$E$884,$A138)</f>
        <v>5</v>
      </c>
      <c r="C138" s="28" t="n">
        <f aca="false">COUNTIFS(Trades!$E$2:$E$884,$A138,Trades!$Z$2:$Z$884,"Win")</f>
        <v>1</v>
      </c>
      <c r="D138" s="28" t="n">
        <f aca="false">COUNTIFS(Trades!$E$2:$E$884,$A138,Trades!$Z$2:$Z$884,"Loss")</f>
        <v>4</v>
      </c>
      <c r="E138" s="29" t="n">
        <f aca="false">IFERROR(C138/B138,0)</f>
        <v>0.2</v>
      </c>
      <c r="F138" s="30" t="n">
        <f aca="false">SUMIFS(Trades!$X$2:$X$884,Trades!$E$2:$E$884,$A138)</f>
        <v>-301.95</v>
      </c>
      <c r="G138" s="30" t="n">
        <f aca="false">SUMIFS(Trades!$X$2:$X$884,Trades!$E$2:$E$884,$A138,Trades!$X$2:$X$884,"&gt;0")</f>
        <v>65.97</v>
      </c>
      <c r="H138" s="30" t="n">
        <f aca="false">SUMIFS(Trades!$X$2:$X$884,Trades!$E$2:$E$884,$A138,Trades!$X$2:$X$884,"&lt;0")</f>
        <v>-367.92</v>
      </c>
      <c r="I138" s="31" t="n">
        <f aca="false">IFERROR(G138/-H138,"no loss")</f>
        <v>0.179305283757339</v>
      </c>
      <c r="J138" s="30" t="n">
        <f aca="false">_xlfn.MAXIFS(Trades!$X$2:$X$884,Trades!$E$2:$E$884,$A138)</f>
        <v>65.97</v>
      </c>
      <c r="K138" s="30" t="n">
        <f aca="false">_xlfn.MINIFS(Trades!$X$2:$X$884,Trades!$E$2:$E$884,$A138)</f>
        <v>-201.64</v>
      </c>
      <c r="L138" s="32" t="n">
        <f aca="false">SUMIFS(Trades!$Y$2:$Y$884,Trades!$E$2:$E$884,$A138)</f>
        <v>-0.949324096429692</v>
      </c>
      <c r="M138" s="30" t="n">
        <f aca="false">P137</f>
        <v>113773.05</v>
      </c>
      <c r="N138" s="29" t="n">
        <f aca="false">IFERROR(F138/M138,0)</f>
        <v>-0.00265396770148994</v>
      </c>
      <c r="O138" s="28" t="str">
        <f aca="false">IF(F138&lt;0,"down week","")</f>
        <v>down week</v>
      </c>
      <c r="P138" s="30" t="n">
        <f aca="false">M138+F138</f>
        <v>113471.1</v>
      </c>
      <c r="Q138" s="30" t="n">
        <f aca="false">P138-Summary!$C$5</f>
        <v>13471.1</v>
      </c>
    </row>
    <row r="139" customFormat="false" ht="15" hidden="false" customHeight="false" outlineLevel="0" collapsed="false">
      <c r="A139" s="42" t="n">
        <v>45978</v>
      </c>
      <c r="B139" s="28" t="n">
        <f aca="false">COUNTIFS(Trades!$E$2:$E$884,$A139)</f>
        <v>6</v>
      </c>
      <c r="C139" s="28" t="n">
        <f aca="false">COUNTIFS(Trades!$E$2:$E$884,$A139,Trades!$Z$2:$Z$884,"Win")</f>
        <v>3</v>
      </c>
      <c r="D139" s="28" t="n">
        <f aca="false">COUNTIFS(Trades!$E$2:$E$884,$A139,Trades!$Z$2:$Z$884,"Loss")</f>
        <v>3</v>
      </c>
      <c r="E139" s="29" t="n">
        <f aca="false">IFERROR(C139/B139,0)</f>
        <v>0.5</v>
      </c>
      <c r="F139" s="30" t="n">
        <f aca="false">SUMIFS(Trades!$X$2:$X$884,Trades!$E$2:$E$884,$A139)</f>
        <v>693.33</v>
      </c>
      <c r="G139" s="30" t="n">
        <f aca="false">SUMIFS(Trades!$X$2:$X$884,Trades!$E$2:$E$884,$A139,Trades!$X$2:$X$884,"&gt;0")</f>
        <v>1055.56</v>
      </c>
      <c r="H139" s="30" t="n">
        <f aca="false">SUMIFS(Trades!$X$2:$X$884,Trades!$E$2:$E$884,$A139,Trades!$X$2:$X$884,"&lt;0")</f>
        <v>-362.23</v>
      </c>
      <c r="I139" s="31" t="n">
        <f aca="false">IFERROR(G139/-H139,"no loss")</f>
        <v>2.91406012754327</v>
      </c>
      <c r="J139" s="30" t="n">
        <f aca="false">_xlfn.MAXIFS(Trades!$X$2:$X$884,Trades!$E$2:$E$884,$A139)</f>
        <v>700.32</v>
      </c>
      <c r="K139" s="30" t="n">
        <f aca="false">_xlfn.MINIFS(Trades!$X$2:$X$884,Trades!$E$2:$E$884,$A139)</f>
        <v>-187.91</v>
      </c>
      <c r="L139" s="32" t="n">
        <f aca="false">SUMIFS(Trades!$Y$2:$Y$884,Trades!$E$2:$E$884,$A139)</f>
        <v>4.36331782508493</v>
      </c>
      <c r="M139" s="30" t="n">
        <f aca="false">P138</f>
        <v>113471.1</v>
      </c>
      <c r="N139" s="29" t="n">
        <f aca="false">IFERROR(F139/M139,0)</f>
        <v>0.00611019017177061</v>
      </c>
      <c r="O139" s="28" t="str">
        <f aca="false">IF(F139&lt;0,"down week","")</f>
        <v/>
      </c>
      <c r="P139" s="30" t="n">
        <f aca="false">M139+F139</f>
        <v>114164.43</v>
      </c>
      <c r="Q139" s="30" t="n">
        <f aca="false">P139-Summary!$C$5</f>
        <v>14164.43</v>
      </c>
    </row>
    <row r="140" customFormat="false" ht="15" hidden="false" customHeight="false" outlineLevel="0" collapsed="false">
      <c r="A140" s="42" t="n">
        <v>45985</v>
      </c>
      <c r="B140" s="28" t="n">
        <f aca="false">COUNTIFS(Trades!$E$2:$E$884,$A140)</f>
        <v>4</v>
      </c>
      <c r="C140" s="28" t="n">
        <f aca="false">COUNTIFS(Trades!$E$2:$E$884,$A140,Trades!$Z$2:$Z$884,"Win")</f>
        <v>4</v>
      </c>
      <c r="D140" s="28" t="n">
        <f aca="false">COUNTIFS(Trades!$E$2:$E$884,$A140,Trades!$Z$2:$Z$884,"Loss")</f>
        <v>0</v>
      </c>
      <c r="E140" s="29" t="n">
        <f aca="false">IFERROR(C140/B140,0)</f>
        <v>1</v>
      </c>
      <c r="F140" s="30" t="n">
        <f aca="false">SUMIFS(Trades!$X$2:$X$884,Trades!$E$2:$E$884,$A140)</f>
        <v>648.68</v>
      </c>
      <c r="G140" s="30" t="n">
        <f aca="false">SUMIFS(Trades!$X$2:$X$884,Trades!$E$2:$E$884,$A140,Trades!$X$2:$X$884,"&gt;0")</f>
        <v>648.68</v>
      </c>
      <c r="H140" s="30" t="n">
        <f aca="false">SUMIFS(Trades!$X$2:$X$884,Trades!$E$2:$E$884,$A140,Trades!$X$2:$X$884,"&lt;0")</f>
        <v>0</v>
      </c>
      <c r="I140" s="31" t="str">
        <f aca="false">IFERROR(G140/-H140,"no loss")</f>
        <v>no loss</v>
      </c>
      <c r="J140" s="30" t="n">
        <f aca="false">_xlfn.MAXIFS(Trades!$X$2:$X$884,Trades!$E$2:$E$884,$A140)</f>
        <v>314.44</v>
      </c>
      <c r="K140" s="30" t="n">
        <f aca="false">_xlfn.MINIFS(Trades!$X$2:$X$884,Trades!$E$2:$E$884,$A140)</f>
        <v>51.84</v>
      </c>
      <c r="L140" s="32" t="n">
        <f aca="false">SUMIFS(Trades!$Y$2:$Y$884,Trades!$E$2:$E$884,$A140)</f>
        <v>8.07748314891111</v>
      </c>
      <c r="M140" s="30" t="n">
        <f aca="false">P139</f>
        <v>114164.43</v>
      </c>
      <c r="N140" s="29" t="n">
        <f aca="false">IFERROR(F140/M140,0)</f>
        <v>0.00568197993017615</v>
      </c>
      <c r="O140" s="28" t="str">
        <f aca="false">IF(F140&lt;0,"down week","")</f>
        <v/>
      </c>
      <c r="P140" s="30" t="n">
        <f aca="false">M140+F140</f>
        <v>114813.11</v>
      </c>
      <c r="Q140" s="30" t="n">
        <f aca="false">P140-Summary!$C$5</f>
        <v>14813.11</v>
      </c>
    </row>
    <row r="141" customFormat="false" ht="15" hidden="false" customHeight="false" outlineLevel="0" collapsed="false">
      <c r="A141" s="42" t="n">
        <v>45992</v>
      </c>
      <c r="B141" s="28" t="n">
        <f aca="false">COUNTIFS(Trades!$E$2:$E$884,$A141)</f>
        <v>6</v>
      </c>
      <c r="C141" s="28" t="n">
        <f aca="false">COUNTIFS(Trades!$E$2:$E$884,$A141,Trades!$Z$2:$Z$884,"Win")</f>
        <v>1</v>
      </c>
      <c r="D141" s="28" t="n">
        <f aca="false">COUNTIFS(Trades!$E$2:$E$884,$A141,Trades!$Z$2:$Z$884,"Loss")</f>
        <v>5</v>
      </c>
      <c r="E141" s="29" t="n">
        <f aca="false">IFERROR(C141/B141,0)</f>
        <v>0.166666666666667</v>
      </c>
      <c r="F141" s="30" t="n">
        <f aca="false">SUMIFS(Trades!$X$2:$X$884,Trades!$E$2:$E$884,$A141)</f>
        <v>-28.32</v>
      </c>
      <c r="G141" s="30" t="n">
        <f aca="false">SUMIFS(Trades!$X$2:$X$884,Trades!$E$2:$E$884,$A141,Trades!$X$2:$X$884,"&gt;0")</f>
        <v>305.36</v>
      </c>
      <c r="H141" s="30" t="n">
        <f aca="false">SUMIFS(Trades!$X$2:$X$884,Trades!$E$2:$E$884,$A141,Trades!$X$2:$X$884,"&lt;0")</f>
        <v>-333.68</v>
      </c>
      <c r="I141" s="31" t="n">
        <f aca="false">IFERROR(G141/-H141,"no loss")</f>
        <v>0.915128266602733</v>
      </c>
      <c r="J141" s="30" t="n">
        <f aca="false">_xlfn.MAXIFS(Trades!$X$2:$X$884,Trades!$E$2:$E$884,$A141)</f>
        <v>305.36</v>
      </c>
      <c r="K141" s="30" t="n">
        <f aca="false">_xlfn.MINIFS(Trades!$X$2:$X$884,Trades!$E$2:$E$884,$A141)</f>
        <v>-108.92</v>
      </c>
      <c r="L141" s="32" t="n">
        <f aca="false">SUMIFS(Trades!$Y$2:$Y$884,Trades!$E$2:$E$884,$A141)</f>
        <v>-2.96940611125096</v>
      </c>
      <c r="M141" s="30" t="n">
        <f aca="false">P140</f>
        <v>114813.11</v>
      </c>
      <c r="N141" s="29" t="n">
        <f aca="false">IFERROR(F141/M141,0)</f>
        <v>-0.000246661727044934</v>
      </c>
      <c r="O141" s="28" t="str">
        <f aca="false">IF(F141&lt;0,"down week","")</f>
        <v>down week</v>
      </c>
      <c r="P141" s="30" t="n">
        <f aca="false">M141+F141</f>
        <v>114784.79</v>
      </c>
      <c r="Q141" s="30" t="n">
        <f aca="false">P141-Summary!$C$5</f>
        <v>14784.79</v>
      </c>
    </row>
    <row r="142" customFormat="false" ht="15" hidden="false" customHeight="false" outlineLevel="0" collapsed="false">
      <c r="A142" s="42" t="n">
        <v>45999</v>
      </c>
      <c r="B142" s="28" t="n">
        <f aca="false">COUNTIFS(Trades!$E$2:$E$884,$A142)</f>
        <v>5</v>
      </c>
      <c r="C142" s="28" t="n">
        <f aca="false">COUNTIFS(Trades!$E$2:$E$884,$A142,Trades!$Z$2:$Z$884,"Win")</f>
        <v>1</v>
      </c>
      <c r="D142" s="28" t="n">
        <f aca="false">COUNTIFS(Trades!$E$2:$E$884,$A142,Trades!$Z$2:$Z$884,"Loss")</f>
        <v>4</v>
      </c>
      <c r="E142" s="29" t="n">
        <f aca="false">IFERROR(C142/B142,0)</f>
        <v>0.2</v>
      </c>
      <c r="F142" s="30" t="n">
        <f aca="false">SUMIFS(Trades!$X$2:$X$884,Trades!$E$2:$E$884,$A142)</f>
        <v>-34.4</v>
      </c>
      <c r="G142" s="30" t="n">
        <f aca="false">SUMIFS(Trades!$X$2:$X$884,Trades!$E$2:$E$884,$A142,Trades!$X$2:$X$884,"&gt;0")</f>
        <v>198.12</v>
      </c>
      <c r="H142" s="30" t="n">
        <f aca="false">SUMIFS(Trades!$X$2:$X$884,Trades!$E$2:$E$884,$A142,Trades!$X$2:$X$884,"&lt;0")</f>
        <v>-232.52</v>
      </c>
      <c r="I142" s="31" t="n">
        <f aca="false">IFERROR(G142/-H142,"no loss")</f>
        <v>0.852055737140891</v>
      </c>
      <c r="J142" s="30" t="n">
        <f aca="false">_xlfn.MAXIFS(Trades!$X$2:$X$884,Trades!$E$2:$E$884,$A142)</f>
        <v>198.12</v>
      </c>
      <c r="K142" s="30" t="n">
        <f aca="false">_xlfn.MINIFS(Trades!$X$2:$X$884,Trades!$E$2:$E$884,$A142)</f>
        <v>-128.28</v>
      </c>
      <c r="L142" s="32" t="n">
        <f aca="false">SUMIFS(Trades!$Y$2:$Y$884,Trades!$E$2:$E$884,$A142)</f>
        <v>-0.0395719569200045</v>
      </c>
      <c r="M142" s="30" t="n">
        <f aca="false">P141</f>
        <v>114784.79</v>
      </c>
      <c r="N142" s="29" t="n">
        <f aca="false">IFERROR(F142/M142,0)</f>
        <v>-0.000299691274427561</v>
      </c>
      <c r="O142" s="28" t="str">
        <f aca="false">IF(F142&lt;0,"down week","")</f>
        <v>down week</v>
      </c>
      <c r="P142" s="30" t="n">
        <f aca="false">M142+F142</f>
        <v>114750.39</v>
      </c>
      <c r="Q142" s="30" t="n">
        <f aca="false">P142-Summary!$C$5</f>
        <v>14750.39</v>
      </c>
    </row>
    <row r="143" customFormat="false" ht="15" hidden="false" customHeight="false" outlineLevel="0" collapsed="false">
      <c r="A143" s="42" t="n">
        <v>46006</v>
      </c>
      <c r="B143" s="28" t="n">
        <f aca="false">COUNTIFS(Trades!$E$2:$E$884,$A143)</f>
        <v>5</v>
      </c>
      <c r="C143" s="28" t="n">
        <f aca="false">COUNTIFS(Trades!$E$2:$E$884,$A143,Trades!$Z$2:$Z$884,"Win")</f>
        <v>1</v>
      </c>
      <c r="D143" s="28" t="n">
        <f aca="false">COUNTIFS(Trades!$E$2:$E$884,$A143,Trades!$Z$2:$Z$884,"Loss")</f>
        <v>4</v>
      </c>
      <c r="E143" s="29" t="n">
        <f aca="false">IFERROR(C143/B143,0)</f>
        <v>0.2</v>
      </c>
      <c r="F143" s="30" t="n">
        <f aca="false">SUMIFS(Trades!$X$2:$X$884,Trades!$E$2:$E$884,$A143)</f>
        <v>-319</v>
      </c>
      <c r="G143" s="30" t="n">
        <f aca="false">SUMIFS(Trades!$X$2:$X$884,Trades!$E$2:$E$884,$A143,Trades!$X$2:$X$884,"&gt;0")</f>
        <v>155.28</v>
      </c>
      <c r="H143" s="30" t="n">
        <f aca="false">SUMIFS(Trades!$X$2:$X$884,Trades!$E$2:$E$884,$A143,Trades!$X$2:$X$884,"&lt;0")</f>
        <v>-474.28</v>
      </c>
      <c r="I143" s="31" t="n">
        <f aca="false">IFERROR(G143/-H143,"no loss")</f>
        <v>0.327401534958253</v>
      </c>
      <c r="J143" s="30" t="n">
        <f aca="false">_xlfn.MAXIFS(Trades!$X$2:$X$884,Trades!$E$2:$E$884,$A143)</f>
        <v>155.28</v>
      </c>
      <c r="K143" s="30" t="n">
        <f aca="false">_xlfn.MINIFS(Trades!$X$2:$X$884,Trades!$E$2:$E$884,$A143)</f>
        <v>-247.68</v>
      </c>
      <c r="L143" s="32" t="n">
        <f aca="false">SUMIFS(Trades!$Y$2:$Y$884,Trades!$E$2:$E$884,$A143)</f>
        <v>-0.060837152979584</v>
      </c>
      <c r="M143" s="30" t="n">
        <f aca="false">P142</f>
        <v>114750.39</v>
      </c>
      <c r="N143" s="29" t="n">
        <f aca="false">IFERROR(F143/M143,0)</f>
        <v>-0.00277994697882944</v>
      </c>
      <c r="O143" s="28" t="str">
        <f aca="false">IF(F143&lt;0,"down week","")</f>
        <v>down week</v>
      </c>
      <c r="P143" s="30" t="n">
        <f aca="false">M143+F143</f>
        <v>114431.39</v>
      </c>
      <c r="Q143" s="30" t="n">
        <f aca="false">P143-Summary!$C$5</f>
        <v>14431.39</v>
      </c>
    </row>
    <row r="144" customFormat="false" ht="15" hidden="false" customHeight="false" outlineLevel="0" collapsed="false">
      <c r="A144" s="42" t="n">
        <v>46013</v>
      </c>
      <c r="B144" s="28" t="n">
        <f aca="false">COUNTIFS(Trades!$E$2:$E$884,$A144)</f>
        <v>5</v>
      </c>
      <c r="C144" s="28" t="n">
        <f aca="false">COUNTIFS(Trades!$E$2:$E$884,$A144,Trades!$Z$2:$Z$884,"Win")</f>
        <v>1</v>
      </c>
      <c r="D144" s="28" t="n">
        <f aca="false">COUNTIFS(Trades!$E$2:$E$884,$A144,Trades!$Z$2:$Z$884,"Loss")</f>
        <v>4</v>
      </c>
      <c r="E144" s="29" t="n">
        <f aca="false">IFERROR(C144/B144,0)</f>
        <v>0.2</v>
      </c>
      <c r="F144" s="30" t="n">
        <f aca="false">SUMIFS(Trades!$X$2:$X$884,Trades!$E$2:$E$884,$A144)</f>
        <v>-279.72</v>
      </c>
      <c r="G144" s="30" t="n">
        <f aca="false">SUMIFS(Trades!$X$2:$X$884,Trades!$E$2:$E$884,$A144,Trades!$X$2:$X$884,"&gt;0")</f>
        <v>40.76</v>
      </c>
      <c r="H144" s="30" t="n">
        <f aca="false">SUMIFS(Trades!$X$2:$X$884,Trades!$E$2:$E$884,$A144,Trades!$X$2:$X$884,"&lt;0")</f>
        <v>-320.48</v>
      </c>
      <c r="I144" s="31" t="n">
        <f aca="false">IFERROR(G144/-H144,"no loss")</f>
        <v>0.127184223664503</v>
      </c>
      <c r="J144" s="30" t="n">
        <f aca="false">_xlfn.MAXIFS(Trades!$X$2:$X$884,Trades!$E$2:$E$884,$A144)</f>
        <v>40.76</v>
      </c>
      <c r="K144" s="30" t="n">
        <f aca="false">_xlfn.MINIFS(Trades!$X$2:$X$884,Trades!$E$2:$E$884,$A144)</f>
        <v>-107.32</v>
      </c>
      <c r="L144" s="32" t="n">
        <f aca="false">SUMIFS(Trades!$Y$2:$Y$884,Trades!$E$2:$E$884,$A144)</f>
        <v>-2.05774844026894</v>
      </c>
      <c r="M144" s="30" t="n">
        <f aca="false">P143</f>
        <v>114431.39</v>
      </c>
      <c r="N144" s="29" t="n">
        <f aca="false">IFERROR(F144/M144,0)</f>
        <v>-0.00244443417142796</v>
      </c>
      <c r="O144" s="28" t="str">
        <f aca="false">IF(F144&lt;0,"down week","")</f>
        <v>down week</v>
      </c>
      <c r="P144" s="30" t="n">
        <f aca="false">M144+F144</f>
        <v>114151.67</v>
      </c>
      <c r="Q144" s="30" t="n">
        <f aca="false">P144-Summary!$C$5</f>
        <v>14151.67</v>
      </c>
    </row>
    <row r="145" customFormat="false" ht="15" hidden="false" customHeight="false" outlineLevel="0" collapsed="false">
      <c r="A145" s="42" t="n">
        <v>46020</v>
      </c>
      <c r="B145" s="28" t="n">
        <f aca="false">COUNTIFS(Trades!$E$2:$E$884,$A145)</f>
        <v>4</v>
      </c>
      <c r="C145" s="28" t="n">
        <f aca="false">COUNTIFS(Trades!$E$2:$E$884,$A145,Trades!$Z$2:$Z$884,"Win")</f>
        <v>0</v>
      </c>
      <c r="D145" s="28" t="n">
        <f aca="false">COUNTIFS(Trades!$E$2:$E$884,$A145,Trades!$Z$2:$Z$884,"Loss")</f>
        <v>4</v>
      </c>
      <c r="E145" s="29" t="n">
        <f aca="false">IFERROR(C145/B145,0)</f>
        <v>0</v>
      </c>
      <c r="F145" s="30" t="n">
        <f aca="false">SUMIFS(Trades!$X$2:$X$884,Trades!$E$2:$E$884,$A145)</f>
        <v>-89.64</v>
      </c>
      <c r="G145" s="30" t="n">
        <f aca="false">SUMIFS(Trades!$X$2:$X$884,Trades!$E$2:$E$884,$A145,Trades!$X$2:$X$884,"&gt;0")</f>
        <v>0</v>
      </c>
      <c r="H145" s="30" t="n">
        <f aca="false">SUMIFS(Trades!$X$2:$X$884,Trades!$E$2:$E$884,$A145,Trades!$X$2:$X$884,"&lt;0")</f>
        <v>-89.64</v>
      </c>
      <c r="I145" s="31" t="n">
        <f aca="false">IFERROR(G145/-H145,"no loss")</f>
        <v>0</v>
      </c>
      <c r="J145" s="30" t="n">
        <f aca="false">_xlfn.MAXIFS(Trades!$X$2:$X$884,Trades!$E$2:$E$884,$A145)</f>
        <v>-1.6</v>
      </c>
      <c r="K145" s="30" t="n">
        <f aca="false">_xlfn.MINIFS(Trades!$X$2:$X$884,Trades!$E$2:$E$884,$A145)</f>
        <v>-49.08</v>
      </c>
      <c r="L145" s="32" t="n">
        <f aca="false">SUMIFS(Trades!$Y$2:$Y$884,Trades!$E$2:$E$884,$A145)</f>
        <v>-2.13487355357816</v>
      </c>
      <c r="M145" s="30" t="n">
        <f aca="false">P144</f>
        <v>114151.67</v>
      </c>
      <c r="N145" s="29" t="n">
        <f aca="false">IFERROR(F145/M145,0)</f>
        <v>-0.000785271034580572</v>
      </c>
      <c r="O145" s="28" t="str">
        <f aca="false">IF(F145&lt;0,"down week","")</f>
        <v>down week</v>
      </c>
      <c r="P145" s="30" t="n">
        <f aca="false">M145+F145</f>
        <v>114062.03</v>
      </c>
      <c r="Q145" s="30" t="n">
        <f aca="false">P145-Summary!$C$5</f>
        <v>14062.03</v>
      </c>
    </row>
    <row r="146" customFormat="false" ht="15" hidden="false" customHeight="false" outlineLevel="0" collapsed="false">
      <c r="A146" s="42" t="n">
        <v>46027</v>
      </c>
      <c r="B146" s="28" t="n">
        <f aca="false">COUNTIFS(Trades!$E$2:$E$884,$A146)</f>
        <v>4</v>
      </c>
      <c r="C146" s="28" t="n">
        <f aca="false">COUNTIFS(Trades!$E$2:$E$884,$A146,Trades!$Z$2:$Z$884,"Win")</f>
        <v>1</v>
      </c>
      <c r="D146" s="28" t="n">
        <f aca="false">COUNTIFS(Trades!$E$2:$E$884,$A146,Trades!$Z$2:$Z$884,"Loss")</f>
        <v>3</v>
      </c>
      <c r="E146" s="29" t="n">
        <f aca="false">IFERROR(C146/B146,0)</f>
        <v>0.25</v>
      </c>
      <c r="F146" s="30" t="n">
        <f aca="false">SUMIFS(Trades!$X$2:$X$884,Trades!$E$2:$E$884,$A146)</f>
        <v>-109.9</v>
      </c>
      <c r="G146" s="30" t="n">
        <f aca="false">SUMIFS(Trades!$X$2:$X$884,Trades!$E$2:$E$884,$A146,Trades!$X$2:$X$884,"&gt;0")</f>
        <v>99.84</v>
      </c>
      <c r="H146" s="30" t="n">
        <f aca="false">SUMIFS(Trades!$X$2:$X$884,Trades!$E$2:$E$884,$A146,Trades!$X$2:$X$884,"&lt;0")</f>
        <v>-209.74</v>
      </c>
      <c r="I146" s="31" t="n">
        <f aca="false">IFERROR(G146/-H146,"no loss")</f>
        <v>0.476017926957185</v>
      </c>
      <c r="J146" s="30" t="n">
        <f aca="false">_xlfn.MAXIFS(Trades!$X$2:$X$884,Trades!$E$2:$E$884,$A146)</f>
        <v>99.84</v>
      </c>
      <c r="K146" s="30" t="n">
        <f aca="false">_xlfn.MINIFS(Trades!$X$2:$X$884,Trades!$E$2:$E$884,$A146)</f>
        <v>-157.7</v>
      </c>
      <c r="L146" s="32" t="n">
        <f aca="false">SUMIFS(Trades!$Y$2:$Y$884,Trades!$E$2:$E$884,$A146)</f>
        <v>0.150598641574672</v>
      </c>
      <c r="M146" s="30" t="n">
        <f aca="false">P145</f>
        <v>114062.03</v>
      </c>
      <c r="N146" s="29" t="n">
        <f aca="false">IFERROR(F146/M146,0)</f>
        <v>-0.000963510819507596</v>
      </c>
      <c r="O146" s="28" t="str">
        <f aca="false">IF(F146&lt;0,"down week","")</f>
        <v>down week</v>
      </c>
      <c r="P146" s="30" t="n">
        <f aca="false">M146+F146</f>
        <v>113952.13</v>
      </c>
      <c r="Q146" s="30" t="n">
        <f aca="false">P146-Summary!$C$5</f>
        <v>13952.13</v>
      </c>
    </row>
    <row r="147" customFormat="false" ht="15" hidden="false" customHeight="false" outlineLevel="0" collapsed="false">
      <c r="A147" s="42" t="n">
        <v>46034</v>
      </c>
      <c r="B147" s="28" t="n">
        <f aca="false">COUNTIFS(Trades!$E$2:$E$884,$A147)</f>
        <v>4</v>
      </c>
      <c r="C147" s="28" t="n">
        <f aca="false">COUNTIFS(Trades!$E$2:$E$884,$A147,Trades!$Z$2:$Z$884,"Win")</f>
        <v>1</v>
      </c>
      <c r="D147" s="28" t="n">
        <f aca="false">COUNTIFS(Trades!$E$2:$E$884,$A147,Trades!$Z$2:$Z$884,"Loss")</f>
        <v>3</v>
      </c>
      <c r="E147" s="29" t="n">
        <f aca="false">IFERROR(C147/B147,0)</f>
        <v>0.25</v>
      </c>
      <c r="F147" s="30" t="n">
        <f aca="false">SUMIFS(Trades!$X$2:$X$884,Trades!$E$2:$E$884,$A147)</f>
        <v>-24.06</v>
      </c>
      <c r="G147" s="30" t="n">
        <f aca="false">SUMIFS(Trades!$X$2:$X$884,Trades!$E$2:$E$884,$A147,Trades!$X$2:$X$884,"&gt;0")</f>
        <v>145.31</v>
      </c>
      <c r="H147" s="30" t="n">
        <f aca="false">SUMIFS(Trades!$X$2:$X$884,Trades!$E$2:$E$884,$A147,Trades!$X$2:$X$884,"&lt;0")</f>
        <v>-169.37</v>
      </c>
      <c r="I147" s="31" t="n">
        <f aca="false">IFERROR(G147/-H147,"no loss")</f>
        <v>0.857944145952648</v>
      </c>
      <c r="J147" s="30" t="n">
        <f aca="false">_xlfn.MAXIFS(Trades!$X$2:$X$884,Trades!$E$2:$E$884,$A147)</f>
        <v>145.31</v>
      </c>
      <c r="K147" s="30" t="n">
        <f aca="false">_xlfn.MINIFS(Trades!$X$2:$X$884,Trades!$E$2:$E$884,$A147)</f>
        <v>-164.05</v>
      </c>
      <c r="L147" s="32" t="n">
        <f aca="false">SUMIFS(Trades!$Y$2:$Y$884,Trades!$E$2:$E$884,$A147)</f>
        <v>0.669607262686461</v>
      </c>
      <c r="M147" s="30" t="n">
        <f aca="false">P146</f>
        <v>113952.13</v>
      </c>
      <c r="N147" s="29" t="n">
        <f aca="false">IFERROR(F147/M147,0)</f>
        <v>-0.00021114129240059</v>
      </c>
      <c r="O147" s="28" t="str">
        <f aca="false">IF(F147&lt;0,"down week","")</f>
        <v>down week</v>
      </c>
      <c r="P147" s="30" t="n">
        <f aca="false">M147+F147</f>
        <v>113928.07</v>
      </c>
      <c r="Q147" s="30" t="n">
        <f aca="false">P147-Summary!$C$5</f>
        <v>13928.07</v>
      </c>
    </row>
    <row r="148" customFormat="false" ht="15" hidden="false" customHeight="false" outlineLevel="0" collapsed="false">
      <c r="A148" s="42" t="n">
        <v>46041</v>
      </c>
      <c r="B148" s="28" t="n">
        <f aca="false">COUNTIFS(Trades!$E$2:$E$884,$A148)</f>
        <v>6</v>
      </c>
      <c r="C148" s="28" t="n">
        <f aca="false">COUNTIFS(Trades!$E$2:$E$884,$A148,Trades!$Z$2:$Z$884,"Win")</f>
        <v>3</v>
      </c>
      <c r="D148" s="28" t="n">
        <f aca="false">COUNTIFS(Trades!$E$2:$E$884,$A148,Trades!$Z$2:$Z$884,"Loss")</f>
        <v>3</v>
      </c>
      <c r="E148" s="29" t="n">
        <f aca="false">IFERROR(C148/B148,0)</f>
        <v>0.5</v>
      </c>
      <c r="F148" s="30" t="n">
        <f aca="false">SUMIFS(Trades!$X$2:$X$884,Trades!$E$2:$E$884,$A148)</f>
        <v>822.6</v>
      </c>
      <c r="G148" s="30" t="n">
        <f aca="false">SUMIFS(Trades!$X$2:$X$884,Trades!$E$2:$E$884,$A148,Trades!$X$2:$X$884,"&gt;0")</f>
        <v>1043.8</v>
      </c>
      <c r="H148" s="30" t="n">
        <f aca="false">SUMIFS(Trades!$X$2:$X$884,Trades!$E$2:$E$884,$A148,Trades!$X$2:$X$884,"&lt;0")</f>
        <v>-221.2</v>
      </c>
      <c r="I148" s="31" t="n">
        <f aca="false">IFERROR(G148/-H148,"no loss")</f>
        <v>4.71880650994575</v>
      </c>
      <c r="J148" s="30" t="n">
        <f aca="false">_xlfn.MAXIFS(Trades!$X$2:$X$884,Trades!$E$2:$E$884,$A148)</f>
        <v>529.12</v>
      </c>
      <c r="K148" s="30" t="n">
        <f aca="false">_xlfn.MINIFS(Trades!$X$2:$X$884,Trades!$E$2:$E$884,$A148)</f>
        <v>-133.56</v>
      </c>
      <c r="L148" s="32" t="n">
        <f aca="false">SUMIFS(Trades!$Y$2:$Y$884,Trades!$E$2:$E$884,$A148)</f>
        <v>4.00466504444723</v>
      </c>
      <c r="M148" s="30" t="n">
        <f aca="false">P147</f>
        <v>113928.07</v>
      </c>
      <c r="N148" s="29" t="n">
        <f aca="false">IFERROR(F148/M148,0)</f>
        <v>0.00722034525819669</v>
      </c>
      <c r="O148" s="28" t="str">
        <f aca="false">IF(F148&lt;0,"down week","")</f>
        <v/>
      </c>
      <c r="P148" s="30" t="n">
        <f aca="false">M148+F148</f>
        <v>114750.67</v>
      </c>
      <c r="Q148" s="30" t="n">
        <f aca="false">P148-Summary!$C$5</f>
        <v>14750.67</v>
      </c>
    </row>
    <row r="149" customFormat="false" ht="15" hidden="false" customHeight="false" outlineLevel="0" collapsed="false">
      <c r="A149" s="42" t="n">
        <v>46048</v>
      </c>
      <c r="B149" s="28" t="n">
        <f aca="false">COUNTIFS(Trades!$E$2:$E$884,$A149)</f>
        <v>5</v>
      </c>
      <c r="C149" s="28" t="n">
        <f aca="false">COUNTIFS(Trades!$E$2:$E$884,$A149,Trades!$Z$2:$Z$884,"Win")</f>
        <v>2</v>
      </c>
      <c r="D149" s="28" t="n">
        <f aca="false">COUNTIFS(Trades!$E$2:$E$884,$A149,Trades!$Z$2:$Z$884,"Loss")</f>
        <v>3</v>
      </c>
      <c r="E149" s="29" t="n">
        <f aca="false">IFERROR(C149/B149,0)</f>
        <v>0.4</v>
      </c>
      <c r="F149" s="30" t="n">
        <f aca="false">SUMIFS(Trades!$X$2:$X$884,Trades!$E$2:$E$884,$A149)</f>
        <v>-195.74</v>
      </c>
      <c r="G149" s="30" t="n">
        <f aca="false">SUMIFS(Trades!$X$2:$X$884,Trades!$E$2:$E$884,$A149,Trades!$X$2:$X$884,"&gt;0")</f>
        <v>205.12</v>
      </c>
      <c r="H149" s="30" t="n">
        <f aca="false">SUMIFS(Trades!$X$2:$X$884,Trades!$E$2:$E$884,$A149,Trades!$X$2:$X$884,"&lt;0")</f>
        <v>-400.86</v>
      </c>
      <c r="I149" s="31" t="n">
        <f aca="false">IFERROR(G149/-H149,"no loss")</f>
        <v>0.511699845332535</v>
      </c>
      <c r="J149" s="30" t="n">
        <f aca="false">_xlfn.MAXIFS(Trades!$X$2:$X$884,Trades!$E$2:$E$884,$A149)</f>
        <v>153.52</v>
      </c>
      <c r="K149" s="30" t="n">
        <f aca="false">_xlfn.MINIFS(Trades!$X$2:$X$884,Trades!$E$2:$E$884,$A149)</f>
        <v>-266.08</v>
      </c>
      <c r="L149" s="32" t="n">
        <f aca="false">SUMIFS(Trades!$Y$2:$Y$884,Trades!$E$2:$E$884,$A149)</f>
        <v>1.995034327916</v>
      </c>
      <c r="M149" s="30" t="n">
        <f aca="false">P148</f>
        <v>114750.67</v>
      </c>
      <c r="N149" s="29" t="n">
        <f aca="false">IFERROR(F149/M149,0)</f>
        <v>-0.00170578524726697</v>
      </c>
      <c r="O149" s="28" t="str">
        <f aca="false">IF(F149&lt;0,"down week","")</f>
        <v>down week</v>
      </c>
      <c r="P149" s="30" t="n">
        <f aca="false">M149+F149</f>
        <v>114554.93</v>
      </c>
      <c r="Q149" s="30" t="n">
        <f aca="false">P149-Summary!$C$5</f>
        <v>14554.93</v>
      </c>
    </row>
    <row r="150" customFormat="false" ht="15" hidden="false" customHeight="false" outlineLevel="0" collapsed="false">
      <c r="A150" s="42" t="n">
        <v>46055</v>
      </c>
      <c r="B150" s="28" t="n">
        <f aca="false">COUNTIFS(Trades!$E$2:$E$884,$A150)</f>
        <v>6</v>
      </c>
      <c r="C150" s="28" t="n">
        <f aca="false">COUNTIFS(Trades!$E$2:$E$884,$A150,Trades!$Z$2:$Z$884,"Win")</f>
        <v>4</v>
      </c>
      <c r="D150" s="28" t="n">
        <f aca="false">COUNTIFS(Trades!$E$2:$E$884,$A150,Trades!$Z$2:$Z$884,"Loss")</f>
        <v>2</v>
      </c>
      <c r="E150" s="29" t="n">
        <f aca="false">IFERROR(C150/B150,0)</f>
        <v>0.666666666666667</v>
      </c>
      <c r="F150" s="30" t="n">
        <f aca="false">SUMIFS(Trades!$X$2:$X$884,Trades!$E$2:$E$884,$A150)</f>
        <v>1316.9</v>
      </c>
      <c r="G150" s="30" t="n">
        <f aca="false">SUMIFS(Trades!$X$2:$X$884,Trades!$E$2:$E$884,$A150,Trades!$X$2:$X$884,"&gt;0")</f>
        <v>1317.62</v>
      </c>
      <c r="H150" s="30" t="n">
        <f aca="false">SUMIFS(Trades!$X$2:$X$884,Trades!$E$2:$E$884,$A150,Trades!$X$2:$X$884,"&lt;0")</f>
        <v>-0.72</v>
      </c>
      <c r="I150" s="31" t="n">
        <f aca="false">IFERROR(G150/-H150,"no loss")</f>
        <v>1830.02777777778</v>
      </c>
      <c r="J150" s="30" t="n">
        <f aca="false">_xlfn.MAXIFS(Trades!$X$2:$X$884,Trades!$E$2:$E$884,$A150)</f>
        <v>639.62</v>
      </c>
      <c r="K150" s="30" t="n">
        <f aca="false">_xlfn.MINIFS(Trades!$X$2:$X$884,Trades!$E$2:$E$884,$A150)</f>
        <v>-0.48</v>
      </c>
      <c r="L150" s="32" t="n">
        <f aca="false">SUMIFS(Trades!$Y$2:$Y$884,Trades!$E$2:$E$884,$A150)</f>
        <v>7.97282492248114</v>
      </c>
      <c r="M150" s="30" t="n">
        <f aca="false">P149</f>
        <v>114554.93</v>
      </c>
      <c r="N150" s="29" t="n">
        <f aca="false">IFERROR(F150/M150,0)</f>
        <v>0.0114957950740313</v>
      </c>
      <c r="O150" s="28" t="str">
        <f aca="false">IF(F150&lt;0,"down week","")</f>
        <v/>
      </c>
      <c r="P150" s="30" t="n">
        <f aca="false">M150+F150</f>
        <v>115871.83</v>
      </c>
      <c r="Q150" s="30" t="n">
        <f aca="false">P150-Summary!$C$5</f>
        <v>15871.83</v>
      </c>
    </row>
    <row r="151" customFormat="false" ht="15" hidden="false" customHeight="false" outlineLevel="0" collapsed="false">
      <c r="A151" s="42" t="n">
        <v>46062</v>
      </c>
      <c r="B151" s="28" t="n">
        <f aca="false">COUNTIFS(Trades!$E$2:$E$884,$A151)</f>
        <v>6</v>
      </c>
      <c r="C151" s="28" t="n">
        <f aca="false">COUNTIFS(Trades!$E$2:$E$884,$A151,Trades!$Z$2:$Z$884,"Win")</f>
        <v>3</v>
      </c>
      <c r="D151" s="28" t="n">
        <f aca="false">COUNTIFS(Trades!$E$2:$E$884,$A151,Trades!$Z$2:$Z$884,"Loss")</f>
        <v>3</v>
      </c>
      <c r="E151" s="29" t="n">
        <f aca="false">IFERROR(C151/B151,0)</f>
        <v>0.5</v>
      </c>
      <c r="F151" s="30" t="n">
        <f aca="false">SUMIFS(Trades!$X$2:$X$884,Trades!$E$2:$E$884,$A151)</f>
        <v>604.24</v>
      </c>
      <c r="G151" s="30" t="n">
        <f aca="false">SUMIFS(Trades!$X$2:$X$884,Trades!$E$2:$E$884,$A151,Trades!$X$2:$X$884,"&gt;0")</f>
        <v>870.96</v>
      </c>
      <c r="H151" s="30" t="n">
        <f aca="false">SUMIFS(Trades!$X$2:$X$884,Trades!$E$2:$E$884,$A151,Trades!$X$2:$X$884,"&lt;0")</f>
        <v>-266.72</v>
      </c>
      <c r="I151" s="31" t="n">
        <f aca="false">IFERROR(G151/-H151,"no loss")</f>
        <v>3.26544691061788</v>
      </c>
      <c r="J151" s="30" t="n">
        <f aca="false">_xlfn.MAXIFS(Trades!$X$2:$X$884,Trades!$E$2:$E$884,$A151)</f>
        <v>407</v>
      </c>
      <c r="K151" s="30" t="n">
        <f aca="false">_xlfn.MINIFS(Trades!$X$2:$X$884,Trades!$E$2:$E$884,$A151)</f>
        <v>-146.12</v>
      </c>
      <c r="L151" s="32" t="n">
        <f aca="false">SUMIFS(Trades!$Y$2:$Y$884,Trades!$E$2:$E$884,$A151)</f>
        <v>3.97736599291723</v>
      </c>
      <c r="M151" s="30" t="n">
        <f aca="false">P150</f>
        <v>115871.83</v>
      </c>
      <c r="N151" s="29" t="n">
        <f aca="false">IFERROR(F151/M151,0)</f>
        <v>0.00521472734140818</v>
      </c>
      <c r="O151" s="28" t="str">
        <f aca="false">IF(F151&lt;0,"down week","")</f>
        <v/>
      </c>
      <c r="P151" s="30" t="n">
        <f aca="false">M151+F151</f>
        <v>116476.07</v>
      </c>
      <c r="Q151" s="30" t="n">
        <f aca="false">P151-Summary!$C$5</f>
        <v>16476.07</v>
      </c>
    </row>
    <row r="152" customFormat="false" ht="15" hidden="false" customHeight="false" outlineLevel="0" collapsed="false">
      <c r="A152" s="42" t="n">
        <v>46069</v>
      </c>
      <c r="B152" s="28" t="n">
        <f aca="false">COUNTIFS(Trades!$E$2:$E$884,$A152)</f>
        <v>4</v>
      </c>
      <c r="C152" s="28" t="n">
        <f aca="false">COUNTIFS(Trades!$E$2:$E$884,$A152,Trades!$Z$2:$Z$884,"Win")</f>
        <v>0</v>
      </c>
      <c r="D152" s="28" t="n">
        <f aca="false">COUNTIFS(Trades!$E$2:$E$884,$A152,Trades!$Z$2:$Z$884,"Loss")</f>
        <v>4</v>
      </c>
      <c r="E152" s="29" t="n">
        <f aca="false">IFERROR(C152/B152,0)</f>
        <v>0</v>
      </c>
      <c r="F152" s="30" t="n">
        <f aca="false">SUMIFS(Trades!$X$2:$X$884,Trades!$E$2:$E$884,$A152)</f>
        <v>-351.76</v>
      </c>
      <c r="G152" s="30" t="n">
        <f aca="false">SUMIFS(Trades!$X$2:$X$884,Trades!$E$2:$E$884,$A152,Trades!$X$2:$X$884,"&gt;0")</f>
        <v>0</v>
      </c>
      <c r="H152" s="30" t="n">
        <f aca="false">SUMIFS(Trades!$X$2:$X$884,Trades!$E$2:$E$884,$A152,Trades!$X$2:$X$884,"&lt;0")</f>
        <v>-351.76</v>
      </c>
      <c r="I152" s="31" t="n">
        <f aca="false">IFERROR(G152/-H152,"no loss")</f>
        <v>0</v>
      </c>
      <c r="J152" s="30" t="n">
        <f aca="false">_xlfn.MAXIFS(Trades!$X$2:$X$884,Trades!$E$2:$E$884,$A152)</f>
        <v>-0.46</v>
      </c>
      <c r="K152" s="30" t="n">
        <f aca="false">_xlfn.MINIFS(Trades!$X$2:$X$884,Trades!$E$2:$E$884,$A152)</f>
        <v>-346</v>
      </c>
      <c r="L152" s="32" t="n">
        <f aca="false">SUMIFS(Trades!$Y$2:$Y$884,Trades!$E$2:$E$884,$A152)</f>
        <v>-1.03750552218527</v>
      </c>
      <c r="M152" s="30" t="n">
        <f aca="false">P151</f>
        <v>116476.07</v>
      </c>
      <c r="N152" s="29" t="n">
        <f aca="false">IFERROR(F152/M152,0)</f>
        <v>-0.00302001947696209</v>
      </c>
      <c r="O152" s="28" t="str">
        <f aca="false">IF(F152&lt;0,"down week","")</f>
        <v>down week</v>
      </c>
      <c r="P152" s="30" t="n">
        <f aca="false">M152+F152</f>
        <v>116124.31</v>
      </c>
      <c r="Q152" s="30" t="n">
        <f aca="false">P152-Summary!$C$5</f>
        <v>16124.31</v>
      </c>
    </row>
    <row r="153" customFormat="false" ht="15" hidden="false" customHeight="false" outlineLevel="0" collapsed="false">
      <c r="A153" s="42" t="n">
        <v>46076</v>
      </c>
      <c r="B153" s="28" t="n">
        <f aca="false">COUNTIFS(Trades!$E$2:$E$884,$A153)</f>
        <v>6</v>
      </c>
      <c r="C153" s="28" t="n">
        <f aca="false">COUNTIFS(Trades!$E$2:$E$884,$A153,Trades!$Z$2:$Z$884,"Win")</f>
        <v>0</v>
      </c>
      <c r="D153" s="28" t="n">
        <f aca="false">COUNTIFS(Trades!$E$2:$E$884,$A153,Trades!$Z$2:$Z$884,"Loss")</f>
        <v>6</v>
      </c>
      <c r="E153" s="29" t="n">
        <f aca="false">IFERROR(C153/B153,0)</f>
        <v>0</v>
      </c>
      <c r="F153" s="30" t="n">
        <f aca="false">SUMIFS(Trades!$X$2:$X$884,Trades!$E$2:$E$884,$A153)</f>
        <v>-382.57</v>
      </c>
      <c r="G153" s="30" t="n">
        <f aca="false">SUMIFS(Trades!$X$2:$X$884,Trades!$E$2:$E$884,$A153,Trades!$X$2:$X$884,"&gt;0")</f>
        <v>0</v>
      </c>
      <c r="H153" s="30" t="n">
        <f aca="false">SUMIFS(Trades!$X$2:$X$884,Trades!$E$2:$E$884,$A153,Trades!$X$2:$X$884,"&lt;0")</f>
        <v>-382.57</v>
      </c>
      <c r="I153" s="31" t="n">
        <f aca="false">IFERROR(G153/-H153,"no loss")</f>
        <v>0</v>
      </c>
      <c r="J153" s="30" t="n">
        <f aca="false">_xlfn.MAXIFS(Trades!$X$2:$X$884,Trades!$E$2:$E$884,$A153)</f>
        <v>-1.4</v>
      </c>
      <c r="K153" s="30" t="n">
        <f aca="false">_xlfn.MINIFS(Trades!$X$2:$X$884,Trades!$E$2:$E$884,$A153)</f>
        <v>-158.93</v>
      </c>
      <c r="L153" s="32" t="n">
        <f aca="false">SUMIFS(Trades!$Y$2:$Y$884,Trades!$E$2:$E$884,$A153)</f>
        <v>-4.06937467764232</v>
      </c>
      <c r="M153" s="30" t="n">
        <f aca="false">P152</f>
        <v>116124.31</v>
      </c>
      <c r="N153" s="29" t="n">
        <f aca="false">IFERROR(F153/M153,0)</f>
        <v>-0.0032944867444207</v>
      </c>
      <c r="O153" s="28" t="str">
        <f aca="false">IF(F153&lt;0,"down week","")</f>
        <v>down week</v>
      </c>
      <c r="P153" s="30" t="n">
        <f aca="false">M153+F153</f>
        <v>115741.74</v>
      </c>
      <c r="Q153" s="30" t="n">
        <f aca="false">P153-Summary!$C$5</f>
        <v>15741.74</v>
      </c>
    </row>
    <row r="154" customFormat="false" ht="15" hidden="false" customHeight="false" outlineLevel="0" collapsed="false">
      <c r="A154" s="42" t="n">
        <v>46083</v>
      </c>
      <c r="B154" s="28" t="n">
        <f aca="false">COUNTIFS(Trades!$E$2:$E$884,$A154)</f>
        <v>5</v>
      </c>
      <c r="C154" s="28" t="n">
        <f aca="false">COUNTIFS(Trades!$E$2:$E$884,$A154,Trades!$Z$2:$Z$884,"Win")</f>
        <v>1</v>
      </c>
      <c r="D154" s="28" t="n">
        <f aca="false">COUNTIFS(Trades!$E$2:$E$884,$A154,Trades!$Z$2:$Z$884,"Loss")</f>
        <v>4</v>
      </c>
      <c r="E154" s="29" t="n">
        <f aca="false">IFERROR(C154/B154,0)</f>
        <v>0.2</v>
      </c>
      <c r="F154" s="30" t="n">
        <f aca="false">SUMIFS(Trades!$X$2:$X$884,Trades!$E$2:$E$884,$A154)</f>
        <v>-230.44</v>
      </c>
      <c r="G154" s="30" t="n">
        <f aca="false">SUMIFS(Trades!$X$2:$X$884,Trades!$E$2:$E$884,$A154,Trades!$X$2:$X$884,"&gt;0")</f>
        <v>356.52</v>
      </c>
      <c r="H154" s="30" t="n">
        <f aca="false">SUMIFS(Trades!$X$2:$X$884,Trades!$E$2:$E$884,$A154,Trades!$X$2:$X$884,"&lt;0")</f>
        <v>-586.96</v>
      </c>
      <c r="I154" s="31" t="n">
        <f aca="false">IFERROR(G154/-H154,"no loss")</f>
        <v>0.607400845032029</v>
      </c>
      <c r="J154" s="30" t="n">
        <f aca="false">_xlfn.MAXIFS(Trades!$X$2:$X$884,Trades!$E$2:$E$884,$A154)</f>
        <v>356.52</v>
      </c>
      <c r="K154" s="30" t="n">
        <f aca="false">_xlfn.MINIFS(Trades!$X$2:$X$884,Trades!$E$2:$E$884,$A154)</f>
        <v>-328.36</v>
      </c>
      <c r="L154" s="32" t="n">
        <f aca="false">SUMIFS(Trades!$Y$2:$Y$884,Trades!$E$2:$E$884,$A154)</f>
        <v>-1.03896087281235</v>
      </c>
      <c r="M154" s="30" t="n">
        <f aca="false">P153</f>
        <v>115741.74</v>
      </c>
      <c r="N154" s="29" t="n">
        <f aca="false">IFERROR(F154/M154,0)</f>
        <v>-0.00199098441063699</v>
      </c>
      <c r="O154" s="28" t="str">
        <f aca="false">IF(F154&lt;0,"down week","")</f>
        <v>down week</v>
      </c>
      <c r="P154" s="30" t="n">
        <f aca="false">M154+F154</f>
        <v>115511.3</v>
      </c>
      <c r="Q154" s="30" t="n">
        <f aca="false">P154-Summary!$C$5</f>
        <v>15511.3</v>
      </c>
    </row>
    <row r="155" customFormat="false" ht="15" hidden="false" customHeight="false" outlineLevel="0" collapsed="false">
      <c r="A155" s="42" t="n">
        <v>46090</v>
      </c>
      <c r="B155" s="28" t="n">
        <f aca="false">COUNTIFS(Trades!$E$2:$E$884,$A155)</f>
        <v>4</v>
      </c>
      <c r="C155" s="28" t="n">
        <f aca="false">COUNTIFS(Trades!$E$2:$E$884,$A155,Trades!$Z$2:$Z$884,"Win")</f>
        <v>3</v>
      </c>
      <c r="D155" s="28" t="n">
        <f aca="false">COUNTIFS(Trades!$E$2:$E$884,$A155,Trades!$Z$2:$Z$884,"Loss")</f>
        <v>1</v>
      </c>
      <c r="E155" s="29" t="n">
        <f aca="false">IFERROR(C155/B155,0)</f>
        <v>0.75</v>
      </c>
      <c r="F155" s="30" t="n">
        <f aca="false">SUMIFS(Trades!$X$2:$X$884,Trades!$E$2:$E$884,$A155)</f>
        <v>1084.28</v>
      </c>
      <c r="G155" s="30" t="n">
        <f aca="false">SUMIFS(Trades!$X$2:$X$884,Trades!$E$2:$E$884,$A155,Trades!$X$2:$X$884,"&gt;0")</f>
        <v>1176.97</v>
      </c>
      <c r="H155" s="30" t="n">
        <f aca="false">SUMIFS(Trades!$X$2:$X$884,Trades!$E$2:$E$884,$A155,Trades!$X$2:$X$884,"&lt;0")</f>
        <v>-92.69</v>
      </c>
      <c r="I155" s="31" t="n">
        <f aca="false">IFERROR(G155/-H155,"no loss")</f>
        <v>12.6979177904844</v>
      </c>
      <c r="J155" s="30" t="n">
        <f aca="false">_xlfn.MAXIFS(Trades!$X$2:$X$884,Trades!$E$2:$E$884,$A155)</f>
        <v>721.31</v>
      </c>
      <c r="K155" s="30" t="n">
        <f aca="false">_xlfn.MINIFS(Trades!$X$2:$X$884,Trades!$E$2:$E$884,$A155)</f>
        <v>-92.69</v>
      </c>
      <c r="L155" s="32" t="n">
        <f aca="false">SUMIFS(Trades!$Y$2:$Y$884,Trades!$E$2:$E$884,$A155)</f>
        <v>5.26870888190567</v>
      </c>
      <c r="M155" s="30" t="n">
        <f aca="false">P154</f>
        <v>115511.3</v>
      </c>
      <c r="N155" s="29" t="n">
        <f aca="false">IFERROR(F155/M155,0)</f>
        <v>0.00938678726670032</v>
      </c>
      <c r="O155" s="28" t="str">
        <f aca="false">IF(F155&lt;0,"down week","")</f>
        <v/>
      </c>
      <c r="P155" s="30" t="n">
        <f aca="false">M155+F155</f>
        <v>116595.58</v>
      </c>
      <c r="Q155" s="30" t="n">
        <f aca="false">P155-Summary!$C$5</f>
        <v>16595.58</v>
      </c>
    </row>
    <row r="156" customFormat="false" ht="15" hidden="false" customHeight="false" outlineLevel="0" collapsed="false">
      <c r="A156" s="42" t="n">
        <v>46097</v>
      </c>
      <c r="B156" s="28" t="n">
        <f aca="false">COUNTIFS(Trades!$E$2:$E$884,$A156)</f>
        <v>6</v>
      </c>
      <c r="C156" s="28" t="n">
        <f aca="false">COUNTIFS(Trades!$E$2:$E$884,$A156,Trades!$Z$2:$Z$884,"Win")</f>
        <v>2</v>
      </c>
      <c r="D156" s="28" t="n">
        <f aca="false">COUNTIFS(Trades!$E$2:$E$884,$A156,Trades!$Z$2:$Z$884,"Loss")</f>
        <v>4</v>
      </c>
      <c r="E156" s="29" t="n">
        <f aca="false">IFERROR(C156/B156,0)</f>
        <v>0.333333333333333</v>
      </c>
      <c r="F156" s="30" t="n">
        <f aca="false">SUMIFS(Trades!$X$2:$X$884,Trades!$E$2:$E$884,$A156)</f>
        <v>271.12</v>
      </c>
      <c r="G156" s="30" t="n">
        <f aca="false">SUMIFS(Trades!$X$2:$X$884,Trades!$E$2:$E$884,$A156,Trades!$X$2:$X$884,"&gt;0")</f>
        <v>407.28</v>
      </c>
      <c r="H156" s="30" t="n">
        <f aca="false">SUMIFS(Trades!$X$2:$X$884,Trades!$E$2:$E$884,$A156,Trades!$X$2:$X$884,"&lt;0")</f>
        <v>-136.16</v>
      </c>
      <c r="I156" s="31" t="n">
        <f aca="false">IFERROR(G156/-H156,"no loss")</f>
        <v>2.99118683901293</v>
      </c>
      <c r="J156" s="30" t="n">
        <f aca="false">_xlfn.MAXIFS(Trades!$X$2:$X$884,Trades!$E$2:$E$884,$A156)</f>
        <v>225.5</v>
      </c>
      <c r="K156" s="30" t="n">
        <f aca="false">_xlfn.MINIFS(Trades!$X$2:$X$884,Trades!$E$2:$E$884,$A156)</f>
        <v>-127.97</v>
      </c>
      <c r="L156" s="32" t="n">
        <f aca="false">SUMIFS(Trades!$Y$2:$Y$884,Trades!$E$2:$E$884,$A156)</f>
        <v>2.85166110882205</v>
      </c>
      <c r="M156" s="30" t="n">
        <f aca="false">P155</f>
        <v>116595.58</v>
      </c>
      <c r="N156" s="29" t="n">
        <f aca="false">IFERROR(F156/M156,0)</f>
        <v>0.00232530255435069</v>
      </c>
      <c r="O156" s="28" t="str">
        <f aca="false">IF(F156&lt;0,"down week","")</f>
        <v/>
      </c>
      <c r="P156" s="30" t="n">
        <f aca="false">M156+F156</f>
        <v>116866.7</v>
      </c>
      <c r="Q156" s="30" t="n">
        <f aca="false">P156-Summary!$C$5</f>
        <v>16866.7</v>
      </c>
    </row>
    <row r="157" customFormat="false" ht="15" hidden="false" customHeight="false" outlineLevel="0" collapsed="false">
      <c r="A157" s="42" t="n">
        <v>46104</v>
      </c>
      <c r="B157" s="28" t="n">
        <f aca="false">COUNTIFS(Trades!$E$2:$E$884,$A157)</f>
        <v>5</v>
      </c>
      <c r="C157" s="28" t="n">
        <f aca="false">COUNTIFS(Trades!$E$2:$E$884,$A157,Trades!$Z$2:$Z$884,"Win")</f>
        <v>0</v>
      </c>
      <c r="D157" s="28" t="n">
        <f aca="false">COUNTIFS(Trades!$E$2:$E$884,$A157,Trades!$Z$2:$Z$884,"Loss")</f>
        <v>5</v>
      </c>
      <c r="E157" s="29" t="n">
        <f aca="false">IFERROR(C157/B157,0)</f>
        <v>0</v>
      </c>
      <c r="F157" s="30" t="n">
        <f aca="false">SUMIFS(Trades!$X$2:$X$884,Trades!$E$2:$E$884,$A157)</f>
        <v>-1014.69</v>
      </c>
      <c r="G157" s="30" t="n">
        <f aca="false">SUMIFS(Trades!$X$2:$X$884,Trades!$E$2:$E$884,$A157,Trades!$X$2:$X$884,"&gt;0")</f>
        <v>0</v>
      </c>
      <c r="H157" s="30" t="n">
        <f aca="false">SUMIFS(Trades!$X$2:$X$884,Trades!$E$2:$E$884,$A157,Trades!$X$2:$X$884,"&lt;0")</f>
        <v>-1014.69</v>
      </c>
      <c r="I157" s="31" t="n">
        <f aca="false">IFERROR(G157/-H157,"no loss")</f>
        <v>0</v>
      </c>
      <c r="J157" s="30" t="n">
        <f aca="false">_xlfn.MAXIFS(Trades!$X$2:$X$884,Trades!$E$2:$E$884,$A157)</f>
        <v>-0.13</v>
      </c>
      <c r="K157" s="30" t="n">
        <f aca="false">_xlfn.MINIFS(Trades!$X$2:$X$884,Trades!$E$2:$E$884,$A157)</f>
        <v>-568.08</v>
      </c>
      <c r="L157" s="32" t="n">
        <f aca="false">SUMIFS(Trades!$Y$2:$Y$884,Trades!$E$2:$E$884,$A157)</f>
        <v>-3.12687357933434</v>
      </c>
      <c r="M157" s="30" t="n">
        <f aca="false">P156</f>
        <v>116866.7</v>
      </c>
      <c r="N157" s="29" t="n">
        <f aca="false">IFERROR(F157/M157,0)</f>
        <v>-0.00868245616587103</v>
      </c>
      <c r="O157" s="28" t="str">
        <f aca="false">IF(F157&lt;0,"down week","")</f>
        <v>down week</v>
      </c>
      <c r="P157" s="30" t="n">
        <f aca="false">M157+F157</f>
        <v>115852.01</v>
      </c>
      <c r="Q157" s="30" t="n">
        <f aca="false">P157-Summary!$C$5</f>
        <v>15852.01</v>
      </c>
    </row>
    <row r="158" customFormat="false" ht="15" hidden="false" customHeight="false" outlineLevel="0" collapsed="false">
      <c r="A158" s="42" t="n">
        <v>46111</v>
      </c>
      <c r="B158" s="28" t="n">
        <f aca="false">COUNTIFS(Trades!$E$2:$E$884,$A158)</f>
        <v>5</v>
      </c>
      <c r="C158" s="28" t="n">
        <f aca="false">COUNTIFS(Trades!$E$2:$E$884,$A158,Trades!$Z$2:$Z$884,"Win")</f>
        <v>1</v>
      </c>
      <c r="D158" s="28" t="n">
        <f aca="false">COUNTIFS(Trades!$E$2:$E$884,$A158,Trades!$Z$2:$Z$884,"Loss")</f>
        <v>4</v>
      </c>
      <c r="E158" s="29" t="n">
        <f aca="false">IFERROR(C158/B158,0)</f>
        <v>0.2</v>
      </c>
      <c r="F158" s="30" t="n">
        <f aca="false">SUMIFS(Trades!$X$2:$X$884,Trades!$E$2:$E$884,$A158)</f>
        <v>-184.84</v>
      </c>
      <c r="G158" s="30" t="n">
        <f aca="false">SUMIFS(Trades!$X$2:$X$884,Trades!$E$2:$E$884,$A158,Trades!$X$2:$X$884,"&gt;0")</f>
        <v>319.91</v>
      </c>
      <c r="H158" s="30" t="n">
        <f aca="false">SUMIFS(Trades!$X$2:$X$884,Trades!$E$2:$E$884,$A158,Trades!$X$2:$X$884,"&lt;0")</f>
        <v>-504.75</v>
      </c>
      <c r="I158" s="31" t="n">
        <f aca="false">IFERROR(G158/-H158,"no loss")</f>
        <v>0.633798910351659</v>
      </c>
      <c r="J158" s="30" t="n">
        <f aca="false">_xlfn.MAXIFS(Trades!$X$2:$X$884,Trades!$E$2:$E$884,$A158)</f>
        <v>319.91</v>
      </c>
      <c r="K158" s="30" t="n">
        <f aca="false">_xlfn.MINIFS(Trades!$X$2:$X$884,Trades!$E$2:$E$884,$A158)</f>
        <v>-271.92</v>
      </c>
      <c r="L158" s="32" t="n">
        <f aca="false">SUMIFS(Trades!$Y$2:$Y$884,Trades!$E$2:$E$884,$A158)</f>
        <v>-1.06313660334728</v>
      </c>
      <c r="M158" s="30" t="n">
        <f aca="false">P157</f>
        <v>115852.01</v>
      </c>
      <c r="N158" s="29" t="n">
        <f aca="false">IFERROR(F158/M158,0)</f>
        <v>-0.00159548375552569</v>
      </c>
      <c r="O158" s="28" t="str">
        <f aca="false">IF(F158&lt;0,"down week","")</f>
        <v>down week</v>
      </c>
      <c r="P158" s="30" t="n">
        <f aca="false">M158+F158</f>
        <v>115667.17</v>
      </c>
      <c r="Q158" s="30" t="n">
        <f aca="false">P158-Summary!$C$5</f>
        <v>15667.17</v>
      </c>
    </row>
    <row r="159" customFormat="false" ht="15" hidden="false" customHeight="false" outlineLevel="0" collapsed="false">
      <c r="A159" s="42" t="n">
        <v>46118</v>
      </c>
      <c r="B159" s="28" t="n">
        <f aca="false">COUNTIFS(Trades!$E$2:$E$884,$A159)</f>
        <v>5</v>
      </c>
      <c r="C159" s="28" t="n">
        <f aca="false">COUNTIFS(Trades!$E$2:$E$884,$A159,Trades!$Z$2:$Z$884,"Win")</f>
        <v>1</v>
      </c>
      <c r="D159" s="28" t="n">
        <f aca="false">COUNTIFS(Trades!$E$2:$E$884,$A159,Trades!$Z$2:$Z$884,"Loss")</f>
        <v>4</v>
      </c>
      <c r="E159" s="29" t="n">
        <f aca="false">IFERROR(C159/B159,0)</f>
        <v>0.2</v>
      </c>
      <c r="F159" s="30" t="n">
        <f aca="false">SUMIFS(Trades!$X$2:$X$884,Trades!$E$2:$E$884,$A159)</f>
        <v>-566.89</v>
      </c>
      <c r="G159" s="30" t="n">
        <f aca="false">SUMIFS(Trades!$X$2:$X$884,Trades!$E$2:$E$884,$A159,Trades!$X$2:$X$884,"&gt;0")</f>
        <v>245.41</v>
      </c>
      <c r="H159" s="30" t="n">
        <f aca="false">SUMIFS(Trades!$X$2:$X$884,Trades!$E$2:$E$884,$A159,Trades!$X$2:$X$884,"&lt;0")</f>
        <v>-812.3</v>
      </c>
      <c r="I159" s="31" t="n">
        <f aca="false">IFERROR(G159/-H159,"no loss")</f>
        <v>0.30211744429398</v>
      </c>
      <c r="J159" s="30" t="n">
        <f aca="false">_xlfn.MAXIFS(Trades!$X$2:$X$884,Trades!$E$2:$E$884,$A159)</f>
        <v>245.41</v>
      </c>
      <c r="K159" s="30" t="n">
        <f aca="false">_xlfn.MINIFS(Trades!$X$2:$X$884,Trades!$E$2:$E$884,$A159)</f>
        <v>-484.09</v>
      </c>
      <c r="L159" s="32" t="n">
        <f aca="false">SUMIFS(Trades!$Y$2:$Y$884,Trades!$E$2:$E$884,$A159)</f>
        <v>-2.45036566030459</v>
      </c>
      <c r="M159" s="30" t="n">
        <f aca="false">P158</f>
        <v>115667.17</v>
      </c>
      <c r="N159" s="29" t="n">
        <f aca="false">IFERROR(F159/M159,0)</f>
        <v>-0.00490104495510697</v>
      </c>
      <c r="O159" s="28" t="str">
        <f aca="false">IF(F159&lt;0,"down week","")</f>
        <v>down week</v>
      </c>
      <c r="P159" s="30" t="n">
        <f aca="false">M159+F159</f>
        <v>115100.28</v>
      </c>
      <c r="Q159" s="30" t="n">
        <f aca="false">P159-Summary!$C$5</f>
        <v>15100.28</v>
      </c>
    </row>
    <row r="160" customFormat="false" ht="15" hidden="false" customHeight="false" outlineLevel="0" collapsed="false">
      <c r="A160" s="42" t="n">
        <v>46125</v>
      </c>
      <c r="B160" s="28" t="n">
        <f aca="false">COUNTIFS(Trades!$E$2:$E$884,$A160)</f>
        <v>6</v>
      </c>
      <c r="C160" s="28" t="n">
        <f aca="false">COUNTIFS(Trades!$E$2:$E$884,$A160,Trades!$Z$2:$Z$884,"Win")</f>
        <v>2</v>
      </c>
      <c r="D160" s="28" t="n">
        <f aca="false">COUNTIFS(Trades!$E$2:$E$884,$A160,Trades!$Z$2:$Z$884,"Loss")</f>
        <v>4</v>
      </c>
      <c r="E160" s="29" t="n">
        <f aca="false">IFERROR(C160/B160,0)</f>
        <v>0.333333333333333</v>
      </c>
      <c r="F160" s="30" t="n">
        <f aca="false">SUMIFS(Trades!$X$2:$X$884,Trades!$E$2:$E$884,$A160)</f>
        <v>-311</v>
      </c>
      <c r="G160" s="30" t="n">
        <f aca="false">SUMIFS(Trades!$X$2:$X$884,Trades!$E$2:$E$884,$A160,Trades!$X$2:$X$884,"&gt;0")</f>
        <v>230.6</v>
      </c>
      <c r="H160" s="30" t="n">
        <f aca="false">SUMIFS(Trades!$X$2:$X$884,Trades!$E$2:$E$884,$A160,Trades!$X$2:$X$884,"&lt;0")</f>
        <v>-541.6</v>
      </c>
      <c r="I160" s="31" t="n">
        <f aca="false">IFERROR(G160/-H160,"no loss")</f>
        <v>0.425775480059084</v>
      </c>
      <c r="J160" s="30" t="n">
        <f aca="false">_xlfn.MAXIFS(Trades!$X$2:$X$884,Trades!$E$2:$E$884,$A160)</f>
        <v>117.76</v>
      </c>
      <c r="K160" s="30" t="n">
        <f aca="false">_xlfn.MINIFS(Trades!$X$2:$X$884,Trades!$E$2:$E$884,$A160)</f>
        <v>-319.84</v>
      </c>
      <c r="L160" s="32" t="n">
        <f aca="false">SUMIFS(Trades!$Y$2:$Y$884,Trades!$E$2:$E$884,$A160)</f>
        <v>0.19542222681832</v>
      </c>
      <c r="M160" s="30" t="n">
        <f aca="false">P159</f>
        <v>115100.28</v>
      </c>
      <c r="N160" s="29" t="n">
        <f aca="false">IFERROR(F160/M160,0)</f>
        <v>-0.00270199168933386</v>
      </c>
      <c r="O160" s="28" t="str">
        <f aca="false">IF(F160&lt;0,"down week","")</f>
        <v>down week</v>
      </c>
      <c r="P160" s="30" t="n">
        <f aca="false">M160+F160</f>
        <v>114789.28</v>
      </c>
      <c r="Q160" s="30" t="n">
        <f aca="false">P160-Summary!$C$5</f>
        <v>14789.28</v>
      </c>
    </row>
    <row r="161" customFormat="false" ht="15" hidden="false" customHeight="false" outlineLevel="0" collapsed="false">
      <c r="A161" s="42" t="n">
        <v>46132</v>
      </c>
      <c r="B161" s="28" t="n">
        <f aca="false">COUNTIFS(Trades!$E$2:$E$884,$A161)</f>
        <v>5</v>
      </c>
      <c r="C161" s="28" t="n">
        <f aca="false">COUNTIFS(Trades!$E$2:$E$884,$A161,Trades!$Z$2:$Z$884,"Win")</f>
        <v>2</v>
      </c>
      <c r="D161" s="28" t="n">
        <f aca="false">COUNTIFS(Trades!$E$2:$E$884,$A161,Trades!$Z$2:$Z$884,"Loss")</f>
        <v>3</v>
      </c>
      <c r="E161" s="29" t="n">
        <f aca="false">IFERROR(C161/B161,0)</f>
        <v>0.4</v>
      </c>
      <c r="F161" s="30" t="n">
        <f aca="false">SUMIFS(Trades!$X$2:$X$884,Trades!$E$2:$E$884,$A161)</f>
        <v>-4.13999999999999</v>
      </c>
      <c r="G161" s="30" t="n">
        <f aca="false">SUMIFS(Trades!$X$2:$X$884,Trades!$E$2:$E$884,$A161,Trades!$X$2:$X$884,"&gt;0")</f>
        <v>410.93</v>
      </c>
      <c r="H161" s="30" t="n">
        <f aca="false">SUMIFS(Trades!$X$2:$X$884,Trades!$E$2:$E$884,$A161,Trades!$X$2:$X$884,"&lt;0")</f>
        <v>-415.07</v>
      </c>
      <c r="I161" s="31" t="n">
        <f aca="false">IFERROR(G161/-H161,"no loss")</f>
        <v>0.990025778784301</v>
      </c>
      <c r="J161" s="30" t="n">
        <f aca="false">_xlfn.MAXIFS(Trades!$X$2:$X$884,Trades!$E$2:$E$884,$A161)</f>
        <v>307.61</v>
      </c>
      <c r="K161" s="30" t="n">
        <f aca="false">_xlfn.MINIFS(Trades!$X$2:$X$884,Trades!$E$2:$E$884,$A161)</f>
        <v>-263.38</v>
      </c>
      <c r="L161" s="32" t="n">
        <f aca="false">SUMIFS(Trades!$Y$2:$Y$884,Trades!$E$2:$E$884,$A161)</f>
        <v>1.08116180061539</v>
      </c>
      <c r="M161" s="30" t="n">
        <f aca="false">P160</f>
        <v>114789.28</v>
      </c>
      <c r="N161" s="29" t="n">
        <f aca="false">IFERROR(F161/M161,0)</f>
        <v>-3.60660856135694E-005</v>
      </c>
      <c r="O161" s="28" t="str">
        <f aca="false">IF(F161&lt;0,"down week","")</f>
        <v>down week</v>
      </c>
      <c r="P161" s="30" t="n">
        <f aca="false">M161+F161</f>
        <v>114785.14</v>
      </c>
      <c r="Q161" s="30" t="n">
        <f aca="false">P161-Summary!$C$5</f>
        <v>14785.14</v>
      </c>
    </row>
    <row r="162" customFormat="false" ht="15" hidden="false" customHeight="false" outlineLevel="0" collapsed="false">
      <c r="A162" s="42" t="n">
        <v>46139</v>
      </c>
      <c r="B162" s="28" t="n">
        <f aca="false">COUNTIFS(Trades!$E$2:$E$884,$A162)</f>
        <v>4</v>
      </c>
      <c r="C162" s="28" t="n">
        <f aca="false">COUNTIFS(Trades!$E$2:$E$884,$A162,Trades!$Z$2:$Z$884,"Win")</f>
        <v>3</v>
      </c>
      <c r="D162" s="28" t="n">
        <f aca="false">COUNTIFS(Trades!$E$2:$E$884,$A162,Trades!$Z$2:$Z$884,"Loss")</f>
        <v>1</v>
      </c>
      <c r="E162" s="29" t="n">
        <f aca="false">IFERROR(C162/B162,0)</f>
        <v>0.75</v>
      </c>
      <c r="F162" s="30" t="n">
        <f aca="false">SUMIFS(Trades!$X$2:$X$884,Trades!$E$2:$E$884,$A162)</f>
        <v>384.34</v>
      </c>
      <c r="G162" s="30" t="n">
        <f aca="false">SUMIFS(Trades!$X$2:$X$884,Trades!$E$2:$E$884,$A162,Trades!$X$2:$X$884,"&gt;0")</f>
        <v>506.49</v>
      </c>
      <c r="H162" s="30" t="n">
        <f aca="false">SUMIFS(Trades!$X$2:$X$884,Trades!$E$2:$E$884,$A162,Trades!$X$2:$X$884,"&lt;0")</f>
        <v>-122.15</v>
      </c>
      <c r="I162" s="31" t="n">
        <f aca="false">IFERROR(G162/-H162,"no loss")</f>
        <v>4.14645927138764</v>
      </c>
      <c r="J162" s="30" t="n">
        <f aca="false">_xlfn.MAXIFS(Trades!$X$2:$X$884,Trades!$E$2:$E$884,$A162)</f>
        <v>294.7</v>
      </c>
      <c r="K162" s="30" t="n">
        <f aca="false">_xlfn.MINIFS(Trades!$X$2:$X$884,Trades!$E$2:$E$884,$A162)</f>
        <v>-122.15</v>
      </c>
      <c r="L162" s="32" t="n">
        <f aca="false">SUMIFS(Trades!$Y$2:$Y$884,Trades!$E$2:$E$884,$A162)</f>
        <v>6.24275586522064</v>
      </c>
      <c r="M162" s="30" t="n">
        <f aca="false">P161</f>
        <v>114785.14</v>
      </c>
      <c r="N162" s="29" t="n">
        <f aca="false">IFERROR(F162/M162,0)</f>
        <v>0.00334834282556087</v>
      </c>
      <c r="O162" s="28" t="str">
        <f aca="false">IF(F162&lt;0,"down week","")</f>
        <v/>
      </c>
      <c r="P162" s="30" t="n">
        <f aca="false">M162+F162</f>
        <v>115169.48</v>
      </c>
      <c r="Q162" s="30" t="n">
        <f aca="false">P162-Summary!$C$5</f>
        <v>15169.48</v>
      </c>
    </row>
    <row r="163" customFormat="false" ht="15" hidden="false" customHeight="false" outlineLevel="0" collapsed="false">
      <c r="A163" s="42" t="n">
        <v>46146</v>
      </c>
      <c r="B163" s="28" t="n">
        <f aca="false">COUNTIFS(Trades!$E$2:$E$884,$A163)</f>
        <v>5</v>
      </c>
      <c r="C163" s="28" t="n">
        <f aca="false">COUNTIFS(Trades!$E$2:$E$884,$A163,Trades!$Z$2:$Z$884,"Win")</f>
        <v>2</v>
      </c>
      <c r="D163" s="28" t="n">
        <f aca="false">COUNTIFS(Trades!$E$2:$E$884,$A163,Trades!$Z$2:$Z$884,"Loss")</f>
        <v>3</v>
      </c>
      <c r="E163" s="29" t="n">
        <f aca="false">IFERROR(C163/B163,0)</f>
        <v>0.4</v>
      </c>
      <c r="F163" s="30" t="n">
        <f aca="false">SUMIFS(Trades!$X$2:$X$884,Trades!$E$2:$E$884,$A163)</f>
        <v>412.02</v>
      </c>
      <c r="G163" s="30" t="n">
        <f aca="false">SUMIFS(Trades!$X$2:$X$884,Trades!$E$2:$E$884,$A163,Trades!$X$2:$X$884,"&gt;0")</f>
        <v>629.32</v>
      </c>
      <c r="H163" s="30" t="n">
        <f aca="false">SUMIFS(Trades!$X$2:$X$884,Trades!$E$2:$E$884,$A163,Trades!$X$2:$X$884,"&lt;0")</f>
        <v>-217.3</v>
      </c>
      <c r="I163" s="31" t="n">
        <f aca="false">IFERROR(G163/-H163,"no loss")</f>
        <v>2.89608835710999</v>
      </c>
      <c r="J163" s="30" t="n">
        <f aca="false">_xlfn.MAXIFS(Trades!$X$2:$X$884,Trades!$E$2:$E$884,$A163)</f>
        <v>487.26</v>
      </c>
      <c r="K163" s="30" t="n">
        <f aca="false">_xlfn.MINIFS(Trades!$X$2:$X$884,Trades!$E$2:$E$884,$A163)</f>
        <v>-119.27</v>
      </c>
      <c r="L163" s="32" t="n">
        <f aca="false">SUMIFS(Trades!$Y$2:$Y$884,Trades!$E$2:$E$884,$A163)</f>
        <v>4.50240108442751</v>
      </c>
      <c r="M163" s="30" t="n">
        <f aca="false">P162</f>
        <v>115169.48</v>
      </c>
      <c r="N163" s="29" t="n">
        <f aca="false">IFERROR(F163/M163,0)</f>
        <v>0.00357751029178911</v>
      </c>
      <c r="O163" s="28" t="str">
        <f aca="false">IF(F163&lt;0,"down week","")</f>
        <v/>
      </c>
      <c r="P163" s="30" t="n">
        <f aca="false">M163+F163</f>
        <v>115581.5</v>
      </c>
      <c r="Q163" s="30" t="n">
        <f aca="false">P163-Summary!$C$5</f>
        <v>15581.5</v>
      </c>
    </row>
    <row r="164" customFormat="false" ht="15" hidden="false" customHeight="false" outlineLevel="0" collapsed="false">
      <c r="A164" s="42" t="n">
        <v>46153</v>
      </c>
      <c r="B164" s="28" t="n">
        <f aca="false">COUNTIFS(Trades!$E$2:$E$884,$A164)</f>
        <v>5</v>
      </c>
      <c r="C164" s="28" t="n">
        <f aca="false">COUNTIFS(Trades!$E$2:$E$884,$A164,Trades!$Z$2:$Z$884,"Win")</f>
        <v>2</v>
      </c>
      <c r="D164" s="28" t="n">
        <f aca="false">COUNTIFS(Trades!$E$2:$E$884,$A164,Trades!$Z$2:$Z$884,"Loss")</f>
        <v>3</v>
      </c>
      <c r="E164" s="29" t="n">
        <f aca="false">IFERROR(C164/B164,0)</f>
        <v>0.4</v>
      </c>
      <c r="F164" s="30" t="n">
        <f aca="false">SUMIFS(Trades!$X$2:$X$884,Trades!$E$2:$E$884,$A164)</f>
        <v>254.52</v>
      </c>
      <c r="G164" s="30" t="n">
        <f aca="false">SUMIFS(Trades!$X$2:$X$884,Trades!$E$2:$E$884,$A164,Trades!$X$2:$X$884,"&gt;0")</f>
        <v>306.75</v>
      </c>
      <c r="H164" s="30" t="n">
        <f aca="false">SUMIFS(Trades!$X$2:$X$884,Trades!$E$2:$E$884,$A164,Trades!$X$2:$X$884,"&lt;0")</f>
        <v>-52.23</v>
      </c>
      <c r="I164" s="31" t="n">
        <f aca="false">IFERROR(G164/-H164,"no loss")</f>
        <v>5.87306145893165</v>
      </c>
      <c r="J164" s="30" t="n">
        <f aca="false">_xlfn.MAXIFS(Trades!$X$2:$X$884,Trades!$E$2:$E$884,$A164)</f>
        <v>202.47</v>
      </c>
      <c r="K164" s="30" t="n">
        <f aca="false">_xlfn.MINIFS(Trades!$X$2:$X$884,Trades!$E$2:$E$884,$A164)</f>
        <v>-47.57</v>
      </c>
      <c r="L164" s="32" t="n">
        <f aca="false">SUMIFS(Trades!$Y$2:$Y$884,Trades!$E$2:$E$884,$A164)</f>
        <v>2.901406681176</v>
      </c>
      <c r="M164" s="30" t="n">
        <f aca="false">P163</f>
        <v>115581.5</v>
      </c>
      <c r="N164" s="29" t="n">
        <f aca="false">IFERROR(F164/M164,0)</f>
        <v>0.00220208251320497</v>
      </c>
      <c r="O164" s="28" t="str">
        <f aca="false">IF(F164&lt;0,"down week","")</f>
        <v/>
      </c>
      <c r="P164" s="30" t="n">
        <f aca="false">M164+F164</f>
        <v>115836.02</v>
      </c>
      <c r="Q164" s="30" t="n">
        <f aca="false">P164-Summary!$C$5</f>
        <v>15836.02</v>
      </c>
    </row>
    <row r="165" customFormat="false" ht="15" hidden="false" customHeight="false" outlineLevel="0" collapsed="false">
      <c r="A165" s="42" t="n">
        <v>46160</v>
      </c>
      <c r="B165" s="28" t="n">
        <f aca="false">COUNTIFS(Trades!$E$2:$E$884,$A165)</f>
        <v>5</v>
      </c>
      <c r="C165" s="28" t="n">
        <f aca="false">COUNTIFS(Trades!$E$2:$E$884,$A165,Trades!$Z$2:$Z$884,"Win")</f>
        <v>0</v>
      </c>
      <c r="D165" s="28" t="n">
        <f aca="false">COUNTIFS(Trades!$E$2:$E$884,$A165,Trades!$Z$2:$Z$884,"Loss")</f>
        <v>5</v>
      </c>
      <c r="E165" s="29" t="n">
        <f aca="false">IFERROR(C165/B165,0)</f>
        <v>0</v>
      </c>
      <c r="F165" s="30" t="n">
        <f aca="false">SUMIFS(Trades!$X$2:$X$884,Trades!$E$2:$E$884,$A165)</f>
        <v>-520.28</v>
      </c>
      <c r="G165" s="30" t="n">
        <f aca="false">SUMIFS(Trades!$X$2:$X$884,Trades!$E$2:$E$884,$A165,Trades!$X$2:$X$884,"&gt;0")</f>
        <v>0</v>
      </c>
      <c r="H165" s="30" t="n">
        <f aca="false">SUMIFS(Trades!$X$2:$X$884,Trades!$E$2:$E$884,$A165,Trades!$X$2:$X$884,"&lt;0")</f>
        <v>-520.28</v>
      </c>
      <c r="I165" s="31" t="n">
        <f aca="false">IFERROR(G165/-H165,"no loss")</f>
        <v>0</v>
      </c>
      <c r="J165" s="30" t="n">
        <f aca="false">_xlfn.MAXIFS(Trades!$X$2:$X$884,Trades!$E$2:$E$884,$A165)</f>
        <v>-0.54</v>
      </c>
      <c r="K165" s="30" t="n">
        <f aca="false">_xlfn.MINIFS(Trades!$X$2:$X$884,Trades!$E$2:$E$884,$A165)</f>
        <v>-325.48</v>
      </c>
      <c r="L165" s="32" t="n">
        <f aca="false">SUMIFS(Trades!$Y$2:$Y$884,Trades!$E$2:$E$884,$A165)</f>
        <v>-3.07602020465156</v>
      </c>
      <c r="M165" s="30" t="n">
        <f aca="false">P164</f>
        <v>115836.02</v>
      </c>
      <c r="N165" s="29" t="n">
        <f aca="false">IFERROR(F165/M165,0)</f>
        <v>-0.00449152172182712</v>
      </c>
      <c r="O165" s="28" t="str">
        <f aca="false">IF(F165&lt;0,"down week","")</f>
        <v>down week</v>
      </c>
      <c r="P165" s="30" t="n">
        <f aca="false">M165+F165</f>
        <v>115315.74</v>
      </c>
      <c r="Q165" s="30" t="n">
        <f aca="false">P165-Summary!$C$5</f>
        <v>15315.74</v>
      </c>
    </row>
    <row r="166" customFormat="false" ht="15" hidden="false" customHeight="false" outlineLevel="0" collapsed="false">
      <c r="A166" s="42" t="n">
        <v>46167</v>
      </c>
      <c r="B166" s="28" t="n">
        <f aca="false">COUNTIFS(Trades!$E$2:$E$884,$A166)</f>
        <v>5</v>
      </c>
      <c r="C166" s="28" t="n">
        <f aca="false">COUNTIFS(Trades!$E$2:$E$884,$A166,Trades!$Z$2:$Z$884,"Win")</f>
        <v>3</v>
      </c>
      <c r="D166" s="28" t="n">
        <f aca="false">COUNTIFS(Trades!$E$2:$E$884,$A166,Trades!$Z$2:$Z$884,"Loss")</f>
        <v>2</v>
      </c>
      <c r="E166" s="29" t="n">
        <f aca="false">IFERROR(C166/B166,0)</f>
        <v>0.6</v>
      </c>
      <c r="F166" s="30" t="n">
        <f aca="false">SUMIFS(Trades!$X$2:$X$884,Trades!$E$2:$E$884,$A166)</f>
        <v>785.91</v>
      </c>
      <c r="G166" s="30" t="n">
        <f aca="false">SUMIFS(Trades!$X$2:$X$884,Trades!$E$2:$E$884,$A166,Trades!$X$2:$X$884,"&gt;0")</f>
        <v>859.96</v>
      </c>
      <c r="H166" s="30" t="n">
        <f aca="false">SUMIFS(Trades!$X$2:$X$884,Trades!$E$2:$E$884,$A166,Trades!$X$2:$X$884,"&lt;0")</f>
        <v>-74.05</v>
      </c>
      <c r="I166" s="31" t="n">
        <f aca="false">IFERROR(G166/-H166,"no loss")</f>
        <v>11.6132343011479</v>
      </c>
      <c r="J166" s="30" t="n">
        <f aca="false">_xlfn.MAXIFS(Trades!$X$2:$X$884,Trades!$E$2:$E$884,$A166)</f>
        <v>364.92</v>
      </c>
      <c r="K166" s="30" t="n">
        <f aca="false">_xlfn.MINIFS(Trades!$X$2:$X$884,Trades!$E$2:$E$884,$A166)</f>
        <v>-73</v>
      </c>
      <c r="L166" s="32" t="n">
        <f aca="false">SUMIFS(Trades!$Y$2:$Y$884,Trades!$E$2:$E$884,$A166)</f>
        <v>5.15375212016946</v>
      </c>
      <c r="M166" s="30" t="n">
        <f aca="false">P165</f>
        <v>115315.74</v>
      </c>
      <c r="N166" s="29" t="n">
        <f aca="false">IFERROR(F166/M166,0)</f>
        <v>0.0068152881818215</v>
      </c>
      <c r="O166" s="28" t="str">
        <f aca="false">IF(F166&lt;0,"down week","")</f>
        <v/>
      </c>
      <c r="P166" s="30" t="n">
        <f aca="false">M166+F166</f>
        <v>116101.65</v>
      </c>
      <c r="Q166" s="30" t="n">
        <f aca="false">P166-Summary!$C$5</f>
        <v>16101.65</v>
      </c>
    </row>
    <row r="167" customFormat="false" ht="15" hidden="false" customHeight="false" outlineLevel="0" collapsed="false">
      <c r="A167" s="42" t="n">
        <v>46174</v>
      </c>
      <c r="B167" s="28" t="n">
        <f aca="false">COUNTIFS(Trades!$E$2:$E$884,$A167)</f>
        <v>5</v>
      </c>
      <c r="C167" s="28" t="n">
        <f aca="false">COUNTIFS(Trades!$E$2:$E$884,$A167,Trades!$Z$2:$Z$884,"Win")</f>
        <v>1</v>
      </c>
      <c r="D167" s="28" t="n">
        <f aca="false">COUNTIFS(Trades!$E$2:$E$884,$A167,Trades!$Z$2:$Z$884,"Loss")</f>
        <v>4</v>
      </c>
      <c r="E167" s="29" t="n">
        <f aca="false">IFERROR(C167/B167,0)</f>
        <v>0.2</v>
      </c>
      <c r="F167" s="30" t="n">
        <f aca="false">SUMIFS(Trades!$X$2:$X$884,Trades!$E$2:$E$884,$A167)</f>
        <v>136.21</v>
      </c>
      <c r="G167" s="30" t="n">
        <f aca="false">SUMIFS(Trades!$X$2:$X$884,Trades!$E$2:$E$884,$A167,Trades!$X$2:$X$884,"&gt;0")</f>
        <v>203.63</v>
      </c>
      <c r="H167" s="30" t="n">
        <f aca="false">SUMIFS(Trades!$X$2:$X$884,Trades!$E$2:$E$884,$A167,Trades!$X$2:$X$884,"&lt;0")</f>
        <v>-67.42</v>
      </c>
      <c r="I167" s="31" t="n">
        <f aca="false">IFERROR(G167/-H167,"no loss")</f>
        <v>3.02032037970929</v>
      </c>
      <c r="J167" s="30" t="n">
        <f aca="false">_xlfn.MAXIFS(Trades!$X$2:$X$884,Trades!$E$2:$E$884,$A167)</f>
        <v>203.63</v>
      </c>
      <c r="K167" s="30" t="n">
        <f aca="false">_xlfn.MINIFS(Trades!$X$2:$X$884,Trades!$E$2:$E$884,$A167)</f>
        <v>-65.72</v>
      </c>
      <c r="L167" s="32" t="n">
        <f aca="false">SUMIFS(Trades!$Y$2:$Y$884,Trades!$E$2:$E$884,$A167)</f>
        <v>0.935747575991207</v>
      </c>
      <c r="M167" s="30" t="n">
        <f aca="false">P166</f>
        <v>116101.65</v>
      </c>
      <c r="N167" s="29" t="n">
        <f aca="false">IFERROR(F167/M167,0)</f>
        <v>0.00117319607430213</v>
      </c>
      <c r="O167" s="28" t="str">
        <f aca="false">IF(F167&lt;0,"down week","")</f>
        <v/>
      </c>
      <c r="P167" s="30" t="n">
        <f aca="false">M167+F167</f>
        <v>116237.86</v>
      </c>
      <c r="Q167" s="30" t="n">
        <f aca="false">P167-Summary!$C$5</f>
        <v>16237.86</v>
      </c>
    </row>
    <row r="168" customFormat="false" ht="15" hidden="false" customHeight="false" outlineLevel="0" collapsed="false">
      <c r="A168" s="42" t="n">
        <v>46181</v>
      </c>
      <c r="B168" s="28" t="n">
        <f aca="false">COUNTIFS(Trades!$E$2:$E$884,$A168)</f>
        <v>5</v>
      </c>
      <c r="C168" s="28" t="n">
        <f aca="false">COUNTIFS(Trades!$E$2:$E$884,$A168,Trades!$Z$2:$Z$884,"Win")</f>
        <v>0</v>
      </c>
      <c r="D168" s="28" t="n">
        <f aca="false">COUNTIFS(Trades!$E$2:$E$884,$A168,Trades!$Z$2:$Z$884,"Loss")</f>
        <v>5</v>
      </c>
      <c r="E168" s="29" t="n">
        <f aca="false">IFERROR(C168/B168,0)</f>
        <v>0</v>
      </c>
      <c r="F168" s="30" t="n">
        <f aca="false">SUMIFS(Trades!$X$2:$X$884,Trades!$E$2:$E$884,$A168)</f>
        <v>-815.35</v>
      </c>
      <c r="G168" s="30" t="n">
        <f aca="false">SUMIFS(Trades!$X$2:$X$884,Trades!$E$2:$E$884,$A168,Trades!$X$2:$X$884,"&gt;0")</f>
        <v>0</v>
      </c>
      <c r="H168" s="30" t="n">
        <f aca="false">SUMIFS(Trades!$X$2:$X$884,Trades!$E$2:$E$884,$A168,Trades!$X$2:$X$884,"&lt;0")</f>
        <v>-815.35</v>
      </c>
      <c r="I168" s="31" t="n">
        <f aca="false">IFERROR(G168/-H168,"no loss")</f>
        <v>0</v>
      </c>
      <c r="J168" s="30" t="n">
        <f aca="false">_xlfn.MAXIFS(Trades!$X$2:$X$884,Trades!$E$2:$E$884,$A168)</f>
        <v>-0.04</v>
      </c>
      <c r="K168" s="30" t="n">
        <f aca="false">_xlfn.MINIFS(Trades!$X$2:$X$884,Trades!$E$2:$E$884,$A168)</f>
        <v>-363.89</v>
      </c>
      <c r="L168" s="32" t="n">
        <f aca="false">SUMIFS(Trades!$Y$2:$Y$884,Trades!$E$2:$E$884,$A168)</f>
        <v>-3.09326333908337</v>
      </c>
      <c r="M168" s="30" t="n">
        <f aca="false">P167</f>
        <v>116237.86</v>
      </c>
      <c r="N168" s="29" t="n">
        <f aca="false">IFERROR(F168/M168,0)</f>
        <v>-0.00701449596542813</v>
      </c>
      <c r="O168" s="28" t="str">
        <f aca="false">IF(F168&lt;0,"down week","")</f>
        <v>down week</v>
      </c>
      <c r="P168" s="30" t="n">
        <f aca="false">M168+F168</f>
        <v>115422.51</v>
      </c>
      <c r="Q168" s="30" t="n">
        <f aca="false">P168-Summary!$C$5</f>
        <v>15422.51</v>
      </c>
    </row>
    <row r="169" customFormat="false" ht="15" hidden="false" customHeight="false" outlineLevel="0" collapsed="false">
      <c r="A169" s="42" t="n">
        <v>46188</v>
      </c>
      <c r="B169" s="28" t="n">
        <f aca="false">COUNTIFS(Trades!$E$2:$E$884,$A169)</f>
        <v>4</v>
      </c>
      <c r="C169" s="28" t="n">
        <f aca="false">COUNTIFS(Trades!$E$2:$E$884,$A169,Trades!$Z$2:$Z$884,"Win")</f>
        <v>2</v>
      </c>
      <c r="D169" s="28" t="n">
        <f aca="false">COUNTIFS(Trades!$E$2:$E$884,$A169,Trades!$Z$2:$Z$884,"Loss")</f>
        <v>2</v>
      </c>
      <c r="E169" s="29" t="n">
        <f aca="false">IFERROR(C169/B169,0)</f>
        <v>0.5</v>
      </c>
      <c r="F169" s="30" t="n">
        <f aca="false">SUMIFS(Trades!$X$2:$X$884,Trades!$E$2:$E$884,$A169)</f>
        <v>960.59</v>
      </c>
      <c r="G169" s="30" t="n">
        <f aca="false">SUMIFS(Trades!$X$2:$X$884,Trades!$E$2:$E$884,$A169,Trades!$X$2:$X$884,"&gt;0")</f>
        <v>1169.73</v>
      </c>
      <c r="H169" s="30" t="n">
        <f aca="false">SUMIFS(Trades!$X$2:$X$884,Trades!$E$2:$E$884,$A169,Trades!$X$2:$X$884,"&lt;0")</f>
        <v>-209.14</v>
      </c>
      <c r="I169" s="31" t="n">
        <f aca="false">IFERROR(G169/-H169,"no loss")</f>
        <v>5.59304771923114</v>
      </c>
      <c r="J169" s="30" t="n">
        <f aca="false">_xlfn.MAXIFS(Trades!$X$2:$X$884,Trades!$E$2:$E$884,$A169)</f>
        <v>603.53</v>
      </c>
      <c r="K169" s="30" t="n">
        <f aca="false">_xlfn.MINIFS(Trades!$X$2:$X$884,Trades!$E$2:$E$884,$A169)</f>
        <v>-121.01</v>
      </c>
      <c r="L169" s="32" t="n">
        <f aca="false">SUMIFS(Trades!$Y$2:$Y$884,Trades!$E$2:$E$884,$A169)</f>
        <v>1.97765867133439</v>
      </c>
      <c r="M169" s="30" t="n">
        <f aca="false">P168</f>
        <v>115422.51</v>
      </c>
      <c r="N169" s="29" t="n">
        <f aca="false">IFERROR(F169/M169,0)</f>
        <v>0.00832238009726179</v>
      </c>
      <c r="O169" s="28" t="str">
        <f aca="false">IF(F169&lt;0,"down week","")</f>
        <v/>
      </c>
      <c r="P169" s="30" t="n">
        <f aca="false">M169+F169</f>
        <v>116383.1</v>
      </c>
      <c r="Q169" s="30" t="n">
        <f aca="false">P169-Summary!$C$5</f>
        <v>16383.1</v>
      </c>
    </row>
    <row r="170" customFormat="false" ht="15" hidden="false" customHeight="false" outlineLevel="0" collapsed="false">
      <c r="A170" s="42" t="n">
        <v>46195</v>
      </c>
      <c r="B170" s="28" t="n">
        <f aca="false">COUNTIFS(Trades!$E$2:$E$884,$A170)</f>
        <v>6</v>
      </c>
      <c r="C170" s="28" t="n">
        <f aca="false">COUNTIFS(Trades!$E$2:$E$884,$A170,Trades!$Z$2:$Z$884,"Win")</f>
        <v>1</v>
      </c>
      <c r="D170" s="28" t="n">
        <f aca="false">COUNTIFS(Trades!$E$2:$E$884,$A170,Trades!$Z$2:$Z$884,"Loss")</f>
        <v>5</v>
      </c>
      <c r="E170" s="29" t="n">
        <f aca="false">IFERROR(C170/B170,0)</f>
        <v>0.166666666666667</v>
      </c>
      <c r="F170" s="30" t="n">
        <f aca="false">SUMIFS(Trades!$X$2:$X$884,Trades!$E$2:$E$884,$A170)</f>
        <v>-639.2</v>
      </c>
      <c r="G170" s="30" t="n">
        <f aca="false">SUMIFS(Trades!$X$2:$X$884,Trades!$E$2:$E$884,$A170,Trades!$X$2:$X$884,"&gt;0")</f>
        <v>262.28</v>
      </c>
      <c r="H170" s="30" t="n">
        <f aca="false">SUMIFS(Trades!$X$2:$X$884,Trades!$E$2:$E$884,$A170,Trades!$X$2:$X$884,"&lt;0")</f>
        <v>-901.48</v>
      </c>
      <c r="I170" s="31" t="n">
        <f aca="false">IFERROR(G170/-H170,"no loss")</f>
        <v>0.290943781337356</v>
      </c>
      <c r="J170" s="30" t="n">
        <f aca="false">_xlfn.MAXIFS(Trades!$X$2:$X$884,Trades!$E$2:$E$884,$A170)</f>
        <v>262.28</v>
      </c>
      <c r="K170" s="30" t="n">
        <f aca="false">_xlfn.MINIFS(Trades!$X$2:$X$884,Trades!$E$2:$E$884,$A170)</f>
        <v>-439.86</v>
      </c>
      <c r="L170" s="32" t="n">
        <f aca="false">SUMIFS(Trades!$Y$2:$Y$884,Trades!$E$2:$E$884,$A170)</f>
        <v>-2.03019086088384</v>
      </c>
      <c r="M170" s="30" t="n">
        <f aca="false">P169</f>
        <v>116383.1</v>
      </c>
      <c r="N170" s="29" t="n">
        <f aca="false">IFERROR(F170/M170,0)</f>
        <v>-0.00549220634267347</v>
      </c>
      <c r="O170" s="28" t="str">
        <f aca="false">IF(F170&lt;0,"down week","")</f>
        <v>down week</v>
      </c>
      <c r="P170" s="30" t="n">
        <f aca="false">M170+F170</f>
        <v>115743.9</v>
      </c>
      <c r="Q170" s="30" t="n">
        <f aca="false">P170-Summary!$C$5</f>
        <v>15743.9</v>
      </c>
    </row>
    <row r="171" customFormat="false" ht="15" hidden="false" customHeight="false" outlineLevel="0" collapsed="false">
      <c r="A171" s="42" t="n">
        <v>46202</v>
      </c>
      <c r="B171" s="28" t="n">
        <f aca="false">COUNTIFS(Trades!$E$2:$E$884,$A171)</f>
        <v>3</v>
      </c>
      <c r="C171" s="28" t="n">
        <f aca="false">COUNTIFS(Trades!$E$2:$E$884,$A171,Trades!$Z$2:$Z$884,"Win")</f>
        <v>0</v>
      </c>
      <c r="D171" s="28" t="n">
        <f aca="false">COUNTIFS(Trades!$E$2:$E$884,$A171,Trades!$Z$2:$Z$884,"Loss")</f>
        <v>3</v>
      </c>
      <c r="E171" s="29" t="n">
        <f aca="false">IFERROR(C171/B171,0)</f>
        <v>0</v>
      </c>
      <c r="F171" s="30" t="n">
        <f aca="false">SUMIFS(Trades!$X$2:$X$884,Trades!$E$2:$E$884,$A171)</f>
        <v>-349.25</v>
      </c>
      <c r="G171" s="30" t="n">
        <f aca="false">SUMIFS(Trades!$X$2:$X$884,Trades!$E$2:$E$884,$A171,Trades!$X$2:$X$884,"&gt;0")</f>
        <v>0</v>
      </c>
      <c r="H171" s="30" t="n">
        <f aca="false">SUMIFS(Trades!$X$2:$X$884,Trades!$E$2:$E$884,$A171,Trades!$X$2:$X$884,"&lt;0")</f>
        <v>-349.25</v>
      </c>
      <c r="I171" s="31" t="n">
        <f aca="false">IFERROR(G171/-H171,"no loss")</f>
        <v>0</v>
      </c>
      <c r="J171" s="30" t="n">
        <f aca="false">_xlfn.MAXIFS(Trades!$X$2:$X$884,Trades!$E$2:$E$884,$A171)</f>
        <v>-113.66</v>
      </c>
      <c r="K171" s="30" t="n">
        <f aca="false">_xlfn.MINIFS(Trades!$X$2:$X$884,Trades!$E$2:$E$884,$A171)</f>
        <v>-117.81</v>
      </c>
      <c r="L171" s="32" t="n">
        <f aca="false">SUMIFS(Trades!$Y$2:$Y$884,Trades!$E$2:$E$884,$A171)</f>
        <v>-3.05220064026927</v>
      </c>
      <c r="M171" s="30" t="n">
        <f aca="false">P170</f>
        <v>115743.9</v>
      </c>
      <c r="N171" s="29" t="n">
        <f aca="false">IFERROR(F171/M171,0)</f>
        <v>-0.00301743763602229</v>
      </c>
      <c r="O171" s="28" t="str">
        <f aca="false">IF(F171&lt;0,"down week","")</f>
        <v>down week</v>
      </c>
      <c r="P171" s="30" t="n">
        <f aca="false">M171+F171</f>
        <v>115394.65</v>
      </c>
      <c r="Q171" s="30" t="n">
        <f aca="false">P171-Summary!$C$5</f>
        <v>15394.65</v>
      </c>
    </row>
    <row r="172" customFormat="false" ht="15" hidden="false" customHeight="false" outlineLevel="0" collapsed="false">
      <c r="A172" s="42" t="n">
        <v>46209</v>
      </c>
      <c r="B172" s="28" t="n">
        <f aca="false">COUNTIFS(Trades!$E$2:$E$884,$A172)</f>
        <v>5</v>
      </c>
      <c r="C172" s="28" t="n">
        <f aca="false">COUNTIFS(Trades!$E$2:$E$884,$A172,Trades!$Z$2:$Z$884,"Win")</f>
        <v>2</v>
      </c>
      <c r="D172" s="28" t="n">
        <f aca="false">COUNTIFS(Trades!$E$2:$E$884,$A172,Trades!$Z$2:$Z$884,"Loss")</f>
        <v>3</v>
      </c>
      <c r="E172" s="29" t="n">
        <f aca="false">IFERROR(C172/B172,0)</f>
        <v>0.4</v>
      </c>
      <c r="F172" s="30" t="n">
        <f aca="false">SUMIFS(Trades!$X$2:$X$884,Trades!$E$2:$E$884,$A172)</f>
        <v>478.44</v>
      </c>
      <c r="G172" s="30" t="n">
        <f aca="false">SUMIFS(Trades!$X$2:$X$884,Trades!$E$2:$E$884,$A172,Trades!$X$2:$X$884,"&gt;0")</f>
        <v>754.01</v>
      </c>
      <c r="H172" s="30" t="n">
        <f aca="false">SUMIFS(Trades!$X$2:$X$884,Trades!$E$2:$E$884,$A172,Trades!$X$2:$X$884,"&lt;0")</f>
        <v>-275.57</v>
      </c>
      <c r="I172" s="31" t="n">
        <f aca="false">IFERROR(G172/-H172,"no loss")</f>
        <v>2.736183183946</v>
      </c>
      <c r="J172" s="30" t="n">
        <f aca="false">_xlfn.MAXIFS(Trades!$X$2:$X$884,Trades!$E$2:$E$884,$A172)</f>
        <v>574.63</v>
      </c>
      <c r="K172" s="30" t="n">
        <f aca="false">_xlfn.MINIFS(Trades!$X$2:$X$884,Trades!$E$2:$E$884,$A172)</f>
        <v>-150.38</v>
      </c>
      <c r="L172" s="32" t="n">
        <f aca="false">SUMIFS(Trades!$Y$2:$Y$884,Trades!$E$2:$E$884,$A172)</f>
        <v>1.84633073721159</v>
      </c>
      <c r="M172" s="30" t="n">
        <f aca="false">P171</f>
        <v>115394.65</v>
      </c>
      <c r="N172" s="29" t="n">
        <f aca="false">IFERROR(F172/M172,0)</f>
        <v>0.00414611942581394</v>
      </c>
      <c r="O172" s="28" t="str">
        <f aca="false">IF(F172&lt;0,"down week","")</f>
        <v/>
      </c>
      <c r="P172" s="30" t="n">
        <f aca="false">M172+F172</f>
        <v>115873.09</v>
      </c>
      <c r="Q172" s="30" t="n">
        <f aca="false">P172-Summary!$C$5</f>
        <v>15873.09</v>
      </c>
    </row>
    <row r="173" customFormat="false" ht="15" hidden="false" customHeight="false" outlineLevel="0" collapsed="false">
      <c r="A173" s="42" t="n">
        <v>46216</v>
      </c>
      <c r="B173" s="28" t="n">
        <f aca="false">COUNTIFS(Trades!$E$2:$E$884,$A173)</f>
        <v>5</v>
      </c>
      <c r="C173" s="28" t="n">
        <f aca="false">COUNTIFS(Trades!$E$2:$E$884,$A173,Trades!$Z$2:$Z$884,"Win")</f>
        <v>0</v>
      </c>
      <c r="D173" s="28" t="n">
        <f aca="false">COUNTIFS(Trades!$E$2:$E$884,$A173,Trades!$Z$2:$Z$884,"Loss")</f>
        <v>5</v>
      </c>
      <c r="E173" s="29" t="n">
        <f aca="false">IFERROR(C173/B173,0)</f>
        <v>0</v>
      </c>
      <c r="F173" s="30" t="n">
        <f aca="false">SUMIFS(Trades!$X$2:$X$884,Trades!$E$2:$E$884,$A173)</f>
        <v>-327.76</v>
      </c>
      <c r="G173" s="30" t="n">
        <f aca="false">SUMIFS(Trades!$X$2:$X$884,Trades!$E$2:$E$884,$A173,Trades!$X$2:$X$884,"&gt;0")</f>
        <v>0</v>
      </c>
      <c r="H173" s="30" t="n">
        <f aca="false">SUMIFS(Trades!$X$2:$X$884,Trades!$E$2:$E$884,$A173,Trades!$X$2:$X$884,"&lt;0")</f>
        <v>-327.76</v>
      </c>
      <c r="I173" s="31" t="n">
        <f aca="false">IFERROR(G173/-H173,"no loss")</f>
        <v>0</v>
      </c>
      <c r="J173" s="30" t="n">
        <f aca="false">_xlfn.MAXIFS(Trades!$X$2:$X$884,Trades!$E$2:$E$884,$A173)</f>
        <v>-0.54</v>
      </c>
      <c r="K173" s="30" t="n">
        <f aca="false">_xlfn.MINIFS(Trades!$X$2:$X$884,Trades!$E$2:$E$884,$A173)</f>
        <v>-136.71</v>
      </c>
      <c r="L173" s="32" t="n">
        <f aca="false">SUMIFS(Trades!$Y$2:$Y$884,Trades!$E$2:$E$884,$A173)</f>
        <v>-3.07748957794782</v>
      </c>
      <c r="M173" s="30" t="n">
        <f aca="false">P172</f>
        <v>115873.09</v>
      </c>
      <c r="N173" s="29" t="n">
        <f aca="false">IFERROR(F173/M173,0)</f>
        <v>-0.00282861188909349</v>
      </c>
      <c r="O173" s="28" t="str">
        <f aca="false">IF(F173&lt;0,"down week","")</f>
        <v>down week</v>
      </c>
      <c r="P173" s="30" t="n">
        <f aca="false">M173+F173</f>
        <v>115545.33</v>
      </c>
      <c r="Q173" s="30" t="n">
        <f aca="false">P173-Summary!$C$5</f>
        <v>15545.33</v>
      </c>
    </row>
    <row r="174" customFormat="false" ht="15" hidden="false" customHeight="false" outlineLevel="0" collapsed="false">
      <c r="A174" s="42" t="n">
        <v>46223</v>
      </c>
      <c r="B174" s="28" t="n">
        <f aca="false">COUNTIFS(Trades!$E$2:$E$884,$A174)</f>
        <v>3</v>
      </c>
      <c r="C174" s="28" t="n">
        <f aca="false">COUNTIFS(Trades!$E$2:$E$884,$A174,Trades!$Z$2:$Z$884,"Win")</f>
        <v>0</v>
      </c>
      <c r="D174" s="28" t="n">
        <f aca="false">COUNTIFS(Trades!$E$2:$E$884,$A174,Trades!$Z$2:$Z$884,"Loss")</f>
        <v>3</v>
      </c>
      <c r="E174" s="29" t="n">
        <f aca="false">IFERROR(C174/B174,0)</f>
        <v>0</v>
      </c>
      <c r="F174" s="30" t="n">
        <f aca="false">SUMIFS(Trades!$X$2:$X$884,Trades!$E$2:$E$884,$A174)</f>
        <v>-180.1</v>
      </c>
      <c r="G174" s="30" t="n">
        <f aca="false">SUMIFS(Trades!$X$2:$X$884,Trades!$E$2:$E$884,$A174,Trades!$X$2:$X$884,"&gt;0")</f>
        <v>0</v>
      </c>
      <c r="H174" s="30" t="n">
        <f aca="false">SUMIFS(Trades!$X$2:$X$884,Trades!$E$2:$E$884,$A174,Trades!$X$2:$X$884,"&lt;0")</f>
        <v>-180.1</v>
      </c>
      <c r="I174" s="31" t="n">
        <f aca="false">IFERROR(G174/-H174,"no loss")</f>
        <v>0</v>
      </c>
      <c r="J174" s="30" t="n">
        <f aca="false">_xlfn.MAXIFS(Trades!$X$2:$X$884,Trades!$E$2:$E$884,$A174)</f>
        <v>-6.01</v>
      </c>
      <c r="K174" s="30" t="n">
        <f aca="false">_xlfn.MINIFS(Trades!$X$2:$X$884,Trades!$E$2:$E$884,$A174)</f>
        <v>-128.7</v>
      </c>
      <c r="L174" s="32" t="n">
        <f aca="false">SUMIFS(Trades!$Y$2:$Y$884,Trades!$E$2:$E$884,$A174)</f>
        <v>-2.05155465352449</v>
      </c>
      <c r="M174" s="30" t="n">
        <f aca="false">P173</f>
        <v>115545.33</v>
      </c>
      <c r="N174" s="29" t="n">
        <f aca="false">IFERROR(F174/M174,0)</f>
        <v>-0.00155869562188277</v>
      </c>
      <c r="O174" s="28" t="str">
        <f aca="false">IF(F174&lt;0,"down week","")</f>
        <v>down week</v>
      </c>
      <c r="P174" s="30" t="n">
        <f aca="false">M174+F174</f>
        <v>115365.23</v>
      </c>
      <c r="Q174" s="30" t="n">
        <f aca="false">P174-Summary!$C$5</f>
        <v>15365.23</v>
      </c>
    </row>
    <row r="175" customFormat="false" ht="15" hidden="false" customHeight="false" outlineLevel="0" collapsed="false">
      <c r="A175" s="42" t="n">
        <v>46230</v>
      </c>
      <c r="B175" s="28" t="n">
        <f aca="false">COUNTIFS(Trades!$E$2:$E$884,$A175)</f>
        <v>6</v>
      </c>
      <c r="C175" s="28" t="n">
        <f aca="false">COUNTIFS(Trades!$E$2:$E$884,$A175,Trades!$Z$2:$Z$884,"Win")</f>
        <v>2</v>
      </c>
      <c r="D175" s="28" t="n">
        <f aca="false">COUNTIFS(Trades!$E$2:$E$884,$A175,Trades!$Z$2:$Z$884,"Loss")</f>
        <v>4</v>
      </c>
      <c r="E175" s="29" t="n">
        <f aca="false">IFERROR(C175/B175,0)</f>
        <v>0.333333333333333</v>
      </c>
      <c r="F175" s="30" t="n">
        <f aca="false">SUMIFS(Trades!$X$2:$X$884,Trades!$E$2:$E$884,$A175)</f>
        <v>-28.37</v>
      </c>
      <c r="G175" s="30" t="n">
        <f aca="false">SUMIFS(Trades!$X$2:$X$884,Trades!$E$2:$E$884,$A175,Trades!$X$2:$X$884,"&gt;0")</f>
        <v>676.58</v>
      </c>
      <c r="H175" s="30" t="n">
        <f aca="false">SUMIFS(Trades!$X$2:$X$884,Trades!$E$2:$E$884,$A175,Trades!$X$2:$X$884,"&lt;0")</f>
        <v>-704.95</v>
      </c>
      <c r="I175" s="31" t="n">
        <f aca="false">IFERROR(G175/-H175,"no loss")</f>
        <v>0.959756011064615</v>
      </c>
      <c r="J175" s="30" t="n">
        <f aca="false">_xlfn.MAXIFS(Trades!$X$2:$X$884,Trades!$E$2:$E$884,$A175)</f>
        <v>558.68</v>
      </c>
      <c r="K175" s="30" t="n">
        <f aca="false">_xlfn.MINIFS(Trades!$X$2:$X$884,Trades!$E$2:$E$884,$A175)</f>
        <v>-265.58</v>
      </c>
      <c r="L175" s="32" t="n">
        <f aca="false">SUMIFS(Trades!$Y$2:$Y$884,Trades!$E$2:$E$884,$A175)</f>
        <v>0.965860845515188</v>
      </c>
      <c r="M175" s="30" t="n">
        <f aca="false">P174</f>
        <v>115365.23</v>
      </c>
      <c r="N175" s="29" t="n">
        <f aca="false">IFERROR(F175/M175,0)</f>
        <v>-0.000245914648633735</v>
      </c>
      <c r="O175" s="28" t="str">
        <f aca="false">IF(F175&lt;0,"down week","")</f>
        <v>down week</v>
      </c>
      <c r="P175" s="30" t="n">
        <f aca="false">M175+F175</f>
        <v>115336.86</v>
      </c>
      <c r="Q175" s="30" t="n">
        <f aca="false">P175-Summary!$C$5</f>
        <v>15336.86</v>
      </c>
    </row>
    <row r="176" customFormat="false" ht="15" hidden="false" customHeight="false" outlineLevel="0" collapsed="false">
      <c r="A176" s="42" t="n">
        <v>46237</v>
      </c>
      <c r="B176" s="28" t="n">
        <f aca="false">COUNTIFS(Trades!$E$2:$E$884,$A176)</f>
        <v>5</v>
      </c>
      <c r="C176" s="28" t="n">
        <f aca="false">COUNTIFS(Trades!$E$2:$E$884,$A176,Trades!$Z$2:$Z$884,"Win")</f>
        <v>3</v>
      </c>
      <c r="D176" s="28" t="n">
        <f aca="false">COUNTIFS(Trades!$E$2:$E$884,$A176,Trades!$Z$2:$Z$884,"Loss")</f>
        <v>2</v>
      </c>
      <c r="E176" s="29" t="n">
        <f aca="false">IFERROR(C176/B176,0)</f>
        <v>0.6</v>
      </c>
      <c r="F176" s="30" t="n">
        <f aca="false">SUMIFS(Trades!$X$2:$X$884,Trades!$E$2:$E$884,$A176)</f>
        <v>588.13</v>
      </c>
      <c r="G176" s="30" t="n">
        <f aca="false">SUMIFS(Trades!$X$2:$X$884,Trades!$E$2:$E$884,$A176,Trades!$X$2:$X$884,"&gt;0")</f>
        <v>642.27</v>
      </c>
      <c r="H176" s="30" t="n">
        <f aca="false">SUMIFS(Trades!$X$2:$X$884,Trades!$E$2:$E$884,$A176,Trades!$X$2:$X$884,"&lt;0")</f>
        <v>-54.14</v>
      </c>
      <c r="I176" s="31" t="n">
        <f aca="false">IFERROR(G176/-H176,"no loss")</f>
        <v>11.8631326191356</v>
      </c>
      <c r="J176" s="30" t="n">
        <f aca="false">_xlfn.MAXIFS(Trades!$X$2:$X$884,Trades!$E$2:$E$884,$A176)</f>
        <v>329.39</v>
      </c>
      <c r="K176" s="30" t="n">
        <f aca="false">_xlfn.MINIFS(Trades!$X$2:$X$884,Trades!$E$2:$E$884,$A176)</f>
        <v>-52.2</v>
      </c>
      <c r="L176" s="32" t="n">
        <f aca="false">SUMIFS(Trades!$Y$2:$Y$884,Trades!$E$2:$E$884,$A176)</f>
        <v>5.03327630101439</v>
      </c>
      <c r="M176" s="30" t="n">
        <f aca="false">P175</f>
        <v>115336.86</v>
      </c>
      <c r="N176" s="29" t="n">
        <f aca="false">IFERROR(F176/M176,0)</f>
        <v>0.00509923713893373</v>
      </c>
      <c r="O176" s="28" t="str">
        <f aca="false">IF(F176&lt;0,"down week","")</f>
        <v/>
      </c>
      <c r="P176" s="30" t="n">
        <f aca="false">M176+F176</f>
        <v>115924.99</v>
      </c>
      <c r="Q176" s="30" t="n">
        <f aca="false">P176-Summary!$C$5</f>
        <v>15924.99</v>
      </c>
    </row>
    <row r="177" customFormat="false" ht="15" hidden="false" customHeight="false" outlineLevel="0" collapsed="false">
      <c r="A177" s="42" t="n">
        <v>46244</v>
      </c>
      <c r="B177" s="28" t="n">
        <f aca="false">COUNTIFS(Trades!$E$2:$E$884,$A177)</f>
        <v>5</v>
      </c>
      <c r="C177" s="28" t="n">
        <f aca="false">COUNTIFS(Trades!$E$2:$E$884,$A177,Trades!$Z$2:$Z$884,"Win")</f>
        <v>1</v>
      </c>
      <c r="D177" s="28" t="n">
        <f aca="false">COUNTIFS(Trades!$E$2:$E$884,$A177,Trades!$Z$2:$Z$884,"Loss")</f>
        <v>4</v>
      </c>
      <c r="E177" s="29" t="n">
        <f aca="false">IFERROR(C177/B177,0)</f>
        <v>0.2</v>
      </c>
      <c r="F177" s="30" t="n">
        <f aca="false">SUMIFS(Trades!$X$2:$X$884,Trades!$E$2:$E$884,$A177)</f>
        <v>141.72</v>
      </c>
      <c r="G177" s="30" t="n">
        <f aca="false">SUMIFS(Trades!$X$2:$X$884,Trades!$E$2:$E$884,$A177,Trades!$X$2:$X$884,"&gt;0")</f>
        <v>372.1</v>
      </c>
      <c r="H177" s="30" t="n">
        <f aca="false">SUMIFS(Trades!$X$2:$X$884,Trades!$E$2:$E$884,$A177,Trades!$X$2:$X$884,"&lt;0")</f>
        <v>-230.38</v>
      </c>
      <c r="I177" s="31" t="n">
        <f aca="false">IFERROR(G177/-H177,"no loss")</f>
        <v>1.61515756576092</v>
      </c>
      <c r="J177" s="30" t="n">
        <f aca="false">_xlfn.MAXIFS(Trades!$X$2:$X$884,Trades!$E$2:$E$884,$A177)</f>
        <v>372.1</v>
      </c>
      <c r="K177" s="30" t="n">
        <f aca="false">_xlfn.MINIFS(Trades!$X$2:$X$884,Trades!$E$2:$E$884,$A177)</f>
        <v>-107</v>
      </c>
      <c r="L177" s="32" t="n">
        <f aca="false">SUMIFS(Trades!$Y$2:$Y$884,Trades!$E$2:$E$884,$A177)</f>
        <v>-1.26037038695278</v>
      </c>
      <c r="M177" s="30" t="n">
        <f aca="false">P176</f>
        <v>115924.99</v>
      </c>
      <c r="N177" s="29" t="n">
        <f aca="false">IFERROR(F177/M177,0)</f>
        <v>0.00122251466228291</v>
      </c>
      <c r="O177" s="28" t="str">
        <f aca="false">IF(F177&lt;0,"down week","")</f>
        <v/>
      </c>
      <c r="P177" s="30" t="n">
        <f aca="false">M177+F177</f>
        <v>116066.71</v>
      </c>
      <c r="Q177" s="30" t="n">
        <f aca="false">P177-Summary!$C$5</f>
        <v>16066.71</v>
      </c>
    </row>
    <row r="178" customFormat="false" ht="15" hidden="false" customHeight="false" outlineLevel="0" collapsed="false">
      <c r="A178" s="42" t="n">
        <v>46251</v>
      </c>
      <c r="B178" s="28" t="n">
        <f aca="false">COUNTIFS(Trades!$E$2:$E$884,$A178)</f>
        <v>4</v>
      </c>
      <c r="C178" s="28" t="n">
        <f aca="false">COUNTIFS(Trades!$E$2:$E$884,$A178,Trades!$Z$2:$Z$884,"Win")</f>
        <v>1</v>
      </c>
      <c r="D178" s="28" t="n">
        <f aca="false">COUNTIFS(Trades!$E$2:$E$884,$A178,Trades!$Z$2:$Z$884,"Loss")</f>
        <v>3</v>
      </c>
      <c r="E178" s="29" t="n">
        <f aca="false">IFERROR(C178/B178,0)</f>
        <v>0.25</v>
      </c>
      <c r="F178" s="30" t="n">
        <f aca="false">SUMIFS(Trades!$X$2:$X$884,Trades!$E$2:$E$884,$A178)</f>
        <v>123.42</v>
      </c>
      <c r="G178" s="30" t="n">
        <f aca="false">SUMIFS(Trades!$X$2:$X$884,Trades!$E$2:$E$884,$A178,Trades!$X$2:$X$884,"&gt;0")</f>
        <v>261.87</v>
      </c>
      <c r="H178" s="30" t="n">
        <f aca="false">SUMIFS(Trades!$X$2:$X$884,Trades!$E$2:$E$884,$A178,Trades!$X$2:$X$884,"&lt;0")</f>
        <v>-138.45</v>
      </c>
      <c r="I178" s="31" t="n">
        <f aca="false">IFERROR(G178/-H178,"no loss")</f>
        <v>1.89144095341278</v>
      </c>
      <c r="J178" s="30" t="n">
        <f aca="false">_xlfn.MAXIFS(Trades!$X$2:$X$884,Trades!$E$2:$E$884,$A178)</f>
        <v>261.87</v>
      </c>
      <c r="K178" s="30" t="n">
        <f aca="false">_xlfn.MINIFS(Trades!$X$2:$X$884,Trades!$E$2:$E$884,$A178)</f>
        <v>-91.12</v>
      </c>
      <c r="L178" s="32" t="n">
        <f aca="false">SUMIFS(Trades!$Y$2:$Y$884,Trades!$E$2:$E$884,$A178)</f>
        <v>0.0674709756144851</v>
      </c>
      <c r="M178" s="30" t="n">
        <f aca="false">P177</f>
        <v>116066.71</v>
      </c>
      <c r="N178" s="29" t="n">
        <f aca="false">IFERROR(F178/M178,0)</f>
        <v>0.00106335399702464</v>
      </c>
      <c r="O178" s="28" t="str">
        <f aca="false">IF(F178&lt;0,"down week","")</f>
        <v/>
      </c>
      <c r="P178" s="30" t="n">
        <f aca="false">M178+F178</f>
        <v>116190.13</v>
      </c>
      <c r="Q178" s="30" t="n">
        <f aca="false">P178-Summary!$C$5</f>
        <v>16190.13</v>
      </c>
    </row>
    <row r="179" customFormat="false" ht="15" hidden="false" customHeight="false" outlineLevel="0" collapsed="false">
      <c r="A179" s="42" t="n">
        <v>46258</v>
      </c>
      <c r="B179" s="28" t="n">
        <f aca="false">COUNTIFS(Trades!$E$2:$E$884,$A179)</f>
        <v>3</v>
      </c>
      <c r="C179" s="28" t="n">
        <f aca="false">COUNTIFS(Trades!$E$2:$E$884,$A179,Trades!$Z$2:$Z$884,"Win")</f>
        <v>1</v>
      </c>
      <c r="D179" s="28" t="n">
        <f aca="false">COUNTIFS(Trades!$E$2:$E$884,$A179,Trades!$Z$2:$Z$884,"Loss")</f>
        <v>2</v>
      </c>
      <c r="E179" s="29" t="n">
        <f aca="false">IFERROR(C179/B179,0)</f>
        <v>0.333333333333333</v>
      </c>
      <c r="F179" s="30" t="n">
        <f aca="false">SUMIFS(Trades!$X$2:$X$884,Trades!$E$2:$E$884,$A179)</f>
        <v>253.78</v>
      </c>
      <c r="G179" s="30" t="n">
        <f aca="false">SUMIFS(Trades!$X$2:$X$884,Trades!$E$2:$E$884,$A179,Trades!$X$2:$X$884,"&gt;0")</f>
        <v>364.45</v>
      </c>
      <c r="H179" s="30" t="n">
        <f aca="false">SUMIFS(Trades!$X$2:$X$884,Trades!$E$2:$E$884,$A179,Trades!$X$2:$X$884,"&lt;0")</f>
        <v>-110.67</v>
      </c>
      <c r="I179" s="31" t="n">
        <f aca="false">IFERROR(G179/-H179,"no loss")</f>
        <v>3.29312370109334</v>
      </c>
      <c r="J179" s="30" t="n">
        <f aca="false">_xlfn.MAXIFS(Trades!$X$2:$X$884,Trades!$E$2:$E$884,$A179)</f>
        <v>364.45</v>
      </c>
      <c r="K179" s="30" t="n">
        <f aca="false">_xlfn.MINIFS(Trades!$X$2:$X$884,Trades!$E$2:$E$884,$A179)</f>
        <v>-56.24</v>
      </c>
      <c r="L179" s="32" t="n">
        <f aca="false">SUMIFS(Trades!$Y$2:$Y$884,Trades!$E$2:$E$884,$A179)</f>
        <v>-0.122759739867345</v>
      </c>
      <c r="M179" s="30" t="n">
        <f aca="false">P178</f>
        <v>116190.13</v>
      </c>
      <c r="N179" s="29" t="n">
        <f aca="false">IFERROR(F179/M179,0)</f>
        <v>0.0021841786389257</v>
      </c>
      <c r="O179" s="28" t="str">
        <f aca="false">IF(F179&lt;0,"down week","")</f>
        <v/>
      </c>
      <c r="P179" s="30" t="n">
        <f aca="false">M179+F179</f>
        <v>116443.91</v>
      </c>
      <c r="Q179" s="30" t="n">
        <f aca="false">P179-Summary!$C$5</f>
        <v>16443.91</v>
      </c>
    </row>
    <row r="180" customFormat="false" ht="15" hidden="false" customHeight="false" outlineLevel="0" collapsed="false">
      <c r="A180" s="42" t="n">
        <v>46265</v>
      </c>
      <c r="B180" s="28" t="n">
        <f aca="false">COUNTIFS(Trades!$E$2:$E$884,$A180)</f>
        <v>6</v>
      </c>
      <c r="C180" s="28" t="n">
        <f aca="false">COUNTIFS(Trades!$E$2:$E$884,$A180,Trades!$Z$2:$Z$884,"Win")</f>
        <v>4</v>
      </c>
      <c r="D180" s="28" t="n">
        <f aca="false">COUNTIFS(Trades!$E$2:$E$884,$A180,Trades!$Z$2:$Z$884,"Loss")</f>
        <v>2</v>
      </c>
      <c r="E180" s="29" t="n">
        <f aca="false">IFERROR(C180/B180,0)</f>
        <v>0.666666666666667</v>
      </c>
      <c r="F180" s="30" t="n">
        <f aca="false">SUMIFS(Trades!$X$2:$X$884,Trades!$E$2:$E$884,$A180)</f>
        <v>435.76</v>
      </c>
      <c r="G180" s="30" t="n">
        <f aca="false">SUMIFS(Trades!$X$2:$X$884,Trades!$E$2:$E$884,$A180,Trades!$X$2:$X$884,"&gt;0")</f>
        <v>490.66</v>
      </c>
      <c r="H180" s="30" t="n">
        <f aca="false">SUMIFS(Trades!$X$2:$X$884,Trades!$E$2:$E$884,$A180,Trades!$X$2:$X$884,"&lt;0")</f>
        <v>-54.9</v>
      </c>
      <c r="I180" s="31" t="n">
        <f aca="false">IFERROR(G180/-H180,"no loss")</f>
        <v>8.93734061930783</v>
      </c>
      <c r="J180" s="30" t="n">
        <f aca="false">_xlfn.MAXIFS(Trades!$X$2:$X$884,Trades!$E$2:$E$884,$A180)</f>
        <v>194.11</v>
      </c>
      <c r="K180" s="30" t="n">
        <f aca="false">_xlfn.MINIFS(Trades!$X$2:$X$884,Trades!$E$2:$E$884,$A180)</f>
        <v>-47.2</v>
      </c>
      <c r="L180" s="32" t="n">
        <f aca="false">SUMIFS(Trades!$Y$2:$Y$884,Trades!$E$2:$E$884,$A180)</f>
        <v>6.89962974456748</v>
      </c>
      <c r="M180" s="30" t="n">
        <f aca="false">P179</f>
        <v>116443.91</v>
      </c>
      <c r="N180" s="29" t="n">
        <f aca="false">IFERROR(F180/M180,0)</f>
        <v>0.00374223091615525</v>
      </c>
      <c r="O180" s="28" t="str">
        <f aca="false">IF(F180&lt;0,"down week","")</f>
        <v/>
      </c>
      <c r="P180" s="30" t="n">
        <f aca="false">M180+F180</f>
        <v>116879.67</v>
      </c>
      <c r="Q180" s="30" t="n">
        <f aca="false">P180-Summary!$C$5</f>
        <v>16879.67</v>
      </c>
    </row>
    <row r="181" customFormat="false" ht="15" hidden="false" customHeight="false" outlineLevel="0" collapsed="false">
      <c r="A181" s="42" t="n">
        <v>46272</v>
      </c>
      <c r="B181" s="28" t="n">
        <f aca="false">COUNTIFS(Trades!$E$2:$E$884,$A181)</f>
        <v>4</v>
      </c>
      <c r="C181" s="28" t="n">
        <f aca="false">COUNTIFS(Trades!$E$2:$E$884,$A181,Trades!$Z$2:$Z$884,"Win")</f>
        <v>1</v>
      </c>
      <c r="D181" s="28" t="n">
        <f aca="false">COUNTIFS(Trades!$E$2:$E$884,$A181,Trades!$Z$2:$Z$884,"Loss")</f>
        <v>3</v>
      </c>
      <c r="E181" s="29" t="n">
        <f aca="false">IFERROR(C181/B181,0)</f>
        <v>0.25</v>
      </c>
      <c r="F181" s="30" t="n">
        <f aca="false">SUMIFS(Trades!$X$2:$X$884,Trades!$E$2:$E$884,$A181)</f>
        <v>-39.31</v>
      </c>
      <c r="G181" s="30" t="n">
        <f aca="false">SUMIFS(Trades!$X$2:$X$884,Trades!$E$2:$E$884,$A181,Trades!$X$2:$X$884,"&gt;0")</f>
        <v>91.7</v>
      </c>
      <c r="H181" s="30" t="n">
        <f aca="false">SUMIFS(Trades!$X$2:$X$884,Trades!$E$2:$E$884,$A181,Trades!$X$2:$X$884,"&lt;0")</f>
        <v>-131.01</v>
      </c>
      <c r="I181" s="31" t="n">
        <f aca="false">IFERROR(G181/-H181,"no loss")</f>
        <v>0.699946568964201</v>
      </c>
      <c r="J181" s="30" t="n">
        <f aca="false">_xlfn.MAXIFS(Trades!$X$2:$X$884,Trades!$E$2:$E$884,$A181)</f>
        <v>91.7</v>
      </c>
      <c r="K181" s="30" t="n">
        <f aca="false">_xlfn.MINIFS(Trades!$X$2:$X$884,Trades!$E$2:$E$884,$A181)</f>
        <v>-81.74</v>
      </c>
      <c r="L181" s="32" t="n">
        <f aca="false">SUMIFS(Trades!$Y$2:$Y$884,Trades!$E$2:$E$884,$A181)</f>
        <v>-0.0370962049649025</v>
      </c>
      <c r="M181" s="30" t="n">
        <f aca="false">P180</f>
        <v>116879.67</v>
      </c>
      <c r="N181" s="29" t="n">
        <f aca="false">IFERROR(F181/M181,0)</f>
        <v>-0.000336328807225414</v>
      </c>
      <c r="O181" s="28" t="str">
        <f aca="false">IF(F181&lt;0,"down week","")</f>
        <v>down week</v>
      </c>
      <c r="P181" s="30" t="n">
        <f aca="false">M181+F181</f>
        <v>116840.36</v>
      </c>
      <c r="Q181" s="30" t="n">
        <f aca="false">P181-Summary!$C$5</f>
        <v>16840.36</v>
      </c>
    </row>
    <row r="182" customFormat="false" ht="15" hidden="false" customHeight="false" outlineLevel="0" collapsed="false">
      <c r="A182" s="42" t="n">
        <v>46279</v>
      </c>
      <c r="B182" s="28" t="n">
        <f aca="false">COUNTIFS(Trades!$E$2:$E$884,$A182)</f>
        <v>5</v>
      </c>
      <c r="C182" s="28" t="n">
        <f aca="false">COUNTIFS(Trades!$E$2:$E$884,$A182,Trades!$Z$2:$Z$884,"Win")</f>
        <v>2</v>
      </c>
      <c r="D182" s="28" t="n">
        <f aca="false">COUNTIFS(Trades!$E$2:$E$884,$A182,Trades!$Z$2:$Z$884,"Loss")</f>
        <v>2</v>
      </c>
      <c r="E182" s="29" t="n">
        <f aca="false">IFERROR(C182/B182,0)</f>
        <v>0.4</v>
      </c>
      <c r="F182" s="30" t="n">
        <f aca="false">SUMIFS(Trades!$X$2:$X$884,Trades!$E$2:$E$884,$A182)</f>
        <v>806.48</v>
      </c>
      <c r="G182" s="30" t="n">
        <f aca="false">SUMIFS(Trades!$X$2:$X$884,Trades!$E$2:$E$884,$A182,Trades!$X$2:$X$884,"&gt;0")</f>
        <v>809.39</v>
      </c>
      <c r="H182" s="30" t="n">
        <f aca="false">SUMIFS(Trades!$X$2:$X$884,Trades!$E$2:$E$884,$A182,Trades!$X$2:$X$884,"&lt;0")</f>
        <v>-2.91</v>
      </c>
      <c r="I182" s="31" t="n">
        <f aca="false">IFERROR(G182/-H182,"no loss")</f>
        <v>278.14089347079</v>
      </c>
      <c r="J182" s="30" t="n">
        <f aca="false">_xlfn.MAXIFS(Trades!$X$2:$X$884,Trades!$E$2:$E$884,$A182)</f>
        <v>720.14</v>
      </c>
      <c r="K182" s="30" t="n">
        <f aca="false">_xlfn.MINIFS(Trades!$X$2:$X$884,Trades!$E$2:$E$884,$A182)</f>
        <v>-2.41</v>
      </c>
      <c r="L182" s="32" t="n">
        <f aca="false">SUMIFS(Trades!$Y$2:$Y$884,Trades!$E$2:$E$884,$A182)</f>
        <v>3.94216893162145</v>
      </c>
      <c r="M182" s="30" t="n">
        <f aca="false">P181</f>
        <v>116840.36</v>
      </c>
      <c r="N182" s="29" t="n">
        <f aca="false">IFERROR(F182/M182,0)</f>
        <v>0.00690240940716034</v>
      </c>
      <c r="O182" s="28" t="str">
        <f aca="false">IF(F182&lt;0,"down week","")</f>
        <v/>
      </c>
      <c r="P182" s="30" t="n">
        <f aca="false">M182+F182</f>
        <v>117646.84</v>
      </c>
      <c r="Q182" s="30" t="n">
        <f aca="false">P182-Summary!$C$5</f>
        <v>17646.84</v>
      </c>
    </row>
    <row r="183" customFormat="false" ht="15" hidden="false" customHeight="false" outlineLevel="0" collapsed="false">
      <c r="A183" s="42" t="n">
        <v>46286</v>
      </c>
      <c r="B183" s="28" t="n">
        <f aca="false">COUNTIFS(Trades!$E$2:$E$884,$A183)</f>
        <v>6</v>
      </c>
      <c r="C183" s="28" t="n">
        <f aca="false">COUNTIFS(Trades!$E$2:$E$884,$A183,Trades!$Z$2:$Z$884,"Win")</f>
        <v>3</v>
      </c>
      <c r="D183" s="28" t="n">
        <f aca="false">COUNTIFS(Trades!$E$2:$E$884,$A183,Trades!$Z$2:$Z$884,"Loss")</f>
        <v>3</v>
      </c>
      <c r="E183" s="29" t="n">
        <f aca="false">IFERROR(C183/B183,0)</f>
        <v>0.5</v>
      </c>
      <c r="F183" s="30" t="n">
        <f aca="false">SUMIFS(Trades!$X$2:$X$884,Trades!$E$2:$E$884,$A183)</f>
        <v>70.85</v>
      </c>
      <c r="G183" s="30" t="n">
        <f aca="false">SUMIFS(Trades!$X$2:$X$884,Trades!$E$2:$E$884,$A183,Trades!$X$2:$X$884,"&gt;0")</f>
        <v>293.45</v>
      </c>
      <c r="H183" s="30" t="n">
        <f aca="false">SUMIFS(Trades!$X$2:$X$884,Trades!$E$2:$E$884,$A183,Trades!$X$2:$X$884,"&lt;0")</f>
        <v>-222.6</v>
      </c>
      <c r="I183" s="31" t="n">
        <f aca="false">IFERROR(G183/-H183,"no loss")</f>
        <v>1.31828391734052</v>
      </c>
      <c r="J183" s="30" t="n">
        <f aca="false">_xlfn.MAXIFS(Trades!$X$2:$X$884,Trades!$E$2:$E$884,$A183)</f>
        <v>111.11</v>
      </c>
      <c r="K183" s="30" t="n">
        <f aca="false">_xlfn.MINIFS(Trades!$X$2:$X$884,Trades!$E$2:$E$884,$A183)</f>
        <v>-180.88</v>
      </c>
      <c r="L183" s="32" t="n">
        <f aca="false">SUMIFS(Trades!$Y$2:$Y$884,Trades!$E$2:$E$884,$A183)</f>
        <v>4.25874307024716</v>
      </c>
      <c r="M183" s="30" t="n">
        <f aca="false">P182</f>
        <v>117646.84</v>
      </c>
      <c r="N183" s="29" t="n">
        <f aca="false">IFERROR(F183/M183,0)</f>
        <v>0.000602226120140584</v>
      </c>
      <c r="O183" s="28" t="str">
        <f aca="false">IF(F183&lt;0,"down week","")</f>
        <v/>
      </c>
      <c r="P183" s="30" t="n">
        <f aca="false">M183+F183</f>
        <v>117717.69</v>
      </c>
      <c r="Q183" s="30" t="n">
        <f aca="false">P183-Summary!$C$5</f>
        <v>17717.69</v>
      </c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5" hidden="false" customHeight="false" outlineLevel="0" collapsed="false">
      <c r="A185" s="33" t="s">
        <v>140</v>
      </c>
      <c r="B185" s="33" t="n">
        <f aca="false">SUM(B2:B183)</f>
        <v>883</v>
      </c>
      <c r="C185" s="33" t="n">
        <f aca="false">SUM(C2:C183)</f>
        <v>282</v>
      </c>
      <c r="D185" s="33" t="n">
        <f aca="false">SUM(D2:D183)</f>
        <v>593</v>
      </c>
      <c r="E185" s="34" t="n">
        <f aca="false">IFERROR(C185/B185,0)</f>
        <v>0.319365798414496</v>
      </c>
      <c r="F185" s="35" t="n">
        <f aca="false">SUM(F2:F183)</f>
        <v>17717.69</v>
      </c>
      <c r="G185" s="35" t="n">
        <f aca="false">SUM(G2:G183)</f>
        <v>64334.51</v>
      </c>
      <c r="H185" s="35" t="n">
        <f aca="false">SUM(H2:H183)</f>
        <v>-46616.82</v>
      </c>
      <c r="I185" s="36" t="n">
        <f aca="false">IFERROR(G185/-H185,0)</f>
        <v>1.38007075557706</v>
      </c>
      <c r="J185" s="37"/>
      <c r="K185" s="37"/>
      <c r="L185" s="38" t="n">
        <f aca="false">SUM(L2:L183)</f>
        <v>176.669443405622</v>
      </c>
      <c r="M185" s="37"/>
      <c r="N185" s="34" t="n">
        <f aca="false">IFERROR(F185/M2,0)</f>
        <v>0.1771769</v>
      </c>
      <c r="O185" s="37" t="str">
        <f aca="false">COUNTIF(F2:F183,"&gt;0")&amp;" up / "&amp;COUNTIF(F2:F183,"&lt;0")&amp;" down"</f>
        <v>102 up / 80 down</v>
      </c>
      <c r="P185" s="37"/>
      <c r="Q185" s="37"/>
    </row>
  </sheetData>
  <conditionalFormatting sqref="F2:F18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8"/>
  </cols>
  <sheetData>
    <row r="1" customFormat="false" ht="31.5" hidden="false" customHeight="true" outlineLevel="0" collapsed="false">
      <c r="A1" s="26" t="s">
        <v>202</v>
      </c>
      <c r="B1" s="26" t="s">
        <v>7</v>
      </c>
      <c r="C1" s="26" t="s">
        <v>56</v>
      </c>
      <c r="D1" s="26" t="s">
        <v>58</v>
      </c>
      <c r="E1" s="26" t="s">
        <v>61</v>
      </c>
      <c r="F1" s="26" t="s">
        <v>42</v>
      </c>
      <c r="G1" s="26" t="s">
        <v>46</v>
      </c>
      <c r="H1" s="26" t="s">
        <v>48</v>
      </c>
      <c r="I1" s="26" t="s">
        <v>50</v>
      </c>
      <c r="J1" s="26" t="s">
        <v>133</v>
      </c>
      <c r="K1" s="26" t="s">
        <v>134</v>
      </c>
      <c r="L1" s="26" t="s">
        <v>84</v>
      </c>
      <c r="M1" s="26" t="s">
        <v>135</v>
      </c>
      <c r="N1" s="26" t="s">
        <v>136</v>
      </c>
      <c r="O1" s="26" t="s">
        <v>137</v>
      </c>
      <c r="P1" s="26" t="s">
        <v>138</v>
      </c>
      <c r="Q1" s="26" t="s">
        <v>139</v>
      </c>
      <c r="R1" s="9" t="s">
        <v>203</v>
      </c>
    </row>
    <row r="2" customFormat="false" ht="15" hidden="false" customHeight="false" outlineLevel="0" collapsed="false">
      <c r="A2" s="42" t="n">
        <v>45020</v>
      </c>
      <c r="B2" s="28" t="n">
        <f aca="false">COUNTIFS(Trades!$D$2:$D$884,$A2)</f>
        <v>1</v>
      </c>
      <c r="C2" s="28" t="n">
        <f aca="false">COUNTIFS(Trades!$D$2:$D$884,$A2,Trades!$Z$2:$Z$884,"Win")</f>
        <v>1</v>
      </c>
      <c r="D2" s="28" t="n">
        <f aca="false">COUNTIFS(Trades!$D$2:$D$884,$A2,Trades!$Z$2:$Z$884,"Loss")</f>
        <v>0</v>
      </c>
      <c r="E2" s="29" t="n">
        <f aca="false">IFERROR(C2/B2,0)</f>
        <v>1</v>
      </c>
      <c r="F2" s="30" t="n">
        <f aca="false">SUMIFS(Trades!$X$2:$X$884,Trades!$D$2:$D$884,$A2)</f>
        <v>85.68</v>
      </c>
      <c r="G2" s="30" t="n">
        <f aca="false">SUMIFS(Trades!$X$2:$X$884,Trades!$D$2:$D$884,$A2,Trades!$X$2:$X$884,"&gt;0")</f>
        <v>85.68</v>
      </c>
      <c r="H2" s="30" t="n">
        <f aca="false">SUMIFS(Trades!$X$2:$X$884,Trades!$D$2:$D$884,$A2,Trades!$X$2:$X$884,"&lt;0")</f>
        <v>0</v>
      </c>
      <c r="I2" s="31" t="str">
        <f aca="false">IFERROR(G2/-H2,"no loss")</f>
        <v>no loss</v>
      </c>
      <c r="J2" s="30" t="n">
        <f aca="false">_xlfn.MAXIFS(Trades!$X$2:$X$884,Trades!$D$2:$D$884,$A2)</f>
        <v>85.68</v>
      </c>
      <c r="K2" s="30" t="n">
        <f aca="false">_xlfn.MINIFS(Trades!$X$2:$X$884,Trades!$D$2:$D$884,$A2)</f>
        <v>85.68</v>
      </c>
      <c r="L2" s="32" t="n">
        <f aca="false">SUMIFS(Trades!$Y$2:$Y$884,Trades!$D$2:$D$884,$A2)</f>
        <v>2.03883495145622</v>
      </c>
      <c r="M2" s="30" t="n">
        <f aca="false">Summary!$C$5</f>
        <v>100000</v>
      </c>
      <c r="N2" s="29" t="n">
        <f aca="false">IFERROR(F2/M2,0)</f>
        <v>0.0008568</v>
      </c>
      <c r="O2" s="28" t="str">
        <f aca="false">IF(-N2&gt;=Summary!$C$7,"BREACH","")</f>
        <v/>
      </c>
      <c r="P2" s="30" t="n">
        <f aca="false">M2+F2</f>
        <v>100085.68</v>
      </c>
      <c r="Q2" s="30" t="n">
        <f aca="false">P2-Summary!$C$5</f>
        <v>85.679999999993</v>
      </c>
      <c r="R2" s="2" t="str">
        <f aca="false">TEXT(A2,"ddd")</f>
        <v>Tue</v>
      </c>
    </row>
    <row r="3" customFormat="false" ht="15" hidden="false" customHeight="false" outlineLevel="0" collapsed="false">
      <c r="A3" s="42" t="n">
        <v>45021</v>
      </c>
      <c r="B3" s="28" t="n">
        <f aca="false">COUNTIFS(Trades!$D$2:$D$884,$A3)</f>
        <v>1</v>
      </c>
      <c r="C3" s="28" t="n">
        <f aca="false">COUNTIFS(Trades!$D$2:$D$884,$A3,Trades!$Z$2:$Z$884,"Win")</f>
        <v>0</v>
      </c>
      <c r="D3" s="28" t="n">
        <f aca="false">COUNTIFS(Trades!$D$2:$D$884,$A3,Trades!$Z$2:$Z$884,"Loss")</f>
        <v>1</v>
      </c>
      <c r="E3" s="29" t="n">
        <f aca="false">IFERROR(C3/B3,0)</f>
        <v>0</v>
      </c>
      <c r="F3" s="30" t="n">
        <f aca="false">SUMIFS(Trades!$X$2:$X$884,Trades!$D$2:$D$884,$A3)</f>
        <v>-1.9</v>
      </c>
      <c r="G3" s="30" t="n">
        <f aca="false">SUMIFS(Trades!$X$2:$X$884,Trades!$D$2:$D$884,$A3,Trades!$X$2:$X$884,"&gt;0")</f>
        <v>0</v>
      </c>
      <c r="H3" s="30" t="n">
        <f aca="false">SUMIFS(Trades!$X$2:$X$884,Trades!$D$2:$D$884,$A3,Trades!$X$2:$X$884,"&lt;0")</f>
        <v>-1.9</v>
      </c>
      <c r="I3" s="31" t="n">
        <f aca="false">IFERROR(G3/-H3,"no loss")</f>
        <v>0</v>
      </c>
      <c r="J3" s="30" t="n">
        <f aca="false">_xlfn.MAXIFS(Trades!$X$2:$X$884,Trades!$D$2:$D$884,$A3)</f>
        <v>-1.9</v>
      </c>
      <c r="K3" s="30" t="n">
        <f aca="false">_xlfn.MINIFS(Trades!$X$2:$X$884,Trades!$D$2:$D$884,$A3)</f>
        <v>-1.9</v>
      </c>
      <c r="L3" s="32" t="n">
        <f aca="false">SUMIFS(Trades!$Y$2:$Y$884,Trades!$D$2:$D$884,$A3)</f>
        <v>-0.0139427028296355</v>
      </c>
      <c r="M3" s="30" t="n">
        <f aca="false">P2</f>
        <v>100085.68</v>
      </c>
      <c r="N3" s="29" t="n">
        <f aca="false">IFERROR(F3/M3,0)</f>
        <v>-1.89837347360781E-005</v>
      </c>
      <c r="O3" s="28" t="str">
        <f aca="false">IF(-N3&gt;=Summary!$C$7,"BREACH","")</f>
        <v/>
      </c>
      <c r="P3" s="30" t="n">
        <f aca="false">M3+F3</f>
        <v>100083.78</v>
      </c>
      <c r="Q3" s="30" t="n">
        <f aca="false">P3-Summary!$C$5</f>
        <v>83.7799999999988</v>
      </c>
      <c r="R3" s="2" t="str">
        <f aca="false">TEXT(A3,"ddd")</f>
        <v>Wed</v>
      </c>
    </row>
    <row r="4" customFormat="false" ht="15" hidden="false" customHeight="false" outlineLevel="0" collapsed="false">
      <c r="A4" s="42" t="n">
        <v>45022</v>
      </c>
      <c r="B4" s="28" t="n">
        <f aca="false">COUNTIFS(Trades!$D$2:$D$884,$A4)</f>
        <v>1</v>
      </c>
      <c r="C4" s="28" t="n">
        <f aca="false">COUNTIFS(Trades!$D$2:$D$884,$A4,Trades!$Z$2:$Z$884,"Win")</f>
        <v>1</v>
      </c>
      <c r="D4" s="28" t="n">
        <f aca="false">COUNTIFS(Trades!$D$2:$D$884,$A4,Trades!$Z$2:$Z$884,"Loss")</f>
        <v>0</v>
      </c>
      <c r="E4" s="29" t="n">
        <f aca="false">IFERROR(C4/B4,0)</f>
        <v>1</v>
      </c>
      <c r="F4" s="30" t="n">
        <f aca="false">SUMIFS(Trades!$X$2:$X$884,Trades!$D$2:$D$884,$A4)</f>
        <v>140.56</v>
      </c>
      <c r="G4" s="30" t="n">
        <f aca="false">SUMIFS(Trades!$X$2:$X$884,Trades!$D$2:$D$884,$A4,Trades!$X$2:$X$884,"&gt;0")</f>
        <v>140.56</v>
      </c>
      <c r="H4" s="30" t="n">
        <f aca="false">SUMIFS(Trades!$X$2:$X$884,Trades!$D$2:$D$884,$A4,Trades!$X$2:$X$884,"&lt;0")</f>
        <v>0</v>
      </c>
      <c r="I4" s="31" t="str">
        <f aca="false">IFERROR(G4/-H4,"no loss")</f>
        <v>no loss</v>
      </c>
      <c r="J4" s="30" t="n">
        <f aca="false">_xlfn.MAXIFS(Trades!$X$2:$X$884,Trades!$D$2:$D$884,$A4)</f>
        <v>140.56</v>
      </c>
      <c r="K4" s="30" t="n">
        <f aca="false">_xlfn.MINIFS(Trades!$X$2:$X$884,Trades!$D$2:$D$884,$A4)</f>
        <v>140.56</v>
      </c>
      <c r="L4" s="32" t="n">
        <f aca="false">SUMIFS(Trades!$Y$2:$Y$884,Trades!$D$2:$D$884,$A4)</f>
        <v>2.03651115618669</v>
      </c>
      <c r="M4" s="30" t="n">
        <f aca="false">P3</f>
        <v>100083.78</v>
      </c>
      <c r="N4" s="29" t="n">
        <f aca="false">IFERROR(F4/M4,0)</f>
        <v>0.00140442337409718</v>
      </c>
      <c r="O4" s="28" t="str">
        <f aca="false">IF(-N4&gt;=Summary!$C$7,"BREACH","")</f>
        <v/>
      </c>
      <c r="P4" s="30" t="n">
        <f aca="false">M4+F4</f>
        <v>100224.34</v>
      </c>
      <c r="Q4" s="30" t="n">
        <f aca="false">P4-Summary!$C$5</f>
        <v>224.339999999997</v>
      </c>
      <c r="R4" s="2" t="str">
        <f aca="false">TEXT(A4,"ddd")</f>
        <v>Thu</v>
      </c>
    </row>
    <row r="5" customFormat="false" ht="15" hidden="false" customHeight="false" outlineLevel="0" collapsed="false">
      <c r="A5" s="42" t="n">
        <v>45026</v>
      </c>
      <c r="B5" s="28" t="n">
        <f aca="false">COUNTIFS(Trades!$D$2:$D$884,$A5)</f>
        <v>2</v>
      </c>
      <c r="C5" s="28" t="n">
        <f aca="false">COUNTIFS(Trades!$D$2:$D$884,$A5,Trades!$Z$2:$Z$884,"Win")</f>
        <v>1</v>
      </c>
      <c r="D5" s="28" t="n">
        <f aca="false">COUNTIFS(Trades!$D$2:$D$884,$A5,Trades!$Z$2:$Z$884,"Loss")</f>
        <v>1</v>
      </c>
      <c r="E5" s="29" t="n">
        <f aca="false">IFERROR(C5/B5,0)</f>
        <v>0.5</v>
      </c>
      <c r="F5" s="30" t="n">
        <f aca="false">SUMIFS(Trades!$X$2:$X$884,Trades!$D$2:$D$884,$A5)</f>
        <v>-8.57000000000001</v>
      </c>
      <c r="G5" s="30" t="n">
        <f aca="false">SUMIFS(Trades!$X$2:$X$884,Trades!$D$2:$D$884,$A5,Trades!$X$2:$X$884,"&gt;0")</f>
        <v>60.72</v>
      </c>
      <c r="H5" s="30" t="n">
        <f aca="false">SUMIFS(Trades!$X$2:$X$884,Trades!$D$2:$D$884,$A5,Trades!$X$2:$X$884,"&lt;0")</f>
        <v>-69.29</v>
      </c>
      <c r="I5" s="31" t="n">
        <f aca="false">IFERROR(G5/-H5,"no loss")</f>
        <v>0.876316928849762</v>
      </c>
      <c r="J5" s="30" t="n">
        <f aca="false">_xlfn.MAXIFS(Trades!$X$2:$X$884,Trades!$D$2:$D$884,$A5)</f>
        <v>60.72</v>
      </c>
      <c r="K5" s="30" t="n">
        <f aca="false">_xlfn.MINIFS(Trades!$X$2:$X$884,Trades!$D$2:$D$884,$A5)</f>
        <v>-69.29</v>
      </c>
      <c r="L5" s="32" t="n">
        <f aca="false">SUMIFS(Trades!$Y$2:$Y$884,Trades!$D$2:$D$884,$A5)</f>
        <v>1.04411831167108</v>
      </c>
      <c r="M5" s="30" t="n">
        <f aca="false">P4</f>
        <v>100224.34</v>
      </c>
      <c r="N5" s="29" t="n">
        <f aca="false">IFERROR(F5/M5,0)</f>
        <v>-8.55081709692477E-005</v>
      </c>
      <c r="O5" s="28" t="str">
        <f aca="false">IF(-N5&gt;=Summary!$C$7,"BREACH","")</f>
        <v/>
      </c>
      <c r="P5" s="30" t="n">
        <f aca="false">M5+F5</f>
        <v>100215.77</v>
      </c>
      <c r="Q5" s="30" t="n">
        <f aca="false">P5-Summary!$C$5</f>
        <v>215.76999999999</v>
      </c>
      <c r="R5" s="2" t="str">
        <f aca="false">TEXT(A5,"ddd")</f>
        <v>Mon</v>
      </c>
    </row>
    <row r="6" customFormat="false" ht="15" hidden="false" customHeight="false" outlineLevel="0" collapsed="false">
      <c r="A6" s="42" t="n">
        <v>45027</v>
      </c>
      <c r="B6" s="28" t="n">
        <f aca="false">COUNTIFS(Trades!$D$2:$D$884,$A6)</f>
        <v>1</v>
      </c>
      <c r="C6" s="28" t="n">
        <f aca="false">COUNTIFS(Trades!$D$2:$D$884,$A6,Trades!$Z$2:$Z$884,"Win")</f>
        <v>0</v>
      </c>
      <c r="D6" s="28" t="n">
        <f aca="false">COUNTIFS(Trades!$D$2:$D$884,$A6,Trades!$Z$2:$Z$884,"Loss")</f>
        <v>1</v>
      </c>
      <c r="E6" s="29" t="n">
        <f aca="false">IFERROR(C6/B6,0)</f>
        <v>0</v>
      </c>
      <c r="F6" s="30" t="n">
        <f aca="false">SUMIFS(Trades!$X$2:$X$884,Trades!$D$2:$D$884,$A6)</f>
        <v>-35.36</v>
      </c>
      <c r="G6" s="30" t="n">
        <f aca="false">SUMIFS(Trades!$X$2:$X$884,Trades!$D$2:$D$884,$A6,Trades!$X$2:$X$884,"&gt;0")</f>
        <v>0</v>
      </c>
      <c r="H6" s="30" t="n">
        <f aca="false">SUMIFS(Trades!$X$2:$X$884,Trades!$D$2:$D$884,$A6,Trades!$X$2:$X$884,"&lt;0")</f>
        <v>-35.36</v>
      </c>
      <c r="I6" s="31" t="n">
        <f aca="false">IFERROR(G6/-H6,"no loss")</f>
        <v>0</v>
      </c>
      <c r="J6" s="30" t="n">
        <f aca="false">_xlfn.MAXIFS(Trades!$X$2:$X$884,Trades!$D$2:$D$884,$A6)</f>
        <v>-35.36</v>
      </c>
      <c r="K6" s="30" t="n">
        <f aca="false">_xlfn.MINIFS(Trades!$X$2:$X$884,Trades!$D$2:$D$884,$A6)</f>
        <v>-35.36</v>
      </c>
      <c r="L6" s="32" t="n">
        <f aca="false">SUMIFS(Trades!$Y$2:$Y$884,Trades!$D$2:$D$884,$A6)</f>
        <v>-1.01167315175109</v>
      </c>
      <c r="M6" s="30" t="n">
        <f aca="false">P5</f>
        <v>100215.77</v>
      </c>
      <c r="N6" s="29" t="n">
        <f aca="false">IFERROR(F6/M6,0)</f>
        <v>-0.000352838679980207</v>
      </c>
      <c r="O6" s="28" t="str">
        <f aca="false">IF(-N6&gt;=Summary!$C$7,"BREACH","")</f>
        <v/>
      </c>
      <c r="P6" s="30" t="n">
        <f aca="false">M6+F6</f>
        <v>100180.41</v>
      </c>
      <c r="Q6" s="30" t="n">
        <f aca="false">P6-Summary!$C$5</f>
        <v>180.409999999989</v>
      </c>
      <c r="R6" s="2" t="str">
        <f aca="false">TEXT(A6,"ddd")</f>
        <v>Tue</v>
      </c>
    </row>
    <row r="7" customFormat="false" ht="15" hidden="false" customHeight="false" outlineLevel="0" collapsed="false">
      <c r="A7" s="42" t="n">
        <v>45028</v>
      </c>
      <c r="B7" s="28" t="n">
        <f aca="false">COUNTIFS(Trades!$D$2:$D$884,$A7)</f>
        <v>2</v>
      </c>
      <c r="C7" s="28" t="n">
        <f aca="false">COUNTIFS(Trades!$D$2:$D$884,$A7,Trades!$Z$2:$Z$884,"Win")</f>
        <v>0</v>
      </c>
      <c r="D7" s="28" t="n">
        <f aca="false">COUNTIFS(Trades!$D$2:$D$884,$A7,Trades!$Z$2:$Z$884,"Loss")</f>
        <v>2</v>
      </c>
      <c r="E7" s="29" t="n">
        <f aca="false">IFERROR(C7/B7,0)</f>
        <v>0</v>
      </c>
      <c r="F7" s="30" t="n">
        <f aca="false">SUMIFS(Trades!$X$2:$X$884,Trades!$D$2:$D$884,$A7)</f>
        <v>-401.81</v>
      </c>
      <c r="G7" s="30" t="n">
        <f aca="false">SUMIFS(Trades!$X$2:$X$884,Trades!$D$2:$D$884,$A7,Trades!$X$2:$X$884,"&gt;0")</f>
        <v>0</v>
      </c>
      <c r="H7" s="30" t="n">
        <f aca="false">SUMIFS(Trades!$X$2:$X$884,Trades!$D$2:$D$884,$A7,Trades!$X$2:$X$884,"&lt;0")</f>
        <v>-401.81</v>
      </c>
      <c r="I7" s="31" t="n">
        <f aca="false">IFERROR(G7/-H7,"no loss")</f>
        <v>0</v>
      </c>
      <c r="J7" s="30" t="n">
        <f aca="false">_xlfn.MAXIFS(Trades!$X$2:$X$884,Trades!$D$2:$D$884,$A7)</f>
        <v>-47.33</v>
      </c>
      <c r="K7" s="30" t="n">
        <f aca="false">_xlfn.MINIFS(Trades!$X$2:$X$884,Trades!$D$2:$D$884,$A7)</f>
        <v>-354.48</v>
      </c>
      <c r="L7" s="32" t="n">
        <f aca="false">SUMIFS(Trades!$Y$2:$Y$884,Trades!$D$2:$D$884,$A7)</f>
        <v>-2.03168350877511</v>
      </c>
      <c r="M7" s="30" t="n">
        <f aca="false">P6</f>
        <v>100180.41</v>
      </c>
      <c r="N7" s="29" t="n">
        <f aca="false">IFERROR(F7/M7,0)</f>
        <v>-0.00401086400025714</v>
      </c>
      <c r="O7" s="28" t="str">
        <f aca="false">IF(-N7&gt;=Summary!$C$7,"BREACH","")</f>
        <v/>
      </c>
      <c r="P7" s="30" t="n">
        <f aca="false">M7+F7</f>
        <v>99778.6</v>
      </c>
      <c r="Q7" s="30" t="n">
        <f aca="false">P7-Summary!$C$5</f>
        <v>-221.400000000009</v>
      </c>
      <c r="R7" s="2" t="str">
        <f aca="false">TEXT(A7,"ddd")</f>
        <v>Wed</v>
      </c>
    </row>
    <row r="8" customFormat="false" ht="15" hidden="false" customHeight="false" outlineLevel="0" collapsed="false">
      <c r="A8" s="42" t="n">
        <v>45029</v>
      </c>
      <c r="B8" s="28" t="n">
        <f aca="false">COUNTIFS(Trades!$D$2:$D$884,$A8)</f>
        <v>1</v>
      </c>
      <c r="C8" s="28" t="n">
        <f aca="false">COUNTIFS(Trades!$D$2:$D$884,$A8,Trades!$Z$2:$Z$884,"Win")</f>
        <v>0</v>
      </c>
      <c r="D8" s="28" t="n">
        <f aca="false">COUNTIFS(Trades!$D$2:$D$884,$A8,Trades!$Z$2:$Z$884,"Loss")</f>
        <v>1</v>
      </c>
      <c r="E8" s="29" t="n">
        <f aca="false">IFERROR(C8/B8,0)</f>
        <v>0</v>
      </c>
      <c r="F8" s="30" t="n">
        <f aca="false">SUMIFS(Trades!$X$2:$X$884,Trades!$D$2:$D$884,$A8)</f>
        <v>-34.93</v>
      </c>
      <c r="G8" s="30" t="n">
        <f aca="false">SUMIFS(Trades!$X$2:$X$884,Trades!$D$2:$D$884,$A8,Trades!$X$2:$X$884,"&gt;0")</f>
        <v>0</v>
      </c>
      <c r="H8" s="30" t="n">
        <f aca="false">SUMIFS(Trades!$X$2:$X$884,Trades!$D$2:$D$884,$A8,Trades!$X$2:$X$884,"&lt;0")</f>
        <v>-34.93</v>
      </c>
      <c r="I8" s="31" t="n">
        <f aca="false">IFERROR(G8/-H8,"no loss")</f>
        <v>0</v>
      </c>
      <c r="J8" s="30" t="n">
        <f aca="false">_xlfn.MAXIFS(Trades!$X$2:$X$884,Trades!$D$2:$D$884,$A8)</f>
        <v>-34.93</v>
      </c>
      <c r="K8" s="30" t="n">
        <f aca="false">_xlfn.MINIFS(Trades!$X$2:$X$884,Trades!$D$2:$D$884,$A8)</f>
        <v>-34.93</v>
      </c>
      <c r="L8" s="32" t="n">
        <f aca="false">SUMIFS(Trades!$Y$2:$Y$884,Trades!$D$2:$D$884,$A8)</f>
        <v>-1.10643015521059</v>
      </c>
      <c r="M8" s="30" t="n">
        <f aca="false">P7</f>
        <v>99778.6</v>
      </c>
      <c r="N8" s="29" t="n">
        <f aca="false">IFERROR(F8/M8,0)</f>
        <v>-0.000350075066196559</v>
      </c>
      <c r="O8" s="28" t="str">
        <f aca="false">IF(-N8&gt;=Summary!$C$7,"BREACH","")</f>
        <v/>
      </c>
      <c r="P8" s="30" t="n">
        <f aca="false">M8+F8</f>
        <v>99743.67</v>
      </c>
      <c r="Q8" s="30" t="n">
        <f aca="false">P8-Summary!$C$5</f>
        <v>-256.330000000002</v>
      </c>
      <c r="R8" s="2" t="str">
        <f aca="false">TEXT(A8,"ddd")</f>
        <v>Thu</v>
      </c>
    </row>
    <row r="9" customFormat="false" ht="15" hidden="false" customHeight="false" outlineLevel="0" collapsed="false">
      <c r="A9" s="42" t="n">
        <v>45030</v>
      </c>
      <c r="B9" s="28" t="n">
        <f aca="false">COUNTIFS(Trades!$D$2:$D$884,$A9)</f>
        <v>1</v>
      </c>
      <c r="C9" s="28" t="n">
        <f aca="false">COUNTIFS(Trades!$D$2:$D$884,$A9,Trades!$Z$2:$Z$884,"Win")</f>
        <v>0</v>
      </c>
      <c r="D9" s="28" t="n">
        <f aca="false">COUNTIFS(Trades!$D$2:$D$884,$A9,Trades!$Z$2:$Z$884,"Loss")</f>
        <v>1</v>
      </c>
      <c r="E9" s="29" t="n">
        <f aca="false">IFERROR(C9/B9,0)</f>
        <v>0</v>
      </c>
      <c r="F9" s="30" t="n">
        <f aca="false">SUMIFS(Trades!$X$2:$X$884,Trades!$D$2:$D$884,$A9)</f>
        <v>-139.2</v>
      </c>
      <c r="G9" s="30" t="n">
        <f aca="false">SUMIFS(Trades!$X$2:$X$884,Trades!$D$2:$D$884,$A9,Trades!$X$2:$X$884,"&gt;0")</f>
        <v>0</v>
      </c>
      <c r="H9" s="30" t="n">
        <f aca="false">SUMIFS(Trades!$X$2:$X$884,Trades!$D$2:$D$884,$A9,Trades!$X$2:$X$884,"&lt;0")</f>
        <v>-139.2</v>
      </c>
      <c r="I9" s="31" t="n">
        <f aca="false">IFERROR(G9/-H9,"no loss")</f>
        <v>0</v>
      </c>
      <c r="J9" s="30" t="n">
        <f aca="false">_xlfn.MAXIFS(Trades!$X$2:$X$884,Trades!$D$2:$D$884,$A9)</f>
        <v>-139.2</v>
      </c>
      <c r="K9" s="30" t="n">
        <f aca="false">_xlfn.MINIFS(Trades!$X$2:$X$884,Trades!$D$2:$D$884,$A9)</f>
        <v>-139.2</v>
      </c>
      <c r="L9" s="32" t="n">
        <f aca="false">SUMIFS(Trades!$Y$2:$Y$884,Trades!$D$2:$D$884,$A9)</f>
        <v>-1.04601881631541</v>
      </c>
      <c r="M9" s="30" t="n">
        <f aca="false">P8</f>
        <v>99743.67</v>
      </c>
      <c r="N9" s="29" t="n">
        <f aca="false">IFERROR(F9/M9,0)</f>
        <v>-0.00139557728325016</v>
      </c>
      <c r="O9" s="28" t="str">
        <f aca="false">IF(-N9&gt;=Summary!$C$7,"BREACH","")</f>
        <v/>
      </c>
      <c r="P9" s="30" t="n">
        <f aca="false">M9+F9</f>
        <v>99604.47</v>
      </c>
      <c r="Q9" s="30" t="n">
        <f aca="false">P9-Summary!$C$5</f>
        <v>-395.529999999999</v>
      </c>
      <c r="R9" s="2" t="str">
        <f aca="false">TEXT(A9,"ddd")</f>
        <v>Fri</v>
      </c>
    </row>
    <row r="10" customFormat="false" ht="15" hidden="false" customHeight="false" outlineLevel="0" collapsed="false">
      <c r="A10" s="42" t="n">
        <v>45034</v>
      </c>
      <c r="B10" s="28" t="n">
        <f aca="false">COUNTIFS(Trades!$D$2:$D$884,$A10)</f>
        <v>1</v>
      </c>
      <c r="C10" s="28" t="n">
        <f aca="false">COUNTIFS(Trades!$D$2:$D$884,$A10,Trades!$Z$2:$Z$884,"Win")</f>
        <v>0</v>
      </c>
      <c r="D10" s="28" t="n">
        <f aca="false">COUNTIFS(Trades!$D$2:$D$884,$A10,Trades!$Z$2:$Z$884,"Loss")</f>
        <v>1</v>
      </c>
      <c r="E10" s="29" t="n">
        <f aca="false">IFERROR(C10/B10,0)</f>
        <v>0</v>
      </c>
      <c r="F10" s="30" t="n">
        <f aca="false">SUMIFS(Trades!$X$2:$X$884,Trades!$D$2:$D$884,$A10)</f>
        <v>-71.54</v>
      </c>
      <c r="G10" s="30" t="n">
        <f aca="false">SUMIFS(Trades!$X$2:$X$884,Trades!$D$2:$D$884,$A10,Trades!$X$2:$X$884,"&gt;0")</f>
        <v>0</v>
      </c>
      <c r="H10" s="30" t="n">
        <f aca="false">SUMIFS(Trades!$X$2:$X$884,Trades!$D$2:$D$884,$A10,Trades!$X$2:$X$884,"&lt;0")</f>
        <v>-71.54</v>
      </c>
      <c r="I10" s="31" t="n">
        <f aca="false">IFERROR(G10/-H10,"no loss")</f>
        <v>0</v>
      </c>
      <c r="J10" s="30" t="n">
        <f aca="false">_xlfn.MAXIFS(Trades!$X$2:$X$884,Trades!$D$2:$D$884,$A10)</f>
        <v>-71.54</v>
      </c>
      <c r="K10" s="30" t="n">
        <f aca="false">_xlfn.MINIFS(Trades!$X$2:$X$884,Trades!$D$2:$D$884,$A10)</f>
        <v>-71.54</v>
      </c>
      <c r="L10" s="32" t="n">
        <f aca="false">SUMIFS(Trades!$Y$2:$Y$884,Trades!$D$2:$D$884,$A10)</f>
        <v>-1.01452152702943</v>
      </c>
      <c r="M10" s="30" t="n">
        <f aca="false">P9</f>
        <v>99604.47</v>
      </c>
      <c r="N10" s="29" t="n">
        <f aca="false">IFERROR(F10/M10,0)</f>
        <v>-0.000718240858065908</v>
      </c>
      <c r="O10" s="28" t="str">
        <f aca="false">IF(-N10&gt;=Summary!$C$7,"BREACH","")</f>
        <v/>
      </c>
      <c r="P10" s="30" t="n">
        <f aca="false">M10+F10</f>
        <v>99532.93</v>
      </c>
      <c r="Q10" s="30" t="n">
        <f aca="false">P10-Summary!$C$5</f>
        <v>-467.069999999992</v>
      </c>
      <c r="R10" s="2" t="str">
        <f aca="false">TEXT(A10,"ddd")</f>
        <v>Tue</v>
      </c>
    </row>
    <row r="11" customFormat="false" ht="15" hidden="false" customHeight="false" outlineLevel="0" collapsed="false">
      <c r="A11" s="42" t="n">
        <v>45035</v>
      </c>
      <c r="B11" s="28" t="n">
        <f aca="false">COUNTIFS(Trades!$D$2:$D$884,$A11)</f>
        <v>1</v>
      </c>
      <c r="C11" s="28" t="n">
        <f aca="false">COUNTIFS(Trades!$D$2:$D$884,$A11,Trades!$Z$2:$Z$884,"Win")</f>
        <v>1</v>
      </c>
      <c r="D11" s="28" t="n">
        <f aca="false">COUNTIFS(Trades!$D$2:$D$884,$A11,Trades!$Z$2:$Z$884,"Loss")</f>
        <v>0</v>
      </c>
      <c r="E11" s="29" t="n">
        <f aca="false">IFERROR(C11/B11,0)</f>
        <v>1</v>
      </c>
      <c r="F11" s="30" t="n">
        <f aca="false">SUMIFS(Trades!$X$2:$X$884,Trades!$D$2:$D$884,$A11)</f>
        <v>123.96</v>
      </c>
      <c r="G11" s="30" t="n">
        <f aca="false">SUMIFS(Trades!$X$2:$X$884,Trades!$D$2:$D$884,$A11,Trades!$X$2:$X$884,"&gt;0")</f>
        <v>123.96</v>
      </c>
      <c r="H11" s="30" t="n">
        <f aca="false">SUMIFS(Trades!$X$2:$X$884,Trades!$D$2:$D$884,$A11,Trades!$X$2:$X$884,"&lt;0")</f>
        <v>0</v>
      </c>
      <c r="I11" s="31" t="str">
        <f aca="false">IFERROR(G11/-H11,"no loss")</f>
        <v>no loss</v>
      </c>
      <c r="J11" s="30" t="n">
        <f aca="false">_xlfn.MAXIFS(Trades!$X$2:$X$884,Trades!$D$2:$D$884,$A11)</f>
        <v>123.96</v>
      </c>
      <c r="K11" s="30" t="n">
        <f aca="false">_xlfn.MINIFS(Trades!$X$2:$X$884,Trades!$D$2:$D$884,$A11)</f>
        <v>123.96</v>
      </c>
      <c r="L11" s="32" t="n">
        <f aca="false">SUMIFS(Trades!$Y$2:$Y$884,Trades!$D$2:$D$884,$A11)</f>
        <v>2.04365602743338</v>
      </c>
      <c r="M11" s="30" t="n">
        <f aca="false">P10</f>
        <v>99532.93</v>
      </c>
      <c r="N11" s="29" t="n">
        <f aca="false">IFERROR(F11/M11,0)</f>
        <v>0.00124541696903728</v>
      </c>
      <c r="O11" s="28" t="str">
        <f aca="false">IF(-N11&gt;=Summary!$C$7,"BREACH","")</f>
        <v/>
      </c>
      <c r="P11" s="30" t="n">
        <f aca="false">M11+F11</f>
        <v>99656.89</v>
      </c>
      <c r="Q11" s="30" t="n">
        <f aca="false">P11-Summary!$C$5</f>
        <v>-343.109999999986</v>
      </c>
      <c r="R11" s="2" t="str">
        <f aca="false">TEXT(A11,"ddd")</f>
        <v>Wed</v>
      </c>
    </row>
    <row r="12" customFormat="false" ht="15" hidden="false" customHeight="false" outlineLevel="0" collapsed="false">
      <c r="A12" s="42" t="n">
        <v>45036</v>
      </c>
      <c r="B12" s="28" t="n">
        <f aca="false">COUNTIFS(Trades!$D$2:$D$884,$A12)</f>
        <v>1</v>
      </c>
      <c r="C12" s="28" t="n">
        <f aca="false">COUNTIFS(Trades!$D$2:$D$884,$A12,Trades!$Z$2:$Z$884,"Win")</f>
        <v>1</v>
      </c>
      <c r="D12" s="28" t="n">
        <f aca="false">COUNTIFS(Trades!$D$2:$D$884,$A12,Trades!$Z$2:$Z$884,"Loss")</f>
        <v>0</v>
      </c>
      <c r="E12" s="29" t="n">
        <f aca="false">IFERROR(C12/B12,0)</f>
        <v>1</v>
      </c>
      <c r="F12" s="30" t="n">
        <f aca="false">SUMIFS(Trades!$X$2:$X$884,Trades!$D$2:$D$884,$A12)</f>
        <v>170.07</v>
      </c>
      <c r="G12" s="30" t="n">
        <f aca="false">SUMIFS(Trades!$X$2:$X$884,Trades!$D$2:$D$884,$A12,Trades!$X$2:$X$884,"&gt;0")</f>
        <v>170.07</v>
      </c>
      <c r="H12" s="30" t="n">
        <f aca="false">SUMIFS(Trades!$X$2:$X$884,Trades!$D$2:$D$884,$A12,Trades!$X$2:$X$884,"&lt;0")</f>
        <v>0</v>
      </c>
      <c r="I12" s="31" t="str">
        <f aca="false">IFERROR(G12/-H12,"no loss")</f>
        <v>no loss</v>
      </c>
      <c r="J12" s="30" t="n">
        <f aca="false">_xlfn.MAXIFS(Trades!$X$2:$X$884,Trades!$D$2:$D$884,$A12)</f>
        <v>170.07</v>
      </c>
      <c r="K12" s="30" t="n">
        <f aca="false">_xlfn.MINIFS(Trades!$X$2:$X$884,Trades!$D$2:$D$884,$A12)</f>
        <v>170.07</v>
      </c>
      <c r="L12" s="32" t="n">
        <f aca="false">SUMIFS(Trades!$Y$2:$Y$884,Trades!$D$2:$D$884,$A12)</f>
        <v>2.02676613595193</v>
      </c>
      <c r="M12" s="30" t="n">
        <f aca="false">P11</f>
        <v>99656.89</v>
      </c>
      <c r="N12" s="29" t="n">
        <f aca="false">IFERROR(F12/M12,0)</f>
        <v>0.00170655536210291</v>
      </c>
      <c r="O12" s="28" t="str">
        <f aca="false">IF(-N12&gt;=Summary!$C$7,"BREACH","")</f>
        <v/>
      </c>
      <c r="P12" s="30" t="n">
        <f aca="false">M12+F12</f>
        <v>99826.96</v>
      </c>
      <c r="Q12" s="30" t="n">
        <f aca="false">P12-Summary!$C$5</f>
        <v>-173.039999999979</v>
      </c>
      <c r="R12" s="2" t="str">
        <f aca="false">TEXT(A12,"ddd")</f>
        <v>Thu</v>
      </c>
    </row>
    <row r="13" customFormat="false" ht="15" hidden="false" customHeight="false" outlineLevel="0" collapsed="false">
      <c r="A13" s="42" t="n">
        <v>45037</v>
      </c>
      <c r="B13" s="28" t="n">
        <f aca="false">COUNTIFS(Trades!$D$2:$D$884,$A13)</f>
        <v>1</v>
      </c>
      <c r="C13" s="28" t="n">
        <f aca="false">COUNTIFS(Trades!$D$2:$D$884,$A13,Trades!$Z$2:$Z$884,"Win")</f>
        <v>0</v>
      </c>
      <c r="D13" s="28" t="n">
        <f aca="false">COUNTIFS(Trades!$D$2:$D$884,$A13,Trades!$Z$2:$Z$884,"Loss")</f>
        <v>1</v>
      </c>
      <c r="E13" s="29" t="n">
        <f aca="false">IFERROR(C13/B13,0)</f>
        <v>0</v>
      </c>
      <c r="F13" s="30" t="n">
        <f aca="false">SUMIFS(Trades!$X$2:$X$884,Trades!$D$2:$D$884,$A13)</f>
        <v>-71.4</v>
      </c>
      <c r="G13" s="30" t="n">
        <f aca="false">SUMIFS(Trades!$X$2:$X$884,Trades!$D$2:$D$884,$A13,Trades!$X$2:$X$884,"&gt;0")</f>
        <v>0</v>
      </c>
      <c r="H13" s="30" t="n">
        <f aca="false">SUMIFS(Trades!$X$2:$X$884,Trades!$D$2:$D$884,$A13,Trades!$X$2:$X$884,"&lt;0")</f>
        <v>-71.4</v>
      </c>
      <c r="I13" s="31" t="n">
        <f aca="false">IFERROR(G13/-H13,"no loss")</f>
        <v>0</v>
      </c>
      <c r="J13" s="30" t="n">
        <f aca="false">_xlfn.MAXIFS(Trades!$X$2:$X$884,Trades!$D$2:$D$884,$A13)</f>
        <v>-71.4</v>
      </c>
      <c r="K13" s="30" t="n">
        <f aca="false">_xlfn.MINIFS(Trades!$X$2:$X$884,Trades!$D$2:$D$884,$A13)</f>
        <v>-71.4</v>
      </c>
      <c r="L13" s="32" t="n">
        <f aca="false">SUMIFS(Trades!$Y$2:$Y$884,Trades!$D$2:$D$884,$A13)</f>
        <v>-1.00574712643691</v>
      </c>
      <c r="M13" s="30" t="n">
        <f aca="false">P12</f>
        <v>99826.96</v>
      </c>
      <c r="N13" s="29" t="n">
        <f aca="false">IFERROR(F13/M13,0)</f>
        <v>-0.000715237647224758</v>
      </c>
      <c r="O13" s="28" t="str">
        <f aca="false">IF(-N13&gt;=Summary!$C$7,"BREACH","")</f>
        <v/>
      </c>
      <c r="P13" s="30" t="n">
        <f aca="false">M13+F13</f>
        <v>99755.56</v>
      </c>
      <c r="Q13" s="30" t="n">
        <f aca="false">P13-Summary!$C$5</f>
        <v>-244.439999999973</v>
      </c>
      <c r="R13" s="2" t="str">
        <f aca="false">TEXT(A13,"ddd")</f>
        <v>Fri</v>
      </c>
    </row>
    <row r="14" customFormat="false" ht="15" hidden="false" customHeight="false" outlineLevel="0" collapsed="false">
      <c r="A14" s="42" t="n">
        <v>45040</v>
      </c>
      <c r="B14" s="28" t="n">
        <f aca="false">COUNTIFS(Trades!$D$2:$D$884,$A14)</f>
        <v>2</v>
      </c>
      <c r="C14" s="28" t="n">
        <f aca="false">COUNTIFS(Trades!$D$2:$D$884,$A14,Trades!$Z$2:$Z$884,"Win")</f>
        <v>0</v>
      </c>
      <c r="D14" s="28" t="n">
        <f aca="false">COUNTIFS(Trades!$D$2:$D$884,$A14,Trades!$Z$2:$Z$884,"Loss")</f>
        <v>2</v>
      </c>
      <c r="E14" s="29" t="n">
        <f aca="false">IFERROR(C14/B14,0)</f>
        <v>0</v>
      </c>
      <c r="F14" s="30" t="n">
        <f aca="false">SUMIFS(Trades!$X$2:$X$884,Trades!$D$2:$D$884,$A14)</f>
        <v>-299.6</v>
      </c>
      <c r="G14" s="30" t="n">
        <f aca="false">SUMIFS(Trades!$X$2:$X$884,Trades!$D$2:$D$884,$A14,Trades!$X$2:$X$884,"&gt;0")</f>
        <v>0</v>
      </c>
      <c r="H14" s="30" t="n">
        <f aca="false">SUMIFS(Trades!$X$2:$X$884,Trades!$D$2:$D$884,$A14,Trades!$X$2:$X$884,"&lt;0")</f>
        <v>-299.6</v>
      </c>
      <c r="I14" s="31" t="n">
        <f aca="false">IFERROR(G14/-H14,"no loss")</f>
        <v>0</v>
      </c>
      <c r="J14" s="30" t="n">
        <f aca="false">_xlfn.MAXIFS(Trades!$X$2:$X$884,Trades!$D$2:$D$884,$A14)</f>
        <v>-89.62</v>
      </c>
      <c r="K14" s="30" t="n">
        <f aca="false">_xlfn.MINIFS(Trades!$X$2:$X$884,Trades!$D$2:$D$884,$A14)</f>
        <v>-209.98</v>
      </c>
      <c r="L14" s="32" t="n">
        <f aca="false">SUMIFS(Trades!$Y$2:$Y$884,Trades!$D$2:$D$884,$A14)</f>
        <v>-2.01384632410713</v>
      </c>
      <c r="M14" s="30" t="n">
        <f aca="false">P13</f>
        <v>99755.56</v>
      </c>
      <c r="N14" s="29" t="n">
        <f aca="false">IFERROR(F14/M14,0)</f>
        <v>-0.00300334136763906</v>
      </c>
      <c r="O14" s="28" t="str">
        <f aca="false">IF(-N14&gt;=Summary!$C$7,"BREACH","")</f>
        <v/>
      </c>
      <c r="P14" s="30" t="n">
        <f aca="false">M14+F14</f>
        <v>99455.96</v>
      </c>
      <c r="Q14" s="30" t="n">
        <f aca="false">P14-Summary!$C$5</f>
        <v>-544.039999999979</v>
      </c>
      <c r="R14" s="2" t="str">
        <f aca="false">TEXT(A14,"ddd")</f>
        <v>Mon</v>
      </c>
    </row>
    <row r="15" customFormat="false" ht="15" hidden="false" customHeight="false" outlineLevel="0" collapsed="false">
      <c r="A15" s="42" t="n">
        <v>45041</v>
      </c>
      <c r="B15" s="28" t="n">
        <f aca="false">COUNTIFS(Trades!$D$2:$D$884,$A15)</f>
        <v>1</v>
      </c>
      <c r="C15" s="28" t="n">
        <f aca="false">COUNTIFS(Trades!$D$2:$D$884,$A15,Trades!$Z$2:$Z$884,"Win")</f>
        <v>0</v>
      </c>
      <c r="D15" s="28" t="n">
        <f aca="false">COUNTIFS(Trades!$D$2:$D$884,$A15,Trades!$Z$2:$Z$884,"Loss")</f>
        <v>1</v>
      </c>
      <c r="E15" s="29" t="n">
        <f aca="false">IFERROR(C15/B15,0)</f>
        <v>0</v>
      </c>
      <c r="F15" s="30" t="n">
        <f aca="false">SUMIFS(Trades!$X$2:$X$884,Trades!$D$2:$D$884,$A15)</f>
        <v>-81.26</v>
      </c>
      <c r="G15" s="30" t="n">
        <f aca="false">SUMIFS(Trades!$X$2:$X$884,Trades!$D$2:$D$884,$A15,Trades!$X$2:$X$884,"&gt;0")</f>
        <v>0</v>
      </c>
      <c r="H15" s="30" t="n">
        <f aca="false">SUMIFS(Trades!$X$2:$X$884,Trades!$D$2:$D$884,$A15,Trades!$X$2:$X$884,"&lt;0")</f>
        <v>-81.26</v>
      </c>
      <c r="I15" s="31" t="n">
        <f aca="false">IFERROR(G15/-H15,"no loss")</f>
        <v>0</v>
      </c>
      <c r="J15" s="30" t="n">
        <f aca="false">_xlfn.MAXIFS(Trades!$X$2:$X$884,Trades!$D$2:$D$884,$A15)</f>
        <v>-81.26</v>
      </c>
      <c r="K15" s="30" t="n">
        <f aca="false">_xlfn.MINIFS(Trades!$X$2:$X$884,Trades!$D$2:$D$884,$A15)</f>
        <v>-81.26</v>
      </c>
      <c r="L15" s="32" t="n">
        <f aca="false">SUMIFS(Trades!$Y$2:$Y$884,Trades!$D$2:$D$884,$A15)</f>
        <v>-1.00251677852348</v>
      </c>
      <c r="M15" s="30" t="n">
        <f aca="false">P14</f>
        <v>99455.96</v>
      </c>
      <c r="N15" s="29" t="n">
        <f aca="false">IFERROR(F15/M15,0)</f>
        <v>-0.000817045051900359</v>
      </c>
      <c r="O15" s="28" t="str">
        <f aca="false">IF(-N15&gt;=Summary!$C$7,"BREACH","")</f>
        <v/>
      </c>
      <c r="P15" s="30" t="n">
        <f aca="false">M15+F15</f>
        <v>99374.7</v>
      </c>
      <c r="Q15" s="30" t="n">
        <f aca="false">P15-Summary!$C$5</f>
        <v>-625.299999999974</v>
      </c>
      <c r="R15" s="2" t="str">
        <f aca="false">TEXT(A15,"ddd")</f>
        <v>Tue</v>
      </c>
    </row>
    <row r="16" customFormat="false" ht="15" hidden="false" customHeight="false" outlineLevel="0" collapsed="false">
      <c r="A16" s="42" t="n">
        <v>45043</v>
      </c>
      <c r="B16" s="28" t="n">
        <f aca="false">COUNTIFS(Trades!$D$2:$D$884,$A16)</f>
        <v>1</v>
      </c>
      <c r="C16" s="28" t="n">
        <f aca="false">COUNTIFS(Trades!$D$2:$D$884,$A16,Trades!$Z$2:$Z$884,"Win")</f>
        <v>0</v>
      </c>
      <c r="D16" s="28" t="n">
        <f aca="false">COUNTIFS(Trades!$D$2:$D$884,$A16,Trades!$Z$2:$Z$884,"Loss")</f>
        <v>1</v>
      </c>
      <c r="E16" s="29" t="n">
        <f aca="false">IFERROR(C16/B16,0)</f>
        <v>0</v>
      </c>
      <c r="F16" s="30" t="n">
        <f aca="false">SUMIFS(Trades!$X$2:$X$884,Trades!$D$2:$D$884,$A16)</f>
        <v>-12.92</v>
      </c>
      <c r="G16" s="30" t="n">
        <f aca="false">SUMIFS(Trades!$X$2:$X$884,Trades!$D$2:$D$884,$A16,Trades!$X$2:$X$884,"&gt;0")</f>
        <v>0</v>
      </c>
      <c r="H16" s="30" t="n">
        <f aca="false">SUMIFS(Trades!$X$2:$X$884,Trades!$D$2:$D$884,$A16,Trades!$X$2:$X$884,"&lt;0")</f>
        <v>-12.92</v>
      </c>
      <c r="I16" s="31" t="n">
        <f aca="false">IFERROR(G16/-H16,"no loss")</f>
        <v>0</v>
      </c>
      <c r="J16" s="30" t="n">
        <f aca="false">_xlfn.MAXIFS(Trades!$X$2:$X$884,Trades!$D$2:$D$884,$A16)</f>
        <v>-12.92</v>
      </c>
      <c r="K16" s="30" t="n">
        <f aca="false">_xlfn.MINIFS(Trades!$X$2:$X$884,Trades!$D$2:$D$884,$A16)</f>
        <v>-12.92</v>
      </c>
      <c r="L16" s="32" t="n">
        <f aca="false">SUMIFS(Trades!$Y$2:$Y$884,Trades!$D$2:$D$884,$A16)</f>
        <v>-0.221187427240974</v>
      </c>
      <c r="M16" s="30" t="n">
        <f aca="false">P15</f>
        <v>99374.7</v>
      </c>
      <c r="N16" s="29" t="n">
        <f aca="false">IFERROR(F16/M16,0)</f>
        <v>-0.00013001297110834</v>
      </c>
      <c r="O16" s="28" t="str">
        <f aca="false">IF(-N16&gt;=Summary!$C$7,"BREACH","")</f>
        <v/>
      </c>
      <c r="P16" s="30" t="n">
        <f aca="false">M16+F16</f>
        <v>99361.78</v>
      </c>
      <c r="Q16" s="30" t="n">
        <f aca="false">P16-Summary!$C$5</f>
        <v>-638.219999999972</v>
      </c>
      <c r="R16" s="2" t="str">
        <f aca="false">TEXT(A16,"ddd")</f>
        <v>Thu</v>
      </c>
    </row>
    <row r="17" customFormat="false" ht="15" hidden="false" customHeight="false" outlineLevel="0" collapsed="false">
      <c r="A17" s="42" t="n">
        <v>45047</v>
      </c>
      <c r="B17" s="28" t="n">
        <f aca="false">COUNTIFS(Trades!$D$2:$D$884,$A17)</f>
        <v>2</v>
      </c>
      <c r="C17" s="28" t="n">
        <f aca="false">COUNTIFS(Trades!$D$2:$D$884,$A17,Trades!$Z$2:$Z$884,"Win")</f>
        <v>0</v>
      </c>
      <c r="D17" s="28" t="n">
        <f aca="false">COUNTIFS(Trades!$D$2:$D$884,$A17,Trades!$Z$2:$Z$884,"Loss")</f>
        <v>2</v>
      </c>
      <c r="E17" s="29" t="n">
        <f aca="false">IFERROR(C17/B17,0)</f>
        <v>0</v>
      </c>
      <c r="F17" s="30" t="n">
        <f aca="false">SUMIFS(Trades!$X$2:$X$884,Trades!$D$2:$D$884,$A17)</f>
        <v>-245.73</v>
      </c>
      <c r="G17" s="30" t="n">
        <f aca="false">SUMIFS(Trades!$X$2:$X$884,Trades!$D$2:$D$884,$A17,Trades!$X$2:$X$884,"&gt;0")</f>
        <v>0</v>
      </c>
      <c r="H17" s="30" t="n">
        <f aca="false">SUMIFS(Trades!$X$2:$X$884,Trades!$D$2:$D$884,$A17,Trades!$X$2:$X$884,"&lt;0")</f>
        <v>-245.73</v>
      </c>
      <c r="I17" s="31" t="n">
        <f aca="false">IFERROR(G17/-H17,"no loss")</f>
        <v>0</v>
      </c>
      <c r="J17" s="30" t="n">
        <f aca="false">_xlfn.MAXIFS(Trades!$X$2:$X$884,Trades!$D$2:$D$884,$A17)</f>
        <v>-74.38</v>
      </c>
      <c r="K17" s="30" t="n">
        <f aca="false">_xlfn.MINIFS(Trades!$X$2:$X$884,Trades!$D$2:$D$884,$A17)</f>
        <v>-171.35</v>
      </c>
      <c r="L17" s="32" t="n">
        <f aca="false">SUMIFS(Trades!$Y$2:$Y$884,Trades!$D$2:$D$884,$A17)</f>
        <v>-2.60084438285851</v>
      </c>
      <c r="M17" s="30" t="n">
        <f aca="false">P16</f>
        <v>99361.78</v>
      </c>
      <c r="N17" s="29" t="n">
        <f aca="false">IFERROR(F17/M17,0)</f>
        <v>-0.00247308371488514</v>
      </c>
      <c r="O17" s="28" t="str">
        <f aca="false">IF(-N17&gt;=Summary!$C$7,"BREACH","")</f>
        <v/>
      </c>
      <c r="P17" s="30" t="n">
        <f aca="false">M17+F17</f>
        <v>99116.05</v>
      </c>
      <c r="Q17" s="30" t="n">
        <f aca="false">P17-Summary!$C$5</f>
        <v>-883.949999999968</v>
      </c>
      <c r="R17" s="2" t="str">
        <f aca="false">TEXT(A17,"ddd")</f>
        <v>Mon</v>
      </c>
    </row>
    <row r="18" customFormat="false" ht="15" hidden="false" customHeight="false" outlineLevel="0" collapsed="false">
      <c r="A18" s="42" t="n">
        <v>45048</v>
      </c>
      <c r="B18" s="28" t="n">
        <f aca="false">COUNTIFS(Trades!$D$2:$D$884,$A18)</f>
        <v>1</v>
      </c>
      <c r="C18" s="28" t="n">
        <f aca="false">COUNTIFS(Trades!$D$2:$D$884,$A18,Trades!$Z$2:$Z$884,"Win")</f>
        <v>1</v>
      </c>
      <c r="D18" s="28" t="n">
        <f aca="false">COUNTIFS(Trades!$D$2:$D$884,$A18,Trades!$Z$2:$Z$884,"Loss")</f>
        <v>0</v>
      </c>
      <c r="E18" s="29" t="n">
        <f aca="false">IFERROR(C18/B18,0)</f>
        <v>1</v>
      </c>
      <c r="F18" s="30" t="n">
        <f aca="false">SUMIFS(Trades!$X$2:$X$884,Trades!$D$2:$D$884,$A18)</f>
        <v>310.99</v>
      </c>
      <c r="G18" s="30" t="n">
        <f aca="false">SUMIFS(Trades!$X$2:$X$884,Trades!$D$2:$D$884,$A18,Trades!$X$2:$X$884,"&gt;0")</f>
        <v>310.99</v>
      </c>
      <c r="H18" s="30" t="n">
        <f aca="false">SUMIFS(Trades!$X$2:$X$884,Trades!$D$2:$D$884,$A18,Trades!$X$2:$X$884,"&lt;0")</f>
        <v>0</v>
      </c>
      <c r="I18" s="31" t="str">
        <f aca="false">IFERROR(G18/-H18,"no loss")</f>
        <v>no loss</v>
      </c>
      <c r="J18" s="30" t="n">
        <f aca="false">_xlfn.MAXIFS(Trades!$X$2:$X$884,Trades!$D$2:$D$884,$A18)</f>
        <v>310.99</v>
      </c>
      <c r="K18" s="30" t="n">
        <f aca="false">_xlfn.MINIFS(Trades!$X$2:$X$884,Trades!$D$2:$D$884,$A18)</f>
        <v>310.99</v>
      </c>
      <c r="L18" s="32" t="n">
        <f aca="false">SUMIFS(Trades!$Y$2:$Y$884,Trades!$D$2:$D$884,$A18)</f>
        <v>2.01452317100019</v>
      </c>
      <c r="M18" s="30" t="n">
        <f aca="false">P17</f>
        <v>99116.05</v>
      </c>
      <c r="N18" s="29" t="n">
        <f aca="false">IFERROR(F18/M18,0)</f>
        <v>0.00313763512569357</v>
      </c>
      <c r="O18" s="28" t="str">
        <f aca="false">IF(-N18&gt;=Summary!$C$7,"BREACH","")</f>
        <v/>
      </c>
      <c r="P18" s="30" t="n">
        <f aca="false">M18+F18</f>
        <v>99427.04</v>
      </c>
      <c r="Q18" s="30" t="n">
        <f aca="false">P18-Summary!$C$5</f>
        <v>-572.959999999963</v>
      </c>
      <c r="R18" s="2" t="str">
        <f aca="false">TEXT(A18,"ddd")</f>
        <v>Tue</v>
      </c>
    </row>
    <row r="19" customFormat="false" ht="15" hidden="false" customHeight="false" outlineLevel="0" collapsed="false">
      <c r="A19" s="42" t="n">
        <v>45050</v>
      </c>
      <c r="B19" s="28" t="n">
        <f aca="false">COUNTIFS(Trades!$D$2:$D$884,$A19)</f>
        <v>1</v>
      </c>
      <c r="C19" s="28" t="n">
        <f aca="false">COUNTIFS(Trades!$D$2:$D$884,$A19,Trades!$Z$2:$Z$884,"Win")</f>
        <v>0</v>
      </c>
      <c r="D19" s="28" t="n">
        <f aca="false">COUNTIFS(Trades!$D$2:$D$884,$A19,Trades!$Z$2:$Z$884,"Loss")</f>
        <v>1</v>
      </c>
      <c r="E19" s="29" t="n">
        <f aca="false">IFERROR(C19/B19,0)</f>
        <v>0</v>
      </c>
      <c r="F19" s="30" t="n">
        <f aca="false">SUMIFS(Trades!$X$2:$X$884,Trades!$D$2:$D$884,$A19)</f>
        <v>-3.35</v>
      </c>
      <c r="G19" s="30" t="n">
        <f aca="false">SUMIFS(Trades!$X$2:$X$884,Trades!$D$2:$D$884,$A19,Trades!$X$2:$X$884,"&gt;0")</f>
        <v>0</v>
      </c>
      <c r="H19" s="30" t="n">
        <f aca="false">SUMIFS(Trades!$X$2:$X$884,Trades!$D$2:$D$884,$A19,Trades!$X$2:$X$884,"&lt;0")</f>
        <v>-3.35</v>
      </c>
      <c r="I19" s="31" t="n">
        <f aca="false">IFERROR(G19/-H19,"no loss")</f>
        <v>0</v>
      </c>
      <c r="J19" s="30" t="n">
        <f aca="false">_xlfn.MAXIFS(Trades!$X$2:$X$884,Trades!$D$2:$D$884,$A19)</f>
        <v>-3.35</v>
      </c>
      <c r="K19" s="30" t="n">
        <f aca="false">_xlfn.MINIFS(Trades!$X$2:$X$884,Trades!$D$2:$D$884,$A19)</f>
        <v>-3.35</v>
      </c>
      <c r="L19" s="32" t="n">
        <f aca="false">SUMIFS(Trades!$Y$2:$Y$884,Trades!$D$2:$D$884,$A19)</f>
        <v>-0.0124092458141945</v>
      </c>
      <c r="M19" s="30" t="n">
        <f aca="false">P18</f>
        <v>99427.04</v>
      </c>
      <c r="N19" s="29" t="n">
        <f aca="false">IFERROR(F19/M19,0)</f>
        <v>-3.36930476860218E-005</v>
      </c>
      <c r="O19" s="28" t="str">
        <f aca="false">IF(-N19&gt;=Summary!$C$7,"BREACH","")</f>
        <v/>
      </c>
      <c r="P19" s="30" t="n">
        <f aca="false">M19+F19</f>
        <v>99423.69</v>
      </c>
      <c r="Q19" s="30" t="n">
        <f aca="false">P19-Summary!$C$5</f>
        <v>-576.309999999969</v>
      </c>
      <c r="R19" s="2" t="str">
        <f aca="false">TEXT(A19,"ddd")</f>
        <v>Thu</v>
      </c>
    </row>
    <row r="20" customFormat="false" ht="15" hidden="false" customHeight="false" outlineLevel="0" collapsed="false">
      <c r="A20" s="42" t="n">
        <v>45051</v>
      </c>
      <c r="B20" s="28" t="n">
        <f aca="false">COUNTIFS(Trades!$D$2:$D$884,$A20)</f>
        <v>1</v>
      </c>
      <c r="C20" s="28" t="n">
        <f aca="false">COUNTIFS(Trades!$D$2:$D$884,$A20,Trades!$Z$2:$Z$884,"Win")</f>
        <v>1</v>
      </c>
      <c r="D20" s="28" t="n">
        <f aca="false">COUNTIFS(Trades!$D$2:$D$884,$A20,Trades!$Z$2:$Z$884,"Loss")</f>
        <v>0</v>
      </c>
      <c r="E20" s="29" t="n">
        <f aca="false">IFERROR(C20/B20,0)</f>
        <v>1</v>
      </c>
      <c r="F20" s="30" t="n">
        <f aca="false">SUMIFS(Trades!$X$2:$X$884,Trades!$D$2:$D$884,$A20)</f>
        <v>234.53</v>
      </c>
      <c r="G20" s="30" t="n">
        <f aca="false">SUMIFS(Trades!$X$2:$X$884,Trades!$D$2:$D$884,$A20,Trades!$X$2:$X$884,"&gt;0")</f>
        <v>234.53</v>
      </c>
      <c r="H20" s="30" t="n">
        <f aca="false">SUMIFS(Trades!$X$2:$X$884,Trades!$D$2:$D$884,$A20,Trades!$X$2:$X$884,"&lt;0")</f>
        <v>0</v>
      </c>
      <c r="I20" s="31" t="str">
        <f aca="false">IFERROR(G20/-H20,"no loss")</f>
        <v>no loss</v>
      </c>
      <c r="J20" s="30" t="n">
        <f aca="false">_xlfn.MAXIFS(Trades!$X$2:$X$884,Trades!$D$2:$D$884,$A20)</f>
        <v>234.53</v>
      </c>
      <c r="K20" s="30" t="n">
        <f aca="false">_xlfn.MINIFS(Trades!$X$2:$X$884,Trades!$D$2:$D$884,$A20)</f>
        <v>234.53</v>
      </c>
      <c r="L20" s="32" t="n">
        <f aca="false">SUMIFS(Trades!$Y$2:$Y$884,Trades!$D$2:$D$884,$A20)</f>
        <v>1.83163600012496</v>
      </c>
      <c r="M20" s="30" t="n">
        <f aca="false">P19</f>
        <v>99423.69</v>
      </c>
      <c r="N20" s="29" t="n">
        <f aca="false">IFERROR(F20/M20,0)</f>
        <v>0.00235889454515317</v>
      </c>
      <c r="O20" s="28" t="str">
        <f aca="false">IF(-N20&gt;=Summary!$C$7,"BREACH","")</f>
        <v/>
      </c>
      <c r="P20" s="30" t="n">
        <f aca="false">M20+F20</f>
        <v>99658.22</v>
      </c>
      <c r="Q20" s="30" t="n">
        <f aca="false">P20-Summary!$C$5</f>
        <v>-341.77999999997</v>
      </c>
      <c r="R20" s="2" t="str">
        <f aca="false">TEXT(A20,"ddd")</f>
        <v>Fri</v>
      </c>
    </row>
    <row r="21" customFormat="false" ht="15" hidden="false" customHeight="false" outlineLevel="0" collapsed="false">
      <c r="A21" s="42" t="n">
        <v>45054</v>
      </c>
      <c r="B21" s="28" t="n">
        <f aca="false">COUNTIFS(Trades!$D$2:$D$884,$A21)</f>
        <v>1</v>
      </c>
      <c r="C21" s="28" t="n">
        <f aca="false">COUNTIFS(Trades!$D$2:$D$884,$A21,Trades!$Z$2:$Z$884,"Win")</f>
        <v>0</v>
      </c>
      <c r="D21" s="28" t="n">
        <f aca="false">COUNTIFS(Trades!$D$2:$D$884,$A21,Trades!$Z$2:$Z$884,"Loss")</f>
        <v>1</v>
      </c>
      <c r="E21" s="29" t="n">
        <f aca="false">IFERROR(C21/B21,0)</f>
        <v>0</v>
      </c>
      <c r="F21" s="30" t="n">
        <f aca="false">SUMIFS(Trades!$X$2:$X$884,Trades!$D$2:$D$884,$A21)</f>
        <v>-68.05</v>
      </c>
      <c r="G21" s="30" t="n">
        <f aca="false">SUMIFS(Trades!$X$2:$X$884,Trades!$D$2:$D$884,$A21,Trades!$X$2:$X$884,"&gt;0")</f>
        <v>0</v>
      </c>
      <c r="H21" s="30" t="n">
        <f aca="false">SUMIFS(Trades!$X$2:$X$884,Trades!$D$2:$D$884,$A21,Trades!$X$2:$X$884,"&lt;0")</f>
        <v>-68.05</v>
      </c>
      <c r="I21" s="31" t="n">
        <f aca="false">IFERROR(G21/-H21,"no loss")</f>
        <v>0</v>
      </c>
      <c r="J21" s="30" t="n">
        <f aca="false">_xlfn.MAXIFS(Trades!$X$2:$X$884,Trades!$D$2:$D$884,$A21)</f>
        <v>-68.05</v>
      </c>
      <c r="K21" s="30" t="n">
        <f aca="false">_xlfn.MINIFS(Trades!$X$2:$X$884,Trades!$D$2:$D$884,$A21)</f>
        <v>-68.05</v>
      </c>
      <c r="L21" s="32" t="n">
        <f aca="false">SUMIFS(Trades!$Y$2:$Y$884,Trades!$D$2:$D$884,$A21)</f>
        <v>-1.03106060606061</v>
      </c>
      <c r="M21" s="30" t="n">
        <f aca="false">P20</f>
        <v>99658.22</v>
      </c>
      <c r="N21" s="29" t="n">
        <f aca="false">IFERROR(F21/M21,0)</f>
        <v>-0.000682833789325155</v>
      </c>
      <c r="O21" s="28" t="str">
        <f aca="false">IF(-N21&gt;=Summary!$C$7,"BREACH","")</f>
        <v/>
      </c>
      <c r="P21" s="30" t="n">
        <f aca="false">M21+F21</f>
        <v>99590.17</v>
      </c>
      <c r="Q21" s="30" t="n">
        <f aca="false">P21-Summary!$C$5</f>
        <v>-409.829999999973</v>
      </c>
      <c r="R21" s="2" t="str">
        <f aca="false">TEXT(A21,"ddd")</f>
        <v>Mon</v>
      </c>
    </row>
    <row r="22" customFormat="false" ht="15" hidden="false" customHeight="false" outlineLevel="0" collapsed="false">
      <c r="A22" s="42" t="n">
        <v>45056</v>
      </c>
      <c r="B22" s="28" t="n">
        <f aca="false">COUNTIFS(Trades!$D$2:$D$884,$A22)</f>
        <v>2</v>
      </c>
      <c r="C22" s="28" t="n">
        <f aca="false">COUNTIFS(Trades!$D$2:$D$884,$A22,Trades!$Z$2:$Z$884,"Win")</f>
        <v>1</v>
      </c>
      <c r="D22" s="28" t="n">
        <f aca="false">COUNTIFS(Trades!$D$2:$D$884,$A22,Trades!$Z$2:$Z$884,"Loss")</f>
        <v>1</v>
      </c>
      <c r="E22" s="29" t="n">
        <f aca="false">IFERROR(C22/B22,0)</f>
        <v>0.5</v>
      </c>
      <c r="F22" s="30" t="n">
        <f aca="false">SUMIFS(Trades!$X$2:$X$884,Trades!$D$2:$D$884,$A22)</f>
        <v>260.44</v>
      </c>
      <c r="G22" s="30" t="n">
        <f aca="false">SUMIFS(Trades!$X$2:$X$884,Trades!$D$2:$D$884,$A22,Trades!$X$2:$X$884,"&gt;0")</f>
        <v>316.67</v>
      </c>
      <c r="H22" s="30" t="n">
        <f aca="false">SUMIFS(Trades!$X$2:$X$884,Trades!$D$2:$D$884,$A22,Trades!$X$2:$X$884,"&lt;0")</f>
        <v>-56.23</v>
      </c>
      <c r="I22" s="31" t="n">
        <f aca="false">IFERROR(G22/-H22,"no loss")</f>
        <v>5.6316912680064</v>
      </c>
      <c r="J22" s="30" t="n">
        <f aca="false">_xlfn.MAXIFS(Trades!$X$2:$X$884,Trades!$D$2:$D$884,$A22)</f>
        <v>316.67</v>
      </c>
      <c r="K22" s="30" t="n">
        <f aca="false">_xlfn.MINIFS(Trades!$X$2:$X$884,Trades!$D$2:$D$884,$A22)</f>
        <v>-56.23</v>
      </c>
      <c r="L22" s="32" t="n">
        <f aca="false">SUMIFS(Trades!$Y$2:$Y$884,Trades!$D$2:$D$884,$A22)</f>
        <v>0.846674382202264</v>
      </c>
      <c r="M22" s="30" t="n">
        <f aca="false">P21</f>
        <v>99590.17</v>
      </c>
      <c r="N22" s="29" t="n">
        <f aca="false">IFERROR(F22/M22,0)</f>
        <v>0.0026151175361986</v>
      </c>
      <c r="O22" s="28" t="str">
        <f aca="false">IF(-N22&gt;=Summary!$C$7,"BREACH","")</f>
        <v/>
      </c>
      <c r="P22" s="30" t="n">
        <f aca="false">M22+F22</f>
        <v>99850.61</v>
      </c>
      <c r="Q22" s="30" t="n">
        <f aca="false">P22-Summary!$C$5</f>
        <v>-149.38999999997</v>
      </c>
      <c r="R22" s="2" t="str">
        <f aca="false">TEXT(A22,"ddd")</f>
        <v>Wed</v>
      </c>
    </row>
    <row r="23" customFormat="false" ht="15" hidden="false" customHeight="false" outlineLevel="0" collapsed="false">
      <c r="A23" s="42" t="n">
        <v>45057</v>
      </c>
      <c r="B23" s="28" t="n">
        <f aca="false">COUNTIFS(Trades!$D$2:$D$884,$A23)</f>
        <v>1</v>
      </c>
      <c r="C23" s="28" t="n">
        <f aca="false">COUNTIFS(Trades!$D$2:$D$884,$A23,Trades!$Z$2:$Z$884,"Win")</f>
        <v>0</v>
      </c>
      <c r="D23" s="28" t="n">
        <f aca="false">COUNTIFS(Trades!$D$2:$D$884,$A23,Trades!$Z$2:$Z$884,"Loss")</f>
        <v>1</v>
      </c>
      <c r="E23" s="29" t="n">
        <f aca="false">IFERROR(C23/B23,0)</f>
        <v>0</v>
      </c>
      <c r="F23" s="30" t="n">
        <f aca="false">SUMIFS(Trades!$X$2:$X$884,Trades!$D$2:$D$884,$A23)</f>
        <v>-58.08</v>
      </c>
      <c r="G23" s="30" t="n">
        <f aca="false">SUMIFS(Trades!$X$2:$X$884,Trades!$D$2:$D$884,$A23,Trades!$X$2:$X$884,"&gt;0")</f>
        <v>0</v>
      </c>
      <c r="H23" s="30" t="n">
        <f aca="false">SUMIFS(Trades!$X$2:$X$884,Trades!$D$2:$D$884,$A23,Trades!$X$2:$X$884,"&lt;0")</f>
        <v>-58.08</v>
      </c>
      <c r="I23" s="31" t="n">
        <f aca="false">IFERROR(G23/-H23,"no loss")</f>
        <v>0</v>
      </c>
      <c r="J23" s="30" t="n">
        <f aca="false">_xlfn.MAXIFS(Trades!$X$2:$X$884,Trades!$D$2:$D$884,$A23)</f>
        <v>-58.08</v>
      </c>
      <c r="K23" s="30" t="n">
        <f aca="false">_xlfn.MINIFS(Trades!$X$2:$X$884,Trades!$D$2:$D$884,$A23)</f>
        <v>-58.08</v>
      </c>
      <c r="L23" s="32" t="n">
        <f aca="false">SUMIFS(Trades!$Y$2:$Y$884,Trades!$D$2:$D$884,$A23)</f>
        <v>-1.04637336504164</v>
      </c>
      <c r="M23" s="30" t="n">
        <f aca="false">P22</f>
        <v>99850.61</v>
      </c>
      <c r="N23" s="29" t="n">
        <f aca="false">IFERROR(F23/M23,0)</f>
        <v>-0.000581668955252251</v>
      </c>
      <c r="O23" s="28" t="str">
        <f aca="false">IF(-N23&gt;=Summary!$C$7,"BREACH","")</f>
        <v/>
      </c>
      <c r="P23" s="30" t="n">
        <f aca="false">M23+F23</f>
        <v>99792.53</v>
      </c>
      <c r="Q23" s="30" t="n">
        <f aca="false">P23-Summary!$C$5</f>
        <v>-207.469999999972</v>
      </c>
      <c r="R23" s="2" t="str">
        <f aca="false">TEXT(A23,"ddd")</f>
        <v>Thu</v>
      </c>
    </row>
    <row r="24" customFormat="false" ht="15" hidden="false" customHeight="false" outlineLevel="0" collapsed="false">
      <c r="A24" s="42" t="n">
        <v>45058</v>
      </c>
      <c r="B24" s="28" t="n">
        <f aca="false">COUNTIFS(Trades!$D$2:$D$884,$A24)</f>
        <v>2</v>
      </c>
      <c r="C24" s="28" t="n">
        <f aca="false">COUNTIFS(Trades!$D$2:$D$884,$A24,Trades!$Z$2:$Z$884,"Win")</f>
        <v>1</v>
      </c>
      <c r="D24" s="28" t="n">
        <f aca="false">COUNTIFS(Trades!$D$2:$D$884,$A24,Trades!$Z$2:$Z$884,"Loss")</f>
        <v>1</v>
      </c>
      <c r="E24" s="29" t="n">
        <f aca="false">IFERROR(C24/B24,0)</f>
        <v>0.5</v>
      </c>
      <c r="F24" s="30" t="n">
        <f aca="false">SUMIFS(Trades!$X$2:$X$884,Trades!$D$2:$D$884,$A24)</f>
        <v>124.94</v>
      </c>
      <c r="G24" s="30" t="n">
        <f aca="false">SUMIFS(Trades!$X$2:$X$884,Trades!$D$2:$D$884,$A24,Trades!$X$2:$X$884,"&gt;0")</f>
        <v>167.64</v>
      </c>
      <c r="H24" s="30" t="n">
        <f aca="false">SUMIFS(Trades!$X$2:$X$884,Trades!$D$2:$D$884,$A24,Trades!$X$2:$X$884,"&lt;0")</f>
        <v>-42.7</v>
      </c>
      <c r="I24" s="31" t="n">
        <f aca="false">IFERROR(G24/-H24,"no loss")</f>
        <v>3.92599531615925</v>
      </c>
      <c r="J24" s="30" t="n">
        <f aca="false">_xlfn.MAXIFS(Trades!$X$2:$X$884,Trades!$D$2:$D$884,$A24)</f>
        <v>167.64</v>
      </c>
      <c r="K24" s="30" t="n">
        <f aca="false">_xlfn.MINIFS(Trades!$X$2:$X$884,Trades!$D$2:$D$884,$A24)</f>
        <v>-42.7</v>
      </c>
      <c r="L24" s="32" t="n">
        <f aca="false">SUMIFS(Trades!$Y$2:$Y$884,Trades!$D$2:$D$884,$A24)</f>
        <v>1.01455203261838</v>
      </c>
      <c r="M24" s="30" t="n">
        <f aca="false">P23</f>
        <v>99792.53</v>
      </c>
      <c r="N24" s="29" t="n">
        <f aca="false">IFERROR(F24/M24,0)</f>
        <v>0.00125199751925319</v>
      </c>
      <c r="O24" s="28" t="str">
        <f aca="false">IF(-N24&gt;=Summary!$C$7,"BREACH","")</f>
        <v/>
      </c>
      <c r="P24" s="30" t="n">
        <f aca="false">M24+F24</f>
        <v>99917.47</v>
      </c>
      <c r="Q24" s="30" t="n">
        <f aca="false">P24-Summary!$C$5</f>
        <v>-82.5299999999697</v>
      </c>
      <c r="R24" s="2" t="str">
        <f aca="false">TEXT(A24,"ddd")</f>
        <v>Fri</v>
      </c>
    </row>
    <row r="25" customFormat="false" ht="15" hidden="false" customHeight="false" outlineLevel="0" collapsed="false">
      <c r="A25" s="42" t="n">
        <v>45062</v>
      </c>
      <c r="B25" s="28" t="n">
        <f aca="false">COUNTIFS(Trades!$D$2:$D$884,$A25)</f>
        <v>1</v>
      </c>
      <c r="C25" s="28" t="n">
        <f aca="false">COUNTIFS(Trades!$D$2:$D$884,$A25,Trades!$Z$2:$Z$884,"Win")</f>
        <v>0</v>
      </c>
      <c r="D25" s="28" t="n">
        <f aca="false">COUNTIFS(Trades!$D$2:$D$884,$A25,Trades!$Z$2:$Z$884,"Loss")</f>
        <v>1</v>
      </c>
      <c r="E25" s="29" t="n">
        <f aca="false">IFERROR(C25/B25,0)</f>
        <v>0</v>
      </c>
      <c r="F25" s="30" t="n">
        <f aca="false">SUMIFS(Trades!$X$2:$X$884,Trades!$D$2:$D$884,$A25)</f>
        <v>-0.86</v>
      </c>
      <c r="G25" s="30" t="n">
        <f aca="false">SUMIFS(Trades!$X$2:$X$884,Trades!$D$2:$D$884,$A25,Trades!$X$2:$X$884,"&gt;0")</f>
        <v>0</v>
      </c>
      <c r="H25" s="30" t="n">
        <f aca="false">SUMIFS(Trades!$X$2:$X$884,Trades!$D$2:$D$884,$A25,Trades!$X$2:$X$884,"&lt;0")</f>
        <v>-0.86</v>
      </c>
      <c r="I25" s="31" t="n">
        <f aca="false">IFERROR(G25/-H25,"no loss")</f>
        <v>0</v>
      </c>
      <c r="J25" s="30" t="n">
        <f aca="false">_xlfn.MAXIFS(Trades!$X$2:$X$884,Trades!$D$2:$D$884,$A25)</f>
        <v>-0.86</v>
      </c>
      <c r="K25" s="30" t="n">
        <f aca="false">_xlfn.MINIFS(Trades!$X$2:$X$884,Trades!$D$2:$D$884,$A25)</f>
        <v>-0.86</v>
      </c>
      <c r="L25" s="32" t="n">
        <f aca="false">SUMIFS(Trades!$Y$2:$Y$884,Trades!$D$2:$D$884,$A25)</f>
        <v>-0.0163697274250056</v>
      </c>
      <c r="M25" s="30" t="n">
        <f aca="false">P24</f>
        <v>99917.47</v>
      </c>
      <c r="N25" s="29" t="n">
        <f aca="false">IFERROR(F25/M25,0)</f>
        <v>-8.60710344247107E-006</v>
      </c>
      <c r="O25" s="28" t="str">
        <f aca="false">IF(-N25&gt;=Summary!$C$7,"BREACH","")</f>
        <v/>
      </c>
      <c r="P25" s="30" t="n">
        <f aca="false">M25+F25</f>
        <v>99916.61</v>
      </c>
      <c r="Q25" s="30" t="n">
        <f aca="false">P25-Summary!$C$5</f>
        <v>-83.3899999999703</v>
      </c>
      <c r="R25" s="2" t="str">
        <f aca="false">TEXT(A25,"ddd")</f>
        <v>Tue</v>
      </c>
    </row>
    <row r="26" customFormat="false" ht="15" hidden="false" customHeight="false" outlineLevel="0" collapsed="false">
      <c r="A26" s="42" t="n">
        <v>45063</v>
      </c>
      <c r="B26" s="28" t="n">
        <f aca="false">COUNTIFS(Trades!$D$2:$D$884,$A26)</f>
        <v>1</v>
      </c>
      <c r="C26" s="28" t="n">
        <f aca="false">COUNTIFS(Trades!$D$2:$D$884,$A26,Trades!$Z$2:$Z$884,"Win")</f>
        <v>0</v>
      </c>
      <c r="D26" s="28" t="n">
        <f aca="false">COUNTIFS(Trades!$D$2:$D$884,$A26,Trades!$Z$2:$Z$884,"Loss")</f>
        <v>1</v>
      </c>
      <c r="E26" s="29" t="n">
        <f aca="false">IFERROR(C26/B26,0)</f>
        <v>0</v>
      </c>
      <c r="F26" s="30" t="n">
        <f aca="false">SUMIFS(Trades!$X$2:$X$884,Trades!$D$2:$D$884,$A26)</f>
        <v>-70.03</v>
      </c>
      <c r="G26" s="30" t="n">
        <f aca="false">SUMIFS(Trades!$X$2:$X$884,Trades!$D$2:$D$884,$A26,Trades!$X$2:$X$884,"&gt;0")</f>
        <v>0</v>
      </c>
      <c r="H26" s="30" t="n">
        <f aca="false">SUMIFS(Trades!$X$2:$X$884,Trades!$D$2:$D$884,$A26,Trades!$X$2:$X$884,"&lt;0")</f>
        <v>-70.03</v>
      </c>
      <c r="I26" s="31" t="n">
        <f aca="false">IFERROR(G26/-H26,"no loss")</f>
        <v>0</v>
      </c>
      <c r="J26" s="30" t="n">
        <f aca="false">_xlfn.MAXIFS(Trades!$X$2:$X$884,Trades!$D$2:$D$884,$A26)</f>
        <v>-70.03</v>
      </c>
      <c r="K26" s="30" t="n">
        <f aca="false">_xlfn.MINIFS(Trades!$X$2:$X$884,Trades!$D$2:$D$884,$A26)</f>
        <v>-70.03</v>
      </c>
      <c r="L26" s="32" t="n">
        <f aca="false">SUMIFS(Trades!$Y$2:$Y$884,Trades!$D$2:$D$884,$A26)</f>
        <v>-1.00194580364551</v>
      </c>
      <c r="M26" s="30" t="n">
        <f aca="false">P25</f>
        <v>99916.61</v>
      </c>
      <c r="N26" s="29" t="n">
        <f aca="false">IFERROR(F26/M26,0)</f>
        <v>-0.000700884467557496</v>
      </c>
      <c r="O26" s="28" t="str">
        <f aca="false">IF(-N26&gt;=Summary!$C$7,"BREACH","")</f>
        <v/>
      </c>
      <c r="P26" s="30" t="n">
        <f aca="false">M26+F26</f>
        <v>99846.58</v>
      </c>
      <c r="Q26" s="30" t="n">
        <f aca="false">P26-Summary!$C$5</f>
        <v>-153.419999999969</v>
      </c>
      <c r="R26" s="2" t="str">
        <f aca="false">TEXT(A26,"ddd")</f>
        <v>Wed</v>
      </c>
    </row>
    <row r="27" customFormat="false" ht="15" hidden="false" customHeight="false" outlineLevel="0" collapsed="false">
      <c r="A27" s="42" t="n">
        <v>45064</v>
      </c>
      <c r="B27" s="28" t="n">
        <f aca="false">COUNTIFS(Trades!$D$2:$D$884,$A27)</f>
        <v>1</v>
      </c>
      <c r="C27" s="28" t="n">
        <f aca="false">COUNTIFS(Trades!$D$2:$D$884,$A27,Trades!$Z$2:$Z$884,"Win")</f>
        <v>0</v>
      </c>
      <c r="D27" s="28" t="n">
        <f aca="false">COUNTIFS(Trades!$D$2:$D$884,$A27,Trades!$Z$2:$Z$884,"Loss")</f>
        <v>1</v>
      </c>
      <c r="E27" s="29" t="n">
        <f aca="false">IFERROR(C27/B27,0)</f>
        <v>0</v>
      </c>
      <c r="F27" s="30" t="n">
        <f aca="false">SUMIFS(Trades!$X$2:$X$884,Trades!$D$2:$D$884,$A27)</f>
        <v>-62.96</v>
      </c>
      <c r="G27" s="30" t="n">
        <f aca="false">SUMIFS(Trades!$X$2:$X$884,Trades!$D$2:$D$884,$A27,Trades!$X$2:$X$884,"&gt;0")</f>
        <v>0</v>
      </c>
      <c r="H27" s="30" t="n">
        <f aca="false">SUMIFS(Trades!$X$2:$X$884,Trades!$D$2:$D$884,$A27,Trades!$X$2:$X$884,"&lt;0")</f>
        <v>-62.96</v>
      </c>
      <c r="I27" s="31" t="n">
        <f aca="false">IFERROR(G27/-H27,"no loss")</f>
        <v>0</v>
      </c>
      <c r="J27" s="30" t="n">
        <f aca="false">_xlfn.MAXIFS(Trades!$X$2:$X$884,Trades!$D$2:$D$884,$A27)</f>
        <v>-62.96</v>
      </c>
      <c r="K27" s="30" t="n">
        <f aca="false">_xlfn.MINIFS(Trades!$X$2:$X$884,Trades!$D$2:$D$884,$A27)</f>
        <v>-62.96</v>
      </c>
      <c r="L27" s="32" t="n">
        <f aca="false">SUMIFS(Trades!$Y$2:$Y$884,Trades!$D$2:$D$884,$A27)</f>
        <v>-1.08033906448403</v>
      </c>
      <c r="M27" s="30" t="n">
        <f aca="false">P26</f>
        <v>99846.58</v>
      </c>
      <c r="N27" s="29" t="n">
        <f aca="false">IFERROR(F27/M27,0)</f>
        <v>-0.000630567416530441</v>
      </c>
      <c r="O27" s="28" t="str">
        <f aca="false">IF(-N27&gt;=Summary!$C$7,"BREACH","")</f>
        <v/>
      </c>
      <c r="P27" s="30" t="n">
        <f aca="false">M27+F27</f>
        <v>99783.62</v>
      </c>
      <c r="Q27" s="30" t="n">
        <f aca="false">P27-Summary!$C$5</f>
        <v>-216.379999999976</v>
      </c>
      <c r="R27" s="2" t="str">
        <f aca="false">TEXT(A27,"ddd")</f>
        <v>Thu</v>
      </c>
    </row>
    <row r="28" customFormat="false" ht="15" hidden="false" customHeight="false" outlineLevel="0" collapsed="false">
      <c r="A28" s="42" t="n">
        <v>45065</v>
      </c>
      <c r="B28" s="28" t="n">
        <f aca="false">COUNTIFS(Trades!$D$2:$D$884,$A28)</f>
        <v>1</v>
      </c>
      <c r="C28" s="28" t="n">
        <f aca="false">COUNTIFS(Trades!$D$2:$D$884,$A28,Trades!$Z$2:$Z$884,"Win")</f>
        <v>1</v>
      </c>
      <c r="D28" s="28" t="n">
        <f aca="false">COUNTIFS(Trades!$D$2:$D$884,$A28,Trades!$Z$2:$Z$884,"Loss")</f>
        <v>0</v>
      </c>
      <c r="E28" s="29" t="n">
        <f aca="false">IFERROR(C28/B28,0)</f>
        <v>1</v>
      </c>
      <c r="F28" s="30" t="n">
        <f aca="false">SUMIFS(Trades!$X$2:$X$884,Trades!$D$2:$D$884,$A28)</f>
        <v>128.45</v>
      </c>
      <c r="G28" s="30" t="n">
        <f aca="false">SUMIFS(Trades!$X$2:$X$884,Trades!$D$2:$D$884,$A28,Trades!$X$2:$X$884,"&gt;0")</f>
        <v>128.45</v>
      </c>
      <c r="H28" s="30" t="n">
        <f aca="false">SUMIFS(Trades!$X$2:$X$884,Trades!$D$2:$D$884,$A28,Trades!$X$2:$X$884,"&lt;0")</f>
        <v>0</v>
      </c>
      <c r="I28" s="31" t="str">
        <f aca="false">IFERROR(G28/-H28,"no loss")</f>
        <v>no loss</v>
      </c>
      <c r="J28" s="30" t="n">
        <f aca="false">_xlfn.MAXIFS(Trades!$X$2:$X$884,Trades!$D$2:$D$884,$A28)</f>
        <v>128.45</v>
      </c>
      <c r="K28" s="30" t="n">
        <f aca="false">_xlfn.MINIFS(Trades!$X$2:$X$884,Trades!$D$2:$D$884,$A28)</f>
        <v>128.45</v>
      </c>
      <c r="L28" s="32" t="n">
        <f aca="false">SUMIFS(Trades!$Y$2:$Y$884,Trades!$D$2:$D$884,$A28)</f>
        <v>2.76831896551724</v>
      </c>
      <c r="M28" s="30" t="n">
        <f aca="false">P27</f>
        <v>99783.62</v>
      </c>
      <c r="N28" s="29" t="n">
        <f aca="false">IFERROR(F28/M28,0)</f>
        <v>0.00128728542820956</v>
      </c>
      <c r="O28" s="28" t="str">
        <f aca="false">IF(-N28&gt;=Summary!$C$7,"BREACH","")</f>
        <v/>
      </c>
      <c r="P28" s="30" t="n">
        <f aca="false">M28+F28</f>
        <v>99912.07</v>
      </c>
      <c r="Q28" s="30" t="n">
        <f aca="false">P28-Summary!$C$5</f>
        <v>-87.9299999999785</v>
      </c>
      <c r="R28" s="2" t="str">
        <f aca="false">TEXT(A28,"ddd")</f>
        <v>Fri</v>
      </c>
    </row>
    <row r="29" customFormat="false" ht="15" hidden="false" customHeight="false" outlineLevel="0" collapsed="false">
      <c r="A29" s="42" t="n">
        <v>45068</v>
      </c>
      <c r="B29" s="28" t="n">
        <f aca="false">COUNTIFS(Trades!$D$2:$D$884,$A29)</f>
        <v>1</v>
      </c>
      <c r="C29" s="28" t="n">
        <f aca="false">COUNTIFS(Trades!$D$2:$D$884,$A29,Trades!$Z$2:$Z$884,"Win")</f>
        <v>0</v>
      </c>
      <c r="D29" s="28" t="n">
        <f aca="false">COUNTIFS(Trades!$D$2:$D$884,$A29,Trades!$Z$2:$Z$884,"Loss")</f>
        <v>1</v>
      </c>
      <c r="E29" s="29" t="n">
        <f aca="false">IFERROR(C29/B29,0)</f>
        <v>0</v>
      </c>
      <c r="F29" s="30" t="n">
        <f aca="false">SUMIFS(Trades!$X$2:$X$884,Trades!$D$2:$D$884,$A29)</f>
        <v>-74.56</v>
      </c>
      <c r="G29" s="30" t="n">
        <f aca="false">SUMIFS(Trades!$X$2:$X$884,Trades!$D$2:$D$884,$A29,Trades!$X$2:$X$884,"&gt;0")</f>
        <v>0</v>
      </c>
      <c r="H29" s="30" t="n">
        <f aca="false">SUMIFS(Trades!$X$2:$X$884,Trades!$D$2:$D$884,$A29,Trades!$X$2:$X$884,"&lt;0")</f>
        <v>-74.56</v>
      </c>
      <c r="I29" s="31" t="n">
        <f aca="false">IFERROR(G29/-H29,"no loss")</f>
        <v>0</v>
      </c>
      <c r="J29" s="30" t="n">
        <f aca="false">_xlfn.MAXIFS(Trades!$X$2:$X$884,Trades!$D$2:$D$884,$A29)</f>
        <v>-74.56</v>
      </c>
      <c r="K29" s="30" t="n">
        <f aca="false">_xlfn.MINIFS(Trades!$X$2:$X$884,Trades!$D$2:$D$884,$A29)</f>
        <v>-74.56</v>
      </c>
      <c r="L29" s="32" t="n">
        <f aca="false">SUMIFS(Trades!$Y$2:$Y$884,Trades!$D$2:$D$884,$A29)</f>
        <v>-1.0183566433566</v>
      </c>
      <c r="M29" s="30" t="n">
        <f aca="false">P28</f>
        <v>99912.07</v>
      </c>
      <c r="N29" s="29" t="n">
        <f aca="false">IFERROR(F29/M29,0)</f>
        <v>-0.000746256183061766</v>
      </c>
      <c r="O29" s="28" t="str">
        <f aca="false">IF(-N29&gt;=Summary!$C$7,"BREACH","")</f>
        <v/>
      </c>
      <c r="P29" s="30" t="n">
        <f aca="false">M29+F29</f>
        <v>99837.51</v>
      </c>
      <c r="Q29" s="30" t="n">
        <f aca="false">P29-Summary!$C$5</f>
        <v>-162.489999999976</v>
      </c>
      <c r="R29" s="2" t="str">
        <f aca="false">TEXT(A29,"ddd")</f>
        <v>Mon</v>
      </c>
    </row>
    <row r="30" customFormat="false" ht="15" hidden="false" customHeight="false" outlineLevel="0" collapsed="false">
      <c r="A30" s="42" t="n">
        <v>45069</v>
      </c>
      <c r="B30" s="28" t="n">
        <f aca="false">COUNTIFS(Trades!$D$2:$D$884,$A30)</f>
        <v>2</v>
      </c>
      <c r="C30" s="28" t="n">
        <f aca="false">COUNTIFS(Trades!$D$2:$D$884,$A30,Trades!$Z$2:$Z$884,"Win")</f>
        <v>0</v>
      </c>
      <c r="D30" s="28" t="n">
        <f aca="false">COUNTIFS(Trades!$D$2:$D$884,$A30,Trades!$Z$2:$Z$884,"Loss")</f>
        <v>2</v>
      </c>
      <c r="E30" s="29" t="n">
        <f aca="false">IFERROR(C30/B30,0)</f>
        <v>0</v>
      </c>
      <c r="F30" s="30" t="n">
        <f aca="false">SUMIFS(Trades!$X$2:$X$884,Trades!$D$2:$D$884,$A30)</f>
        <v>-45.19</v>
      </c>
      <c r="G30" s="30" t="n">
        <f aca="false">SUMIFS(Trades!$X$2:$X$884,Trades!$D$2:$D$884,$A30,Trades!$X$2:$X$884,"&gt;0")</f>
        <v>0</v>
      </c>
      <c r="H30" s="30" t="n">
        <f aca="false">SUMIFS(Trades!$X$2:$X$884,Trades!$D$2:$D$884,$A30,Trades!$X$2:$X$884,"&lt;0")</f>
        <v>-45.19</v>
      </c>
      <c r="I30" s="31" t="n">
        <f aca="false">IFERROR(G30/-H30,"no loss")</f>
        <v>0</v>
      </c>
      <c r="J30" s="30" t="n">
        <f aca="false">_xlfn.MAXIFS(Trades!$X$2:$X$884,Trades!$D$2:$D$884,$A30)</f>
        <v>-2.05</v>
      </c>
      <c r="K30" s="30" t="n">
        <f aca="false">_xlfn.MINIFS(Trades!$X$2:$X$884,Trades!$D$2:$D$884,$A30)</f>
        <v>-43.14</v>
      </c>
      <c r="L30" s="32" t="n">
        <f aca="false">SUMIFS(Trades!$Y$2:$Y$884,Trades!$D$2:$D$884,$A30)</f>
        <v>-1.01875368483329</v>
      </c>
      <c r="M30" s="30" t="n">
        <f aca="false">P29</f>
        <v>99837.51</v>
      </c>
      <c r="N30" s="29" t="n">
        <f aca="false">IFERROR(F30/M30,0)</f>
        <v>-0.000452635487403482</v>
      </c>
      <c r="O30" s="28" t="str">
        <f aca="false">IF(-N30&gt;=Summary!$C$7,"BREACH","")</f>
        <v/>
      </c>
      <c r="P30" s="30" t="n">
        <f aca="false">M30+F30</f>
        <v>99792.32</v>
      </c>
      <c r="Q30" s="30" t="n">
        <f aca="false">P30-Summary!$C$5</f>
        <v>-207.679999999978</v>
      </c>
      <c r="R30" s="2" t="str">
        <f aca="false">TEXT(A30,"ddd")</f>
        <v>Tue</v>
      </c>
    </row>
    <row r="31" customFormat="false" ht="15" hidden="false" customHeight="false" outlineLevel="0" collapsed="false">
      <c r="A31" s="42" t="n">
        <v>45070</v>
      </c>
      <c r="B31" s="28" t="n">
        <f aca="false">COUNTIFS(Trades!$D$2:$D$884,$A31)</f>
        <v>1</v>
      </c>
      <c r="C31" s="28" t="n">
        <f aca="false">COUNTIFS(Trades!$D$2:$D$884,$A31,Trades!$Z$2:$Z$884,"Win")</f>
        <v>0</v>
      </c>
      <c r="D31" s="28" t="n">
        <f aca="false">COUNTIFS(Trades!$D$2:$D$884,$A31,Trades!$Z$2:$Z$884,"Loss")</f>
        <v>1</v>
      </c>
      <c r="E31" s="29" t="n">
        <f aca="false">IFERROR(C31/B31,0)</f>
        <v>0</v>
      </c>
      <c r="F31" s="30" t="n">
        <f aca="false">SUMIFS(Trades!$X$2:$X$884,Trades!$D$2:$D$884,$A31)</f>
        <v>-55.74</v>
      </c>
      <c r="G31" s="30" t="n">
        <f aca="false">SUMIFS(Trades!$X$2:$X$884,Trades!$D$2:$D$884,$A31,Trades!$X$2:$X$884,"&gt;0")</f>
        <v>0</v>
      </c>
      <c r="H31" s="30" t="n">
        <f aca="false">SUMIFS(Trades!$X$2:$X$884,Trades!$D$2:$D$884,$A31,Trades!$X$2:$X$884,"&lt;0")</f>
        <v>-55.74</v>
      </c>
      <c r="I31" s="31" t="n">
        <f aca="false">IFERROR(G31/-H31,"no loss")</f>
        <v>0</v>
      </c>
      <c r="J31" s="30" t="n">
        <f aca="false">_xlfn.MAXIFS(Trades!$X$2:$X$884,Trades!$D$2:$D$884,$A31)</f>
        <v>-55.74</v>
      </c>
      <c r="K31" s="30" t="n">
        <f aca="false">_xlfn.MINIFS(Trades!$X$2:$X$884,Trades!$D$2:$D$884,$A31)</f>
        <v>-55.74</v>
      </c>
      <c r="L31" s="32" t="n">
        <f aca="false">SUMIFS(Trades!$Y$2:$Y$884,Trades!$D$2:$D$884,$A31)</f>
        <v>-1.04428956834531</v>
      </c>
      <c r="M31" s="30" t="n">
        <f aca="false">P30</f>
        <v>99792.32</v>
      </c>
      <c r="N31" s="29" t="n">
        <f aca="false">IFERROR(F31/M31,0)</f>
        <v>-0.000558560017444228</v>
      </c>
      <c r="O31" s="28" t="str">
        <f aca="false">IF(-N31&gt;=Summary!$C$7,"BREACH","")</f>
        <v/>
      </c>
      <c r="P31" s="30" t="n">
        <f aca="false">M31+F31</f>
        <v>99736.58</v>
      </c>
      <c r="Q31" s="30" t="n">
        <f aca="false">P31-Summary!$C$5</f>
        <v>-263.419999999984</v>
      </c>
      <c r="R31" s="2" t="str">
        <f aca="false">TEXT(A31,"ddd")</f>
        <v>Wed</v>
      </c>
    </row>
    <row r="32" customFormat="false" ht="15" hidden="false" customHeight="false" outlineLevel="0" collapsed="false">
      <c r="A32" s="42" t="n">
        <v>45071</v>
      </c>
      <c r="B32" s="28" t="n">
        <f aca="false">COUNTIFS(Trades!$D$2:$D$884,$A32)</f>
        <v>1</v>
      </c>
      <c r="C32" s="28" t="n">
        <f aca="false">COUNTIFS(Trades!$D$2:$D$884,$A32,Trades!$Z$2:$Z$884,"Win")</f>
        <v>0</v>
      </c>
      <c r="D32" s="28" t="n">
        <f aca="false">COUNTIFS(Trades!$D$2:$D$884,$A32,Trades!$Z$2:$Z$884,"Loss")</f>
        <v>1</v>
      </c>
      <c r="E32" s="29" t="n">
        <f aca="false">IFERROR(C32/B32,0)</f>
        <v>0</v>
      </c>
      <c r="F32" s="30" t="n">
        <f aca="false">SUMIFS(Trades!$X$2:$X$884,Trades!$D$2:$D$884,$A32)</f>
        <v>-365.06</v>
      </c>
      <c r="G32" s="30" t="n">
        <f aca="false">SUMIFS(Trades!$X$2:$X$884,Trades!$D$2:$D$884,$A32,Trades!$X$2:$X$884,"&gt;0")</f>
        <v>0</v>
      </c>
      <c r="H32" s="30" t="n">
        <f aca="false">SUMIFS(Trades!$X$2:$X$884,Trades!$D$2:$D$884,$A32,Trades!$X$2:$X$884,"&lt;0")</f>
        <v>-365.06</v>
      </c>
      <c r="I32" s="31" t="n">
        <f aca="false">IFERROR(G32/-H32,"no loss")</f>
        <v>0</v>
      </c>
      <c r="J32" s="30" t="n">
        <f aca="false">_xlfn.MAXIFS(Trades!$X$2:$X$884,Trades!$D$2:$D$884,$A32)</f>
        <v>-365.06</v>
      </c>
      <c r="K32" s="30" t="n">
        <f aca="false">_xlfn.MINIFS(Trades!$X$2:$X$884,Trades!$D$2:$D$884,$A32)</f>
        <v>-365.06</v>
      </c>
      <c r="L32" s="32" t="n">
        <f aca="false">SUMIFS(Trades!$Y$2:$Y$884,Trades!$D$2:$D$884,$A32)</f>
        <v>-1.01100008862106</v>
      </c>
      <c r="M32" s="30" t="n">
        <f aca="false">P31</f>
        <v>99736.58</v>
      </c>
      <c r="N32" s="29" t="n">
        <f aca="false">IFERROR(F32/M32,0)</f>
        <v>-0.0036602418089732</v>
      </c>
      <c r="O32" s="28" t="str">
        <f aca="false">IF(-N32&gt;=Summary!$C$7,"BREACH","")</f>
        <v/>
      </c>
      <c r="P32" s="30" t="n">
        <f aca="false">M32+F32</f>
        <v>99371.52</v>
      </c>
      <c r="Q32" s="30" t="n">
        <f aca="false">P32-Summary!$C$5</f>
        <v>-628.479999999981</v>
      </c>
      <c r="R32" s="2" t="str">
        <f aca="false">TEXT(A32,"ddd")</f>
        <v>Thu</v>
      </c>
    </row>
    <row r="33" customFormat="false" ht="15" hidden="false" customHeight="false" outlineLevel="0" collapsed="false">
      <c r="A33" s="42" t="n">
        <v>45072</v>
      </c>
      <c r="B33" s="28" t="n">
        <f aca="false">COUNTIFS(Trades!$D$2:$D$884,$A33)</f>
        <v>1</v>
      </c>
      <c r="C33" s="28" t="n">
        <f aca="false">COUNTIFS(Trades!$D$2:$D$884,$A33,Trades!$Z$2:$Z$884,"Win")</f>
        <v>0</v>
      </c>
      <c r="D33" s="28" t="n">
        <f aca="false">COUNTIFS(Trades!$D$2:$D$884,$A33,Trades!$Z$2:$Z$884,"Loss")</f>
        <v>1</v>
      </c>
      <c r="E33" s="29" t="n">
        <f aca="false">IFERROR(C33/B33,0)</f>
        <v>0</v>
      </c>
      <c r="F33" s="30" t="n">
        <f aca="false">SUMIFS(Trades!$X$2:$X$884,Trades!$D$2:$D$884,$A33)</f>
        <v>-2.67</v>
      </c>
      <c r="G33" s="30" t="n">
        <f aca="false">SUMIFS(Trades!$X$2:$X$884,Trades!$D$2:$D$884,$A33,Trades!$X$2:$X$884,"&gt;0")</f>
        <v>0</v>
      </c>
      <c r="H33" s="30" t="n">
        <f aca="false">SUMIFS(Trades!$X$2:$X$884,Trades!$D$2:$D$884,$A33,Trades!$X$2:$X$884,"&lt;0")</f>
        <v>-2.67</v>
      </c>
      <c r="I33" s="31" t="n">
        <f aca="false">IFERROR(G33/-H33,"no loss")</f>
        <v>0</v>
      </c>
      <c r="J33" s="30" t="n">
        <f aca="false">_xlfn.MAXIFS(Trades!$X$2:$X$884,Trades!$D$2:$D$884,$A33)</f>
        <v>-2.67</v>
      </c>
      <c r="K33" s="30" t="n">
        <f aca="false">_xlfn.MINIFS(Trades!$X$2:$X$884,Trades!$D$2:$D$884,$A33)</f>
        <v>-2.67</v>
      </c>
      <c r="L33" s="32" t="n">
        <f aca="false">SUMIFS(Trades!$Y$2:$Y$884,Trades!$D$2:$D$884,$A33)</f>
        <v>-0.0544431303780443</v>
      </c>
      <c r="M33" s="30" t="n">
        <f aca="false">P32</f>
        <v>99371.52</v>
      </c>
      <c r="N33" s="29" t="n">
        <f aca="false">IFERROR(F33/M33,0)</f>
        <v>-2.68688654455522E-005</v>
      </c>
      <c r="O33" s="28" t="str">
        <f aca="false">IF(-N33&gt;=Summary!$C$7,"BREACH","")</f>
        <v/>
      </c>
      <c r="P33" s="30" t="n">
        <f aca="false">M33+F33</f>
        <v>99368.85</v>
      </c>
      <c r="Q33" s="30" t="n">
        <f aca="false">P33-Summary!$C$5</f>
        <v>-631.14999999998</v>
      </c>
      <c r="R33" s="2" t="str">
        <f aca="false">TEXT(A33,"ddd")</f>
        <v>Fri</v>
      </c>
    </row>
    <row r="34" customFormat="false" ht="15" hidden="false" customHeight="false" outlineLevel="0" collapsed="false">
      <c r="A34" s="42" t="n">
        <v>45075</v>
      </c>
      <c r="B34" s="28" t="n">
        <f aca="false">COUNTIFS(Trades!$D$2:$D$884,$A34)</f>
        <v>1</v>
      </c>
      <c r="C34" s="28" t="n">
        <f aca="false">COUNTIFS(Trades!$D$2:$D$884,$A34,Trades!$Z$2:$Z$884,"Win")</f>
        <v>0</v>
      </c>
      <c r="D34" s="28" t="n">
        <f aca="false">COUNTIFS(Trades!$D$2:$D$884,$A34,Trades!$Z$2:$Z$884,"Loss")</f>
        <v>1</v>
      </c>
      <c r="E34" s="29" t="n">
        <f aca="false">IFERROR(C34/B34,0)</f>
        <v>0</v>
      </c>
      <c r="F34" s="30" t="n">
        <f aca="false">SUMIFS(Trades!$X$2:$X$884,Trades!$D$2:$D$884,$A34)</f>
        <v>-124.43</v>
      </c>
      <c r="G34" s="30" t="n">
        <f aca="false">SUMIFS(Trades!$X$2:$X$884,Trades!$D$2:$D$884,$A34,Trades!$X$2:$X$884,"&gt;0")</f>
        <v>0</v>
      </c>
      <c r="H34" s="30" t="n">
        <f aca="false">SUMIFS(Trades!$X$2:$X$884,Trades!$D$2:$D$884,$A34,Trades!$X$2:$X$884,"&lt;0")</f>
        <v>-124.43</v>
      </c>
      <c r="I34" s="31" t="n">
        <f aca="false">IFERROR(G34/-H34,"no loss")</f>
        <v>0</v>
      </c>
      <c r="J34" s="30" t="n">
        <f aca="false">_xlfn.MAXIFS(Trades!$X$2:$X$884,Trades!$D$2:$D$884,$A34)</f>
        <v>-124.43</v>
      </c>
      <c r="K34" s="30" t="n">
        <f aca="false">_xlfn.MINIFS(Trades!$X$2:$X$884,Trades!$D$2:$D$884,$A34)</f>
        <v>-124.43</v>
      </c>
      <c r="L34" s="32" t="n">
        <f aca="false">SUMIFS(Trades!$Y$2:$Y$884,Trades!$D$2:$D$884,$A34)</f>
        <v>-1.0398629450109</v>
      </c>
      <c r="M34" s="30" t="n">
        <f aca="false">P33</f>
        <v>99368.85</v>
      </c>
      <c r="N34" s="29" t="n">
        <f aca="false">IFERROR(F34/M34,0)</f>
        <v>-0.00125220328100808</v>
      </c>
      <c r="O34" s="28" t="str">
        <f aca="false">IF(-N34&gt;=Summary!$C$7,"BREACH","")</f>
        <v/>
      </c>
      <c r="P34" s="30" t="n">
        <f aca="false">M34+F34</f>
        <v>99244.42</v>
      </c>
      <c r="Q34" s="30" t="n">
        <f aca="false">P34-Summary!$C$5</f>
        <v>-755.579999999973</v>
      </c>
      <c r="R34" s="2" t="str">
        <f aca="false">TEXT(A34,"ddd")</f>
        <v>Mon</v>
      </c>
    </row>
    <row r="35" customFormat="false" ht="15" hidden="false" customHeight="false" outlineLevel="0" collapsed="false">
      <c r="A35" s="42" t="n">
        <v>45076</v>
      </c>
      <c r="B35" s="28" t="n">
        <f aca="false">COUNTIFS(Trades!$D$2:$D$884,$A35)</f>
        <v>2</v>
      </c>
      <c r="C35" s="28" t="n">
        <f aca="false">COUNTIFS(Trades!$D$2:$D$884,$A35,Trades!$Z$2:$Z$884,"Win")</f>
        <v>1</v>
      </c>
      <c r="D35" s="28" t="n">
        <f aca="false">COUNTIFS(Trades!$D$2:$D$884,$A35,Trades!$Z$2:$Z$884,"Loss")</f>
        <v>1</v>
      </c>
      <c r="E35" s="29" t="n">
        <f aca="false">IFERROR(C35/B35,0)</f>
        <v>0.5</v>
      </c>
      <c r="F35" s="30" t="n">
        <f aca="false">SUMIFS(Trades!$X$2:$X$884,Trades!$D$2:$D$884,$A35)</f>
        <v>142.34</v>
      </c>
      <c r="G35" s="30" t="n">
        <f aca="false">SUMIFS(Trades!$X$2:$X$884,Trades!$D$2:$D$884,$A35,Trades!$X$2:$X$884,"&gt;0")</f>
        <v>145.38</v>
      </c>
      <c r="H35" s="30" t="n">
        <f aca="false">SUMIFS(Trades!$X$2:$X$884,Trades!$D$2:$D$884,$A35,Trades!$X$2:$X$884,"&lt;0")</f>
        <v>-3.04</v>
      </c>
      <c r="I35" s="31" t="n">
        <f aca="false">IFERROR(G35/-H35,"no loss")</f>
        <v>47.8223684210526</v>
      </c>
      <c r="J35" s="30" t="n">
        <f aca="false">_xlfn.MAXIFS(Trades!$X$2:$X$884,Trades!$D$2:$D$884,$A35)</f>
        <v>145.38</v>
      </c>
      <c r="K35" s="30" t="n">
        <f aca="false">_xlfn.MINIFS(Trades!$X$2:$X$884,Trades!$D$2:$D$884,$A35)</f>
        <v>-3.04</v>
      </c>
      <c r="L35" s="32" t="n">
        <f aca="false">SUMIFS(Trades!$Y$2:$Y$884,Trades!$D$2:$D$884,$A35)</f>
        <v>2.0343485349759</v>
      </c>
      <c r="M35" s="30" t="n">
        <f aca="false">P34</f>
        <v>99244.42</v>
      </c>
      <c r="N35" s="29" t="n">
        <f aca="false">IFERROR(F35/M35,0)</f>
        <v>0.00143423680646227</v>
      </c>
      <c r="O35" s="28" t="str">
        <f aca="false">IF(-N35&gt;=Summary!$C$7,"BREACH","")</f>
        <v/>
      </c>
      <c r="P35" s="30" t="n">
        <f aca="false">M35+F35</f>
        <v>99386.76</v>
      </c>
      <c r="Q35" s="30" t="n">
        <f aca="false">P35-Summary!$C$5</f>
        <v>-613.239999999976</v>
      </c>
      <c r="R35" s="2" t="str">
        <f aca="false">TEXT(A35,"ddd")</f>
        <v>Tue</v>
      </c>
    </row>
    <row r="36" customFormat="false" ht="15" hidden="false" customHeight="false" outlineLevel="0" collapsed="false">
      <c r="A36" s="42" t="n">
        <v>45077</v>
      </c>
      <c r="B36" s="28" t="n">
        <f aca="false">COUNTIFS(Trades!$D$2:$D$884,$A36)</f>
        <v>1</v>
      </c>
      <c r="C36" s="28" t="n">
        <f aca="false">COUNTIFS(Trades!$D$2:$D$884,$A36,Trades!$Z$2:$Z$884,"Win")</f>
        <v>0</v>
      </c>
      <c r="D36" s="28" t="n">
        <f aca="false">COUNTIFS(Trades!$D$2:$D$884,$A36,Trades!$Z$2:$Z$884,"Loss")</f>
        <v>1</v>
      </c>
      <c r="E36" s="29" t="n">
        <f aca="false">IFERROR(C36/B36,0)</f>
        <v>0</v>
      </c>
      <c r="F36" s="30" t="n">
        <f aca="false">SUMIFS(Trades!$X$2:$X$884,Trades!$D$2:$D$884,$A36)</f>
        <v>-50.47</v>
      </c>
      <c r="G36" s="30" t="n">
        <f aca="false">SUMIFS(Trades!$X$2:$X$884,Trades!$D$2:$D$884,$A36,Trades!$X$2:$X$884,"&gt;0")</f>
        <v>0</v>
      </c>
      <c r="H36" s="30" t="n">
        <f aca="false">SUMIFS(Trades!$X$2:$X$884,Trades!$D$2:$D$884,$A36,Trades!$X$2:$X$884,"&lt;0")</f>
        <v>-50.47</v>
      </c>
      <c r="I36" s="31" t="n">
        <f aca="false">IFERROR(G36/-H36,"no loss")</f>
        <v>0</v>
      </c>
      <c r="J36" s="30" t="n">
        <f aca="false">_xlfn.MAXIFS(Trades!$X$2:$X$884,Trades!$D$2:$D$884,$A36)</f>
        <v>-50.47</v>
      </c>
      <c r="K36" s="30" t="n">
        <f aca="false">_xlfn.MINIFS(Trades!$X$2:$X$884,Trades!$D$2:$D$884,$A36)</f>
        <v>-50.47</v>
      </c>
      <c r="L36" s="32" t="n">
        <f aca="false">SUMIFS(Trades!$Y$2:$Y$884,Trades!$D$2:$D$884,$A36)</f>
        <v>-1.03830645161288</v>
      </c>
      <c r="M36" s="30" t="n">
        <f aca="false">P35</f>
        <v>99386.76</v>
      </c>
      <c r="N36" s="29" t="n">
        <f aca="false">IFERROR(F36/M36,0)</f>
        <v>-0.000507814119305227</v>
      </c>
      <c r="O36" s="28" t="str">
        <f aca="false">IF(-N36&gt;=Summary!$C$7,"BREACH","")</f>
        <v/>
      </c>
      <c r="P36" s="30" t="n">
        <f aca="false">M36+F36</f>
        <v>99336.29</v>
      </c>
      <c r="Q36" s="30" t="n">
        <f aca="false">P36-Summary!$C$5</f>
        <v>-663.709999999977</v>
      </c>
      <c r="R36" s="2" t="str">
        <f aca="false">TEXT(A36,"ddd")</f>
        <v>Wed</v>
      </c>
    </row>
    <row r="37" customFormat="false" ht="15" hidden="false" customHeight="false" outlineLevel="0" collapsed="false">
      <c r="A37" s="42" t="n">
        <v>45078</v>
      </c>
      <c r="B37" s="28" t="n">
        <f aca="false">COUNTIFS(Trades!$D$2:$D$884,$A37)</f>
        <v>2</v>
      </c>
      <c r="C37" s="28" t="n">
        <f aca="false">COUNTIFS(Trades!$D$2:$D$884,$A37,Trades!$Z$2:$Z$884,"Win")</f>
        <v>1</v>
      </c>
      <c r="D37" s="28" t="n">
        <f aca="false">COUNTIFS(Trades!$D$2:$D$884,$A37,Trades!$Z$2:$Z$884,"Loss")</f>
        <v>1</v>
      </c>
      <c r="E37" s="29" t="n">
        <f aca="false">IFERROR(C37/B37,0)</f>
        <v>0.5</v>
      </c>
      <c r="F37" s="30" t="n">
        <f aca="false">SUMIFS(Trades!$X$2:$X$884,Trades!$D$2:$D$884,$A37)</f>
        <v>24.06</v>
      </c>
      <c r="G37" s="30" t="n">
        <f aca="false">SUMIFS(Trades!$X$2:$X$884,Trades!$D$2:$D$884,$A37,Trades!$X$2:$X$884,"&gt;0")</f>
        <v>157.36</v>
      </c>
      <c r="H37" s="30" t="n">
        <f aca="false">SUMIFS(Trades!$X$2:$X$884,Trades!$D$2:$D$884,$A37,Trades!$X$2:$X$884,"&lt;0")</f>
        <v>-133.3</v>
      </c>
      <c r="I37" s="31" t="n">
        <f aca="false">IFERROR(G37/-H37,"no loss")</f>
        <v>1.18049512378095</v>
      </c>
      <c r="J37" s="30" t="n">
        <f aca="false">_xlfn.MAXIFS(Trades!$X$2:$X$884,Trades!$D$2:$D$884,$A37)</f>
        <v>157.36</v>
      </c>
      <c r="K37" s="30" t="n">
        <f aca="false">_xlfn.MINIFS(Trades!$X$2:$X$884,Trades!$D$2:$D$884,$A37)</f>
        <v>-133.3</v>
      </c>
      <c r="L37" s="32" t="n">
        <f aca="false">SUMIFS(Trades!$Y$2:$Y$884,Trades!$D$2:$D$884,$A37)</f>
        <v>0.818935754117938</v>
      </c>
      <c r="M37" s="30" t="n">
        <f aca="false">P36</f>
        <v>99336.29</v>
      </c>
      <c r="N37" s="29" t="n">
        <f aca="false">IFERROR(F37/M37,0)</f>
        <v>0.00024220755576839</v>
      </c>
      <c r="O37" s="28" t="str">
        <f aca="false">IF(-N37&gt;=Summary!$C$7,"BREACH","")</f>
        <v/>
      </c>
      <c r="P37" s="30" t="n">
        <f aca="false">M37+F37</f>
        <v>99360.35</v>
      </c>
      <c r="Q37" s="30" t="n">
        <f aca="false">P37-Summary!$C$5</f>
        <v>-639.64999999998</v>
      </c>
      <c r="R37" s="2" t="str">
        <f aca="false">TEXT(A37,"ddd")</f>
        <v>Thu</v>
      </c>
    </row>
    <row r="38" customFormat="false" ht="15" hidden="false" customHeight="false" outlineLevel="0" collapsed="false">
      <c r="A38" s="42" t="n">
        <v>45079</v>
      </c>
      <c r="B38" s="28" t="n">
        <f aca="false">COUNTIFS(Trades!$D$2:$D$884,$A38)</f>
        <v>1</v>
      </c>
      <c r="C38" s="28" t="n">
        <f aca="false">COUNTIFS(Trades!$D$2:$D$884,$A38,Trades!$Z$2:$Z$884,"Win")</f>
        <v>1</v>
      </c>
      <c r="D38" s="28" t="n">
        <f aca="false">COUNTIFS(Trades!$D$2:$D$884,$A38,Trades!$Z$2:$Z$884,"Loss")</f>
        <v>0</v>
      </c>
      <c r="E38" s="29" t="n">
        <f aca="false">IFERROR(C38/B38,0)</f>
        <v>1</v>
      </c>
      <c r="F38" s="30" t="n">
        <f aca="false">SUMIFS(Trades!$X$2:$X$884,Trades!$D$2:$D$884,$A38)</f>
        <v>98.76</v>
      </c>
      <c r="G38" s="30" t="n">
        <f aca="false">SUMIFS(Trades!$X$2:$X$884,Trades!$D$2:$D$884,$A38,Trades!$X$2:$X$884,"&gt;0")</f>
        <v>98.76</v>
      </c>
      <c r="H38" s="30" t="n">
        <f aca="false">SUMIFS(Trades!$X$2:$X$884,Trades!$D$2:$D$884,$A38,Trades!$X$2:$X$884,"&lt;0")</f>
        <v>0</v>
      </c>
      <c r="I38" s="31" t="str">
        <f aca="false">IFERROR(G38/-H38,"no loss")</f>
        <v>no loss</v>
      </c>
      <c r="J38" s="30" t="n">
        <f aca="false">_xlfn.MAXIFS(Trades!$X$2:$X$884,Trades!$D$2:$D$884,$A38)</f>
        <v>98.76</v>
      </c>
      <c r="K38" s="30" t="n">
        <f aca="false">_xlfn.MINIFS(Trades!$X$2:$X$884,Trades!$D$2:$D$884,$A38)</f>
        <v>98.76</v>
      </c>
      <c r="L38" s="32" t="n">
        <f aca="false">SUMIFS(Trades!$Y$2:$Y$884,Trades!$D$2:$D$884,$A38)</f>
        <v>3.14122137404593</v>
      </c>
      <c r="M38" s="30" t="n">
        <f aca="false">P37</f>
        <v>99360.35</v>
      </c>
      <c r="N38" s="29" t="n">
        <f aca="false">IFERROR(F38/M38,0)</f>
        <v>0.000993957851396457</v>
      </c>
      <c r="O38" s="28" t="str">
        <f aca="false">IF(-N38&gt;=Summary!$C$7,"BREACH","")</f>
        <v/>
      </c>
      <c r="P38" s="30" t="n">
        <f aca="false">M38+F38</f>
        <v>99459.11</v>
      </c>
      <c r="Q38" s="30" t="n">
        <f aca="false">P38-Summary!$C$5</f>
        <v>-540.889999999985</v>
      </c>
      <c r="R38" s="2" t="str">
        <f aca="false">TEXT(A38,"ddd")</f>
        <v>Fri</v>
      </c>
    </row>
    <row r="39" customFormat="false" ht="15" hidden="false" customHeight="false" outlineLevel="0" collapsed="false">
      <c r="A39" s="42" t="n">
        <v>45082</v>
      </c>
      <c r="B39" s="28" t="n">
        <f aca="false">COUNTIFS(Trades!$D$2:$D$884,$A39)</f>
        <v>1</v>
      </c>
      <c r="C39" s="28" t="n">
        <f aca="false">COUNTIFS(Trades!$D$2:$D$884,$A39,Trades!$Z$2:$Z$884,"Win")</f>
        <v>0</v>
      </c>
      <c r="D39" s="28" t="n">
        <f aca="false">COUNTIFS(Trades!$D$2:$D$884,$A39,Trades!$Z$2:$Z$884,"Loss")</f>
        <v>1</v>
      </c>
      <c r="E39" s="29" t="n">
        <f aca="false">IFERROR(C39/B39,0)</f>
        <v>0</v>
      </c>
      <c r="F39" s="30" t="n">
        <f aca="false">SUMIFS(Trades!$X$2:$X$884,Trades!$D$2:$D$884,$A39)</f>
        <v>-0.36</v>
      </c>
      <c r="G39" s="30" t="n">
        <f aca="false">SUMIFS(Trades!$X$2:$X$884,Trades!$D$2:$D$884,$A39,Trades!$X$2:$X$884,"&gt;0")</f>
        <v>0</v>
      </c>
      <c r="H39" s="30" t="n">
        <f aca="false">SUMIFS(Trades!$X$2:$X$884,Trades!$D$2:$D$884,$A39,Trades!$X$2:$X$884,"&lt;0")</f>
        <v>-0.36</v>
      </c>
      <c r="I39" s="31" t="n">
        <f aca="false">IFERROR(G39/-H39,"no loss")</f>
        <v>0</v>
      </c>
      <c r="J39" s="30" t="n">
        <f aca="false">_xlfn.MAXIFS(Trades!$X$2:$X$884,Trades!$D$2:$D$884,$A39)</f>
        <v>-0.36</v>
      </c>
      <c r="K39" s="30" t="n">
        <f aca="false">_xlfn.MINIFS(Trades!$X$2:$X$884,Trades!$D$2:$D$884,$A39)</f>
        <v>-0.36</v>
      </c>
      <c r="L39" s="32" t="n">
        <f aca="false">SUMIFS(Trades!$Y$2:$Y$884,Trades!$D$2:$D$884,$A39)</f>
        <v>-0.00237812128418553</v>
      </c>
      <c r="M39" s="30" t="n">
        <f aca="false">P38</f>
        <v>99459.11</v>
      </c>
      <c r="N39" s="29" t="n">
        <f aca="false">IFERROR(F39/M39,0)</f>
        <v>-3.61957793509312E-006</v>
      </c>
      <c r="O39" s="28" t="str">
        <f aca="false">IF(-N39&gt;=Summary!$C$7,"BREACH","")</f>
        <v/>
      </c>
      <c r="P39" s="30" t="n">
        <f aca="false">M39+F39</f>
        <v>99458.75</v>
      </c>
      <c r="Q39" s="30" t="n">
        <f aca="false">P39-Summary!$C$5</f>
        <v>-541.249999999985</v>
      </c>
      <c r="R39" s="2" t="str">
        <f aca="false">TEXT(A39,"ddd")</f>
        <v>Mon</v>
      </c>
    </row>
    <row r="40" customFormat="false" ht="15" hidden="false" customHeight="false" outlineLevel="0" collapsed="false">
      <c r="A40" s="42" t="n">
        <v>45084</v>
      </c>
      <c r="B40" s="28" t="n">
        <f aca="false">COUNTIFS(Trades!$D$2:$D$884,$A40)</f>
        <v>2</v>
      </c>
      <c r="C40" s="28" t="n">
        <f aca="false">COUNTIFS(Trades!$D$2:$D$884,$A40,Trades!$Z$2:$Z$884,"Win")</f>
        <v>1</v>
      </c>
      <c r="D40" s="28" t="n">
        <f aca="false">COUNTIFS(Trades!$D$2:$D$884,$A40,Trades!$Z$2:$Z$884,"Loss")</f>
        <v>1</v>
      </c>
      <c r="E40" s="29" t="n">
        <f aca="false">IFERROR(C40/B40,0)</f>
        <v>0.5</v>
      </c>
      <c r="F40" s="30" t="n">
        <f aca="false">SUMIFS(Trades!$X$2:$X$884,Trades!$D$2:$D$884,$A40)</f>
        <v>174.6</v>
      </c>
      <c r="G40" s="30" t="n">
        <f aca="false">SUMIFS(Trades!$X$2:$X$884,Trades!$D$2:$D$884,$A40,Trades!$X$2:$X$884,"&gt;0")</f>
        <v>175.62</v>
      </c>
      <c r="H40" s="30" t="n">
        <f aca="false">SUMIFS(Trades!$X$2:$X$884,Trades!$D$2:$D$884,$A40,Trades!$X$2:$X$884,"&lt;0")</f>
        <v>-1.02</v>
      </c>
      <c r="I40" s="31" t="n">
        <f aca="false">IFERROR(G40/-H40,"no loss")</f>
        <v>172.176470588235</v>
      </c>
      <c r="J40" s="30" t="n">
        <f aca="false">_xlfn.MAXIFS(Trades!$X$2:$X$884,Trades!$D$2:$D$884,$A40)</f>
        <v>175.62</v>
      </c>
      <c r="K40" s="30" t="n">
        <f aca="false">_xlfn.MINIFS(Trades!$X$2:$X$884,Trades!$D$2:$D$884,$A40)</f>
        <v>-1.02</v>
      </c>
      <c r="L40" s="32" t="n">
        <f aca="false">SUMIFS(Trades!$Y$2:$Y$884,Trades!$D$2:$D$884,$A40)</f>
        <v>2.21670282694758</v>
      </c>
      <c r="M40" s="30" t="n">
        <f aca="false">P39</f>
        <v>99458.75</v>
      </c>
      <c r="N40" s="29" t="n">
        <f aca="false">IFERROR(F40/M40,0)</f>
        <v>0.00175550165269521</v>
      </c>
      <c r="O40" s="28" t="str">
        <f aca="false">IF(-N40&gt;=Summary!$C$7,"BREACH","")</f>
        <v/>
      </c>
      <c r="P40" s="30" t="n">
        <f aca="false">M40+F40</f>
        <v>99633.35</v>
      </c>
      <c r="Q40" s="30" t="n">
        <f aca="false">P40-Summary!$C$5</f>
        <v>-366.64999999998</v>
      </c>
      <c r="R40" s="2" t="str">
        <f aca="false">TEXT(A40,"ddd")</f>
        <v>Wed</v>
      </c>
    </row>
    <row r="41" customFormat="false" ht="15" hidden="false" customHeight="false" outlineLevel="0" collapsed="false">
      <c r="A41" s="42" t="n">
        <v>45085</v>
      </c>
      <c r="B41" s="28" t="n">
        <f aca="false">COUNTIFS(Trades!$D$2:$D$884,$A41)</f>
        <v>1</v>
      </c>
      <c r="C41" s="28" t="n">
        <f aca="false">COUNTIFS(Trades!$D$2:$D$884,$A41,Trades!$Z$2:$Z$884,"Win")</f>
        <v>1</v>
      </c>
      <c r="D41" s="28" t="n">
        <f aca="false">COUNTIFS(Trades!$D$2:$D$884,$A41,Trades!$Z$2:$Z$884,"Loss")</f>
        <v>0</v>
      </c>
      <c r="E41" s="29" t="n">
        <f aca="false">IFERROR(C41/B41,0)</f>
        <v>1</v>
      </c>
      <c r="F41" s="30" t="n">
        <f aca="false">SUMIFS(Trades!$X$2:$X$884,Trades!$D$2:$D$884,$A41)</f>
        <v>90.52</v>
      </c>
      <c r="G41" s="30" t="n">
        <f aca="false">SUMIFS(Trades!$X$2:$X$884,Trades!$D$2:$D$884,$A41,Trades!$X$2:$X$884,"&gt;0")</f>
        <v>90.52</v>
      </c>
      <c r="H41" s="30" t="n">
        <f aca="false">SUMIFS(Trades!$X$2:$X$884,Trades!$D$2:$D$884,$A41,Trades!$X$2:$X$884,"&lt;0")</f>
        <v>0</v>
      </c>
      <c r="I41" s="31" t="str">
        <f aca="false">IFERROR(G41/-H41,"no loss")</f>
        <v>no loss</v>
      </c>
      <c r="J41" s="30" t="n">
        <f aca="false">_xlfn.MAXIFS(Trades!$X$2:$X$884,Trades!$D$2:$D$884,$A41)</f>
        <v>90.52</v>
      </c>
      <c r="K41" s="30" t="n">
        <f aca="false">_xlfn.MINIFS(Trades!$X$2:$X$884,Trades!$D$2:$D$884,$A41)</f>
        <v>90.52</v>
      </c>
      <c r="L41" s="32" t="n">
        <f aca="false">SUMIFS(Trades!$Y$2:$Y$884,Trades!$D$2:$D$884,$A41)</f>
        <v>2.38952536824926</v>
      </c>
      <c r="M41" s="30" t="n">
        <f aca="false">P40</f>
        <v>99633.35</v>
      </c>
      <c r="N41" s="29" t="n">
        <f aca="false">IFERROR(F41/M41,0)</f>
        <v>0.000908531129385893</v>
      </c>
      <c r="O41" s="28" t="str">
        <f aca="false">IF(-N41&gt;=Summary!$C$7,"BREACH","")</f>
        <v/>
      </c>
      <c r="P41" s="30" t="n">
        <f aca="false">M41+F41</f>
        <v>99723.87</v>
      </c>
      <c r="Q41" s="30" t="n">
        <f aca="false">P41-Summary!$C$5</f>
        <v>-276.129999999976</v>
      </c>
      <c r="R41" s="2" t="str">
        <f aca="false">TEXT(A41,"ddd")</f>
        <v>Thu</v>
      </c>
    </row>
    <row r="42" customFormat="false" ht="15" hidden="false" customHeight="false" outlineLevel="0" collapsed="false">
      <c r="A42" s="42" t="n">
        <v>45086</v>
      </c>
      <c r="B42" s="28" t="n">
        <f aca="false">COUNTIFS(Trades!$D$2:$D$884,$A42)</f>
        <v>1</v>
      </c>
      <c r="C42" s="28" t="n">
        <f aca="false">COUNTIFS(Trades!$D$2:$D$884,$A42,Trades!$Z$2:$Z$884,"Win")</f>
        <v>0</v>
      </c>
      <c r="D42" s="28" t="n">
        <f aca="false">COUNTIFS(Trades!$D$2:$D$884,$A42,Trades!$Z$2:$Z$884,"Loss")</f>
        <v>1</v>
      </c>
      <c r="E42" s="29" t="n">
        <f aca="false">IFERROR(C42/B42,0)</f>
        <v>0</v>
      </c>
      <c r="F42" s="30" t="n">
        <f aca="false">SUMIFS(Trades!$X$2:$X$884,Trades!$D$2:$D$884,$A42)</f>
        <v>-48</v>
      </c>
      <c r="G42" s="30" t="n">
        <f aca="false">SUMIFS(Trades!$X$2:$X$884,Trades!$D$2:$D$884,$A42,Trades!$X$2:$X$884,"&gt;0")</f>
        <v>0</v>
      </c>
      <c r="H42" s="30" t="n">
        <f aca="false">SUMIFS(Trades!$X$2:$X$884,Trades!$D$2:$D$884,$A42,Trades!$X$2:$X$884,"&lt;0")</f>
        <v>-48</v>
      </c>
      <c r="I42" s="31" t="n">
        <f aca="false">IFERROR(G42/-H42,"no loss")</f>
        <v>0</v>
      </c>
      <c r="J42" s="30" t="n">
        <f aca="false">_xlfn.MAXIFS(Trades!$X$2:$X$884,Trades!$D$2:$D$884,$A42)</f>
        <v>-48</v>
      </c>
      <c r="K42" s="30" t="n">
        <f aca="false">_xlfn.MINIFS(Trades!$X$2:$X$884,Trades!$D$2:$D$884,$A42)</f>
        <v>-48</v>
      </c>
      <c r="L42" s="32" t="n">
        <f aca="false">SUMIFS(Trades!$Y$2:$Y$884,Trades!$D$2:$D$884,$A42)</f>
        <v>-1.04575163398698</v>
      </c>
      <c r="M42" s="30" t="n">
        <f aca="false">P41</f>
        <v>99723.87</v>
      </c>
      <c r="N42" s="29" t="n">
        <f aca="false">IFERROR(F42/M42,0)</f>
        <v>-0.000481329094027338</v>
      </c>
      <c r="O42" s="28" t="str">
        <f aca="false">IF(-N42&gt;=Summary!$C$7,"BREACH","")</f>
        <v/>
      </c>
      <c r="P42" s="30" t="n">
        <f aca="false">M42+F42</f>
        <v>99675.87</v>
      </c>
      <c r="Q42" s="30" t="n">
        <f aca="false">P42-Summary!$C$5</f>
        <v>-324.129999999976</v>
      </c>
      <c r="R42" s="2" t="str">
        <f aca="false">TEXT(A42,"ddd")</f>
        <v>Fri</v>
      </c>
    </row>
    <row r="43" customFormat="false" ht="15" hidden="false" customHeight="false" outlineLevel="0" collapsed="false">
      <c r="A43" s="42" t="n">
        <v>45089</v>
      </c>
      <c r="B43" s="28" t="n">
        <f aca="false">COUNTIFS(Trades!$D$2:$D$884,$A43)</f>
        <v>1</v>
      </c>
      <c r="C43" s="28" t="n">
        <f aca="false">COUNTIFS(Trades!$D$2:$D$884,$A43,Trades!$Z$2:$Z$884,"Win")</f>
        <v>1</v>
      </c>
      <c r="D43" s="28" t="n">
        <f aca="false">COUNTIFS(Trades!$D$2:$D$884,$A43,Trades!$Z$2:$Z$884,"Loss")</f>
        <v>0</v>
      </c>
      <c r="E43" s="29" t="n">
        <f aca="false">IFERROR(C43/B43,0)</f>
        <v>1</v>
      </c>
      <c r="F43" s="30" t="n">
        <f aca="false">SUMIFS(Trades!$X$2:$X$884,Trades!$D$2:$D$884,$A43)</f>
        <v>110.82</v>
      </c>
      <c r="G43" s="30" t="n">
        <f aca="false">SUMIFS(Trades!$X$2:$X$884,Trades!$D$2:$D$884,$A43,Trades!$X$2:$X$884,"&gt;0")</f>
        <v>110.82</v>
      </c>
      <c r="H43" s="30" t="n">
        <f aca="false">SUMIFS(Trades!$X$2:$X$884,Trades!$D$2:$D$884,$A43,Trades!$X$2:$X$884,"&lt;0")</f>
        <v>0</v>
      </c>
      <c r="I43" s="31" t="str">
        <f aca="false">IFERROR(G43/-H43,"no loss")</f>
        <v>no loss</v>
      </c>
      <c r="J43" s="30" t="n">
        <f aca="false">_xlfn.MAXIFS(Trades!$X$2:$X$884,Trades!$D$2:$D$884,$A43)</f>
        <v>110.82</v>
      </c>
      <c r="K43" s="30" t="n">
        <f aca="false">_xlfn.MINIFS(Trades!$X$2:$X$884,Trades!$D$2:$D$884,$A43)</f>
        <v>110.82</v>
      </c>
      <c r="L43" s="32" t="n">
        <f aca="false">SUMIFS(Trades!$Y$2:$Y$884,Trades!$D$2:$D$884,$A43)</f>
        <v>2.04767184035467</v>
      </c>
      <c r="M43" s="30" t="n">
        <f aca="false">P42</f>
        <v>99675.87</v>
      </c>
      <c r="N43" s="29" t="n">
        <f aca="false">IFERROR(F43/M43,0)</f>
        <v>0.00111180368929812</v>
      </c>
      <c r="O43" s="28" t="str">
        <f aca="false">IF(-N43&gt;=Summary!$C$7,"BREACH","")</f>
        <v/>
      </c>
      <c r="P43" s="30" t="n">
        <f aca="false">M43+F43</f>
        <v>99786.69</v>
      </c>
      <c r="Q43" s="30" t="n">
        <f aca="false">P43-Summary!$C$5</f>
        <v>-213.309999999969</v>
      </c>
      <c r="R43" s="2" t="str">
        <f aca="false">TEXT(A43,"ddd")</f>
        <v>Mon</v>
      </c>
    </row>
    <row r="44" customFormat="false" ht="15" hidden="false" customHeight="false" outlineLevel="0" collapsed="false">
      <c r="A44" s="42" t="n">
        <v>45090</v>
      </c>
      <c r="B44" s="28" t="n">
        <f aca="false">COUNTIFS(Trades!$D$2:$D$884,$A44)</f>
        <v>1</v>
      </c>
      <c r="C44" s="28" t="n">
        <f aca="false">COUNTIFS(Trades!$D$2:$D$884,$A44,Trades!$Z$2:$Z$884,"Win")</f>
        <v>0</v>
      </c>
      <c r="D44" s="28" t="n">
        <f aca="false">COUNTIFS(Trades!$D$2:$D$884,$A44,Trades!$Z$2:$Z$884,"Loss")</f>
        <v>1</v>
      </c>
      <c r="E44" s="29" t="n">
        <f aca="false">IFERROR(C44/B44,0)</f>
        <v>0</v>
      </c>
      <c r="F44" s="30" t="n">
        <f aca="false">SUMIFS(Trades!$X$2:$X$884,Trades!$D$2:$D$884,$A44)</f>
        <v>-0.84</v>
      </c>
      <c r="G44" s="30" t="n">
        <f aca="false">SUMIFS(Trades!$X$2:$X$884,Trades!$D$2:$D$884,$A44,Trades!$X$2:$X$884,"&gt;0")</f>
        <v>0</v>
      </c>
      <c r="H44" s="30" t="n">
        <f aca="false">SUMIFS(Trades!$X$2:$X$884,Trades!$D$2:$D$884,$A44,Trades!$X$2:$X$884,"&lt;0")</f>
        <v>-0.84</v>
      </c>
      <c r="I44" s="31" t="n">
        <f aca="false">IFERROR(G44/-H44,"no loss")</f>
        <v>0</v>
      </c>
      <c r="J44" s="30" t="n">
        <f aca="false">_xlfn.MAXIFS(Trades!$X$2:$X$884,Trades!$D$2:$D$884,$A44)</f>
        <v>-0.84</v>
      </c>
      <c r="K44" s="30" t="n">
        <f aca="false">_xlfn.MINIFS(Trades!$X$2:$X$884,Trades!$D$2:$D$884,$A44)</f>
        <v>-0.84</v>
      </c>
      <c r="L44" s="32" t="n">
        <f aca="false">SUMIFS(Trades!$Y$2:$Y$884,Trades!$D$2:$D$884,$A44)</f>
        <v>-0.0110759493670891</v>
      </c>
      <c r="M44" s="30" t="n">
        <f aca="false">P43</f>
        <v>99786.69</v>
      </c>
      <c r="N44" s="29" t="n">
        <f aca="false">IFERROR(F44/M44,0)</f>
        <v>-8.41795634267456E-006</v>
      </c>
      <c r="O44" s="28" t="str">
        <f aca="false">IF(-N44&gt;=Summary!$C$7,"BREACH","")</f>
        <v/>
      </c>
      <c r="P44" s="30" t="n">
        <f aca="false">M44+F44</f>
        <v>99785.85</v>
      </c>
      <c r="Q44" s="30" t="n">
        <f aca="false">P44-Summary!$C$5</f>
        <v>-214.149999999965</v>
      </c>
      <c r="R44" s="2" t="str">
        <f aca="false">TEXT(A44,"ddd")</f>
        <v>Tue</v>
      </c>
    </row>
    <row r="45" customFormat="false" ht="15" hidden="false" customHeight="false" outlineLevel="0" collapsed="false">
      <c r="A45" s="42" t="n">
        <v>45091</v>
      </c>
      <c r="B45" s="28" t="n">
        <f aca="false">COUNTIFS(Trades!$D$2:$D$884,$A45)</f>
        <v>1</v>
      </c>
      <c r="C45" s="28" t="n">
        <f aca="false">COUNTIFS(Trades!$D$2:$D$884,$A45,Trades!$Z$2:$Z$884,"Win")</f>
        <v>0</v>
      </c>
      <c r="D45" s="28" t="n">
        <f aca="false">COUNTIFS(Trades!$D$2:$D$884,$A45,Trades!$Z$2:$Z$884,"Loss")</f>
        <v>1</v>
      </c>
      <c r="E45" s="29" t="n">
        <f aca="false">IFERROR(C45/B45,0)</f>
        <v>0</v>
      </c>
      <c r="F45" s="30" t="n">
        <f aca="false">SUMIFS(Trades!$X$2:$X$884,Trades!$D$2:$D$884,$A45)</f>
        <v>-110.94</v>
      </c>
      <c r="G45" s="30" t="n">
        <f aca="false">SUMIFS(Trades!$X$2:$X$884,Trades!$D$2:$D$884,$A45,Trades!$X$2:$X$884,"&gt;0")</f>
        <v>0</v>
      </c>
      <c r="H45" s="30" t="n">
        <f aca="false">SUMIFS(Trades!$X$2:$X$884,Trades!$D$2:$D$884,$A45,Trades!$X$2:$X$884,"&lt;0")</f>
        <v>-110.94</v>
      </c>
      <c r="I45" s="31" t="n">
        <f aca="false">IFERROR(G45/-H45,"no loss")</f>
        <v>0</v>
      </c>
      <c r="J45" s="30" t="n">
        <f aca="false">_xlfn.MAXIFS(Trades!$X$2:$X$884,Trades!$D$2:$D$884,$A45)</f>
        <v>-110.94</v>
      </c>
      <c r="K45" s="30" t="n">
        <f aca="false">_xlfn.MINIFS(Trades!$X$2:$X$884,Trades!$D$2:$D$884,$A45)</f>
        <v>-110.94</v>
      </c>
      <c r="L45" s="32" t="n">
        <f aca="false">SUMIFS(Trades!$Y$2:$Y$884,Trades!$D$2:$D$884,$A45)</f>
        <v>-1.00872885979269</v>
      </c>
      <c r="M45" s="30" t="n">
        <f aca="false">P44</f>
        <v>99785.85</v>
      </c>
      <c r="N45" s="29" t="n">
        <f aca="false">IFERROR(F45/M45,0)</f>
        <v>-0.00111178087875185</v>
      </c>
      <c r="O45" s="28" t="str">
        <f aca="false">IF(-N45&gt;=Summary!$C$7,"BREACH","")</f>
        <v/>
      </c>
      <c r="P45" s="30" t="n">
        <f aca="false">M45+F45</f>
        <v>99674.91</v>
      </c>
      <c r="Q45" s="30" t="n">
        <f aca="false">P45-Summary!$C$5</f>
        <v>-325.089999999967</v>
      </c>
      <c r="R45" s="2" t="str">
        <f aca="false">TEXT(A45,"ddd")</f>
        <v>Wed</v>
      </c>
    </row>
    <row r="46" customFormat="false" ht="15" hidden="false" customHeight="false" outlineLevel="0" collapsed="false">
      <c r="A46" s="42" t="n">
        <v>45092</v>
      </c>
      <c r="B46" s="28" t="n">
        <f aca="false">COUNTIFS(Trades!$D$2:$D$884,$A46)</f>
        <v>1</v>
      </c>
      <c r="C46" s="28" t="n">
        <f aca="false">COUNTIFS(Trades!$D$2:$D$884,$A46,Trades!$Z$2:$Z$884,"Win")</f>
        <v>0</v>
      </c>
      <c r="D46" s="28" t="n">
        <f aca="false">COUNTIFS(Trades!$D$2:$D$884,$A46,Trades!$Z$2:$Z$884,"Loss")</f>
        <v>1</v>
      </c>
      <c r="E46" s="29" t="n">
        <f aca="false">IFERROR(C46/B46,0)</f>
        <v>0</v>
      </c>
      <c r="F46" s="30" t="n">
        <f aca="false">SUMIFS(Trades!$X$2:$X$884,Trades!$D$2:$D$884,$A46)</f>
        <v>-62.06</v>
      </c>
      <c r="G46" s="30" t="n">
        <f aca="false">SUMIFS(Trades!$X$2:$X$884,Trades!$D$2:$D$884,$A46,Trades!$X$2:$X$884,"&gt;0")</f>
        <v>0</v>
      </c>
      <c r="H46" s="30" t="n">
        <f aca="false">SUMIFS(Trades!$X$2:$X$884,Trades!$D$2:$D$884,$A46,Trades!$X$2:$X$884,"&lt;0")</f>
        <v>-62.06</v>
      </c>
      <c r="I46" s="31" t="n">
        <f aca="false">IFERROR(G46/-H46,"no loss")</f>
        <v>0</v>
      </c>
      <c r="J46" s="30" t="n">
        <f aca="false">_xlfn.MAXIFS(Trades!$X$2:$X$884,Trades!$D$2:$D$884,$A46)</f>
        <v>-62.06</v>
      </c>
      <c r="K46" s="30" t="n">
        <f aca="false">_xlfn.MINIFS(Trades!$X$2:$X$884,Trades!$D$2:$D$884,$A46)</f>
        <v>-62.06</v>
      </c>
      <c r="L46" s="32" t="n">
        <f aca="false">SUMIFS(Trades!$Y$2:$Y$884,Trades!$D$2:$D$884,$A46)</f>
        <v>-1.00848256361917</v>
      </c>
      <c r="M46" s="30" t="n">
        <f aca="false">P45</f>
        <v>99674.91</v>
      </c>
      <c r="N46" s="29" t="n">
        <f aca="false">IFERROR(F46/M46,0)</f>
        <v>-0.000622624088649791</v>
      </c>
      <c r="O46" s="28" t="str">
        <f aca="false">IF(-N46&gt;=Summary!$C$7,"BREACH","")</f>
        <v/>
      </c>
      <c r="P46" s="30" t="n">
        <f aca="false">M46+F46</f>
        <v>99612.85</v>
      </c>
      <c r="Q46" s="30" t="n">
        <f aca="false">P46-Summary!$C$5</f>
        <v>-387.149999999965</v>
      </c>
      <c r="R46" s="2" t="str">
        <f aca="false">TEXT(A46,"ddd")</f>
        <v>Thu</v>
      </c>
    </row>
    <row r="47" customFormat="false" ht="15" hidden="false" customHeight="false" outlineLevel="0" collapsed="false">
      <c r="A47" s="42" t="n">
        <v>45093</v>
      </c>
      <c r="B47" s="28" t="n">
        <f aca="false">COUNTIFS(Trades!$D$2:$D$884,$A47)</f>
        <v>1</v>
      </c>
      <c r="C47" s="28" t="n">
        <f aca="false">COUNTIFS(Trades!$D$2:$D$884,$A47,Trades!$Z$2:$Z$884,"Win")</f>
        <v>0</v>
      </c>
      <c r="D47" s="28" t="n">
        <f aca="false">COUNTIFS(Trades!$D$2:$D$884,$A47,Trades!$Z$2:$Z$884,"Loss")</f>
        <v>1</v>
      </c>
      <c r="E47" s="29" t="n">
        <f aca="false">IFERROR(C47/B47,0)</f>
        <v>0</v>
      </c>
      <c r="F47" s="30" t="n">
        <f aca="false">SUMIFS(Trades!$X$2:$X$884,Trades!$D$2:$D$884,$A47)</f>
        <v>-5.45</v>
      </c>
      <c r="G47" s="30" t="n">
        <f aca="false">SUMIFS(Trades!$X$2:$X$884,Trades!$D$2:$D$884,$A47,Trades!$X$2:$X$884,"&gt;0")</f>
        <v>0</v>
      </c>
      <c r="H47" s="30" t="n">
        <f aca="false">SUMIFS(Trades!$X$2:$X$884,Trades!$D$2:$D$884,$A47,Trades!$X$2:$X$884,"&lt;0")</f>
        <v>-5.45</v>
      </c>
      <c r="I47" s="31" t="n">
        <f aca="false">IFERROR(G47/-H47,"no loss")</f>
        <v>0</v>
      </c>
      <c r="J47" s="30" t="n">
        <f aca="false">_xlfn.MAXIFS(Trades!$X$2:$X$884,Trades!$D$2:$D$884,$A47)</f>
        <v>-5.45</v>
      </c>
      <c r="K47" s="30" t="n">
        <f aca="false">_xlfn.MINIFS(Trades!$X$2:$X$884,Trades!$D$2:$D$884,$A47)</f>
        <v>-5.45</v>
      </c>
      <c r="L47" s="32" t="n">
        <f aca="false">SUMIFS(Trades!$Y$2:$Y$884,Trades!$D$2:$D$884,$A47)</f>
        <v>-0.075292882404943</v>
      </c>
      <c r="M47" s="30" t="n">
        <f aca="false">P46</f>
        <v>99612.85</v>
      </c>
      <c r="N47" s="29" t="n">
        <f aca="false">IFERROR(F47/M47,0)</f>
        <v>-5.47118167987363E-005</v>
      </c>
      <c r="O47" s="28" t="str">
        <f aca="false">IF(-N47&gt;=Summary!$C$7,"BREACH","")</f>
        <v/>
      </c>
      <c r="P47" s="30" t="n">
        <f aca="false">M47+F47</f>
        <v>99607.4</v>
      </c>
      <c r="Q47" s="30" t="n">
        <f aca="false">P47-Summary!$C$5</f>
        <v>-392.599999999962</v>
      </c>
      <c r="R47" s="2" t="str">
        <f aca="false">TEXT(A47,"ddd")</f>
        <v>Fri</v>
      </c>
    </row>
    <row r="48" customFormat="false" ht="15" hidden="false" customHeight="false" outlineLevel="0" collapsed="false">
      <c r="A48" s="42" t="n">
        <v>45096</v>
      </c>
      <c r="B48" s="28" t="n">
        <f aca="false">COUNTIFS(Trades!$D$2:$D$884,$A48)</f>
        <v>1</v>
      </c>
      <c r="C48" s="28" t="n">
        <f aca="false">COUNTIFS(Trades!$D$2:$D$884,$A48,Trades!$Z$2:$Z$884,"Win")</f>
        <v>0</v>
      </c>
      <c r="D48" s="28" t="n">
        <f aca="false">COUNTIFS(Trades!$D$2:$D$884,$A48,Trades!$Z$2:$Z$884,"Loss")</f>
        <v>1</v>
      </c>
      <c r="E48" s="29" t="n">
        <f aca="false">IFERROR(C48/B48,0)</f>
        <v>0</v>
      </c>
      <c r="F48" s="30" t="n">
        <f aca="false">SUMIFS(Trades!$X$2:$X$884,Trades!$D$2:$D$884,$A48)</f>
        <v>-53.94</v>
      </c>
      <c r="G48" s="30" t="n">
        <f aca="false">SUMIFS(Trades!$X$2:$X$884,Trades!$D$2:$D$884,$A48,Trades!$X$2:$X$884,"&gt;0")</f>
        <v>0</v>
      </c>
      <c r="H48" s="30" t="n">
        <f aca="false">SUMIFS(Trades!$X$2:$X$884,Trades!$D$2:$D$884,$A48,Trades!$X$2:$X$884,"&lt;0")</f>
        <v>-53.94</v>
      </c>
      <c r="I48" s="31" t="n">
        <f aca="false">IFERROR(G48/-H48,"no loss")</f>
        <v>0</v>
      </c>
      <c r="J48" s="30" t="n">
        <f aca="false">_xlfn.MAXIFS(Trades!$X$2:$X$884,Trades!$D$2:$D$884,$A48)</f>
        <v>-53.94</v>
      </c>
      <c r="K48" s="30" t="n">
        <f aca="false">_xlfn.MINIFS(Trades!$X$2:$X$884,Trades!$D$2:$D$884,$A48)</f>
        <v>-53.94</v>
      </c>
      <c r="L48" s="32" t="n">
        <f aca="false">SUMIFS(Trades!$Y$2:$Y$884,Trades!$D$2:$D$884,$A48)</f>
        <v>-1.01528384279478</v>
      </c>
      <c r="M48" s="30" t="n">
        <f aca="false">P47</f>
        <v>99607.4</v>
      </c>
      <c r="N48" s="29" t="n">
        <f aca="false">IFERROR(F48/M48,0)</f>
        <v>-0.000541526031198485</v>
      </c>
      <c r="O48" s="28" t="str">
        <f aca="false">IF(-N48&gt;=Summary!$C$7,"BREACH","")</f>
        <v/>
      </c>
      <c r="P48" s="30" t="n">
        <f aca="false">M48+F48</f>
        <v>99553.46</v>
      </c>
      <c r="Q48" s="30" t="n">
        <f aca="false">P48-Summary!$C$5</f>
        <v>-446.539999999965</v>
      </c>
      <c r="R48" s="2" t="str">
        <f aca="false">TEXT(A48,"ddd")</f>
        <v>Mon</v>
      </c>
    </row>
    <row r="49" customFormat="false" ht="15" hidden="false" customHeight="false" outlineLevel="0" collapsed="false">
      <c r="A49" s="42" t="n">
        <v>45097</v>
      </c>
      <c r="B49" s="28" t="n">
        <f aca="false">COUNTIFS(Trades!$D$2:$D$884,$A49)</f>
        <v>1</v>
      </c>
      <c r="C49" s="28" t="n">
        <f aca="false">COUNTIFS(Trades!$D$2:$D$884,$A49,Trades!$Z$2:$Z$884,"Win")</f>
        <v>0</v>
      </c>
      <c r="D49" s="28" t="n">
        <f aca="false">COUNTIFS(Trades!$D$2:$D$884,$A49,Trades!$Z$2:$Z$884,"Loss")</f>
        <v>1</v>
      </c>
      <c r="E49" s="29" t="n">
        <f aca="false">IFERROR(C49/B49,0)</f>
        <v>0</v>
      </c>
      <c r="F49" s="30" t="n">
        <f aca="false">SUMIFS(Trades!$X$2:$X$884,Trades!$D$2:$D$884,$A49)</f>
        <v>-33.12</v>
      </c>
      <c r="G49" s="30" t="n">
        <f aca="false">SUMIFS(Trades!$X$2:$X$884,Trades!$D$2:$D$884,$A49,Trades!$X$2:$X$884,"&gt;0")</f>
        <v>0</v>
      </c>
      <c r="H49" s="30" t="n">
        <f aca="false">SUMIFS(Trades!$X$2:$X$884,Trades!$D$2:$D$884,$A49,Trades!$X$2:$X$884,"&lt;0")</f>
        <v>-33.12</v>
      </c>
      <c r="I49" s="31" t="n">
        <f aca="false">IFERROR(G49/-H49,"no loss")</f>
        <v>0</v>
      </c>
      <c r="J49" s="30" t="n">
        <f aca="false">_xlfn.MAXIFS(Trades!$X$2:$X$884,Trades!$D$2:$D$884,$A49)</f>
        <v>-33.12</v>
      </c>
      <c r="K49" s="30" t="n">
        <f aca="false">_xlfn.MINIFS(Trades!$X$2:$X$884,Trades!$D$2:$D$884,$A49)</f>
        <v>-33.12</v>
      </c>
      <c r="L49" s="32" t="n">
        <f aca="false">SUMIFS(Trades!$Y$2:$Y$884,Trades!$D$2:$D$884,$A49)</f>
        <v>-1.0981432360745</v>
      </c>
      <c r="M49" s="30" t="n">
        <f aca="false">P48</f>
        <v>99553.46</v>
      </c>
      <c r="N49" s="29" t="n">
        <f aca="false">IFERROR(F49/M49,0)</f>
        <v>-0.000332685574162867</v>
      </c>
      <c r="O49" s="28" t="str">
        <f aca="false">IF(-N49&gt;=Summary!$C$7,"BREACH","")</f>
        <v/>
      </c>
      <c r="P49" s="30" t="n">
        <f aca="false">M49+F49</f>
        <v>99520.34</v>
      </c>
      <c r="Q49" s="30" t="n">
        <f aca="false">P49-Summary!$C$5</f>
        <v>-479.65999999996</v>
      </c>
      <c r="R49" s="2" t="str">
        <f aca="false">TEXT(A49,"ddd")</f>
        <v>Tue</v>
      </c>
    </row>
    <row r="50" customFormat="false" ht="15" hidden="false" customHeight="false" outlineLevel="0" collapsed="false">
      <c r="A50" s="42" t="n">
        <v>45098</v>
      </c>
      <c r="B50" s="28" t="n">
        <f aca="false">COUNTIFS(Trades!$D$2:$D$884,$A50)</f>
        <v>1</v>
      </c>
      <c r="C50" s="28" t="n">
        <f aca="false">COUNTIFS(Trades!$D$2:$D$884,$A50,Trades!$Z$2:$Z$884,"Win")</f>
        <v>1</v>
      </c>
      <c r="D50" s="28" t="n">
        <f aca="false">COUNTIFS(Trades!$D$2:$D$884,$A50,Trades!$Z$2:$Z$884,"Loss")</f>
        <v>0</v>
      </c>
      <c r="E50" s="29" t="n">
        <f aca="false">IFERROR(C50/B50,0)</f>
        <v>1</v>
      </c>
      <c r="F50" s="30" t="n">
        <f aca="false">SUMIFS(Trades!$X$2:$X$884,Trades!$D$2:$D$884,$A50)</f>
        <v>255.61</v>
      </c>
      <c r="G50" s="30" t="n">
        <f aca="false">SUMIFS(Trades!$X$2:$X$884,Trades!$D$2:$D$884,$A50,Trades!$X$2:$X$884,"&gt;0")</f>
        <v>255.61</v>
      </c>
      <c r="H50" s="30" t="n">
        <f aca="false">SUMIFS(Trades!$X$2:$X$884,Trades!$D$2:$D$884,$A50,Trades!$X$2:$X$884,"&lt;0")</f>
        <v>0</v>
      </c>
      <c r="I50" s="31" t="str">
        <f aca="false">IFERROR(G50/-H50,"no loss")</f>
        <v>no loss</v>
      </c>
      <c r="J50" s="30" t="n">
        <f aca="false">_xlfn.MAXIFS(Trades!$X$2:$X$884,Trades!$D$2:$D$884,$A50)</f>
        <v>255.61</v>
      </c>
      <c r="K50" s="30" t="n">
        <f aca="false">_xlfn.MINIFS(Trades!$X$2:$X$884,Trades!$D$2:$D$884,$A50)</f>
        <v>255.61</v>
      </c>
      <c r="L50" s="32" t="n">
        <f aca="false">SUMIFS(Trades!$Y$2:$Y$884,Trades!$D$2:$D$884,$A50)</f>
        <v>2.00139371731024</v>
      </c>
      <c r="M50" s="30" t="n">
        <f aca="false">P49</f>
        <v>99520.34</v>
      </c>
      <c r="N50" s="29" t="n">
        <f aca="false">IFERROR(F50/M50,0)</f>
        <v>0.00256841968184594</v>
      </c>
      <c r="O50" s="28" t="str">
        <f aca="false">IF(-N50&gt;=Summary!$C$7,"BREACH","")</f>
        <v/>
      </c>
      <c r="P50" s="30" t="n">
        <f aca="false">M50+F50</f>
        <v>99775.95</v>
      </c>
      <c r="Q50" s="30" t="n">
        <f aca="false">P50-Summary!$C$5</f>
        <v>-224.049999999959</v>
      </c>
      <c r="R50" s="2" t="str">
        <f aca="false">TEXT(A50,"ddd")</f>
        <v>Wed</v>
      </c>
    </row>
    <row r="51" customFormat="false" ht="15" hidden="false" customHeight="false" outlineLevel="0" collapsed="false">
      <c r="A51" s="42" t="n">
        <v>45099</v>
      </c>
      <c r="B51" s="28" t="n">
        <f aca="false">COUNTIFS(Trades!$D$2:$D$884,$A51)</f>
        <v>1</v>
      </c>
      <c r="C51" s="28" t="n">
        <f aca="false">COUNTIFS(Trades!$D$2:$D$884,$A51,Trades!$Z$2:$Z$884,"Win")</f>
        <v>0</v>
      </c>
      <c r="D51" s="28" t="n">
        <f aca="false">COUNTIFS(Trades!$D$2:$D$884,$A51,Trades!$Z$2:$Z$884,"Loss")</f>
        <v>1</v>
      </c>
      <c r="E51" s="29" t="n">
        <f aca="false">IFERROR(C51/B51,0)</f>
        <v>0</v>
      </c>
      <c r="F51" s="30" t="n">
        <f aca="false">SUMIFS(Trades!$X$2:$X$884,Trades!$D$2:$D$884,$A51)</f>
        <v>-0.3</v>
      </c>
      <c r="G51" s="30" t="n">
        <f aca="false">SUMIFS(Trades!$X$2:$X$884,Trades!$D$2:$D$884,$A51,Trades!$X$2:$X$884,"&gt;0")</f>
        <v>0</v>
      </c>
      <c r="H51" s="30" t="n">
        <f aca="false">SUMIFS(Trades!$X$2:$X$884,Trades!$D$2:$D$884,$A51,Trades!$X$2:$X$884,"&lt;0")</f>
        <v>-0.3</v>
      </c>
      <c r="I51" s="31" t="n">
        <f aca="false">IFERROR(G51/-H51,"no loss")</f>
        <v>0</v>
      </c>
      <c r="J51" s="30" t="n">
        <f aca="false">_xlfn.MAXIFS(Trades!$X$2:$X$884,Trades!$D$2:$D$884,$A51)</f>
        <v>-0.3</v>
      </c>
      <c r="K51" s="30" t="n">
        <f aca="false">_xlfn.MINIFS(Trades!$X$2:$X$884,Trades!$D$2:$D$884,$A51)</f>
        <v>-0.3</v>
      </c>
      <c r="L51" s="32" t="n">
        <f aca="false">SUMIFS(Trades!$Y$2:$Y$884,Trades!$D$2:$D$884,$A51)</f>
        <v>-0.00728862973761064</v>
      </c>
      <c r="M51" s="30" t="n">
        <f aca="false">P50</f>
        <v>99775.95</v>
      </c>
      <c r="N51" s="29" t="n">
        <f aca="false">IFERROR(F51/M51,0)</f>
        <v>-3.00673659333737E-006</v>
      </c>
      <c r="O51" s="28" t="str">
        <f aca="false">IF(-N51&gt;=Summary!$C$7,"BREACH","")</f>
        <v/>
      </c>
      <c r="P51" s="30" t="n">
        <f aca="false">M51+F51</f>
        <v>99775.65</v>
      </c>
      <c r="Q51" s="30" t="n">
        <f aca="false">P51-Summary!$C$5</f>
        <v>-224.349999999962</v>
      </c>
      <c r="R51" s="2" t="str">
        <f aca="false">TEXT(A51,"ddd")</f>
        <v>Thu</v>
      </c>
    </row>
    <row r="52" customFormat="false" ht="15" hidden="false" customHeight="false" outlineLevel="0" collapsed="false">
      <c r="A52" s="42" t="n">
        <v>45100</v>
      </c>
      <c r="B52" s="28" t="n">
        <f aca="false">COUNTIFS(Trades!$D$2:$D$884,$A52)</f>
        <v>1</v>
      </c>
      <c r="C52" s="28" t="n">
        <f aca="false">COUNTIFS(Trades!$D$2:$D$884,$A52,Trades!$Z$2:$Z$884,"Win")</f>
        <v>0</v>
      </c>
      <c r="D52" s="28" t="n">
        <f aca="false">COUNTIFS(Trades!$D$2:$D$884,$A52,Trades!$Z$2:$Z$884,"Loss")</f>
        <v>1</v>
      </c>
      <c r="E52" s="29" t="n">
        <f aca="false">IFERROR(C52/B52,0)</f>
        <v>0</v>
      </c>
      <c r="F52" s="30" t="n">
        <f aca="false">SUMIFS(Trades!$X$2:$X$884,Trades!$D$2:$D$884,$A52)</f>
        <v>-56.55</v>
      </c>
      <c r="G52" s="30" t="n">
        <f aca="false">SUMIFS(Trades!$X$2:$X$884,Trades!$D$2:$D$884,$A52,Trades!$X$2:$X$884,"&gt;0")</f>
        <v>0</v>
      </c>
      <c r="H52" s="30" t="n">
        <f aca="false">SUMIFS(Trades!$X$2:$X$884,Trades!$D$2:$D$884,$A52,Trades!$X$2:$X$884,"&lt;0")</f>
        <v>-56.55</v>
      </c>
      <c r="I52" s="31" t="n">
        <f aca="false">IFERROR(G52/-H52,"no loss")</f>
        <v>0</v>
      </c>
      <c r="J52" s="30" t="n">
        <f aca="false">_xlfn.MAXIFS(Trades!$X$2:$X$884,Trades!$D$2:$D$884,$A52)</f>
        <v>-56.55</v>
      </c>
      <c r="K52" s="30" t="n">
        <f aca="false">_xlfn.MINIFS(Trades!$X$2:$X$884,Trades!$D$2:$D$884,$A52)</f>
        <v>-56.55</v>
      </c>
      <c r="L52" s="32" t="n">
        <f aca="false">SUMIFS(Trades!$Y$2:$Y$884,Trades!$D$2:$D$884,$A52)</f>
        <v>-1.00102669404501</v>
      </c>
      <c r="M52" s="30" t="n">
        <f aca="false">P51</f>
        <v>99775.65</v>
      </c>
      <c r="N52" s="29" t="n">
        <f aca="false">IFERROR(F52/M52,0)</f>
        <v>-0.00056677155197686</v>
      </c>
      <c r="O52" s="28" t="str">
        <f aca="false">IF(-N52&gt;=Summary!$C$7,"BREACH","")</f>
        <v/>
      </c>
      <c r="P52" s="30" t="n">
        <f aca="false">M52+F52</f>
        <v>99719.1</v>
      </c>
      <c r="Q52" s="30" t="n">
        <f aca="false">P52-Summary!$C$5</f>
        <v>-280.899999999965</v>
      </c>
      <c r="R52" s="2" t="str">
        <f aca="false">TEXT(A52,"ddd")</f>
        <v>Fri</v>
      </c>
    </row>
    <row r="53" customFormat="false" ht="15" hidden="false" customHeight="false" outlineLevel="0" collapsed="false">
      <c r="A53" s="42" t="n">
        <v>45103</v>
      </c>
      <c r="B53" s="28" t="n">
        <f aca="false">COUNTIFS(Trades!$D$2:$D$884,$A53)</f>
        <v>1</v>
      </c>
      <c r="C53" s="28" t="n">
        <f aca="false">COUNTIFS(Trades!$D$2:$D$884,$A53,Trades!$Z$2:$Z$884,"Win")</f>
        <v>1</v>
      </c>
      <c r="D53" s="28" t="n">
        <f aca="false">COUNTIFS(Trades!$D$2:$D$884,$A53,Trades!$Z$2:$Z$884,"Loss")</f>
        <v>0</v>
      </c>
      <c r="E53" s="29" t="n">
        <f aca="false">IFERROR(C53/B53,0)</f>
        <v>1</v>
      </c>
      <c r="F53" s="30" t="n">
        <f aca="false">SUMIFS(Trades!$X$2:$X$884,Trades!$D$2:$D$884,$A53)</f>
        <v>301.44</v>
      </c>
      <c r="G53" s="30" t="n">
        <f aca="false">SUMIFS(Trades!$X$2:$X$884,Trades!$D$2:$D$884,$A53,Trades!$X$2:$X$884,"&gt;0")</f>
        <v>301.44</v>
      </c>
      <c r="H53" s="30" t="n">
        <f aca="false">SUMIFS(Trades!$X$2:$X$884,Trades!$D$2:$D$884,$A53,Trades!$X$2:$X$884,"&lt;0")</f>
        <v>0</v>
      </c>
      <c r="I53" s="31" t="str">
        <f aca="false">IFERROR(G53/-H53,"no loss")</f>
        <v>no loss</v>
      </c>
      <c r="J53" s="30" t="n">
        <f aca="false">_xlfn.MAXIFS(Trades!$X$2:$X$884,Trades!$D$2:$D$884,$A53)</f>
        <v>301.44</v>
      </c>
      <c r="K53" s="30" t="n">
        <f aca="false">_xlfn.MINIFS(Trades!$X$2:$X$884,Trades!$D$2:$D$884,$A53)</f>
        <v>301.44</v>
      </c>
      <c r="L53" s="32" t="n">
        <f aca="false">SUMIFS(Trades!$Y$2:$Y$884,Trades!$D$2:$D$884,$A53)</f>
        <v>1.96788092440261</v>
      </c>
      <c r="M53" s="30" t="n">
        <f aca="false">P52</f>
        <v>99719.1</v>
      </c>
      <c r="N53" s="29" t="n">
        <f aca="false">IFERROR(F53/M53,0)</f>
        <v>0.00302289130166638</v>
      </c>
      <c r="O53" s="28" t="str">
        <f aca="false">IF(-N53&gt;=Summary!$C$7,"BREACH","")</f>
        <v/>
      </c>
      <c r="P53" s="30" t="n">
        <f aca="false">M53+F53</f>
        <v>100020.54</v>
      </c>
      <c r="Q53" s="30" t="n">
        <f aca="false">P53-Summary!$C$5</f>
        <v>20.5400000000373</v>
      </c>
      <c r="R53" s="2" t="str">
        <f aca="false">TEXT(A53,"ddd")</f>
        <v>Mon</v>
      </c>
    </row>
    <row r="54" customFormat="false" ht="15" hidden="false" customHeight="false" outlineLevel="0" collapsed="false">
      <c r="A54" s="42" t="n">
        <v>45105</v>
      </c>
      <c r="B54" s="28" t="n">
        <f aca="false">COUNTIFS(Trades!$D$2:$D$884,$A54)</f>
        <v>1</v>
      </c>
      <c r="C54" s="28" t="n">
        <f aca="false">COUNTIFS(Trades!$D$2:$D$884,$A54,Trades!$Z$2:$Z$884,"Win")</f>
        <v>1</v>
      </c>
      <c r="D54" s="28" t="n">
        <f aca="false">COUNTIFS(Trades!$D$2:$D$884,$A54,Trades!$Z$2:$Z$884,"Loss")</f>
        <v>0</v>
      </c>
      <c r="E54" s="29" t="n">
        <f aca="false">IFERROR(C54/B54,0)</f>
        <v>1</v>
      </c>
      <c r="F54" s="30" t="n">
        <f aca="false">SUMIFS(Trades!$X$2:$X$884,Trades!$D$2:$D$884,$A54)</f>
        <v>313.44</v>
      </c>
      <c r="G54" s="30" t="n">
        <f aca="false">SUMIFS(Trades!$X$2:$X$884,Trades!$D$2:$D$884,$A54,Trades!$X$2:$X$884,"&gt;0")</f>
        <v>313.44</v>
      </c>
      <c r="H54" s="30" t="n">
        <f aca="false">SUMIFS(Trades!$X$2:$X$884,Trades!$D$2:$D$884,$A54,Trades!$X$2:$X$884,"&lt;0")</f>
        <v>0</v>
      </c>
      <c r="I54" s="31" t="str">
        <f aca="false">IFERROR(G54/-H54,"no loss")</f>
        <v>no loss</v>
      </c>
      <c r="J54" s="30" t="n">
        <f aca="false">_xlfn.MAXIFS(Trades!$X$2:$X$884,Trades!$D$2:$D$884,$A54)</f>
        <v>313.44</v>
      </c>
      <c r="K54" s="30" t="n">
        <f aca="false">_xlfn.MINIFS(Trades!$X$2:$X$884,Trades!$D$2:$D$884,$A54)</f>
        <v>313.44</v>
      </c>
      <c r="L54" s="32" t="n">
        <f aca="false">SUMIFS(Trades!$Y$2:$Y$884,Trades!$D$2:$D$884,$A54)</f>
        <v>2.0061443932411</v>
      </c>
      <c r="M54" s="30" t="n">
        <f aca="false">P53</f>
        <v>100020.54</v>
      </c>
      <c r="N54" s="29" t="n">
        <f aca="false">IFERROR(F54/M54,0)</f>
        <v>0.00313375632645055</v>
      </c>
      <c r="O54" s="28" t="str">
        <f aca="false">IF(-N54&gt;=Summary!$C$7,"BREACH","")</f>
        <v/>
      </c>
      <c r="P54" s="30" t="n">
        <f aca="false">M54+F54</f>
        <v>100333.98</v>
      </c>
      <c r="Q54" s="30" t="n">
        <f aca="false">P54-Summary!$C$5</f>
        <v>333.98000000004</v>
      </c>
      <c r="R54" s="2" t="str">
        <f aca="false">TEXT(A54,"ddd")</f>
        <v>Wed</v>
      </c>
    </row>
    <row r="55" customFormat="false" ht="15" hidden="false" customHeight="false" outlineLevel="0" collapsed="false">
      <c r="A55" s="42" t="n">
        <v>45107</v>
      </c>
      <c r="B55" s="28" t="n">
        <f aca="false">COUNTIFS(Trades!$D$2:$D$884,$A55)</f>
        <v>1</v>
      </c>
      <c r="C55" s="28" t="n">
        <f aca="false">COUNTIFS(Trades!$D$2:$D$884,$A55,Trades!$Z$2:$Z$884,"Win")</f>
        <v>1</v>
      </c>
      <c r="D55" s="28" t="n">
        <f aca="false">COUNTIFS(Trades!$D$2:$D$884,$A55,Trades!$Z$2:$Z$884,"Loss")</f>
        <v>0</v>
      </c>
      <c r="E55" s="29" t="n">
        <f aca="false">IFERROR(C55/B55,0)</f>
        <v>1</v>
      </c>
      <c r="F55" s="30" t="n">
        <f aca="false">SUMIFS(Trades!$X$2:$X$884,Trades!$D$2:$D$884,$A55)</f>
        <v>180.3</v>
      </c>
      <c r="G55" s="30" t="n">
        <f aca="false">SUMIFS(Trades!$X$2:$X$884,Trades!$D$2:$D$884,$A55,Trades!$X$2:$X$884,"&gt;0")</f>
        <v>180.3</v>
      </c>
      <c r="H55" s="30" t="n">
        <f aca="false">SUMIFS(Trades!$X$2:$X$884,Trades!$D$2:$D$884,$A55,Trades!$X$2:$X$884,"&lt;0")</f>
        <v>0</v>
      </c>
      <c r="I55" s="31" t="str">
        <f aca="false">IFERROR(G55/-H55,"no loss")</f>
        <v>no loss</v>
      </c>
      <c r="J55" s="30" t="n">
        <f aca="false">_xlfn.MAXIFS(Trades!$X$2:$X$884,Trades!$D$2:$D$884,$A55)</f>
        <v>180.3</v>
      </c>
      <c r="K55" s="30" t="n">
        <f aca="false">_xlfn.MINIFS(Trades!$X$2:$X$884,Trades!$D$2:$D$884,$A55)</f>
        <v>180.3</v>
      </c>
      <c r="L55" s="32" t="n">
        <f aca="false">SUMIFS(Trades!$Y$2:$Y$884,Trades!$D$2:$D$884,$A55)</f>
        <v>2.05259562841538</v>
      </c>
      <c r="M55" s="30" t="n">
        <f aca="false">P54</f>
        <v>100333.98</v>
      </c>
      <c r="N55" s="29" t="n">
        <f aca="false">IFERROR(F55/M55,0)</f>
        <v>0.00179699838479446</v>
      </c>
      <c r="O55" s="28" t="str">
        <f aca="false">IF(-N55&gt;=Summary!$C$7,"BREACH","")</f>
        <v/>
      </c>
      <c r="P55" s="30" t="n">
        <f aca="false">M55+F55</f>
        <v>100514.28</v>
      </c>
      <c r="Q55" s="30" t="n">
        <f aca="false">P55-Summary!$C$5</f>
        <v>514.280000000043</v>
      </c>
      <c r="R55" s="2" t="str">
        <f aca="false">TEXT(A55,"ddd")</f>
        <v>Fri</v>
      </c>
    </row>
    <row r="56" customFormat="false" ht="15" hidden="false" customHeight="false" outlineLevel="0" collapsed="false">
      <c r="A56" s="42" t="n">
        <v>45110</v>
      </c>
      <c r="B56" s="28" t="n">
        <f aca="false">COUNTIFS(Trades!$D$2:$D$884,$A56)</f>
        <v>1</v>
      </c>
      <c r="C56" s="28" t="n">
        <f aca="false">COUNTIFS(Trades!$D$2:$D$884,$A56,Trades!$Z$2:$Z$884,"Win")</f>
        <v>0</v>
      </c>
      <c r="D56" s="28" t="n">
        <f aca="false">COUNTIFS(Trades!$D$2:$D$884,$A56,Trades!$Z$2:$Z$884,"Loss")</f>
        <v>1</v>
      </c>
      <c r="E56" s="29" t="n">
        <f aca="false">IFERROR(C56/B56,0)</f>
        <v>0</v>
      </c>
      <c r="F56" s="30" t="n">
        <f aca="false">SUMIFS(Trades!$X$2:$X$884,Trades!$D$2:$D$884,$A56)</f>
        <v>-2.49</v>
      </c>
      <c r="G56" s="30" t="n">
        <f aca="false">SUMIFS(Trades!$X$2:$X$884,Trades!$D$2:$D$884,$A56,Trades!$X$2:$X$884,"&gt;0")</f>
        <v>0</v>
      </c>
      <c r="H56" s="30" t="n">
        <f aca="false">SUMIFS(Trades!$X$2:$X$884,Trades!$D$2:$D$884,$A56,Trades!$X$2:$X$884,"&lt;0")</f>
        <v>-2.49</v>
      </c>
      <c r="I56" s="31" t="n">
        <f aca="false">IFERROR(G56/-H56,"no loss")</f>
        <v>0</v>
      </c>
      <c r="J56" s="30" t="n">
        <f aca="false">_xlfn.MAXIFS(Trades!$X$2:$X$884,Trades!$D$2:$D$884,$A56)</f>
        <v>-2.49</v>
      </c>
      <c r="K56" s="30" t="n">
        <f aca="false">_xlfn.MINIFS(Trades!$X$2:$X$884,Trades!$D$2:$D$884,$A56)</f>
        <v>-2.49</v>
      </c>
      <c r="L56" s="32" t="n">
        <f aca="false">SUMIFS(Trades!$Y$2:$Y$884,Trades!$D$2:$D$884,$A56)</f>
        <v>-0.0458175394693312</v>
      </c>
      <c r="M56" s="30" t="n">
        <f aca="false">P55</f>
        <v>100514.28</v>
      </c>
      <c r="N56" s="29" t="n">
        <f aca="false">IFERROR(F56/M56,0)</f>
        <v>-2.47725994754178E-005</v>
      </c>
      <c r="O56" s="28" t="str">
        <f aca="false">IF(-N56&gt;=Summary!$C$7,"BREACH","")</f>
        <v/>
      </c>
      <c r="P56" s="30" t="n">
        <f aca="false">M56+F56</f>
        <v>100511.79</v>
      </c>
      <c r="Q56" s="30" t="n">
        <f aca="false">P56-Summary!$C$5</f>
        <v>511.790000000037</v>
      </c>
      <c r="R56" s="2" t="str">
        <f aca="false">TEXT(A56,"ddd")</f>
        <v>Mon</v>
      </c>
    </row>
    <row r="57" customFormat="false" ht="15" hidden="false" customHeight="false" outlineLevel="0" collapsed="false">
      <c r="A57" s="42" t="n">
        <v>45112</v>
      </c>
      <c r="B57" s="28" t="n">
        <f aca="false">COUNTIFS(Trades!$D$2:$D$884,$A57)</f>
        <v>2</v>
      </c>
      <c r="C57" s="28" t="n">
        <f aca="false">COUNTIFS(Trades!$D$2:$D$884,$A57,Trades!$Z$2:$Z$884,"Win")</f>
        <v>1</v>
      </c>
      <c r="D57" s="28" t="n">
        <f aca="false">COUNTIFS(Trades!$D$2:$D$884,$A57,Trades!$Z$2:$Z$884,"Loss")</f>
        <v>1</v>
      </c>
      <c r="E57" s="29" t="n">
        <f aca="false">IFERROR(C57/B57,0)</f>
        <v>0.5</v>
      </c>
      <c r="F57" s="30" t="n">
        <f aca="false">SUMIFS(Trades!$X$2:$X$884,Trades!$D$2:$D$884,$A57)</f>
        <v>62.7</v>
      </c>
      <c r="G57" s="30" t="n">
        <f aca="false">SUMIFS(Trades!$X$2:$X$884,Trades!$D$2:$D$884,$A57,Trades!$X$2:$X$884,"&gt;0")</f>
        <v>63.86</v>
      </c>
      <c r="H57" s="30" t="n">
        <f aca="false">SUMIFS(Trades!$X$2:$X$884,Trades!$D$2:$D$884,$A57,Trades!$X$2:$X$884,"&lt;0")</f>
        <v>-1.16</v>
      </c>
      <c r="I57" s="31" t="n">
        <f aca="false">IFERROR(G57/-H57,"no loss")</f>
        <v>55.051724137931</v>
      </c>
      <c r="J57" s="30" t="n">
        <f aca="false">_xlfn.MAXIFS(Trades!$X$2:$X$884,Trades!$D$2:$D$884,$A57)</f>
        <v>63.86</v>
      </c>
      <c r="K57" s="30" t="n">
        <f aca="false">_xlfn.MINIFS(Trades!$X$2:$X$884,Trades!$D$2:$D$884,$A57)</f>
        <v>-1.16</v>
      </c>
      <c r="L57" s="32" t="n">
        <f aca="false">SUMIFS(Trades!$Y$2:$Y$884,Trades!$D$2:$D$884,$A57)</f>
        <v>1.9910118100925</v>
      </c>
      <c r="M57" s="30" t="n">
        <f aca="false">P56</f>
        <v>100511.79</v>
      </c>
      <c r="N57" s="29" t="n">
        <f aca="false">IFERROR(F57/M57,0)</f>
        <v>0.000623807416025523</v>
      </c>
      <c r="O57" s="28" t="str">
        <f aca="false">IF(-N57&gt;=Summary!$C$7,"BREACH","")</f>
        <v/>
      </c>
      <c r="P57" s="30" t="n">
        <f aca="false">M57+F57</f>
        <v>100574.49</v>
      </c>
      <c r="Q57" s="30" t="n">
        <f aca="false">P57-Summary!$C$5</f>
        <v>574.490000000034</v>
      </c>
      <c r="R57" s="2" t="str">
        <f aca="false">TEXT(A57,"ddd")</f>
        <v>Wed</v>
      </c>
    </row>
    <row r="58" customFormat="false" ht="15" hidden="false" customHeight="false" outlineLevel="0" collapsed="false">
      <c r="A58" s="42" t="n">
        <v>45113</v>
      </c>
      <c r="B58" s="28" t="n">
        <f aca="false">COUNTIFS(Trades!$D$2:$D$884,$A58)</f>
        <v>1</v>
      </c>
      <c r="C58" s="28" t="n">
        <f aca="false">COUNTIFS(Trades!$D$2:$D$884,$A58,Trades!$Z$2:$Z$884,"Win")</f>
        <v>1</v>
      </c>
      <c r="D58" s="28" t="n">
        <f aca="false">COUNTIFS(Trades!$D$2:$D$884,$A58,Trades!$Z$2:$Z$884,"Loss")</f>
        <v>0</v>
      </c>
      <c r="E58" s="29" t="n">
        <f aca="false">IFERROR(C58/B58,0)</f>
        <v>1</v>
      </c>
      <c r="F58" s="30" t="n">
        <f aca="false">SUMIFS(Trades!$X$2:$X$884,Trades!$D$2:$D$884,$A58)</f>
        <v>162.81</v>
      </c>
      <c r="G58" s="30" t="n">
        <f aca="false">SUMIFS(Trades!$X$2:$X$884,Trades!$D$2:$D$884,$A58,Trades!$X$2:$X$884,"&gt;0")</f>
        <v>162.81</v>
      </c>
      <c r="H58" s="30" t="n">
        <f aca="false">SUMIFS(Trades!$X$2:$X$884,Trades!$D$2:$D$884,$A58,Trades!$X$2:$X$884,"&lt;0")</f>
        <v>0</v>
      </c>
      <c r="I58" s="31" t="str">
        <f aca="false">IFERROR(G58/-H58,"no loss")</f>
        <v>no loss</v>
      </c>
      <c r="J58" s="30" t="n">
        <f aca="false">_xlfn.MAXIFS(Trades!$X$2:$X$884,Trades!$D$2:$D$884,$A58)</f>
        <v>162.81</v>
      </c>
      <c r="K58" s="30" t="n">
        <f aca="false">_xlfn.MINIFS(Trades!$X$2:$X$884,Trades!$D$2:$D$884,$A58)</f>
        <v>162.81</v>
      </c>
      <c r="L58" s="32" t="n">
        <f aca="false">SUMIFS(Trades!$Y$2:$Y$884,Trades!$D$2:$D$884,$A58)</f>
        <v>1.86640223771082</v>
      </c>
      <c r="M58" s="30" t="n">
        <f aca="false">P57</f>
        <v>100574.49</v>
      </c>
      <c r="N58" s="29" t="n">
        <f aca="false">IFERROR(F58/M58,0)</f>
        <v>0.0016188001549896</v>
      </c>
      <c r="O58" s="28" t="str">
        <f aca="false">IF(-N58&gt;=Summary!$C$7,"BREACH","")</f>
        <v/>
      </c>
      <c r="P58" s="30" t="n">
        <f aca="false">M58+F58</f>
        <v>100737.3</v>
      </c>
      <c r="Q58" s="30" t="n">
        <f aca="false">P58-Summary!$C$5</f>
        <v>737.300000000032</v>
      </c>
      <c r="R58" s="2" t="str">
        <f aca="false">TEXT(A58,"ddd")</f>
        <v>Thu</v>
      </c>
    </row>
    <row r="59" customFormat="false" ht="15" hidden="false" customHeight="false" outlineLevel="0" collapsed="false">
      <c r="A59" s="42" t="n">
        <v>45114</v>
      </c>
      <c r="B59" s="28" t="n">
        <f aca="false">COUNTIFS(Trades!$D$2:$D$884,$A59)</f>
        <v>1</v>
      </c>
      <c r="C59" s="28" t="n">
        <f aca="false">COUNTIFS(Trades!$D$2:$D$884,$A59,Trades!$Z$2:$Z$884,"Win")</f>
        <v>0</v>
      </c>
      <c r="D59" s="28" t="n">
        <f aca="false">COUNTIFS(Trades!$D$2:$D$884,$A59,Trades!$Z$2:$Z$884,"Loss")</f>
        <v>1</v>
      </c>
      <c r="E59" s="29" t="n">
        <f aca="false">IFERROR(C59/B59,0)</f>
        <v>0</v>
      </c>
      <c r="F59" s="30" t="n">
        <f aca="false">SUMIFS(Trades!$X$2:$X$884,Trades!$D$2:$D$884,$A59)</f>
        <v>-48.14</v>
      </c>
      <c r="G59" s="30" t="n">
        <f aca="false">SUMIFS(Trades!$X$2:$X$884,Trades!$D$2:$D$884,$A59,Trades!$X$2:$X$884,"&gt;0")</f>
        <v>0</v>
      </c>
      <c r="H59" s="30" t="n">
        <f aca="false">SUMIFS(Trades!$X$2:$X$884,Trades!$D$2:$D$884,$A59,Trades!$X$2:$X$884,"&lt;0")</f>
        <v>-48.14</v>
      </c>
      <c r="I59" s="31" t="n">
        <f aca="false">IFERROR(G59/-H59,"no loss")</f>
        <v>0</v>
      </c>
      <c r="J59" s="30" t="n">
        <f aca="false">_xlfn.MAXIFS(Trades!$X$2:$X$884,Trades!$D$2:$D$884,$A59)</f>
        <v>-48.14</v>
      </c>
      <c r="K59" s="30" t="n">
        <f aca="false">_xlfn.MINIFS(Trades!$X$2:$X$884,Trades!$D$2:$D$884,$A59)</f>
        <v>-48.14</v>
      </c>
      <c r="L59" s="32" t="n">
        <f aca="false">SUMIFS(Trades!$Y$2:$Y$884,Trades!$D$2:$D$884,$A59)</f>
        <v>-1.01840490797551</v>
      </c>
      <c r="M59" s="30" t="n">
        <f aca="false">P58</f>
        <v>100737.3</v>
      </c>
      <c r="N59" s="29" t="n">
        <f aca="false">IFERROR(F59/M59,0)</f>
        <v>-0.000477876615712353</v>
      </c>
      <c r="O59" s="28" t="str">
        <f aca="false">IF(-N59&gt;=Summary!$C$7,"BREACH","")</f>
        <v/>
      </c>
      <c r="P59" s="30" t="n">
        <f aca="false">M59+F59</f>
        <v>100689.16</v>
      </c>
      <c r="Q59" s="30" t="n">
        <f aca="false">P59-Summary!$C$5</f>
        <v>689.160000000033</v>
      </c>
      <c r="R59" s="2" t="str">
        <f aca="false">TEXT(A59,"ddd")</f>
        <v>Fri</v>
      </c>
    </row>
    <row r="60" customFormat="false" ht="15" hidden="false" customHeight="false" outlineLevel="0" collapsed="false">
      <c r="A60" s="42" t="n">
        <v>45117</v>
      </c>
      <c r="B60" s="28" t="n">
        <f aca="false">COUNTIFS(Trades!$D$2:$D$884,$A60)</f>
        <v>1</v>
      </c>
      <c r="C60" s="28" t="n">
        <f aca="false">COUNTIFS(Trades!$D$2:$D$884,$A60,Trades!$Z$2:$Z$884,"Win")</f>
        <v>0</v>
      </c>
      <c r="D60" s="28" t="n">
        <f aca="false">COUNTIFS(Trades!$D$2:$D$884,$A60,Trades!$Z$2:$Z$884,"Loss")</f>
        <v>1</v>
      </c>
      <c r="E60" s="29" t="n">
        <f aca="false">IFERROR(C60/B60,0)</f>
        <v>0</v>
      </c>
      <c r="F60" s="30" t="n">
        <f aca="false">SUMIFS(Trades!$X$2:$X$884,Trades!$D$2:$D$884,$A60)</f>
        <v>-84.06</v>
      </c>
      <c r="G60" s="30" t="n">
        <f aca="false">SUMIFS(Trades!$X$2:$X$884,Trades!$D$2:$D$884,$A60,Trades!$X$2:$X$884,"&gt;0")</f>
        <v>0</v>
      </c>
      <c r="H60" s="30" t="n">
        <f aca="false">SUMIFS(Trades!$X$2:$X$884,Trades!$D$2:$D$884,$A60,Trades!$X$2:$X$884,"&lt;0")</f>
        <v>-84.06</v>
      </c>
      <c r="I60" s="31" t="n">
        <f aca="false">IFERROR(G60/-H60,"no loss")</f>
        <v>0</v>
      </c>
      <c r="J60" s="30" t="n">
        <f aca="false">_xlfn.MAXIFS(Trades!$X$2:$X$884,Trades!$D$2:$D$884,$A60)</f>
        <v>-84.06</v>
      </c>
      <c r="K60" s="30" t="n">
        <f aca="false">_xlfn.MINIFS(Trades!$X$2:$X$884,Trades!$D$2:$D$884,$A60)</f>
        <v>-84.06</v>
      </c>
      <c r="L60" s="32" t="n">
        <f aca="false">SUMIFS(Trades!$Y$2:$Y$884,Trades!$D$2:$D$884,$A60)</f>
        <v>-1.05496987951802</v>
      </c>
      <c r="M60" s="30" t="n">
        <f aca="false">P59</f>
        <v>100689.16</v>
      </c>
      <c r="N60" s="29" t="n">
        <f aca="false">IFERROR(F60/M60,0)</f>
        <v>-0.000834846571368755</v>
      </c>
      <c r="O60" s="28" t="str">
        <f aca="false">IF(-N60&gt;=Summary!$C$7,"BREACH","")</f>
        <v/>
      </c>
      <c r="P60" s="30" t="n">
        <f aca="false">M60+F60</f>
        <v>100605.1</v>
      </c>
      <c r="Q60" s="30" t="n">
        <f aca="false">P60-Summary!$C$5</f>
        <v>605.100000000035</v>
      </c>
      <c r="R60" s="2" t="str">
        <f aca="false">TEXT(A60,"ddd")</f>
        <v>Mon</v>
      </c>
    </row>
    <row r="61" customFormat="false" ht="15" hidden="false" customHeight="false" outlineLevel="0" collapsed="false">
      <c r="A61" s="42" t="n">
        <v>45118</v>
      </c>
      <c r="B61" s="28" t="n">
        <f aca="false">COUNTIFS(Trades!$D$2:$D$884,$A61)</f>
        <v>1</v>
      </c>
      <c r="C61" s="28" t="n">
        <f aca="false">COUNTIFS(Trades!$D$2:$D$884,$A61,Trades!$Z$2:$Z$884,"Win")</f>
        <v>1</v>
      </c>
      <c r="D61" s="28" t="n">
        <f aca="false">COUNTIFS(Trades!$D$2:$D$884,$A61,Trades!$Z$2:$Z$884,"Loss")</f>
        <v>0</v>
      </c>
      <c r="E61" s="29" t="n">
        <f aca="false">IFERROR(C61/B61,0)</f>
        <v>1</v>
      </c>
      <c r="F61" s="30" t="n">
        <f aca="false">SUMIFS(Trades!$X$2:$X$884,Trades!$D$2:$D$884,$A61)</f>
        <v>90.42</v>
      </c>
      <c r="G61" s="30" t="n">
        <f aca="false">SUMIFS(Trades!$X$2:$X$884,Trades!$D$2:$D$884,$A61,Trades!$X$2:$X$884,"&gt;0")</f>
        <v>90.42</v>
      </c>
      <c r="H61" s="30" t="n">
        <f aca="false">SUMIFS(Trades!$X$2:$X$884,Trades!$D$2:$D$884,$A61,Trades!$X$2:$X$884,"&lt;0")</f>
        <v>0</v>
      </c>
      <c r="I61" s="31" t="str">
        <f aca="false">IFERROR(G61/-H61,"no loss")</f>
        <v>no loss</v>
      </c>
      <c r="J61" s="30" t="n">
        <f aca="false">_xlfn.MAXIFS(Trades!$X$2:$X$884,Trades!$D$2:$D$884,$A61)</f>
        <v>90.42</v>
      </c>
      <c r="K61" s="30" t="n">
        <f aca="false">_xlfn.MINIFS(Trades!$X$2:$X$884,Trades!$D$2:$D$884,$A61)</f>
        <v>90.42</v>
      </c>
      <c r="L61" s="32" t="n">
        <f aca="false">SUMIFS(Trades!$Y$2:$Y$884,Trades!$D$2:$D$884,$A61)</f>
        <v>2.03648648648659</v>
      </c>
      <c r="M61" s="30" t="n">
        <f aca="false">P60</f>
        <v>100605.1</v>
      </c>
      <c r="N61" s="29" t="n">
        <f aca="false">IFERROR(F61/M61,0)</f>
        <v>0.000898761593597143</v>
      </c>
      <c r="O61" s="28" t="str">
        <f aca="false">IF(-N61&gt;=Summary!$C$7,"BREACH","")</f>
        <v/>
      </c>
      <c r="P61" s="30" t="n">
        <f aca="false">M61+F61</f>
        <v>100695.52</v>
      </c>
      <c r="Q61" s="30" t="n">
        <f aca="false">P61-Summary!$C$5</f>
        <v>695.520000000033</v>
      </c>
      <c r="R61" s="2" t="str">
        <f aca="false">TEXT(A61,"ddd")</f>
        <v>Tue</v>
      </c>
    </row>
    <row r="62" customFormat="false" ht="15" hidden="false" customHeight="false" outlineLevel="0" collapsed="false">
      <c r="A62" s="42" t="n">
        <v>45119</v>
      </c>
      <c r="B62" s="28" t="n">
        <f aca="false">COUNTIFS(Trades!$D$2:$D$884,$A62)</f>
        <v>1</v>
      </c>
      <c r="C62" s="28" t="n">
        <f aca="false">COUNTIFS(Trades!$D$2:$D$884,$A62,Trades!$Z$2:$Z$884,"Win")</f>
        <v>0</v>
      </c>
      <c r="D62" s="28" t="n">
        <f aca="false">COUNTIFS(Trades!$D$2:$D$884,$A62,Trades!$Z$2:$Z$884,"Loss")</f>
        <v>1</v>
      </c>
      <c r="E62" s="29" t="n">
        <f aca="false">IFERROR(C62/B62,0)</f>
        <v>0</v>
      </c>
      <c r="F62" s="30" t="n">
        <f aca="false">SUMIFS(Trades!$X$2:$X$884,Trades!$D$2:$D$884,$A62)</f>
        <v>-15.43</v>
      </c>
      <c r="G62" s="30" t="n">
        <f aca="false">SUMIFS(Trades!$X$2:$X$884,Trades!$D$2:$D$884,$A62,Trades!$X$2:$X$884,"&gt;0")</f>
        <v>0</v>
      </c>
      <c r="H62" s="30" t="n">
        <f aca="false">SUMIFS(Trades!$X$2:$X$884,Trades!$D$2:$D$884,$A62,Trades!$X$2:$X$884,"&lt;0")</f>
        <v>-15.43</v>
      </c>
      <c r="I62" s="31" t="n">
        <f aca="false">IFERROR(G62/-H62,"no loss")</f>
        <v>0</v>
      </c>
      <c r="J62" s="30" t="n">
        <f aca="false">_xlfn.MAXIFS(Trades!$X$2:$X$884,Trades!$D$2:$D$884,$A62)</f>
        <v>-15.43</v>
      </c>
      <c r="K62" s="30" t="n">
        <f aca="false">_xlfn.MINIFS(Trades!$X$2:$X$884,Trades!$D$2:$D$884,$A62)</f>
        <v>-15.43</v>
      </c>
      <c r="L62" s="32" t="n">
        <f aca="false">SUMIFS(Trades!$Y$2:$Y$884,Trades!$D$2:$D$884,$A62)</f>
        <v>-1.05151969469859</v>
      </c>
      <c r="M62" s="30" t="n">
        <f aca="false">P61</f>
        <v>100695.52</v>
      </c>
      <c r="N62" s="29" t="n">
        <f aca="false">IFERROR(F62/M62,0)</f>
        <v>-0.000153234225316082</v>
      </c>
      <c r="O62" s="28" t="str">
        <f aca="false">IF(-N62&gt;=Summary!$C$7,"BREACH","")</f>
        <v/>
      </c>
      <c r="P62" s="30" t="n">
        <f aca="false">M62+F62</f>
        <v>100680.09</v>
      </c>
      <c r="Q62" s="30" t="n">
        <f aca="false">P62-Summary!$C$5</f>
        <v>680.09000000004</v>
      </c>
      <c r="R62" s="2" t="str">
        <f aca="false">TEXT(A62,"ddd")</f>
        <v>Wed</v>
      </c>
    </row>
    <row r="63" customFormat="false" ht="15" hidden="false" customHeight="false" outlineLevel="0" collapsed="false">
      <c r="A63" s="42" t="n">
        <v>45120</v>
      </c>
      <c r="B63" s="28" t="n">
        <f aca="false">COUNTIFS(Trades!$D$2:$D$884,$A63)</f>
        <v>1</v>
      </c>
      <c r="C63" s="28" t="n">
        <f aca="false">COUNTIFS(Trades!$D$2:$D$884,$A63,Trades!$Z$2:$Z$884,"Win")</f>
        <v>0</v>
      </c>
      <c r="D63" s="28" t="n">
        <f aca="false">COUNTIFS(Trades!$D$2:$D$884,$A63,Trades!$Z$2:$Z$884,"Loss")</f>
        <v>1</v>
      </c>
      <c r="E63" s="29" t="n">
        <f aca="false">IFERROR(C63/B63,0)</f>
        <v>0</v>
      </c>
      <c r="F63" s="30" t="n">
        <f aca="false">SUMIFS(Trades!$X$2:$X$884,Trades!$D$2:$D$884,$A63)</f>
        <v>-57.3</v>
      </c>
      <c r="G63" s="30" t="n">
        <f aca="false">SUMIFS(Trades!$X$2:$X$884,Trades!$D$2:$D$884,$A63,Trades!$X$2:$X$884,"&gt;0")</f>
        <v>0</v>
      </c>
      <c r="H63" s="30" t="n">
        <f aca="false">SUMIFS(Trades!$X$2:$X$884,Trades!$D$2:$D$884,$A63,Trades!$X$2:$X$884,"&lt;0")</f>
        <v>-57.3</v>
      </c>
      <c r="I63" s="31" t="n">
        <f aca="false">IFERROR(G63/-H63,"no loss")</f>
        <v>0</v>
      </c>
      <c r="J63" s="30" t="n">
        <f aca="false">_xlfn.MAXIFS(Trades!$X$2:$X$884,Trades!$D$2:$D$884,$A63)</f>
        <v>-57.3</v>
      </c>
      <c r="K63" s="30" t="n">
        <f aca="false">_xlfn.MINIFS(Trades!$X$2:$X$884,Trades!$D$2:$D$884,$A63)</f>
        <v>-57.3</v>
      </c>
      <c r="L63" s="32" t="n">
        <f aca="false">SUMIFS(Trades!$Y$2:$Y$884,Trades!$D$2:$D$884,$A63)</f>
        <v>-1.10878903982354</v>
      </c>
      <c r="M63" s="30" t="n">
        <f aca="false">P62</f>
        <v>100680.09</v>
      </c>
      <c r="N63" s="29" t="n">
        <f aca="false">IFERROR(F63/M63,0)</f>
        <v>-0.000569129407810422</v>
      </c>
      <c r="O63" s="28" t="str">
        <f aca="false">IF(-N63&gt;=Summary!$C$7,"BREACH","")</f>
        <v/>
      </c>
      <c r="P63" s="30" t="n">
        <f aca="false">M63+F63</f>
        <v>100622.79</v>
      </c>
      <c r="Q63" s="30" t="n">
        <f aca="false">P63-Summary!$C$5</f>
        <v>622.790000000037</v>
      </c>
      <c r="R63" s="2" t="str">
        <f aca="false">TEXT(A63,"ddd")</f>
        <v>Thu</v>
      </c>
    </row>
    <row r="64" customFormat="false" ht="15" hidden="false" customHeight="false" outlineLevel="0" collapsed="false">
      <c r="A64" s="42" t="n">
        <v>45121</v>
      </c>
      <c r="B64" s="28" t="n">
        <f aca="false">COUNTIFS(Trades!$D$2:$D$884,$A64)</f>
        <v>1</v>
      </c>
      <c r="C64" s="28" t="n">
        <f aca="false">COUNTIFS(Trades!$D$2:$D$884,$A64,Trades!$Z$2:$Z$884,"Win")</f>
        <v>1</v>
      </c>
      <c r="D64" s="28" t="n">
        <f aca="false">COUNTIFS(Trades!$D$2:$D$884,$A64,Trades!$Z$2:$Z$884,"Loss")</f>
        <v>0</v>
      </c>
      <c r="E64" s="29" t="n">
        <f aca="false">IFERROR(C64/B64,0)</f>
        <v>1</v>
      </c>
      <c r="F64" s="30" t="n">
        <f aca="false">SUMIFS(Trades!$X$2:$X$884,Trades!$D$2:$D$884,$A64)</f>
        <v>202.48</v>
      </c>
      <c r="G64" s="30" t="n">
        <f aca="false">SUMIFS(Trades!$X$2:$X$884,Trades!$D$2:$D$884,$A64,Trades!$X$2:$X$884,"&gt;0")</f>
        <v>202.48</v>
      </c>
      <c r="H64" s="30" t="n">
        <f aca="false">SUMIFS(Trades!$X$2:$X$884,Trades!$D$2:$D$884,$A64,Trades!$X$2:$X$884,"&lt;0")</f>
        <v>0</v>
      </c>
      <c r="I64" s="31" t="str">
        <f aca="false">IFERROR(G64/-H64,"no loss")</f>
        <v>no loss</v>
      </c>
      <c r="J64" s="30" t="n">
        <f aca="false">_xlfn.MAXIFS(Trades!$X$2:$X$884,Trades!$D$2:$D$884,$A64)</f>
        <v>202.48</v>
      </c>
      <c r="K64" s="30" t="n">
        <f aca="false">_xlfn.MINIFS(Trades!$X$2:$X$884,Trades!$D$2:$D$884,$A64)</f>
        <v>202.48</v>
      </c>
      <c r="L64" s="32" t="n">
        <f aca="false">SUMIFS(Trades!$Y$2:$Y$884,Trades!$D$2:$D$884,$A64)</f>
        <v>2.1170615420004</v>
      </c>
      <c r="M64" s="30" t="n">
        <f aca="false">P63</f>
        <v>100622.79</v>
      </c>
      <c r="N64" s="29" t="n">
        <f aca="false">IFERROR(F64/M64,0)</f>
        <v>0.00201226779738467</v>
      </c>
      <c r="O64" s="28" t="str">
        <f aca="false">IF(-N64&gt;=Summary!$C$7,"BREACH","")</f>
        <v/>
      </c>
      <c r="P64" s="30" t="n">
        <f aca="false">M64+F64</f>
        <v>100825.27</v>
      </c>
      <c r="Q64" s="30" t="n">
        <f aca="false">P64-Summary!$C$5</f>
        <v>825.270000000033</v>
      </c>
      <c r="R64" s="2" t="str">
        <f aca="false">TEXT(A64,"ddd")</f>
        <v>Fri</v>
      </c>
    </row>
    <row r="65" customFormat="false" ht="15" hidden="false" customHeight="false" outlineLevel="0" collapsed="false">
      <c r="A65" s="42" t="n">
        <v>45124</v>
      </c>
      <c r="B65" s="28" t="n">
        <f aca="false">COUNTIFS(Trades!$D$2:$D$884,$A65)</f>
        <v>2</v>
      </c>
      <c r="C65" s="28" t="n">
        <f aca="false">COUNTIFS(Trades!$D$2:$D$884,$A65,Trades!$Z$2:$Z$884,"Win")</f>
        <v>1</v>
      </c>
      <c r="D65" s="28" t="n">
        <f aca="false">COUNTIFS(Trades!$D$2:$D$884,$A65,Trades!$Z$2:$Z$884,"Loss")</f>
        <v>1</v>
      </c>
      <c r="E65" s="29" t="n">
        <f aca="false">IFERROR(C65/B65,0)</f>
        <v>0.5</v>
      </c>
      <c r="F65" s="30" t="n">
        <f aca="false">SUMIFS(Trades!$X$2:$X$884,Trades!$D$2:$D$884,$A65)</f>
        <v>88.23</v>
      </c>
      <c r="G65" s="30" t="n">
        <f aca="false">SUMIFS(Trades!$X$2:$X$884,Trades!$D$2:$D$884,$A65,Trades!$X$2:$X$884,"&gt;0")</f>
        <v>121.52</v>
      </c>
      <c r="H65" s="30" t="n">
        <f aca="false">SUMIFS(Trades!$X$2:$X$884,Trades!$D$2:$D$884,$A65,Trades!$X$2:$X$884,"&lt;0")</f>
        <v>-33.29</v>
      </c>
      <c r="I65" s="31" t="n">
        <f aca="false">IFERROR(G65/-H65,"no loss")</f>
        <v>3.65034544908381</v>
      </c>
      <c r="J65" s="30" t="n">
        <f aca="false">_xlfn.MAXIFS(Trades!$X$2:$X$884,Trades!$D$2:$D$884,$A65)</f>
        <v>121.52</v>
      </c>
      <c r="K65" s="30" t="n">
        <f aca="false">_xlfn.MINIFS(Trades!$X$2:$X$884,Trades!$D$2:$D$884,$A65)</f>
        <v>-33.29</v>
      </c>
      <c r="L65" s="32" t="n">
        <f aca="false">SUMIFS(Trades!$Y$2:$Y$884,Trades!$D$2:$D$884,$A65)</f>
        <v>0.929354401746825</v>
      </c>
      <c r="M65" s="30" t="n">
        <f aca="false">P64</f>
        <v>100825.27</v>
      </c>
      <c r="N65" s="29" t="n">
        <f aca="false">IFERROR(F65/M65,0)</f>
        <v>0.000875078241793947</v>
      </c>
      <c r="O65" s="28" t="str">
        <f aca="false">IF(-N65&gt;=Summary!$C$7,"BREACH","")</f>
        <v/>
      </c>
      <c r="P65" s="30" t="n">
        <f aca="false">M65+F65</f>
        <v>100913.5</v>
      </c>
      <c r="Q65" s="30" t="n">
        <f aca="false">P65-Summary!$C$5</f>
        <v>913.500000000029</v>
      </c>
      <c r="R65" s="2" t="str">
        <f aca="false">TEXT(A65,"ddd")</f>
        <v>Mon</v>
      </c>
    </row>
    <row r="66" customFormat="false" ht="15" hidden="false" customHeight="false" outlineLevel="0" collapsed="false">
      <c r="A66" s="42" t="n">
        <v>45125</v>
      </c>
      <c r="B66" s="28" t="n">
        <f aca="false">COUNTIFS(Trades!$D$2:$D$884,$A66)</f>
        <v>1</v>
      </c>
      <c r="C66" s="28" t="n">
        <f aca="false">COUNTIFS(Trades!$D$2:$D$884,$A66,Trades!$Z$2:$Z$884,"Win")</f>
        <v>1</v>
      </c>
      <c r="D66" s="28" t="n">
        <f aca="false">COUNTIFS(Trades!$D$2:$D$884,$A66,Trades!$Z$2:$Z$884,"Loss")</f>
        <v>0</v>
      </c>
      <c r="E66" s="29" t="n">
        <f aca="false">IFERROR(C66/B66,0)</f>
        <v>1</v>
      </c>
      <c r="F66" s="30" t="n">
        <f aca="false">SUMIFS(Trades!$X$2:$X$884,Trades!$D$2:$D$884,$A66)</f>
        <v>310.69</v>
      </c>
      <c r="G66" s="30" t="n">
        <f aca="false">SUMIFS(Trades!$X$2:$X$884,Trades!$D$2:$D$884,$A66,Trades!$X$2:$X$884,"&gt;0")</f>
        <v>310.69</v>
      </c>
      <c r="H66" s="30" t="n">
        <f aca="false">SUMIFS(Trades!$X$2:$X$884,Trades!$D$2:$D$884,$A66,Trades!$X$2:$X$884,"&lt;0")</f>
        <v>0</v>
      </c>
      <c r="I66" s="31" t="str">
        <f aca="false">IFERROR(G66/-H66,"no loss")</f>
        <v>no loss</v>
      </c>
      <c r="J66" s="30" t="n">
        <f aca="false">_xlfn.MAXIFS(Trades!$X$2:$X$884,Trades!$D$2:$D$884,$A66)</f>
        <v>310.69</v>
      </c>
      <c r="K66" s="30" t="n">
        <f aca="false">_xlfn.MINIFS(Trades!$X$2:$X$884,Trades!$D$2:$D$884,$A66)</f>
        <v>310.69</v>
      </c>
      <c r="L66" s="32" t="n">
        <f aca="false">SUMIFS(Trades!$Y$2:$Y$884,Trades!$D$2:$D$884,$A66)</f>
        <v>2.09044299709327</v>
      </c>
      <c r="M66" s="30" t="n">
        <f aca="false">P65</f>
        <v>100913.5</v>
      </c>
      <c r="N66" s="29" t="n">
        <f aca="false">IFERROR(F66/M66,0)</f>
        <v>0.0030787753868412</v>
      </c>
      <c r="O66" s="28" t="str">
        <f aca="false">IF(-N66&gt;=Summary!$C$7,"BREACH","")</f>
        <v/>
      </c>
      <c r="P66" s="30" t="n">
        <f aca="false">M66+F66</f>
        <v>101224.19</v>
      </c>
      <c r="Q66" s="30" t="n">
        <f aca="false">P66-Summary!$C$5</f>
        <v>1224.19000000003</v>
      </c>
      <c r="R66" s="2" t="str">
        <f aca="false">TEXT(A66,"ddd")</f>
        <v>Tue</v>
      </c>
    </row>
    <row r="67" customFormat="false" ht="15" hidden="false" customHeight="false" outlineLevel="0" collapsed="false">
      <c r="A67" s="42" t="n">
        <v>45126</v>
      </c>
      <c r="B67" s="28" t="n">
        <f aca="false">COUNTIFS(Trades!$D$2:$D$884,$A67)</f>
        <v>1</v>
      </c>
      <c r="C67" s="28" t="n">
        <f aca="false">COUNTIFS(Trades!$D$2:$D$884,$A67,Trades!$Z$2:$Z$884,"Win")</f>
        <v>0</v>
      </c>
      <c r="D67" s="28" t="n">
        <f aca="false">COUNTIFS(Trades!$D$2:$D$884,$A67,Trades!$Z$2:$Z$884,"Loss")</f>
        <v>1</v>
      </c>
      <c r="E67" s="29" t="n">
        <f aca="false">IFERROR(C67/B67,0)</f>
        <v>0</v>
      </c>
      <c r="F67" s="30" t="n">
        <f aca="false">SUMIFS(Trades!$X$2:$X$884,Trades!$D$2:$D$884,$A67)</f>
        <v>-171.47</v>
      </c>
      <c r="G67" s="30" t="n">
        <f aca="false">SUMIFS(Trades!$X$2:$X$884,Trades!$D$2:$D$884,$A67,Trades!$X$2:$X$884,"&gt;0")</f>
        <v>0</v>
      </c>
      <c r="H67" s="30" t="n">
        <f aca="false">SUMIFS(Trades!$X$2:$X$884,Trades!$D$2:$D$884,$A67,Trades!$X$2:$X$884,"&lt;0")</f>
        <v>-171.47</v>
      </c>
      <c r="I67" s="31" t="n">
        <f aca="false">IFERROR(G67/-H67,"no loss")</f>
        <v>0</v>
      </c>
      <c r="J67" s="30" t="n">
        <f aca="false">_xlfn.MAXIFS(Trades!$X$2:$X$884,Trades!$D$2:$D$884,$A67)</f>
        <v>-171.47</v>
      </c>
      <c r="K67" s="30" t="n">
        <f aca="false">_xlfn.MINIFS(Trades!$X$2:$X$884,Trades!$D$2:$D$884,$A67)</f>
        <v>-171.47</v>
      </c>
      <c r="L67" s="32" t="n">
        <f aca="false">SUMIFS(Trades!$Y$2:$Y$884,Trades!$D$2:$D$884,$A67)</f>
        <v>-1.01591383069481</v>
      </c>
      <c r="M67" s="30" t="n">
        <f aca="false">P66</f>
        <v>101224.19</v>
      </c>
      <c r="N67" s="29" t="n">
        <f aca="false">IFERROR(F67/M67,0)</f>
        <v>-0.00169396267828866</v>
      </c>
      <c r="O67" s="28" t="str">
        <f aca="false">IF(-N67&gt;=Summary!$C$7,"BREACH","")</f>
        <v/>
      </c>
      <c r="P67" s="30" t="n">
        <f aca="false">M67+F67</f>
        <v>101052.72</v>
      </c>
      <c r="Q67" s="30" t="n">
        <f aca="false">P67-Summary!$C$5</f>
        <v>1052.72000000003</v>
      </c>
      <c r="R67" s="2" t="str">
        <f aca="false">TEXT(A67,"ddd")</f>
        <v>Wed</v>
      </c>
    </row>
    <row r="68" customFormat="false" ht="15" hidden="false" customHeight="false" outlineLevel="0" collapsed="false">
      <c r="A68" s="42" t="n">
        <v>45127</v>
      </c>
      <c r="B68" s="28" t="n">
        <f aca="false">COUNTIFS(Trades!$D$2:$D$884,$A68)</f>
        <v>1</v>
      </c>
      <c r="C68" s="28" t="n">
        <f aca="false">COUNTIFS(Trades!$D$2:$D$884,$A68,Trades!$Z$2:$Z$884,"Win")</f>
        <v>1</v>
      </c>
      <c r="D68" s="28" t="n">
        <f aca="false">COUNTIFS(Trades!$D$2:$D$884,$A68,Trades!$Z$2:$Z$884,"Loss")</f>
        <v>0</v>
      </c>
      <c r="E68" s="29" t="n">
        <f aca="false">IFERROR(C68/B68,0)</f>
        <v>1</v>
      </c>
      <c r="F68" s="30" t="n">
        <f aca="false">SUMIFS(Trades!$X$2:$X$884,Trades!$D$2:$D$884,$A68)</f>
        <v>162.79</v>
      </c>
      <c r="G68" s="30" t="n">
        <f aca="false">SUMIFS(Trades!$X$2:$X$884,Trades!$D$2:$D$884,$A68,Trades!$X$2:$X$884,"&gt;0")</f>
        <v>162.79</v>
      </c>
      <c r="H68" s="30" t="n">
        <f aca="false">SUMIFS(Trades!$X$2:$X$884,Trades!$D$2:$D$884,$A68,Trades!$X$2:$X$884,"&lt;0")</f>
        <v>0</v>
      </c>
      <c r="I68" s="31" t="str">
        <f aca="false">IFERROR(G68/-H68,"no loss")</f>
        <v>no loss</v>
      </c>
      <c r="J68" s="30" t="n">
        <f aca="false">_xlfn.MAXIFS(Trades!$X$2:$X$884,Trades!$D$2:$D$884,$A68)</f>
        <v>162.79</v>
      </c>
      <c r="K68" s="30" t="n">
        <f aca="false">_xlfn.MINIFS(Trades!$X$2:$X$884,Trades!$D$2:$D$884,$A68)</f>
        <v>162.79</v>
      </c>
      <c r="L68" s="32" t="n">
        <f aca="false">SUMIFS(Trades!$Y$2:$Y$884,Trades!$D$2:$D$884,$A68)</f>
        <v>2.38863129475289</v>
      </c>
      <c r="M68" s="30" t="n">
        <f aca="false">P67</f>
        <v>101052.72</v>
      </c>
      <c r="N68" s="29" t="n">
        <f aca="false">IFERROR(F68/M68,0)</f>
        <v>0.0016109412987597</v>
      </c>
      <c r="O68" s="28" t="str">
        <f aca="false">IF(-N68&gt;=Summary!$C$7,"BREACH","")</f>
        <v/>
      </c>
      <c r="P68" s="30" t="n">
        <f aca="false">M68+F68</f>
        <v>101215.51</v>
      </c>
      <c r="Q68" s="30" t="n">
        <f aca="false">P68-Summary!$C$5</f>
        <v>1215.51000000002</v>
      </c>
      <c r="R68" s="2" t="str">
        <f aca="false">TEXT(A68,"ddd")</f>
        <v>Thu</v>
      </c>
    </row>
    <row r="69" customFormat="false" ht="15" hidden="false" customHeight="false" outlineLevel="0" collapsed="false">
      <c r="A69" s="42" t="n">
        <v>45128</v>
      </c>
      <c r="B69" s="28" t="n">
        <f aca="false">COUNTIFS(Trades!$D$2:$D$884,$A69)</f>
        <v>1</v>
      </c>
      <c r="C69" s="28" t="n">
        <f aca="false">COUNTIFS(Trades!$D$2:$D$884,$A69,Trades!$Z$2:$Z$884,"Win")</f>
        <v>0</v>
      </c>
      <c r="D69" s="28" t="n">
        <f aca="false">COUNTIFS(Trades!$D$2:$D$884,$A69,Trades!$Z$2:$Z$884,"Loss")</f>
        <v>1</v>
      </c>
      <c r="E69" s="29" t="n">
        <f aca="false">IFERROR(C69/B69,0)</f>
        <v>0</v>
      </c>
      <c r="F69" s="30" t="n">
        <f aca="false">SUMIFS(Trades!$X$2:$X$884,Trades!$D$2:$D$884,$A69)</f>
        <v>-116.35</v>
      </c>
      <c r="G69" s="30" t="n">
        <f aca="false">SUMIFS(Trades!$X$2:$X$884,Trades!$D$2:$D$884,$A69,Trades!$X$2:$X$884,"&gt;0")</f>
        <v>0</v>
      </c>
      <c r="H69" s="30" t="n">
        <f aca="false">SUMIFS(Trades!$X$2:$X$884,Trades!$D$2:$D$884,$A69,Trades!$X$2:$X$884,"&lt;0")</f>
        <v>-116.35</v>
      </c>
      <c r="I69" s="31" t="n">
        <f aca="false">IFERROR(G69/-H69,"no loss")</f>
        <v>0</v>
      </c>
      <c r="J69" s="30" t="n">
        <f aca="false">_xlfn.MAXIFS(Trades!$X$2:$X$884,Trades!$D$2:$D$884,$A69)</f>
        <v>-116.35</v>
      </c>
      <c r="K69" s="30" t="n">
        <f aca="false">_xlfn.MINIFS(Trades!$X$2:$X$884,Trades!$D$2:$D$884,$A69)</f>
        <v>-116.35</v>
      </c>
      <c r="L69" s="32" t="n">
        <f aca="false">SUMIFS(Trades!$Y$2:$Y$884,Trades!$D$2:$D$884,$A69)</f>
        <v>-1.00704542307159</v>
      </c>
      <c r="M69" s="30" t="n">
        <f aca="false">P68</f>
        <v>101215.51</v>
      </c>
      <c r="N69" s="29" t="n">
        <f aca="false">IFERROR(F69/M69,0)</f>
        <v>-0.00114952737974644</v>
      </c>
      <c r="O69" s="28" t="str">
        <f aca="false">IF(-N69&gt;=Summary!$C$7,"BREACH","")</f>
        <v/>
      </c>
      <c r="P69" s="30" t="n">
        <f aca="false">M69+F69</f>
        <v>101099.16</v>
      </c>
      <c r="Q69" s="30" t="n">
        <f aca="false">P69-Summary!$C$5</f>
        <v>1099.16000000002</v>
      </c>
      <c r="R69" s="2" t="str">
        <f aca="false">TEXT(A69,"ddd")</f>
        <v>Fri</v>
      </c>
    </row>
    <row r="70" customFormat="false" ht="15" hidden="false" customHeight="false" outlineLevel="0" collapsed="false">
      <c r="A70" s="42" t="n">
        <v>45131</v>
      </c>
      <c r="B70" s="28" t="n">
        <f aca="false">COUNTIFS(Trades!$D$2:$D$884,$A70)</f>
        <v>1</v>
      </c>
      <c r="C70" s="28" t="n">
        <f aca="false">COUNTIFS(Trades!$D$2:$D$884,$A70,Trades!$Z$2:$Z$884,"Win")</f>
        <v>0</v>
      </c>
      <c r="D70" s="28" t="n">
        <f aca="false">COUNTIFS(Trades!$D$2:$D$884,$A70,Trades!$Z$2:$Z$884,"Loss")</f>
        <v>1</v>
      </c>
      <c r="E70" s="29" t="n">
        <f aca="false">IFERROR(C70/B70,0)</f>
        <v>0</v>
      </c>
      <c r="F70" s="30" t="n">
        <f aca="false">SUMIFS(Trades!$X$2:$X$884,Trades!$D$2:$D$884,$A70)</f>
        <v>-261.23</v>
      </c>
      <c r="G70" s="30" t="n">
        <f aca="false">SUMIFS(Trades!$X$2:$X$884,Trades!$D$2:$D$884,$A70,Trades!$X$2:$X$884,"&gt;0")</f>
        <v>0</v>
      </c>
      <c r="H70" s="30" t="n">
        <f aca="false">SUMIFS(Trades!$X$2:$X$884,Trades!$D$2:$D$884,$A70,Trades!$X$2:$X$884,"&lt;0")</f>
        <v>-261.23</v>
      </c>
      <c r="I70" s="31" t="n">
        <f aca="false">IFERROR(G70/-H70,"no loss")</f>
        <v>0</v>
      </c>
      <c r="J70" s="30" t="n">
        <f aca="false">_xlfn.MAXIFS(Trades!$X$2:$X$884,Trades!$D$2:$D$884,$A70)</f>
        <v>-261.23</v>
      </c>
      <c r="K70" s="30" t="n">
        <f aca="false">_xlfn.MINIFS(Trades!$X$2:$X$884,Trades!$D$2:$D$884,$A70)</f>
        <v>-261.23</v>
      </c>
      <c r="L70" s="32" t="n">
        <f aca="false">SUMIFS(Trades!$Y$2:$Y$884,Trades!$D$2:$D$884,$A70)</f>
        <v>-1.00692276262943</v>
      </c>
      <c r="M70" s="30" t="n">
        <f aca="false">P69</f>
        <v>101099.16</v>
      </c>
      <c r="N70" s="29" t="n">
        <f aca="false">IFERROR(F70/M70,0)</f>
        <v>-0.00258389881775477</v>
      </c>
      <c r="O70" s="28" t="str">
        <f aca="false">IF(-N70&gt;=Summary!$C$7,"BREACH","")</f>
        <v/>
      </c>
      <c r="P70" s="30" t="n">
        <f aca="false">M70+F70</f>
        <v>100837.93</v>
      </c>
      <c r="Q70" s="30" t="n">
        <f aca="false">P70-Summary!$C$5</f>
        <v>837.930000000022</v>
      </c>
      <c r="R70" s="2" t="str">
        <f aca="false">TEXT(A70,"ddd")</f>
        <v>Mon</v>
      </c>
    </row>
    <row r="71" customFormat="false" ht="15" hidden="false" customHeight="false" outlineLevel="0" collapsed="false">
      <c r="A71" s="42" t="n">
        <v>45132</v>
      </c>
      <c r="B71" s="28" t="n">
        <f aca="false">COUNTIFS(Trades!$D$2:$D$884,$A71)</f>
        <v>1</v>
      </c>
      <c r="C71" s="28" t="n">
        <f aca="false">COUNTIFS(Trades!$D$2:$D$884,$A71,Trades!$Z$2:$Z$884,"Win")</f>
        <v>0</v>
      </c>
      <c r="D71" s="28" t="n">
        <f aca="false">COUNTIFS(Trades!$D$2:$D$884,$A71,Trades!$Z$2:$Z$884,"Loss")</f>
        <v>1</v>
      </c>
      <c r="E71" s="29" t="n">
        <f aca="false">IFERROR(C71/B71,0)</f>
        <v>0</v>
      </c>
      <c r="F71" s="30" t="n">
        <f aca="false">SUMIFS(Trades!$X$2:$X$884,Trades!$D$2:$D$884,$A71)</f>
        <v>-31.9</v>
      </c>
      <c r="G71" s="30" t="n">
        <f aca="false">SUMIFS(Trades!$X$2:$X$884,Trades!$D$2:$D$884,$A71,Trades!$X$2:$X$884,"&gt;0")</f>
        <v>0</v>
      </c>
      <c r="H71" s="30" t="n">
        <f aca="false">SUMIFS(Trades!$X$2:$X$884,Trades!$D$2:$D$884,$A71,Trades!$X$2:$X$884,"&lt;0")</f>
        <v>-31.9</v>
      </c>
      <c r="I71" s="31" t="n">
        <f aca="false">IFERROR(G71/-H71,"no loss")</f>
        <v>0</v>
      </c>
      <c r="J71" s="30" t="n">
        <f aca="false">_xlfn.MAXIFS(Trades!$X$2:$X$884,Trades!$D$2:$D$884,$A71)</f>
        <v>-31.9</v>
      </c>
      <c r="K71" s="30" t="n">
        <f aca="false">_xlfn.MINIFS(Trades!$X$2:$X$884,Trades!$D$2:$D$884,$A71)</f>
        <v>-31.9</v>
      </c>
      <c r="L71" s="32" t="n">
        <f aca="false">SUMIFS(Trades!$Y$2:$Y$884,Trades!$D$2:$D$884,$A71)</f>
        <v>-1</v>
      </c>
      <c r="M71" s="30" t="n">
        <f aca="false">P70</f>
        <v>100837.93</v>
      </c>
      <c r="N71" s="29" t="n">
        <f aca="false">IFERROR(F71/M71,0)</f>
        <v>-0.000316349215022561</v>
      </c>
      <c r="O71" s="28" t="str">
        <f aca="false">IF(-N71&gt;=Summary!$C$7,"BREACH","")</f>
        <v/>
      </c>
      <c r="P71" s="30" t="n">
        <f aca="false">M71+F71</f>
        <v>100806.03</v>
      </c>
      <c r="Q71" s="30" t="n">
        <f aca="false">P71-Summary!$C$5</f>
        <v>806.030000000028</v>
      </c>
      <c r="R71" s="2" t="str">
        <f aca="false">TEXT(A71,"ddd")</f>
        <v>Tue</v>
      </c>
    </row>
    <row r="72" customFormat="false" ht="15" hidden="false" customHeight="false" outlineLevel="0" collapsed="false">
      <c r="A72" s="42" t="n">
        <v>45133</v>
      </c>
      <c r="B72" s="28" t="n">
        <f aca="false">COUNTIFS(Trades!$D$2:$D$884,$A72)</f>
        <v>2</v>
      </c>
      <c r="C72" s="28" t="n">
        <f aca="false">COUNTIFS(Trades!$D$2:$D$884,$A72,Trades!$Z$2:$Z$884,"Win")</f>
        <v>0</v>
      </c>
      <c r="D72" s="28" t="n">
        <f aca="false">COUNTIFS(Trades!$D$2:$D$884,$A72,Trades!$Z$2:$Z$884,"Loss")</f>
        <v>2</v>
      </c>
      <c r="E72" s="29" t="n">
        <f aca="false">IFERROR(C72/B72,0)</f>
        <v>0</v>
      </c>
      <c r="F72" s="30" t="n">
        <f aca="false">SUMIFS(Trades!$X$2:$X$884,Trades!$D$2:$D$884,$A72)</f>
        <v>-163.97</v>
      </c>
      <c r="G72" s="30" t="n">
        <f aca="false">SUMIFS(Trades!$X$2:$X$884,Trades!$D$2:$D$884,$A72,Trades!$X$2:$X$884,"&gt;0")</f>
        <v>0</v>
      </c>
      <c r="H72" s="30" t="n">
        <f aca="false">SUMIFS(Trades!$X$2:$X$884,Trades!$D$2:$D$884,$A72,Trades!$X$2:$X$884,"&lt;0")</f>
        <v>-163.97</v>
      </c>
      <c r="I72" s="31" t="n">
        <f aca="false">IFERROR(G72/-H72,"no loss")</f>
        <v>0</v>
      </c>
      <c r="J72" s="30" t="n">
        <f aca="false">_xlfn.MAXIFS(Trades!$X$2:$X$884,Trades!$D$2:$D$884,$A72)</f>
        <v>-0.12</v>
      </c>
      <c r="K72" s="30" t="n">
        <f aca="false">_xlfn.MINIFS(Trades!$X$2:$X$884,Trades!$D$2:$D$884,$A72)</f>
        <v>-163.85</v>
      </c>
      <c r="L72" s="32" t="n">
        <f aca="false">SUMIFS(Trades!$Y$2:$Y$884,Trades!$D$2:$D$884,$A72)</f>
        <v>-1.03741048148057</v>
      </c>
      <c r="M72" s="30" t="n">
        <f aca="false">P71</f>
        <v>100806.03</v>
      </c>
      <c r="N72" s="29" t="n">
        <f aca="false">IFERROR(F72/M72,0)</f>
        <v>-0.00162658920304668</v>
      </c>
      <c r="O72" s="28" t="str">
        <f aca="false">IF(-N72&gt;=Summary!$C$7,"BREACH","")</f>
        <v/>
      </c>
      <c r="P72" s="30" t="n">
        <f aca="false">M72+F72</f>
        <v>100642.06</v>
      </c>
      <c r="Q72" s="30" t="n">
        <f aca="false">P72-Summary!$C$5</f>
        <v>642.060000000027</v>
      </c>
      <c r="R72" s="2" t="str">
        <f aca="false">TEXT(A72,"ddd")</f>
        <v>Wed</v>
      </c>
    </row>
    <row r="73" customFormat="false" ht="15" hidden="false" customHeight="false" outlineLevel="0" collapsed="false">
      <c r="A73" s="42" t="n">
        <v>45134</v>
      </c>
      <c r="B73" s="28" t="n">
        <f aca="false">COUNTIFS(Trades!$D$2:$D$884,$A73)</f>
        <v>1</v>
      </c>
      <c r="C73" s="28" t="n">
        <f aca="false">COUNTIFS(Trades!$D$2:$D$884,$A73,Trades!$Z$2:$Z$884,"Win")</f>
        <v>1</v>
      </c>
      <c r="D73" s="28" t="n">
        <f aca="false">COUNTIFS(Trades!$D$2:$D$884,$A73,Trades!$Z$2:$Z$884,"Loss")</f>
        <v>0</v>
      </c>
      <c r="E73" s="29" t="n">
        <f aca="false">IFERROR(C73/B73,0)</f>
        <v>1</v>
      </c>
      <c r="F73" s="30" t="n">
        <f aca="false">SUMIFS(Trades!$X$2:$X$884,Trades!$D$2:$D$884,$A73)</f>
        <v>128.52</v>
      </c>
      <c r="G73" s="30" t="n">
        <f aca="false">SUMIFS(Trades!$X$2:$X$884,Trades!$D$2:$D$884,$A73,Trades!$X$2:$X$884,"&gt;0")</f>
        <v>128.52</v>
      </c>
      <c r="H73" s="30" t="n">
        <f aca="false">SUMIFS(Trades!$X$2:$X$884,Trades!$D$2:$D$884,$A73,Trades!$X$2:$X$884,"&lt;0")</f>
        <v>0</v>
      </c>
      <c r="I73" s="31" t="str">
        <f aca="false">IFERROR(G73/-H73,"no loss")</f>
        <v>no loss</v>
      </c>
      <c r="J73" s="30" t="n">
        <f aca="false">_xlfn.MAXIFS(Trades!$X$2:$X$884,Trades!$D$2:$D$884,$A73)</f>
        <v>128.52</v>
      </c>
      <c r="K73" s="30" t="n">
        <f aca="false">_xlfn.MINIFS(Trades!$X$2:$X$884,Trades!$D$2:$D$884,$A73)</f>
        <v>128.52</v>
      </c>
      <c r="L73" s="32" t="n">
        <f aca="false">SUMIFS(Trades!$Y$2:$Y$884,Trades!$D$2:$D$884,$A73)</f>
        <v>2.00261780104727</v>
      </c>
      <c r="M73" s="30" t="n">
        <f aca="false">P72</f>
        <v>100642.06</v>
      </c>
      <c r="N73" s="29" t="n">
        <f aca="false">IFERROR(F73/M73,0)</f>
        <v>0.00127700088809788</v>
      </c>
      <c r="O73" s="28" t="str">
        <f aca="false">IF(-N73&gt;=Summary!$C$7,"BREACH","")</f>
        <v/>
      </c>
      <c r="P73" s="30" t="n">
        <f aca="false">M73+F73</f>
        <v>100770.58</v>
      </c>
      <c r="Q73" s="30" t="n">
        <f aca="false">P73-Summary!$C$5</f>
        <v>770.580000000031</v>
      </c>
      <c r="R73" s="2" t="str">
        <f aca="false">TEXT(A73,"ddd")</f>
        <v>Thu</v>
      </c>
    </row>
    <row r="74" customFormat="false" ht="15" hidden="false" customHeight="false" outlineLevel="0" collapsed="false">
      <c r="A74" s="42" t="n">
        <v>45138</v>
      </c>
      <c r="B74" s="28" t="n">
        <f aca="false">COUNTIFS(Trades!$D$2:$D$884,$A74)</f>
        <v>1</v>
      </c>
      <c r="C74" s="28" t="n">
        <f aca="false">COUNTIFS(Trades!$D$2:$D$884,$A74,Trades!$Z$2:$Z$884,"Win")</f>
        <v>1</v>
      </c>
      <c r="D74" s="28" t="n">
        <f aca="false">COUNTIFS(Trades!$D$2:$D$884,$A74,Trades!$Z$2:$Z$884,"Loss")</f>
        <v>0</v>
      </c>
      <c r="E74" s="29" t="n">
        <f aca="false">IFERROR(C74/B74,0)</f>
        <v>1</v>
      </c>
      <c r="F74" s="30" t="n">
        <f aca="false">SUMIFS(Trades!$X$2:$X$884,Trades!$D$2:$D$884,$A74)</f>
        <v>86.97</v>
      </c>
      <c r="G74" s="30" t="n">
        <f aca="false">SUMIFS(Trades!$X$2:$X$884,Trades!$D$2:$D$884,$A74,Trades!$X$2:$X$884,"&gt;0")</f>
        <v>86.97</v>
      </c>
      <c r="H74" s="30" t="n">
        <f aca="false">SUMIFS(Trades!$X$2:$X$884,Trades!$D$2:$D$884,$A74,Trades!$X$2:$X$884,"&lt;0")</f>
        <v>0</v>
      </c>
      <c r="I74" s="31" t="str">
        <f aca="false">IFERROR(G74/-H74,"no loss")</f>
        <v>no loss</v>
      </c>
      <c r="J74" s="30" t="n">
        <f aca="false">_xlfn.MAXIFS(Trades!$X$2:$X$884,Trades!$D$2:$D$884,$A74)</f>
        <v>86.97</v>
      </c>
      <c r="K74" s="30" t="n">
        <f aca="false">_xlfn.MINIFS(Trades!$X$2:$X$884,Trades!$D$2:$D$884,$A74)</f>
        <v>86.97</v>
      </c>
      <c r="L74" s="32" t="n">
        <f aca="false">SUMIFS(Trades!$Y$2:$Y$884,Trades!$D$2:$D$884,$A74)</f>
        <v>2.04616036137771</v>
      </c>
      <c r="M74" s="30" t="n">
        <f aca="false">P73</f>
        <v>100770.58</v>
      </c>
      <c r="N74" s="29" t="n">
        <f aca="false">IFERROR(F74/M74,0)</f>
        <v>0.000863049513062245</v>
      </c>
      <c r="O74" s="28" t="str">
        <f aca="false">IF(-N74&gt;=Summary!$C$7,"BREACH","")</f>
        <v/>
      </c>
      <c r="P74" s="30" t="n">
        <f aca="false">M74+F74</f>
        <v>100857.55</v>
      </c>
      <c r="Q74" s="30" t="n">
        <f aca="false">P74-Summary!$C$5</f>
        <v>857.550000000032</v>
      </c>
      <c r="R74" s="2" t="str">
        <f aca="false">TEXT(A74,"ddd")</f>
        <v>Mon</v>
      </c>
    </row>
    <row r="75" customFormat="false" ht="15" hidden="false" customHeight="false" outlineLevel="0" collapsed="false">
      <c r="A75" s="42" t="n">
        <v>45139</v>
      </c>
      <c r="B75" s="28" t="n">
        <f aca="false">COUNTIFS(Trades!$D$2:$D$884,$A75)</f>
        <v>1</v>
      </c>
      <c r="C75" s="28" t="n">
        <f aca="false">COUNTIFS(Trades!$D$2:$D$884,$A75,Trades!$Z$2:$Z$884,"Win")</f>
        <v>0</v>
      </c>
      <c r="D75" s="28" t="n">
        <f aca="false">COUNTIFS(Trades!$D$2:$D$884,$A75,Trades!$Z$2:$Z$884,"Loss")</f>
        <v>1</v>
      </c>
      <c r="E75" s="29" t="n">
        <f aca="false">IFERROR(C75/B75,0)</f>
        <v>0</v>
      </c>
      <c r="F75" s="30" t="n">
        <f aca="false">SUMIFS(Trades!$X$2:$X$884,Trades!$D$2:$D$884,$A75)</f>
        <v>-0.11</v>
      </c>
      <c r="G75" s="30" t="n">
        <f aca="false">SUMIFS(Trades!$X$2:$X$884,Trades!$D$2:$D$884,$A75,Trades!$X$2:$X$884,"&gt;0")</f>
        <v>0</v>
      </c>
      <c r="H75" s="30" t="n">
        <f aca="false">SUMIFS(Trades!$X$2:$X$884,Trades!$D$2:$D$884,$A75,Trades!$X$2:$X$884,"&lt;0")</f>
        <v>-0.11</v>
      </c>
      <c r="I75" s="31" t="n">
        <f aca="false">IFERROR(G75/-H75,"no loss")</f>
        <v>0</v>
      </c>
      <c r="J75" s="30" t="n">
        <f aca="false">_xlfn.MAXIFS(Trades!$X$2:$X$884,Trades!$D$2:$D$884,$A75)</f>
        <v>-0.11</v>
      </c>
      <c r="K75" s="30" t="n">
        <f aca="false">_xlfn.MINIFS(Trades!$X$2:$X$884,Trades!$D$2:$D$884,$A75)</f>
        <v>-0.11</v>
      </c>
      <c r="L75" s="32" t="n">
        <f aca="false">SUMIFS(Trades!$Y$2:$Y$884,Trades!$D$2:$D$884,$A75)</f>
        <v>-0.00198412698412706</v>
      </c>
      <c r="M75" s="30" t="n">
        <f aca="false">P74</f>
        <v>100857.55</v>
      </c>
      <c r="N75" s="29" t="n">
        <f aca="false">IFERROR(F75/M75,0)</f>
        <v>-1.09064715531956E-006</v>
      </c>
      <c r="O75" s="28" t="str">
        <f aca="false">IF(-N75&gt;=Summary!$C$7,"BREACH","")</f>
        <v/>
      </c>
      <c r="P75" s="30" t="n">
        <f aca="false">M75+F75</f>
        <v>100857.44</v>
      </c>
      <c r="Q75" s="30" t="n">
        <f aca="false">P75-Summary!$C$5</f>
        <v>857.440000000031</v>
      </c>
      <c r="R75" s="2" t="str">
        <f aca="false">TEXT(A75,"ddd")</f>
        <v>Tue</v>
      </c>
    </row>
    <row r="76" customFormat="false" ht="15" hidden="false" customHeight="false" outlineLevel="0" collapsed="false">
      <c r="A76" s="42" t="n">
        <v>45140</v>
      </c>
      <c r="B76" s="28" t="n">
        <f aca="false">COUNTIFS(Trades!$D$2:$D$884,$A76)</f>
        <v>1</v>
      </c>
      <c r="C76" s="28" t="n">
        <f aca="false">COUNTIFS(Trades!$D$2:$D$884,$A76,Trades!$Z$2:$Z$884,"Win")</f>
        <v>0</v>
      </c>
      <c r="D76" s="28" t="n">
        <f aca="false">COUNTIFS(Trades!$D$2:$D$884,$A76,Trades!$Z$2:$Z$884,"Loss")</f>
        <v>1</v>
      </c>
      <c r="E76" s="29" t="n">
        <f aca="false">IFERROR(C76/B76,0)</f>
        <v>0</v>
      </c>
      <c r="F76" s="30" t="n">
        <f aca="false">SUMIFS(Trades!$X$2:$X$884,Trades!$D$2:$D$884,$A76)</f>
        <v>-193.14</v>
      </c>
      <c r="G76" s="30" t="n">
        <f aca="false">SUMIFS(Trades!$X$2:$X$884,Trades!$D$2:$D$884,$A76,Trades!$X$2:$X$884,"&gt;0")</f>
        <v>0</v>
      </c>
      <c r="H76" s="30" t="n">
        <f aca="false">SUMIFS(Trades!$X$2:$X$884,Trades!$D$2:$D$884,$A76,Trades!$X$2:$X$884,"&lt;0")</f>
        <v>-193.14</v>
      </c>
      <c r="I76" s="31" t="n">
        <f aca="false">IFERROR(G76/-H76,"no loss")</f>
        <v>0</v>
      </c>
      <c r="J76" s="30" t="n">
        <f aca="false">_xlfn.MAXIFS(Trades!$X$2:$X$884,Trades!$D$2:$D$884,$A76)</f>
        <v>-193.14</v>
      </c>
      <c r="K76" s="30" t="n">
        <f aca="false">_xlfn.MINIFS(Trades!$X$2:$X$884,Trades!$D$2:$D$884,$A76)</f>
        <v>-193.14</v>
      </c>
      <c r="L76" s="32" t="n">
        <f aca="false">SUMIFS(Trades!$Y$2:$Y$884,Trades!$D$2:$D$884,$A76)</f>
        <v>-1.00240818783867</v>
      </c>
      <c r="M76" s="30" t="n">
        <f aca="false">P75</f>
        <v>100857.44</v>
      </c>
      <c r="N76" s="29" t="n">
        <f aca="false">IFERROR(F76/M76,0)</f>
        <v>-0.00191498019382606</v>
      </c>
      <c r="O76" s="28" t="str">
        <f aca="false">IF(-N76&gt;=Summary!$C$7,"BREACH","")</f>
        <v/>
      </c>
      <c r="P76" s="30" t="n">
        <f aca="false">M76+F76</f>
        <v>100664.3</v>
      </c>
      <c r="Q76" s="30" t="n">
        <f aca="false">P76-Summary!$C$5</f>
        <v>664.300000000032</v>
      </c>
      <c r="R76" s="2" t="str">
        <f aca="false">TEXT(A76,"ddd")</f>
        <v>Wed</v>
      </c>
    </row>
    <row r="77" customFormat="false" ht="15" hidden="false" customHeight="false" outlineLevel="0" collapsed="false">
      <c r="A77" s="42" t="n">
        <v>45141</v>
      </c>
      <c r="B77" s="28" t="n">
        <f aca="false">COUNTIFS(Trades!$D$2:$D$884,$A77)</f>
        <v>1</v>
      </c>
      <c r="C77" s="28" t="n">
        <f aca="false">COUNTIFS(Trades!$D$2:$D$884,$A77,Trades!$Z$2:$Z$884,"Win")</f>
        <v>1</v>
      </c>
      <c r="D77" s="28" t="n">
        <f aca="false">COUNTIFS(Trades!$D$2:$D$884,$A77,Trades!$Z$2:$Z$884,"Loss")</f>
        <v>0</v>
      </c>
      <c r="E77" s="29" t="n">
        <f aca="false">IFERROR(C77/B77,0)</f>
        <v>1</v>
      </c>
      <c r="F77" s="30" t="n">
        <f aca="false">SUMIFS(Trades!$X$2:$X$884,Trades!$D$2:$D$884,$A77)</f>
        <v>173.3</v>
      </c>
      <c r="G77" s="30" t="n">
        <f aca="false">SUMIFS(Trades!$X$2:$X$884,Trades!$D$2:$D$884,$A77,Trades!$X$2:$X$884,"&gt;0")</f>
        <v>173.3</v>
      </c>
      <c r="H77" s="30" t="n">
        <f aca="false">SUMIFS(Trades!$X$2:$X$884,Trades!$D$2:$D$884,$A77,Trades!$X$2:$X$884,"&lt;0")</f>
        <v>0</v>
      </c>
      <c r="I77" s="31" t="str">
        <f aca="false">IFERROR(G77/-H77,"no loss")</f>
        <v>no loss</v>
      </c>
      <c r="J77" s="30" t="n">
        <f aca="false">_xlfn.MAXIFS(Trades!$X$2:$X$884,Trades!$D$2:$D$884,$A77)</f>
        <v>173.3</v>
      </c>
      <c r="K77" s="30" t="n">
        <f aca="false">_xlfn.MINIFS(Trades!$X$2:$X$884,Trades!$D$2:$D$884,$A77)</f>
        <v>173.3</v>
      </c>
      <c r="L77" s="32" t="n">
        <f aca="false">SUMIFS(Trades!$Y$2:$Y$884,Trades!$D$2:$D$884,$A77)</f>
        <v>2.09092444680403</v>
      </c>
      <c r="M77" s="30" t="n">
        <f aca="false">P76</f>
        <v>100664.3</v>
      </c>
      <c r="N77" s="29" t="n">
        <f aca="false">IFERROR(F77/M77,0)</f>
        <v>0.00172156365265541</v>
      </c>
      <c r="O77" s="28" t="str">
        <f aca="false">IF(-N77&gt;=Summary!$C$7,"BREACH","")</f>
        <v/>
      </c>
      <c r="P77" s="30" t="n">
        <f aca="false">M77+F77</f>
        <v>100837.6</v>
      </c>
      <c r="Q77" s="30" t="n">
        <f aca="false">P77-Summary!$C$5</f>
        <v>837.600000000035</v>
      </c>
      <c r="R77" s="2" t="str">
        <f aca="false">TEXT(A77,"ddd")</f>
        <v>Thu</v>
      </c>
    </row>
    <row r="78" customFormat="false" ht="15" hidden="false" customHeight="false" outlineLevel="0" collapsed="false">
      <c r="A78" s="42" t="n">
        <v>45142</v>
      </c>
      <c r="B78" s="28" t="n">
        <f aca="false">COUNTIFS(Trades!$D$2:$D$884,$A78)</f>
        <v>1</v>
      </c>
      <c r="C78" s="28" t="n">
        <f aca="false">COUNTIFS(Trades!$D$2:$D$884,$A78,Trades!$Z$2:$Z$884,"Win")</f>
        <v>0</v>
      </c>
      <c r="D78" s="28" t="n">
        <f aca="false">COUNTIFS(Trades!$D$2:$D$884,$A78,Trades!$Z$2:$Z$884,"Loss")</f>
        <v>1</v>
      </c>
      <c r="E78" s="29" t="n">
        <f aca="false">IFERROR(C78/B78,0)</f>
        <v>0</v>
      </c>
      <c r="F78" s="30" t="n">
        <f aca="false">SUMIFS(Trades!$X$2:$X$884,Trades!$D$2:$D$884,$A78)</f>
        <v>-77.08</v>
      </c>
      <c r="G78" s="30" t="n">
        <f aca="false">SUMIFS(Trades!$X$2:$X$884,Trades!$D$2:$D$884,$A78,Trades!$X$2:$X$884,"&gt;0")</f>
        <v>0</v>
      </c>
      <c r="H78" s="30" t="n">
        <f aca="false">SUMIFS(Trades!$X$2:$X$884,Trades!$D$2:$D$884,$A78,Trades!$X$2:$X$884,"&lt;0")</f>
        <v>-77.08</v>
      </c>
      <c r="I78" s="31" t="n">
        <f aca="false">IFERROR(G78/-H78,"no loss")</f>
        <v>0</v>
      </c>
      <c r="J78" s="30" t="n">
        <f aca="false">_xlfn.MAXIFS(Trades!$X$2:$X$884,Trades!$D$2:$D$884,$A78)</f>
        <v>-77.08</v>
      </c>
      <c r="K78" s="30" t="n">
        <f aca="false">_xlfn.MINIFS(Trades!$X$2:$X$884,Trades!$D$2:$D$884,$A78)</f>
        <v>-77.08</v>
      </c>
      <c r="L78" s="32" t="n">
        <f aca="false">SUMIFS(Trades!$Y$2:$Y$884,Trades!$D$2:$D$884,$A78)</f>
        <v>-1.01138928252759</v>
      </c>
      <c r="M78" s="30" t="n">
        <f aca="false">P77</f>
        <v>100837.6</v>
      </c>
      <c r="N78" s="29" t="n">
        <f aca="false">IFERROR(F78/M78,0)</f>
        <v>-0.000764397407316318</v>
      </c>
      <c r="O78" s="28" t="str">
        <f aca="false">IF(-N78&gt;=Summary!$C$7,"BREACH","")</f>
        <v/>
      </c>
      <c r="P78" s="30" t="n">
        <f aca="false">M78+F78</f>
        <v>100760.52</v>
      </c>
      <c r="Q78" s="30" t="n">
        <f aca="false">P78-Summary!$C$5</f>
        <v>760.520000000033</v>
      </c>
      <c r="R78" s="2" t="str">
        <f aca="false">TEXT(A78,"ddd")</f>
        <v>Fri</v>
      </c>
    </row>
    <row r="79" customFormat="false" ht="15" hidden="false" customHeight="false" outlineLevel="0" collapsed="false">
      <c r="A79" s="42" t="n">
        <v>45146</v>
      </c>
      <c r="B79" s="28" t="n">
        <f aca="false">COUNTIFS(Trades!$D$2:$D$884,$A79)</f>
        <v>2</v>
      </c>
      <c r="C79" s="28" t="n">
        <f aca="false">COUNTIFS(Trades!$D$2:$D$884,$A79,Trades!$Z$2:$Z$884,"Win")</f>
        <v>0</v>
      </c>
      <c r="D79" s="28" t="n">
        <f aca="false">COUNTIFS(Trades!$D$2:$D$884,$A79,Trades!$Z$2:$Z$884,"Loss")</f>
        <v>2</v>
      </c>
      <c r="E79" s="29" t="n">
        <f aca="false">IFERROR(C79/B79,0)</f>
        <v>0</v>
      </c>
      <c r="F79" s="30" t="n">
        <f aca="false">SUMIFS(Trades!$X$2:$X$884,Trades!$D$2:$D$884,$A79)</f>
        <v>-126.56</v>
      </c>
      <c r="G79" s="30" t="n">
        <f aca="false">SUMIFS(Trades!$X$2:$X$884,Trades!$D$2:$D$884,$A79,Trades!$X$2:$X$884,"&gt;0")</f>
        <v>0</v>
      </c>
      <c r="H79" s="30" t="n">
        <f aca="false">SUMIFS(Trades!$X$2:$X$884,Trades!$D$2:$D$884,$A79,Trades!$X$2:$X$884,"&lt;0")</f>
        <v>-126.56</v>
      </c>
      <c r="I79" s="31" t="n">
        <f aca="false">IFERROR(G79/-H79,"no loss")</f>
        <v>0</v>
      </c>
      <c r="J79" s="30" t="n">
        <f aca="false">_xlfn.MAXIFS(Trades!$X$2:$X$884,Trades!$D$2:$D$884,$A79)</f>
        <v>-39.85</v>
      </c>
      <c r="K79" s="30" t="n">
        <f aca="false">_xlfn.MINIFS(Trades!$X$2:$X$884,Trades!$D$2:$D$884,$A79)</f>
        <v>-86.71</v>
      </c>
      <c r="L79" s="32" t="n">
        <f aca="false">SUMIFS(Trades!$Y$2:$Y$884,Trades!$D$2:$D$884,$A79)</f>
        <v>-2.01538677919565</v>
      </c>
      <c r="M79" s="30" t="n">
        <f aca="false">P78</f>
        <v>100760.52</v>
      </c>
      <c r="N79" s="29" t="n">
        <f aca="false">IFERROR(F79/M79,0)</f>
        <v>-0.00125604750749599</v>
      </c>
      <c r="O79" s="28" t="str">
        <f aca="false">IF(-N79&gt;=Summary!$C$7,"BREACH","")</f>
        <v/>
      </c>
      <c r="P79" s="30" t="n">
        <f aca="false">M79+F79</f>
        <v>100633.96</v>
      </c>
      <c r="Q79" s="30" t="n">
        <f aca="false">P79-Summary!$C$5</f>
        <v>633.960000000036</v>
      </c>
      <c r="R79" s="2" t="str">
        <f aca="false">TEXT(A79,"ddd")</f>
        <v>Tue</v>
      </c>
    </row>
    <row r="80" customFormat="false" ht="15" hidden="false" customHeight="false" outlineLevel="0" collapsed="false">
      <c r="A80" s="42" t="n">
        <v>45147</v>
      </c>
      <c r="B80" s="28" t="n">
        <f aca="false">COUNTIFS(Trades!$D$2:$D$884,$A80)</f>
        <v>1</v>
      </c>
      <c r="C80" s="28" t="n">
        <f aca="false">COUNTIFS(Trades!$D$2:$D$884,$A80,Trades!$Z$2:$Z$884,"Win")</f>
        <v>1</v>
      </c>
      <c r="D80" s="28" t="n">
        <f aca="false">COUNTIFS(Trades!$D$2:$D$884,$A80,Trades!$Z$2:$Z$884,"Loss")</f>
        <v>0</v>
      </c>
      <c r="E80" s="29" t="n">
        <f aca="false">IFERROR(C80/B80,0)</f>
        <v>1</v>
      </c>
      <c r="F80" s="30" t="n">
        <f aca="false">SUMIFS(Trades!$X$2:$X$884,Trades!$D$2:$D$884,$A80)</f>
        <v>266.74</v>
      </c>
      <c r="G80" s="30" t="n">
        <f aca="false">SUMIFS(Trades!$X$2:$X$884,Trades!$D$2:$D$884,$A80,Trades!$X$2:$X$884,"&gt;0")</f>
        <v>266.74</v>
      </c>
      <c r="H80" s="30" t="n">
        <f aca="false">SUMIFS(Trades!$X$2:$X$884,Trades!$D$2:$D$884,$A80,Trades!$X$2:$X$884,"&lt;0")</f>
        <v>0</v>
      </c>
      <c r="I80" s="31" t="str">
        <f aca="false">IFERROR(G80/-H80,"no loss")</f>
        <v>no loss</v>
      </c>
      <c r="J80" s="30" t="n">
        <f aca="false">_xlfn.MAXIFS(Trades!$X$2:$X$884,Trades!$D$2:$D$884,$A80)</f>
        <v>266.74</v>
      </c>
      <c r="K80" s="30" t="n">
        <f aca="false">_xlfn.MINIFS(Trades!$X$2:$X$884,Trades!$D$2:$D$884,$A80)</f>
        <v>266.74</v>
      </c>
      <c r="L80" s="32" t="n">
        <f aca="false">SUMIFS(Trades!$Y$2:$Y$884,Trades!$D$2:$D$884,$A80)</f>
        <v>2.01091627338925</v>
      </c>
      <c r="M80" s="30" t="n">
        <f aca="false">P79</f>
        <v>100633.96</v>
      </c>
      <c r="N80" s="29" t="n">
        <f aca="false">IFERROR(F80/M80,0)</f>
        <v>0.00265059627982442</v>
      </c>
      <c r="O80" s="28" t="str">
        <f aca="false">IF(-N80&gt;=Summary!$C$7,"BREACH","")</f>
        <v/>
      </c>
      <c r="P80" s="30" t="n">
        <f aca="false">M80+F80</f>
        <v>100900.7</v>
      </c>
      <c r="Q80" s="30" t="n">
        <f aca="false">P80-Summary!$C$5</f>
        <v>900.700000000041</v>
      </c>
      <c r="R80" s="2" t="str">
        <f aca="false">TEXT(A80,"ddd")</f>
        <v>Wed</v>
      </c>
    </row>
    <row r="81" customFormat="false" ht="15" hidden="false" customHeight="false" outlineLevel="0" collapsed="false">
      <c r="A81" s="42" t="n">
        <v>45148</v>
      </c>
      <c r="B81" s="28" t="n">
        <f aca="false">COUNTIFS(Trades!$D$2:$D$884,$A81)</f>
        <v>2</v>
      </c>
      <c r="C81" s="28" t="n">
        <f aca="false">COUNTIFS(Trades!$D$2:$D$884,$A81,Trades!$Z$2:$Z$884,"Win")</f>
        <v>0</v>
      </c>
      <c r="D81" s="28" t="n">
        <f aca="false">COUNTIFS(Trades!$D$2:$D$884,$A81,Trades!$Z$2:$Z$884,"Loss")</f>
        <v>2</v>
      </c>
      <c r="E81" s="29" t="n">
        <f aca="false">IFERROR(C81/B81,0)</f>
        <v>0</v>
      </c>
      <c r="F81" s="30" t="n">
        <f aca="false">SUMIFS(Trades!$X$2:$X$884,Trades!$D$2:$D$884,$A81)</f>
        <v>-297.66</v>
      </c>
      <c r="G81" s="30" t="n">
        <f aca="false">SUMIFS(Trades!$X$2:$X$884,Trades!$D$2:$D$884,$A81,Trades!$X$2:$X$884,"&gt;0")</f>
        <v>0</v>
      </c>
      <c r="H81" s="30" t="n">
        <f aca="false">SUMIFS(Trades!$X$2:$X$884,Trades!$D$2:$D$884,$A81,Trades!$X$2:$X$884,"&lt;0")</f>
        <v>-297.66</v>
      </c>
      <c r="I81" s="31" t="n">
        <f aca="false">IFERROR(G81/-H81,"no loss")</f>
        <v>0</v>
      </c>
      <c r="J81" s="30" t="n">
        <f aca="false">_xlfn.MAXIFS(Trades!$X$2:$X$884,Trades!$D$2:$D$884,$A81)</f>
        <v>-147.84</v>
      </c>
      <c r="K81" s="30" t="n">
        <f aca="false">_xlfn.MINIFS(Trades!$X$2:$X$884,Trades!$D$2:$D$884,$A81)</f>
        <v>-149.82</v>
      </c>
      <c r="L81" s="32" t="n">
        <f aca="false">SUMIFS(Trades!$Y$2:$Y$884,Trades!$D$2:$D$884,$A81)</f>
        <v>-2.02040479347623</v>
      </c>
      <c r="M81" s="30" t="n">
        <f aca="false">P80</f>
        <v>100900.7</v>
      </c>
      <c r="N81" s="29" t="n">
        <f aca="false">IFERROR(F81/M81,0)</f>
        <v>-0.00295002908800434</v>
      </c>
      <c r="O81" s="28" t="str">
        <f aca="false">IF(-N81&gt;=Summary!$C$7,"BREACH","")</f>
        <v/>
      </c>
      <c r="P81" s="30" t="n">
        <f aca="false">M81+F81</f>
        <v>100603.04</v>
      </c>
      <c r="Q81" s="30" t="n">
        <f aca="false">P81-Summary!$C$5</f>
        <v>603.040000000037</v>
      </c>
      <c r="R81" s="2" t="str">
        <f aca="false">TEXT(A81,"ddd")</f>
        <v>Thu</v>
      </c>
    </row>
    <row r="82" customFormat="false" ht="15" hidden="false" customHeight="false" outlineLevel="0" collapsed="false">
      <c r="A82" s="42" t="n">
        <v>45149</v>
      </c>
      <c r="B82" s="28" t="n">
        <f aca="false">COUNTIFS(Trades!$D$2:$D$884,$A82)</f>
        <v>1</v>
      </c>
      <c r="C82" s="28" t="n">
        <f aca="false">COUNTIFS(Trades!$D$2:$D$884,$A82,Trades!$Z$2:$Z$884,"Win")</f>
        <v>1</v>
      </c>
      <c r="D82" s="28" t="n">
        <f aca="false">COUNTIFS(Trades!$D$2:$D$884,$A82,Trades!$Z$2:$Z$884,"Loss")</f>
        <v>0</v>
      </c>
      <c r="E82" s="29" t="n">
        <f aca="false">IFERROR(C82/B82,0)</f>
        <v>1</v>
      </c>
      <c r="F82" s="30" t="n">
        <f aca="false">SUMIFS(Trades!$X$2:$X$884,Trades!$D$2:$D$884,$A82)</f>
        <v>284.7</v>
      </c>
      <c r="G82" s="30" t="n">
        <f aca="false">SUMIFS(Trades!$X$2:$X$884,Trades!$D$2:$D$884,$A82,Trades!$X$2:$X$884,"&gt;0")</f>
        <v>284.7</v>
      </c>
      <c r="H82" s="30" t="n">
        <f aca="false">SUMIFS(Trades!$X$2:$X$884,Trades!$D$2:$D$884,$A82,Trades!$X$2:$X$884,"&lt;0")</f>
        <v>0</v>
      </c>
      <c r="I82" s="31" t="str">
        <f aca="false">IFERROR(G82/-H82,"no loss")</f>
        <v>no loss</v>
      </c>
      <c r="J82" s="30" t="n">
        <f aca="false">_xlfn.MAXIFS(Trades!$X$2:$X$884,Trades!$D$2:$D$884,$A82)</f>
        <v>284.7</v>
      </c>
      <c r="K82" s="30" t="n">
        <f aca="false">_xlfn.MINIFS(Trades!$X$2:$X$884,Trades!$D$2:$D$884,$A82)</f>
        <v>284.7</v>
      </c>
      <c r="L82" s="32" t="n">
        <f aca="false">SUMIFS(Trades!$Y$2:$Y$884,Trades!$D$2:$D$884,$A82)</f>
        <v>1.99705387205385</v>
      </c>
      <c r="M82" s="30" t="n">
        <f aca="false">P81</f>
        <v>100603.04</v>
      </c>
      <c r="N82" s="29" t="n">
        <f aca="false">IFERROR(F82/M82,0)</f>
        <v>0.00282993436381246</v>
      </c>
      <c r="O82" s="28" t="str">
        <f aca="false">IF(-N82&gt;=Summary!$C$7,"BREACH","")</f>
        <v/>
      </c>
      <c r="P82" s="30" t="n">
        <f aca="false">M82+F82</f>
        <v>100887.74</v>
      </c>
      <c r="Q82" s="30" t="n">
        <f aca="false">P82-Summary!$C$5</f>
        <v>887.740000000034</v>
      </c>
      <c r="R82" s="2" t="str">
        <f aca="false">TEXT(A82,"ddd")</f>
        <v>Fri</v>
      </c>
    </row>
    <row r="83" customFormat="false" ht="15" hidden="false" customHeight="false" outlineLevel="0" collapsed="false">
      <c r="A83" s="42" t="n">
        <v>45152</v>
      </c>
      <c r="B83" s="28" t="n">
        <f aca="false">COUNTIFS(Trades!$D$2:$D$884,$A83)</f>
        <v>1</v>
      </c>
      <c r="C83" s="28" t="n">
        <f aca="false">COUNTIFS(Trades!$D$2:$D$884,$A83,Trades!$Z$2:$Z$884,"Win")</f>
        <v>0</v>
      </c>
      <c r="D83" s="28" t="n">
        <f aca="false">COUNTIFS(Trades!$D$2:$D$884,$A83,Trades!$Z$2:$Z$884,"Loss")</f>
        <v>1</v>
      </c>
      <c r="E83" s="29" t="n">
        <f aca="false">IFERROR(C83/B83,0)</f>
        <v>0</v>
      </c>
      <c r="F83" s="30" t="n">
        <f aca="false">SUMIFS(Trades!$X$2:$X$884,Trades!$D$2:$D$884,$A83)</f>
        <v>-1.68</v>
      </c>
      <c r="G83" s="30" t="n">
        <f aca="false">SUMIFS(Trades!$X$2:$X$884,Trades!$D$2:$D$884,$A83,Trades!$X$2:$X$884,"&gt;0")</f>
        <v>0</v>
      </c>
      <c r="H83" s="30" t="n">
        <f aca="false">SUMIFS(Trades!$X$2:$X$884,Trades!$D$2:$D$884,$A83,Trades!$X$2:$X$884,"&lt;0")</f>
        <v>-1.68</v>
      </c>
      <c r="I83" s="31" t="n">
        <f aca="false">IFERROR(G83/-H83,"no loss")</f>
        <v>0</v>
      </c>
      <c r="J83" s="30" t="n">
        <f aca="false">_xlfn.MAXIFS(Trades!$X$2:$X$884,Trades!$D$2:$D$884,$A83)</f>
        <v>-1.68</v>
      </c>
      <c r="K83" s="30" t="n">
        <f aca="false">_xlfn.MINIFS(Trades!$X$2:$X$884,Trades!$D$2:$D$884,$A83)</f>
        <v>-1.68</v>
      </c>
      <c r="L83" s="32" t="n">
        <f aca="false">SUMIFS(Trades!$Y$2:$Y$884,Trades!$D$2:$D$884,$A83)</f>
        <v>-0.0287769784172621</v>
      </c>
      <c r="M83" s="30" t="n">
        <f aca="false">P82</f>
        <v>100887.74</v>
      </c>
      <c r="N83" s="29" t="n">
        <f aca="false">IFERROR(F83/M83,0)</f>
        <v>-1.66521720082143E-005</v>
      </c>
      <c r="O83" s="28" t="str">
        <f aca="false">IF(-N83&gt;=Summary!$C$7,"BREACH","")</f>
        <v/>
      </c>
      <c r="P83" s="30" t="n">
        <f aca="false">M83+F83</f>
        <v>100886.06</v>
      </c>
      <c r="Q83" s="30" t="n">
        <f aca="false">P83-Summary!$C$5</f>
        <v>886.060000000041</v>
      </c>
      <c r="R83" s="2" t="str">
        <f aca="false">TEXT(A83,"ddd")</f>
        <v>Mon</v>
      </c>
    </row>
    <row r="84" customFormat="false" ht="15" hidden="false" customHeight="false" outlineLevel="0" collapsed="false">
      <c r="A84" s="42" t="n">
        <v>45153</v>
      </c>
      <c r="B84" s="28" t="n">
        <f aca="false">COUNTIFS(Trades!$D$2:$D$884,$A84)</f>
        <v>1</v>
      </c>
      <c r="C84" s="28" t="n">
        <f aca="false">COUNTIFS(Trades!$D$2:$D$884,$A84,Trades!$Z$2:$Z$884,"Win")</f>
        <v>1</v>
      </c>
      <c r="D84" s="28" t="n">
        <f aca="false">COUNTIFS(Trades!$D$2:$D$884,$A84,Trades!$Z$2:$Z$884,"Loss")</f>
        <v>0</v>
      </c>
      <c r="E84" s="29" t="n">
        <f aca="false">IFERROR(C84/B84,0)</f>
        <v>1</v>
      </c>
      <c r="F84" s="30" t="n">
        <f aca="false">SUMIFS(Trades!$X$2:$X$884,Trades!$D$2:$D$884,$A84)</f>
        <v>153.55</v>
      </c>
      <c r="G84" s="30" t="n">
        <f aca="false">SUMIFS(Trades!$X$2:$X$884,Trades!$D$2:$D$884,$A84,Trades!$X$2:$X$884,"&gt;0")</f>
        <v>153.55</v>
      </c>
      <c r="H84" s="30" t="n">
        <f aca="false">SUMIFS(Trades!$X$2:$X$884,Trades!$D$2:$D$884,$A84,Trades!$X$2:$X$884,"&lt;0")</f>
        <v>0</v>
      </c>
      <c r="I84" s="31" t="str">
        <f aca="false">IFERROR(G84/-H84,"no loss")</f>
        <v>no loss</v>
      </c>
      <c r="J84" s="30" t="n">
        <f aca="false">_xlfn.MAXIFS(Trades!$X$2:$X$884,Trades!$D$2:$D$884,$A84)</f>
        <v>153.55</v>
      </c>
      <c r="K84" s="30" t="n">
        <f aca="false">_xlfn.MINIFS(Trades!$X$2:$X$884,Trades!$D$2:$D$884,$A84)</f>
        <v>153.55</v>
      </c>
      <c r="L84" s="32" t="n">
        <f aca="false">SUMIFS(Trades!$Y$2:$Y$884,Trades!$D$2:$D$884,$A84)</f>
        <v>1.78879310344836</v>
      </c>
      <c r="M84" s="30" t="n">
        <f aca="false">P83</f>
        <v>100886.06</v>
      </c>
      <c r="N84" s="29" t="n">
        <f aca="false">IFERROR(F84/M84,0)</f>
        <v>0.00152201404237612</v>
      </c>
      <c r="O84" s="28" t="str">
        <f aca="false">IF(-N84&gt;=Summary!$C$7,"BREACH","")</f>
        <v/>
      </c>
      <c r="P84" s="30" t="n">
        <f aca="false">M84+F84</f>
        <v>101039.61</v>
      </c>
      <c r="Q84" s="30" t="n">
        <f aca="false">P84-Summary!$C$5</f>
        <v>1039.61000000004</v>
      </c>
      <c r="R84" s="2" t="str">
        <f aca="false">TEXT(A84,"ddd")</f>
        <v>Tue</v>
      </c>
    </row>
    <row r="85" customFormat="false" ht="15" hidden="false" customHeight="false" outlineLevel="0" collapsed="false">
      <c r="A85" s="42" t="n">
        <v>45154</v>
      </c>
      <c r="B85" s="28" t="n">
        <f aca="false">COUNTIFS(Trades!$D$2:$D$884,$A85)</f>
        <v>1</v>
      </c>
      <c r="C85" s="28" t="n">
        <f aca="false">COUNTIFS(Trades!$D$2:$D$884,$A85,Trades!$Z$2:$Z$884,"Win")</f>
        <v>0</v>
      </c>
      <c r="D85" s="28" t="n">
        <f aca="false">COUNTIFS(Trades!$D$2:$D$884,$A85,Trades!$Z$2:$Z$884,"Loss")</f>
        <v>1</v>
      </c>
      <c r="E85" s="29" t="n">
        <f aca="false">IFERROR(C85/B85,0)</f>
        <v>0</v>
      </c>
      <c r="F85" s="30" t="n">
        <f aca="false">SUMIFS(Trades!$X$2:$X$884,Trades!$D$2:$D$884,$A85)</f>
        <v>-71.04</v>
      </c>
      <c r="G85" s="30" t="n">
        <f aca="false">SUMIFS(Trades!$X$2:$X$884,Trades!$D$2:$D$884,$A85,Trades!$X$2:$X$884,"&gt;0")</f>
        <v>0</v>
      </c>
      <c r="H85" s="30" t="n">
        <f aca="false">SUMIFS(Trades!$X$2:$X$884,Trades!$D$2:$D$884,$A85,Trades!$X$2:$X$884,"&lt;0")</f>
        <v>-71.04</v>
      </c>
      <c r="I85" s="31" t="n">
        <f aca="false">IFERROR(G85/-H85,"no loss")</f>
        <v>0</v>
      </c>
      <c r="J85" s="30" t="n">
        <f aca="false">_xlfn.MAXIFS(Trades!$X$2:$X$884,Trades!$D$2:$D$884,$A85)</f>
        <v>-71.04</v>
      </c>
      <c r="K85" s="30" t="n">
        <f aca="false">_xlfn.MINIFS(Trades!$X$2:$X$884,Trades!$D$2:$D$884,$A85)</f>
        <v>-71.04</v>
      </c>
      <c r="L85" s="32" t="n">
        <f aca="false">SUMIFS(Trades!$Y$2:$Y$884,Trades!$D$2:$D$884,$A85)</f>
        <v>-1.02068965517238</v>
      </c>
      <c r="M85" s="30" t="n">
        <f aca="false">P84</f>
        <v>101039.61</v>
      </c>
      <c r="N85" s="29" t="n">
        <f aca="false">IFERROR(F85/M85,0)</f>
        <v>-0.00070309059981526</v>
      </c>
      <c r="O85" s="28" t="str">
        <f aca="false">IF(-N85&gt;=Summary!$C$7,"BREACH","")</f>
        <v/>
      </c>
      <c r="P85" s="30" t="n">
        <f aca="false">M85+F85</f>
        <v>100968.57</v>
      </c>
      <c r="Q85" s="30" t="n">
        <f aca="false">P85-Summary!$C$5</f>
        <v>968.570000000051</v>
      </c>
      <c r="R85" s="2" t="str">
        <f aca="false">TEXT(A85,"ddd")</f>
        <v>Wed</v>
      </c>
    </row>
    <row r="86" customFormat="false" ht="15" hidden="false" customHeight="false" outlineLevel="0" collapsed="false">
      <c r="A86" s="42" t="n">
        <v>45155</v>
      </c>
      <c r="B86" s="28" t="n">
        <f aca="false">COUNTIFS(Trades!$D$2:$D$884,$A86)</f>
        <v>1</v>
      </c>
      <c r="C86" s="28" t="n">
        <f aca="false">COUNTIFS(Trades!$D$2:$D$884,$A86,Trades!$Z$2:$Z$884,"Win")</f>
        <v>0</v>
      </c>
      <c r="D86" s="28" t="n">
        <f aca="false">COUNTIFS(Trades!$D$2:$D$884,$A86,Trades!$Z$2:$Z$884,"Loss")</f>
        <v>1</v>
      </c>
      <c r="E86" s="29" t="n">
        <f aca="false">IFERROR(C86/B86,0)</f>
        <v>0</v>
      </c>
      <c r="F86" s="30" t="n">
        <f aca="false">SUMIFS(Trades!$X$2:$X$884,Trades!$D$2:$D$884,$A86)</f>
        <v>-30.48</v>
      </c>
      <c r="G86" s="30" t="n">
        <f aca="false">SUMIFS(Trades!$X$2:$X$884,Trades!$D$2:$D$884,$A86,Trades!$X$2:$X$884,"&gt;0")</f>
        <v>0</v>
      </c>
      <c r="H86" s="30" t="n">
        <f aca="false">SUMIFS(Trades!$X$2:$X$884,Trades!$D$2:$D$884,$A86,Trades!$X$2:$X$884,"&lt;0")</f>
        <v>-30.48</v>
      </c>
      <c r="I86" s="31" t="n">
        <f aca="false">IFERROR(G86/-H86,"no loss")</f>
        <v>0</v>
      </c>
      <c r="J86" s="30" t="n">
        <f aca="false">_xlfn.MAXIFS(Trades!$X$2:$X$884,Trades!$D$2:$D$884,$A86)</f>
        <v>-30.48</v>
      </c>
      <c r="K86" s="30" t="n">
        <f aca="false">_xlfn.MINIFS(Trades!$X$2:$X$884,Trades!$D$2:$D$884,$A86)</f>
        <v>-30.48</v>
      </c>
      <c r="L86" s="32" t="n">
        <f aca="false">SUMIFS(Trades!$Y$2:$Y$884,Trades!$D$2:$D$884,$A86)</f>
        <v>-1.04526748971181</v>
      </c>
      <c r="M86" s="30" t="n">
        <f aca="false">P85</f>
        <v>100968.57</v>
      </c>
      <c r="N86" s="29" t="n">
        <f aca="false">IFERROR(F86/M86,0)</f>
        <v>-0.000301876118479245</v>
      </c>
      <c r="O86" s="28" t="str">
        <f aca="false">IF(-N86&gt;=Summary!$C$7,"BREACH","")</f>
        <v/>
      </c>
      <c r="P86" s="30" t="n">
        <f aca="false">M86+F86</f>
        <v>100938.09</v>
      </c>
      <c r="Q86" s="30" t="n">
        <f aca="false">P86-Summary!$C$5</f>
        <v>938.090000000055</v>
      </c>
      <c r="R86" s="2" t="str">
        <f aca="false">TEXT(A86,"ddd")</f>
        <v>Thu</v>
      </c>
    </row>
    <row r="87" customFormat="false" ht="15" hidden="false" customHeight="false" outlineLevel="0" collapsed="false">
      <c r="A87" s="42" t="n">
        <v>45156</v>
      </c>
      <c r="B87" s="28" t="n">
        <f aca="false">COUNTIFS(Trades!$D$2:$D$884,$A87)</f>
        <v>1</v>
      </c>
      <c r="C87" s="28" t="n">
        <f aca="false">COUNTIFS(Trades!$D$2:$D$884,$A87,Trades!$Z$2:$Z$884,"Win")</f>
        <v>1</v>
      </c>
      <c r="D87" s="28" t="n">
        <f aca="false">COUNTIFS(Trades!$D$2:$D$884,$A87,Trades!$Z$2:$Z$884,"Loss")</f>
        <v>0</v>
      </c>
      <c r="E87" s="29" t="n">
        <f aca="false">IFERROR(C87/B87,0)</f>
        <v>1</v>
      </c>
      <c r="F87" s="30" t="n">
        <f aca="false">SUMIFS(Trades!$X$2:$X$884,Trades!$D$2:$D$884,$A87)</f>
        <v>116.88</v>
      </c>
      <c r="G87" s="30" t="n">
        <f aca="false">SUMIFS(Trades!$X$2:$X$884,Trades!$D$2:$D$884,$A87,Trades!$X$2:$X$884,"&gt;0")</f>
        <v>116.88</v>
      </c>
      <c r="H87" s="30" t="n">
        <f aca="false">SUMIFS(Trades!$X$2:$X$884,Trades!$D$2:$D$884,$A87,Trades!$X$2:$X$884,"&lt;0")</f>
        <v>0</v>
      </c>
      <c r="I87" s="31" t="str">
        <f aca="false">IFERROR(G87/-H87,"no loss")</f>
        <v>no loss</v>
      </c>
      <c r="J87" s="30" t="n">
        <f aca="false">_xlfn.MAXIFS(Trades!$X$2:$X$884,Trades!$D$2:$D$884,$A87)</f>
        <v>116.88</v>
      </c>
      <c r="K87" s="30" t="n">
        <f aca="false">_xlfn.MINIFS(Trades!$X$2:$X$884,Trades!$D$2:$D$884,$A87)</f>
        <v>116.88</v>
      </c>
      <c r="L87" s="32" t="n">
        <f aca="false">SUMIFS(Trades!$Y$2:$Y$884,Trades!$D$2:$D$884,$A87)</f>
        <v>2.01031991744055</v>
      </c>
      <c r="M87" s="30" t="n">
        <f aca="false">P86</f>
        <v>100938.09</v>
      </c>
      <c r="N87" s="29" t="n">
        <f aca="false">IFERROR(F87/M87,0)</f>
        <v>0.00115793750406809</v>
      </c>
      <c r="O87" s="28" t="str">
        <f aca="false">IF(-N87&gt;=Summary!$C$7,"BREACH","")</f>
        <v/>
      </c>
      <c r="P87" s="30" t="n">
        <f aca="false">M87+F87</f>
        <v>101054.97</v>
      </c>
      <c r="Q87" s="30" t="n">
        <f aca="false">P87-Summary!$C$5</f>
        <v>1054.97000000006</v>
      </c>
      <c r="R87" s="2" t="str">
        <f aca="false">TEXT(A87,"ddd")</f>
        <v>Fri</v>
      </c>
    </row>
    <row r="88" customFormat="false" ht="15" hidden="false" customHeight="false" outlineLevel="0" collapsed="false">
      <c r="A88" s="42" t="n">
        <v>45159</v>
      </c>
      <c r="B88" s="28" t="n">
        <f aca="false">COUNTIFS(Trades!$D$2:$D$884,$A88)</f>
        <v>1</v>
      </c>
      <c r="C88" s="28" t="n">
        <f aca="false">COUNTIFS(Trades!$D$2:$D$884,$A88,Trades!$Z$2:$Z$884,"Win")</f>
        <v>1</v>
      </c>
      <c r="D88" s="28" t="n">
        <f aca="false">COUNTIFS(Trades!$D$2:$D$884,$A88,Trades!$Z$2:$Z$884,"Loss")</f>
        <v>0</v>
      </c>
      <c r="E88" s="29" t="n">
        <f aca="false">IFERROR(C88/B88,0)</f>
        <v>1</v>
      </c>
      <c r="F88" s="30" t="n">
        <f aca="false">SUMIFS(Trades!$X$2:$X$884,Trades!$D$2:$D$884,$A88)</f>
        <v>122.76</v>
      </c>
      <c r="G88" s="30" t="n">
        <f aca="false">SUMIFS(Trades!$X$2:$X$884,Trades!$D$2:$D$884,$A88,Trades!$X$2:$X$884,"&gt;0")</f>
        <v>122.76</v>
      </c>
      <c r="H88" s="30" t="n">
        <f aca="false">SUMIFS(Trades!$X$2:$X$884,Trades!$D$2:$D$884,$A88,Trades!$X$2:$X$884,"&lt;0")</f>
        <v>0</v>
      </c>
      <c r="I88" s="31" t="str">
        <f aca="false">IFERROR(G88/-H88,"no loss")</f>
        <v>no loss</v>
      </c>
      <c r="J88" s="30" t="n">
        <f aca="false">_xlfn.MAXIFS(Trades!$X$2:$X$884,Trades!$D$2:$D$884,$A88)</f>
        <v>122.76</v>
      </c>
      <c r="K88" s="30" t="n">
        <f aca="false">_xlfn.MINIFS(Trades!$X$2:$X$884,Trades!$D$2:$D$884,$A88)</f>
        <v>122.76</v>
      </c>
      <c r="L88" s="32" t="n">
        <f aca="false">SUMIFS(Trades!$Y$2:$Y$884,Trades!$D$2:$D$884,$A88)</f>
        <v>1.94671741198888</v>
      </c>
      <c r="M88" s="30" t="n">
        <f aca="false">P87</f>
        <v>101054.97</v>
      </c>
      <c r="N88" s="29" t="n">
        <f aca="false">IFERROR(F88/M88,0)</f>
        <v>0.00121478438912999</v>
      </c>
      <c r="O88" s="28" t="str">
        <f aca="false">IF(-N88&gt;=Summary!$C$7,"BREACH","")</f>
        <v/>
      </c>
      <c r="P88" s="30" t="n">
        <f aca="false">M88+F88</f>
        <v>101177.73</v>
      </c>
      <c r="Q88" s="30" t="n">
        <f aca="false">P88-Summary!$C$5</f>
        <v>1177.73000000005</v>
      </c>
      <c r="R88" s="2" t="str">
        <f aca="false">TEXT(A88,"ddd")</f>
        <v>Mon</v>
      </c>
    </row>
    <row r="89" customFormat="false" ht="15" hidden="false" customHeight="false" outlineLevel="0" collapsed="false">
      <c r="A89" s="42" t="n">
        <v>45160</v>
      </c>
      <c r="B89" s="28" t="n">
        <f aca="false">COUNTIFS(Trades!$D$2:$D$884,$A89)</f>
        <v>1</v>
      </c>
      <c r="C89" s="28" t="n">
        <f aca="false">COUNTIFS(Trades!$D$2:$D$884,$A89,Trades!$Z$2:$Z$884,"Win")</f>
        <v>0</v>
      </c>
      <c r="D89" s="28" t="n">
        <f aca="false">COUNTIFS(Trades!$D$2:$D$884,$A89,Trades!$Z$2:$Z$884,"Loss")</f>
        <v>1</v>
      </c>
      <c r="E89" s="29" t="n">
        <f aca="false">IFERROR(C89/B89,0)</f>
        <v>0</v>
      </c>
      <c r="F89" s="30" t="n">
        <f aca="false">SUMIFS(Trades!$X$2:$X$884,Trades!$D$2:$D$884,$A89)</f>
        <v>-4.92</v>
      </c>
      <c r="G89" s="30" t="n">
        <f aca="false">SUMIFS(Trades!$X$2:$X$884,Trades!$D$2:$D$884,$A89,Trades!$X$2:$X$884,"&gt;0")</f>
        <v>0</v>
      </c>
      <c r="H89" s="30" t="n">
        <f aca="false">SUMIFS(Trades!$X$2:$X$884,Trades!$D$2:$D$884,$A89,Trades!$X$2:$X$884,"&lt;0")</f>
        <v>-4.92</v>
      </c>
      <c r="I89" s="31" t="n">
        <f aca="false">IFERROR(G89/-H89,"no loss")</f>
        <v>0</v>
      </c>
      <c r="J89" s="30" t="n">
        <f aca="false">_xlfn.MAXIFS(Trades!$X$2:$X$884,Trades!$D$2:$D$884,$A89)</f>
        <v>-4.92</v>
      </c>
      <c r="K89" s="30" t="n">
        <f aca="false">_xlfn.MINIFS(Trades!$X$2:$X$884,Trades!$D$2:$D$884,$A89)</f>
        <v>-4.92</v>
      </c>
      <c r="L89" s="32" t="n">
        <f aca="false">SUMIFS(Trades!$Y$2:$Y$884,Trades!$D$2:$D$884,$A89)</f>
        <v>-0.0813492063492069</v>
      </c>
      <c r="M89" s="30" t="n">
        <f aca="false">P88</f>
        <v>101177.73</v>
      </c>
      <c r="N89" s="29" t="n">
        <f aca="false">IFERROR(F89/M89,0)</f>
        <v>-4.8627301679925E-005</v>
      </c>
      <c r="O89" s="28" t="str">
        <f aca="false">IF(-N89&gt;=Summary!$C$7,"BREACH","")</f>
        <v/>
      </c>
      <c r="P89" s="30" t="n">
        <f aca="false">M89+F89</f>
        <v>101172.81</v>
      </c>
      <c r="Q89" s="30" t="n">
        <f aca="false">P89-Summary!$C$5</f>
        <v>1172.81000000006</v>
      </c>
      <c r="R89" s="2" t="str">
        <f aca="false">TEXT(A89,"ddd")</f>
        <v>Tue</v>
      </c>
    </row>
    <row r="90" customFormat="false" ht="15" hidden="false" customHeight="false" outlineLevel="0" collapsed="false">
      <c r="A90" s="42" t="n">
        <v>45161</v>
      </c>
      <c r="B90" s="28" t="n">
        <f aca="false">COUNTIFS(Trades!$D$2:$D$884,$A90)</f>
        <v>1</v>
      </c>
      <c r="C90" s="28" t="n">
        <f aca="false">COUNTIFS(Trades!$D$2:$D$884,$A90,Trades!$Z$2:$Z$884,"Win")</f>
        <v>1</v>
      </c>
      <c r="D90" s="28" t="n">
        <f aca="false">COUNTIFS(Trades!$D$2:$D$884,$A90,Trades!$Z$2:$Z$884,"Loss")</f>
        <v>0</v>
      </c>
      <c r="E90" s="29" t="n">
        <f aca="false">IFERROR(C90/B90,0)</f>
        <v>1</v>
      </c>
      <c r="F90" s="30" t="n">
        <f aca="false">SUMIFS(Trades!$X$2:$X$884,Trades!$D$2:$D$884,$A90)</f>
        <v>351.12</v>
      </c>
      <c r="G90" s="30" t="n">
        <f aca="false">SUMIFS(Trades!$X$2:$X$884,Trades!$D$2:$D$884,$A90,Trades!$X$2:$X$884,"&gt;0")</f>
        <v>351.12</v>
      </c>
      <c r="H90" s="30" t="n">
        <f aca="false">SUMIFS(Trades!$X$2:$X$884,Trades!$D$2:$D$884,$A90,Trades!$X$2:$X$884,"&lt;0")</f>
        <v>0</v>
      </c>
      <c r="I90" s="31" t="str">
        <f aca="false">IFERROR(G90/-H90,"no loss")</f>
        <v>no loss</v>
      </c>
      <c r="J90" s="30" t="n">
        <f aca="false">_xlfn.MAXIFS(Trades!$X$2:$X$884,Trades!$D$2:$D$884,$A90)</f>
        <v>351.12</v>
      </c>
      <c r="K90" s="30" t="n">
        <f aca="false">_xlfn.MINIFS(Trades!$X$2:$X$884,Trades!$D$2:$D$884,$A90)</f>
        <v>351.12</v>
      </c>
      <c r="L90" s="32" t="n">
        <f aca="false">SUMIFS(Trades!$Y$2:$Y$884,Trades!$D$2:$D$884,$A90)</f>
        <v>2.0061707233459</v>
      </c>
      <c r="M90" s="30" t="n">
        <f aca="false">P89</f>
        <v>101172.81</v>
      </c>
      <c r="N90" s="29" t="n">
        <f aca="false">IFERROR(F90/M90,0)</f>
        <v>0.00347049765643556</v>
      </c>
      <c r="O90" s="28" t="str">
        <f aca="false">IF(-N90&gt;=Summary!$C$7,"BREACH","")</f>
        <v/>
      </c>
      <c r="P90" s="30" t="n">
        <f aca="false">M90+F90</f>
        <v>101523.93</v>
      </c>
      <c r="Q90" s="30" t="n">
        <f aca="false">P90-Summary!$C$5</f>
        <v>1523.93000000005</v>
      </c>
      <c r="R90" s="2" t="str">
        <f aca="false">TEXT(A90,"ddd")</f>
        <v>Wed</v>
      </c>
    </row>
    <row r="91" customFormat="false" ht="15" hidden="false" customHeight="false" outlineLevel="0" collapsed="false">
      <c r="A91" s="42" t="n">
        <v>45162</v>
      </c>
      <c r="B91" s="28" t="n">
        <f aca="false">COUNTIFS(Trades!$D$2:$D$884,$A91)</f>
        <v>2</v>
      </c>
      <c r="C91" s="28" t="n">
        <f aca="false">COUNTIFS(Trades!$D$2:$D$884,$A91,Trades!$Z$2:$Z$884,"Win")</f>
        <v>1</v>
      </c>
      <c r="D91" s="28" t="n">
        <f aca="false">COUNTIFS(Trades!$D$2:$D$884,$A91,Trades!$Z$2:$Z$884,"Loss")</f>
        <v>1</v>
      </c>
      <c r="E91" s="29" t="n">
        <f aca="false">IFERROR(C91/B91,0)</f>
        <v>0.5</v>
      </c>
      <c r="F91" s="30" t="n">
        <f aca="false">SUMIFS(Trades!$X$2:$X$884,Trades!$D$2:$D$884,$A91)</f>
        <v>277.74</v>
      </c>
      <c r="G91" s="30" t="n">
        <f aca="false">SUMIFS(Trades!$X$2:$X$884,Trades!$D$2:$D$884,$A91,Trades!$X$2:$X$884,"&gt;0")</f>
        <v>422.82</v>
      </c>
      <c r="H91" s="30" t="n">
        <f aca="false">SUMIFS(Trades!$X$2:$X$884,Trades!$D$2:$D$884,$A91,Trades!$X$2:$X$884,"&lt;0")</f>
        <v>-145.08</v>
      </c>
      <c r="I91" s="31" t="n">
        <f aca="false">IFERROR(G91/-H91,"no loss")</f>
        <v>2.91439205955335</v>
      </c>
      <c r="J91" s="30" t="n">
        <f aca="false">_xlfn.MAXIFS(Trades!$X$2:$X$884,Trades!$D$2:$D$884,$A91)</f>
        <v>422.82</v>
      </c>
      <c r="K91" s="30" t="n">
        <f aca="false">_xlfn.MINIFS(Trades!$X$2:$X$884,Trades!$D$2:$D$884,$A91)</f>
        <v>-145.08</v>
      </c>
      <c r="L91" s="32" t="n">
        <f aca="false">SUMIFS(Trades!$Y$2:$Y$884,Trades!$D$2:$D$884,$A91)</f>
        <v>1.0005401977433</v>
      </c>
      <c r="M91" s="30" t="n">
        <f aca="false">P90</f>
        <v>101523.93</v>
      </c>
      <c r="N91" s="29" t="n">
        <f aca="false">IFERROR(F91/M91,0)</f>
        <v>0.00273570969918127</v>
      </c>
      <c r="O91" s="28" t="str">
        <f aca="false">IF(-N91&gt;=Summary!$C$7,"BREACH","")</f>
        <v/>
      </c>
      <c r="P91" s="30" t="n">
        <f aca="false">M91+F91</f>
        <v>101801.67</v>
      </c>
      <c r="Q91" s="30" t="n">
        <f aca="false">P91-Summary!$C$5</f>
        <v>1801.67000000006</v>
      </c>
      <c r="R91" s="2" t="str">
        <f aca="false">TEXT(A91,"ddd")</f>
        <v>Thu</v>
      </c>
    </row>
    <row r="92" customFormat="false" ht="15" hidden="false" customHeight="false" outlineLevel="0" collapsed="false">
      <c r="A92" s="42" t="n">
        <v>45163</v>
      </c>
      <c r="B92" s="28" t="n">
        <f aca="false">COUNTIFS(Trades!$D$2:$D$884,$A92)</f>
        <v>1</v>
      </c>
      <c r="C92" s="28" t="n">
        <f aca="false">COUNTIFS(Trades!$D$2:$D$884,$A92,Trades!$Z$2:$Z$884,"Win")</f>
        <v>0</v>
      </c>
      <c r="D92" s="28" t="n">
        <f aca="false">COUNTIFS(Trades!$D$2:$D$884,$A92,Trades!$Z$2:$Z$884,"Loss")</f>
        <v>1</v>
      </c>
      <c r="E92" s="29" t="n">
        <f aca="false">IFERROR(C92/B92,0)</f>
        <v>0</v>
      </c>
      <c r="F92" s="30" t="n">
        <f aca="false">SUMIFS(Trades!$X$2:$X$884,Trades!$D$2:$D$884,$A92)</f>
        <v>-59.94</v>
      </c>
      <c r="G92" s="30" t="n">
        <f aca="false">SUMIFS(Trades!$X$2:$X$884,Trades!$D$2:$D$884,$A92,Trades!$X$2:$X$884,"&gt;0")</f>
        <v>0</v>
      </c>
      <c r="H92" s="30" t="n">
        <f aca="false">SUMIFS(Trades!$X$2:$X$884,Trades!$D$2:$D$884,$A92,Trades!$X$2:$X$884,"&lt;0")</f>
        <v>-59.94</v>
      </c>
      <c r="I92" s="31" t="n">
        <f aca="false">IFERROR(G92/-H92,"no loss")</f>
        <v>0</v>
      </c>
      <c r="J92" s="30" t="n">
        <f aca="false">_xlfn.MAXIFS(Trades!$X$2:$X$884,Trades!$D$2:$D$884,$A92)</f>
        <v>-59.94</v>
      </c>
      <c r="K92" s="30" t="n">
        <f aca="false">_xlfn.MINIFS(Trades!$X$2:$X$884,Trades!$D$2:$D$884,$A92)</f>
        <v>-59.94</v>
      </c>
      <c r="L92" s="32" t="n">
        <f aca="false">SUMIFS(Trades!$Y$2:$Y$884,Trades!$D$2:$D$884,$A92)</f>
        <v>-1.01524390243901</v>
      </c>
      <c r="M92" s="30" t="n">
        <f aca="false">P91</f>
        <v>101801.67</v>
      </c>
      <c r="N92" s="29" t="n">
        <f aca="false">IFERROR(F92/M92,0)</f>
        <v>-0.000588791912745635</v>
      </c>
      <c r="O92" s="28" t="str">
        <f aca="false">IF(-N92&gt;=Summary!$C$7,"BREACH","")</f>
        <v/>
      </c>
      <c r="P92" s="30" t="n">
        <f aca="false">M92+F92</f>
        <v>101741.73</v>
      </c>
      <c r="Q92" s="30" t="n">
        <f aca="false">P92-Summary!$C$5</f>
        <v>1741.73000000005</v>
      </c>
      <c r="R92" s="2" t="str">
        <f aca="false">TEXT(A92,"ddd")</f>
        <v>Fri</v>
      </c>
    </row>
    <row r="93" customFormat="false" ht="15" hidden="false" customHeight="false" outlineLevel="0" collapsed="false">
      <c r="A93" s="42" t="n">
        <v>45166</v>
      </c>
      <c r="B93" s="28" t="n">
        <f aca="false">COUNTIFS(Trades!$D$2:$D$884,$A93)</f>
        <v>1</v>
      </c>
      <c r="C93" s="28" t="n">
        <f aca="false">COUNTIFS(Trades!$D$2:$D$884,$A93,Trades!$Z$2:$Z$884,"Win")</f>
        <v>1</v>
      </c>
      <c r="D93" s="28" t="n">
        <f aca="false">COUNTIFS(Trades!$D$2:$D$884,$A93,Trades!$Z$2:$Z$884,"Loss")</f>
        <v>0</v>
      </c>
      <c r="E93" s="29" t="n">
        <f aca="false">IFERROR(C93/B93,0)</f>
        <v>1</v>
      </c>
      <c r="F93" s="30" t="n">
        <f aca="false">SUMIFS(Trades!$X$2:$X$884,Trades!$D$2:$D$884,$A93)</f>
        <v>112.2</v>
      </c>
      <c r="G93" s="30" t="n">
        <f aca="false">SUMIFS(Trades!$X$2:$X$884,Trades!$D$2:$D$884,$A93,Trades!$X$2:$X$884,"&gt;0")</f>
        <v>112.2</v>
      </c>
      <c r="H93" s="30" t="n">
        <f aca="false">SUMIFS(Trades!$X$2:$X$884,Trades!$D$2:$D$884,$A93,Trades!$X$2:$X$884,"&lt;0")</f>
        <v>0</v>
      </c>
      <c r="I93" s="31" t="str">
        <f aca="false">IFERROR(G93/-H93,"no loss")</f>
        <v>no loss</v>
      </c>
      <c r="J93" s="30" t="n">
        <f aca="false">_xlfn.MAXIFS(Trades!$X$2:$X$884,Trades!$D$2:$D$884,$A93)</f>
        <v>112.2</v>
      </c>
      <c r="K93" s="30" t="n">
        <f aca="false">_xlfn.MINIFS(Trades!$X$2:$X$884,Trades!$D$2:$D$884,$A93)</f>
        <v>112.2</v>
      </c>
      <c r="L93" s="32" t="n">
        <f aca="false">SUMIFS(Trades!$Y$2:$Y$884,Trades!$D$2:$D$884,$A93)</f>
        <v>1.94386694386715</v>
      </c>
      <c r="M93" s="30" t="n">
        <f aca="false">P92</f>
        <v>101741.73</v>
      </c>
      <c r="N93" s="29" t="n">
        <f aca="false">IFERROR(F93/M93,0)</f>
        <v>0.00110279233506252</v>
      </c>
      <c r="O93" s="28" t="str">
        <f aca="false">IF(-N93&gt;=Summary!$C$7,"BREACH","")</f>
        <v/>
      </c>
      <c r="P93" s="30" t="n">
        <f aca="false">M93+F93</f>
        <v>101853.93</v>
      </c>
      <c r="Q93" s="30" t="n">
        <f aca="false">P93-Summary!$C$5</f>
        <v>1853.93000000005</v>
      </c>
      <c r="R93" s="2" t="str">
        <f aca="false">TEXT(A93,"ddd")</f>
        <v>Mon</v>
      </c>
    </row>
    <row r="94" customFormat="false" ht="15" hidden="false" customHeight="false" outlineLevel="0" collapsed="false">
      <c r="A94" s="42" t="n">
        <v>45167</v>
      </c>
      <c r="B94" s="28" t="n">
        <f aca="false">COUNTIFS(Trades!$D$2:$D$884,$A94)</f>
        <v>1</v>
      </c>
      <c r="C94" s="28" t="n">
        <f aca="false">COUNTIFS(Trades!$D$2:$D$884,$A94,Trades!$Z$2:$Z$884,"Win")</f>
        <v>0</v>
      </c>
      <c r="D94" s="28" t="n">
        <f aca="false">COUNTIFS(Trades!$D$2:$D$884,$A94,Trades!$Z$2:$Z$884,"Loss")</f>
        <v>1</v>
      </c>
      <c r="E94" s="29" t="n">
        <f aca="false">IFERROR(C94/B94,0)</f>
        <v>0</v>
      </c>
      <c r="F94" s="30" t="n">
        <f aca="false">SUMIFS(Trades!$X$2:$X$884,Trades!$D$2:$D$884,$A94)</f>
        <v>-24.36</v>
      </c>
      <c r="G94" s="30" t="n">
        <f aca="false">SUMIFS(Trades!$X$2:$X$884,Trades!$D$2:$D$884,$A94,Trades!$X$2:$X$884,"&gt;0")</f>
        <v>0</v>
      </c>
      <c r="H94" s="30" t="n">
        <f aca="false">SUMIFS(Trades!$X$2:$X$884,Trades!$D$2:$D$884,$A94,Trades!$X$2:$X$884,"&lt;0")</f>
        <v>-24.36</v>
      </c>
      <c r="I94" s="31" t="n">
        <f aca="false">IFERROR(G94/-H94,"no loss")</f>
        <v>0</v>
      </c>
      <c r="J94" s="30" t="n">
        <f aca="false">_xlfn.MAXIFS(Trades!$X$2:$X$884,Trades!$D$2:$D$884,$A94)</f>
        <v>-24.36</v>
      </c>
      <c r="K94" s="30" t="n">
        <f aca="false">_xlfn.MINIFS(Trades!$X$2:$X$884,Trades!$D$2:$D$884,$A94)</f>
        <v>-24.36</v>
      </c>
      <c r="L94" s="32" t="n">
        <f aca="false">SUMIFS(Trades!$Y$2:$Y$884,Trades!$D$2:$D$884,$A94)</f>
        <v>-1.00995024875611</v>
      </c>
      <c r="M94" s="30" t="n">
        <f aca="false">P93</f>
        <v>101853.93</v>
      </c>
      <c r="N94" s="29" t="n">
        <f aca="false">IFERROR(F94/M94,0)</f>
        <v>-0.000239166029234218</v>
      </c>
      <c r="O94" s="28" t="str">
        <f aca="false">IF(-N94&gt;=Summary!$C$7,"BREACH","")</f>
        <v/>
      </c>
      <c r="P94" s="30" t="n">
        <f aca="false">M94+F94</f>
        <v>101829.57</v>
      </c>
      <c r="Q94" s="30" t="n">
        <f aca="false">P94-Summary!$C$5</f>
        <v>1829.57000000005</v>
      </c>
      <c r="R94" s="2" t="str">
        <f aca="false">TEXT(A94,"ddd")</f>
        <v>Tue</v>
      </c>
    </row>
    <row r="95" customFormat="false" ht="15" hidden="false" customHeight="false" outlineLevel="0" collapsed="false">
      <c r="A95" s="42" t="n">
        <v>45168</v>
      </c>
      <c r="B95" s="28" t="n">
        <f aca="false">COUNTIFS(Trades!$D$2:$D$884,$A95)</f>
        <v>1</v>
      </c>
      <c r="C95" s="28" t="n">
        <f aca="false">COUNTIFS(Trades!$D$2:$D$884,$A95,Trades!$Z$2:$Z$884,"Win")</f>
        <v>0</v>
      </c>
      <c r="D95" s="28" t="n">
        <f aca="false">COUNTIFS(Trades!$D$2:$D$884,$A95,Trades!$Z$2:$Z$884,"Loss")</f>
        <v>1</v>
      </c>
      <c r="E95" s="29" t="n">
        <f aca="false">IFERROR(C95/B95,0)</f>
        <v>0</v>
      </c>
      <c r="F95" s="30" t="n">
        <f aca="false">SUMIFS(Trades!$X$2:$X$884,Trades!$D$2:$D$884,$A95)</f>
        <v>-47.73</v>
      </c>
      <c r="G95" s="30" t="n">
        <f aca="false">SUMIFS(Trades!$X$2:$X$884,Trades!$D$2:$D$884,$A95,Trades!$X$2:$X$884,"&gt;0")</f>
        <v>0</v>
      </c>
      <c r="H95" s="30" t="n">
        <f aca="false">SUMIFS(Trades!$X$2:$X$884,Trades!$D$2:$D$884,$A95,Trades!$X$2:$X$884,"&lt;0")</f>
        <v>-47.73</v>
      </c>
      <c r="I95" s="31" t="n">
        <f aca="false">IFERROR(G95/-H95,"no loss")</f>
        <v>0</v>
      </c>
      <c r="J95" s="30" t="n">
        <f aca="false">_xlfn.MAXIFS(Trades!$X$2:$X$884,Trades!$D$2:$D$884,$A95)</f>
        <v>-47.73</v>
      </c>
      <c r="K95" s="30" t="n">
        <f aca="false">_xlfn.MINIFS(Trades!$X$2:$X$884,Trades!$D$2:$D$884,$A95)</f>
        <v>-47.73</v>
      </c>
      <c r="L95" s="32" t="n">
        <f aca="false">SUMIFS(Trades!$Y$2:$Y$884,Trades!$D$2:$D$884,$A95)</f>
        <v>-1.05775197234304</v>
      </c>
      <c r="M95" s="30" t="n">
        <f aca="false">P94</f>
        <v>101829.57</v>
      </c>
      <c r="N95" s="29" t="n">
        <f aca="false">IFERROR(F95/M95,0)</f>
        <v>-0.000468724359731657</v>
      </c>
      <c r="O95" s="28" t="str">
        <f aca="false">IF(-N95&gt;=Summary!$C$7,"BREACH","")</f>
        <v/>
      </c>
      <c r="P95" s="30" t="n">
        <f aca="false">M95+F95</f>
        <v>101781.84</v>
      </c>
      <c r="Q95" s="30" t="n">
        <f aca="false">P95-Summary!$C$5</f>
        <v>1781.84000000005</v>
      </c>
      <c r="R95" s="2" t="str">
        <f aca="false">TEXT(A95,"ddd")</f>
        <v>Wed</v>
      </c>
    </row>
    <row r="96" customFormat="false" ht="15" hidden="false" customHeight="false" outlineLevel="0" collapsed="false">
      <c r="A96" s="42" t="n">
        <v>45169</v>
      </c>
      <c r="B96" s="28" t="n">
        <f aca="false">COUNTIFS(Trades!$D$2:$D$884,$A96)</f>
        <v>1</v>
      </c>
      <c r="C96" s="28" t="n">
        <f aca="false">COUNTIFS(Trades!$D$2:$D$884,$A96,Trades!$Z$2:$Z$884,"Win")</f>
        <v>0</v>
      </c>
      <c r="D96" s="28" t="n">
        <f aca="false">COUNTIFS(Trades!$D$2:$D$884,$A96,Trades!$Z$2:$Z$884,"Loss")</f>
        <v>1</v>
      </c>
      <c r="E96" s="29" t="n">
        <f aca="false">IFERROR(C96/B96,0)</f>
        <v>0</v>
      </c>
      <c r="F96" s="30" t="n">
        <f aca="false">SUMIFS(Trades!$X$2:$X$884,Trades!$D$2:$D$884,$A96)</f>
        <v>-40.77</v>
      </c>
      <c r="G96" s="30" t="n">
        <f aca="false">SUMIFS(Trades!$X$2:$X$884,Trades!$D$2:$D$884,$A96,Trades!$X$2:$X$884,"&gt;0")</f>
        <v>0</v>
      </c>
      <c r="H96" s="30" t="n">
        <f aca="false">SUMIFS(Trades!$X$2:$X$884,Trades!$D$2:$D$884,$A96,Trades!$X$2:$X$884,"&lt;0")</f>
        <v>-40.77</v>
      </c>
      <c r="I96" s="31" t="n">
        <f aca="false">IFERROR(G96/-H96,"no loss")</f>
        <v>0</v>
      </c>
      <c r="J96" s="30" t="n">
        <f aca="false">_xlfn.MAXIFS(Trades!$X$2:$X$884,Trades!$D$2:$D$884,$A96)</f>
        <v>-40.77</v>
      </c>
      <c r="K96" s="30" t="n">
        <f aca="false">_xlfn.MINIFS(Trades!$X$2:$X$884,Trades!$D$2:$D$884,$A96)</f>
        <v>-40.77</v>
      </c>
      <c r="L96" s="32" t="n">
        <f aca="false">SUMIFS(Trades!$Y$2:$Y$884,Trades!$D$2:$D$884,$A96)</f>
        <v>-1.00995838287765</v>
      </c>
      <c r="M96" s="30" t="n">
        <f aca="false">P95</f>
        <v>101781.84</v>
      </c>
      <c r="N96" s="29" t="n">
        <f aca="false">IFERROR(F96/M96,0)</f>
        <v>-0.000400562615099118</v>
      </c>
      <c r="O96" s="28" t="str">
        <f aca="false">IF(-N96&gt;=Summary!$C$7,"BREACH","")</f>
        <v/>
      </c>
      <c r="P96" s="30" t="n">
        <f aca="false">M96+F96</f>
        <v>101741.07</v>
      </c>
      <c r="Q96" s="30" t="n">
        <f aca="false">P96-Summary!$C$5</f>
        <v>1741.07000000005</v>
      </c>
      <c r="R96" s="2" t="str">
        <f aca="false">TEXT(A96,"ddd")</f>
        <v>Thu</v>
      </c>
    </row>
    <row r="97" customFormat="false" ht="15" hidden="false" customHeight="false" outlineLevel="0" collapsed="false">
      <c r="A97" s="42" t="n">
        <v>45170</v>
      </c>
      <c r="B97" s="28" t="n">
        <f aca="false">COUNTIFS(Trades!$D$2:$D$884,$A97)</f>
        <v>1</v>
      </c>
      <c r="C97" s="28" t="n">
        <f aca="false">COUNTIFS(Trades!$D$2:$D$884,$A97,Trades!$Z$2:$Z$884,"Win")</f>
        <v>1</v>
      </c>
      <c r="D97" s="28" t="n">
        <f aca="false">COUNTIFS(Trades!$D$2:$D$884,$A97,Trades!$Z$2:$Z$884,"Loss")</f>
        <v>0</v>
      </c>
      <c r="E97" s="29" t="n">
        <f aca="false">IFERROR(C97/B97,0)</f>
        <v>1</v>
      </c>
      <c r="F97" s="30" t="n">
        <f aca="false">SUMIFS(Trades!$X$2:$X$884,Trades!$D$2:$D$884,$A97)</f>
        <v>238.44</v>
      </c>
      <c r="G97" s="30" t="n">
        <f aca="false">SUMIFS(Trades!$X$2:$X$884,Trades!$D$2:$D$884,$A97,Trades!$X$2:$X$884,"&gt;0")</f>
        <v>238.44</v>
      </c>
      <c r="H97" s="30" t="n">
        <f aca="false">SUMIFS(Trades!$X$2:$X$884,Trades!$D$2:$D$884,$A97,Trades!$X$2:$X$884,"&lt;0")</f>
        <v>0</v>
      </c>
      <c r="I97" s="31" t="str">
        <f aca="false">IFERROR(G97/-H97,"no loss")</f>
        <v>no loss</v>
      </c>
      <c r="J97" s="30" t="n">
        <f aca="false">_xlfn.MAXIFS(Trades!$X$2:$X$884,Trades!$D$2:$D$884,$A97)</f>
        <v>238.44</v>
      </c>
      <c r="K97" s="30" t="n">
        <f aca="false">_xlfn.MINIFS(Trades!$X$2:$X$884,Trades!$D$2:$D$884,$A97)</f>
        <v>238.44</v>
      </c>
      <c r="L97" s="32" t="n">
        <f aca="false">SUMIFS(Trades!$Y$2:$Y$884,Trades!$D$2:$D$884,$A97)</f>
        <v>1.99661703873674</v>
      </c>
      <c r="M97" s="30" t="n">
        <f aca="false">P96</f>
        <v>101741.07</v>
      </c>
      <c r="N97" s="29" t="n">
        <f aca="false">IFERROR(F97/M97,0)</f>
        <v>0.0023435963470799</v>
      </c>
      <c r="O97" s="28" t="str">
        <f aca="false">IF(-N97&gt;=Summary!$C$7,"BREACH","")</f>
        <v/>
      </c>
      <c r="P97" s="30" t="n">
        <f aca="false">M97+F97</f>
        <v>101979.51</v>
      </c>
      <c r="Q97" s="30" t="n">
        <f aca="false">P97-Summary!$C$5</f>
        <v>1979.51000000005</v>
      </c>
      <c r="R97" s="2" t="str">
        <f aca="false">TEXT(A97,"ddd")</f>
        <v>Fri</v>
      </c>
    </row>
    <row r="98" customFormat="false" ht="15" hidden="false" customHeight="false" outlineLevel="0" collapsed="false">
      <c r="A98" s="42" t="n">
        <v>45174</v>
      </c>
      <c r="B98" s="28" t="n">
        <f aca="false">COUNTIFS(Trades!$D$2:$D$884,$A98)</f>
        <v>2</v>
      </c>
      <c r="C98" s="28" t="n">
        <f aca="false">COUNTIFS(Trades!$D$2:$D$884,$A98,Trades!$Z$2:$Z$884,"Win")</f>
        <v>0</v>
      </c>
      <c r="D98" s="28" t="n">
        <f aca="false">COUNTIFS(Trades!$D$2:$D$884,$A98,Trades!$Z$2:$Z$884,"Loss")</f>
        <v>2</v>
      </c>
      <c r="E98" s="29" t="n">
        <f aca="false">IFERROR(C98/B98,0)</f>
        <v>0</v>
      </c>
      <c r="F98" s="30" t="n">
        <f aca="false">SUMIFS(Trades!$X$2:$X$884,Trades!$D$2:$D$884,$A98)</f>
        <v>-54.46</v>
      </c>
      <c r="G98" s="30" t="n">
        <f aca="false">SUMIFS(Trades!$X$2:$X$884,Trades!$D$2:$D$884,$A98,Trades!$X$2:$X$884,"&gt;0")</f>
        <v>0</v>
      </c>
      <c r="H98" s="30" t="n">
        <f aca="false">SUMIFS(Trades!$X$2:$X$884,Trades!$D$2:$D$884,$A98,Trades!$X$2:$X$884,"&lt;0")</f>
        <v>-54.46</v>
      </c>
      <c r="I98" s="31" t="n">
        <f aca="false">IFERROR(G98/-H98,"no loss")</f>
        <v>0</v>
      </c>
      <c r="J98" s="30" t="n">
        <f aca="false">_xlfn.MAXIFS(Trades!$X$2:$X$884,Trades!$D$2:$D$884,$A98)</f>
        <v>-0.29</v>
      </c>
      <c r="K98" s="30" t="n">
        <f aca="false">_xlfn.MINIFS(Trades!$X$2:$X$884,Trades!$D$2:$D$884,$A98)</f>
        <v>-54.17</v>
      </c>
      <c r="L98" s="32" t="n">
        <f aca="false">SUMIFS(Trades!$Y$2:$Y$884,Trades!$D$2:$D$884,$A98)</f>
        <v>-1.04097631616611</v>
      </c>
      <c r="M98" s="30" t="n">
        <f aca="false">P97</f>
        <v>101979.51</v>
      </c>
      <c r="N98" s="29" t="n">
        <f aca="false">IFERROR(F98/M98,0)</f>
        <v>-0.000534028845598493</v>
      </c>
      <c r="O98" s="28" t="str">
        <f aca="false">IF(-N98&gt;=Summary!$C$7,"BREACH","")</f>
        <v/>
      </c>
      <c r="P98" s="30" t="n">
        <f aca="false">M98+F98</f>
        <v>101925.05</v>
      </c>
      <c r="Q98" s="30" t="n">
        <f aca="false">P98-Summary!$C$5</f>
        <v>1925.05000000005</v>
      </c>
      <c r="R98" s="2" t="str">
        <f aca="false">TEXT(A98,"ddd")</f>
        <v>Tue</v>
      </c>
    </row>
    <row r="99" customFormat="false" ht="15" hidden="false" customHeight="false" outlineLevel="0" collapsed="false">
      <c r="A99" s="42" t="n">
        <v>45175</v>
      </c>
      <c r="B99" s="28" t="n">
        <f aca="false">COUNTIFS(Trades!$D$2:$D$884,$A99)</f>
        <v>1</v>
      </c>
      <c r="C99" s="28" t="n">
        <f aca="false">COUNTIFS(Trades!$D$2:$D$884,$A99,Trades!$Z$2:$Z$884,"Win")</f>
        <v>1</v>
      </c>
      <c r="D99" s="28" t="n">
        <f aca="false">COUNTIFS(Trades!$D$2:$D$884,$A99,Trades!$Z$2:$Z$884,"Loss")</f>
        <v>0</v>
      </c>
      <c r="E99" s="29" t="n">
        <f aca="false">IFERROR(C99/B99,0)</f>
        <v>1</v>
      </c>
      <c r="F99" s="30" t="n">
        <f aca="false">SUMIFS(Trades!$X$2:$X$884,Trades!$D$2:$D$884,$A99)</f>
        <v>385.35</v>
      </c>
      <c r="G99" s="30" t="n">
        <f aca="false">SUMIFS(Trades!$X$2:$X$884,Trades!$D$2:$D$884,$A99,Trades!$X$2:$X$884,"&gt;0")</f>
        <v>385.35</v>
      </c>
      <c r="H99" s="30" t="n">
        <f aca="false">SUMIFS(Trades!$X$2:$X$884,Trades!$D$2:$D$884,$A99,Trades!$X$2:$X$884,"&lt;0")</f>
        <v>0</v>
      </c>
      <c r="I99" s="31" t="str">
        <f aca="false">IFERROR(G99/-H99,"no loss")</f>
        <v>no loss</v>
      </c>
      <c r="J99" s="30" t="n">
        <f aca="false">_xlfn.MAXIFS(Trades!$X$2:$X$884,Trades!$D$2:$D$884,$A99)</f>
        <v>385.35</v>
      </c>
      <c r="K99" s="30" t="n">
        <f aca="false">_xlfn.MINIFS(Trades!$X$2:$X$884,Trades!$D$2:$D$884,$A99)</f>
        <v>385.35</v>
      </c>
      <c r="L99" s="32" t="n">
        <f aca="false">SUMIFS(Trades!$Y$2:$Y$884,Trades!$D$2:$D$884,$A99)</f>
        <v>2.00966894048442</v>
      </c>
      <c r="M99" s="30" t="n">
        <f aca="false">P98</f>
        <v>101925.05</v>
      </c>
      <c r="N99" s="29" t="n">
        <f aca="false">IFERROR(F99/M99,0)</f>
        <v>0.00378071926381199</v>
      </c>
      <c r="O99" s="28" t="str">
        <f aca="false">IF(-N99&gt;=Summary!$C$7,"BREACH","")</f>
        <v/>
      </c>
      <c r="P99" s="30" t="n">
        <f aca="false">M99+F99</f>
        <v>102310.4</v>
      </c>
      <c r="Q99" s="30" t="n">
        <f aca="false">P99-Summary!$C$5</f>
        <v>2310.40000000005</v>
      </c>
      <c r="R99" s="2" t="str">
        <f aca="false">TEXT(A99,"ddd")</f>
        <v>Wed</v>
      </c>
    </row>
    <row r="100" customFormat="false" ht="15" hidden="false" customHeight="false" outlineLevel="0" collapsed="false">
      <c r="A100" s="42" t="n">
        <v>45176</v>
      </c>
      <c r="B100" s="28" t="n">
        <f aca="false">COUNTIFS(Trades!$D$2:$D$884,$A100)</f>
        <v>1</v>
      </c>
      <c r="C100" s="28" t="n">
        <f aca="false">COUNTIFS(Trades!$D$2:$D$884,$A100,Trades!$Z$2:$Z$884,"Win")</f>
        <v>1</v>
      </c>
      <c r="D100" s="28" t="n">
        <f aca="false">COUNTIFS(Trades!$D$2:$D$884,$A100,Trades!$Z$2:$Z$884,"Loss")</f>
        <v>0</v>
      </c>
      <c r="E100" s="29" t="n">
        <f aca="false">IFERROR(C100/B100,0)</f>
        <v>1</v>
      </c>
      <c r="F100" s="30" t="n">
        <f aca="false">SUMIFS(Trades!$X$2:$X$884,Trades!$D$2:$D$884,$A100)</f>
        <v>154.56</v>
      </c>
      <c r="G100" s="30" t="n">
        <f aca="false">SUMIFS(Trades!$X$2:$X$884,Trades!$D$2:$D$884,$A100,Trades!$X$2:$X$884,"&gt;0")</f>
        <v>154.56</v>
      </c>
      <c r="H100" s="30" t="n">
        <f aca="false">SUMIFS(Trades!$X$2:$X$884,Trades!$D$2:$D$884,$A100,Trades!$X$2:$X$884,"&lt;0")</f>
        <v>0</v>
      </c>
      <c r="I100" s="31" t="str">
        <f aca="false">IFERROR(G100/-H100,"no loss")</f>
        <v>no loss</v>
      </c>
      <c r="J100" s="30" t="n">
        <f aca="false">_xlfn.MAXIFS(Trades!$X$2:$X$884,Trades!$D$2:$D$884,$A100)</f>
        <v>154.56</v>
      </c>
      <c r="K100" s="30" t="n">
        <f aca="false">_xlfn.MINIFS(Trades!$X$2:$X$884,Trades!$D$2:$D$884,$A100)</f>
        <v>154.56</v>
      </c>
      <c r="L100" s="32" t="n">
        <f aca="false">SUMIFS(Trades!$Y$2:$Y$884,Trades!$D$2:$D$884,$A100)</f>
        <v>2.00155400155416</v>
      </c>
      <c r="M100" s="30" t="n">
        <f aca="false">P99</f>
        <v>102310.4</v>
      </c>
      <c r="N100" s="29" t="n">
        <f aca="false">IFERROR(F100/M100,0)</f>
        <v>0.00151069685975228</v>
      </c>
      <c r="O100" s="28" t="str">
        <f aca="false">IF(-N100&gt;=Summary!$C$7,"BREACH","")</f>
        <v/>
      </c>
      <c r="P100" s="30" t="n">
        <f aca="false">M100+F100</f>
        <v>102464.96</v>
      </c>
      <c r="Q100" s="30" t="n">
        <f aca="false">P100-Summary!$C$5</f>
        <v>2464.96000000005</v>
      </c>
      <c r="R100" s="2" t="str">
        <f aca="false">TEXT(A100,"ddd")</f>
        <v>Thu</v>
      </c>
    </row>
    <row r="101" customFormat="false" ht="15" hidden="false" customHeight="false" outlineLevel="0" collapsed="false">
      <c r="A101" s="42" t="n">
        <v>45180</v>
      </c>
      <c r="B101" s="28" t="n">
        <f aca="false">COUNTIFS(Trades!$D$2:$D$884,$A101)</f>
        <v>1</v>
      </c>
      <c r="C101" s="28" t="n">
        <f aca="false">COUNTIFS(Trades!$D$2:$D$884,$A101,Trades!$Z$2:$Z$884,"Win")</f>
        <v>0</v>
      </c>
      <c r="D101" s="28" t="n">
        <f aca="false">COUNTIFS(Trades!$D$2:$D$884,$A101,Trades!$Z$2:$Z$884,"Loss")</f>
        <v>1</v>
      </c>
      <c r="E101" s="29" t="n">
        <f aca="false">IFERROR(C101/B101,0)</f>
        <v>0</v>
      </c>
      <c r="F101" s="30" t="n">
        <f aca="false">SUMIFS(Trades!$X$2:$X$884,Trades!$D$2:$D$884,$A101)</f>
        <v>-0.75</v>
      </c>
      <c r="G101" s="30" t="n">
        <f aca="false">SUMIFS(Trades!$X$2:$X$884,Trades!$D$2:$D$884,$A101,Trades!$X$2:$X$884,"&gt;0")</f>
        <v>0</v>
      </c>
      <c r="H101" s="30" t="n">
        <f aca="false">SUMIFS(Trades!$X$2:$X$884,Trades!$D$2:$D$884,$A101,Trades!$X$2:$X$884,"&lt;0")</f>
        <v>-0.75</v>
      </c>
      <c r="I101" s="31" t="n">
        <f aca="false">IFERROR(G101/-H101,"no loss")</f>
        <v>0</v>
      </c>
      <c r="J101" s="30" t="n">
        <f aca="false">_xlfn.MAXIFS(Trades!$X$2:$X$884,Trades!$D$2:$D$884,$A101)</f>
        <v>-0.75</v>
      </c>
      <c r="K101" s="30" t="n">
        <f aca="false">_xlfn.MINIFS(Trades!$X$2:$X$884,Trades!$D$2:$D$884,$A101)</f>
        <v>-0.75</v>
      </c>
      <c r="L101" s="32" t="n">
        <f aca="false">SUMIFS(Trades!$Y$2:$Y$884,Trades!$D$2:$D$884,$A101)</f>
        <v>-0.0155608116519367</v>
      </c>
      <c r="M101" s="30" t="n">
        <f aca="false">P100</f>
        <v>102464.96</v>
      </c>
      <c r="N101" s="29" t="n">
        <f aca="false">IFERROR(F101/M101,0)</f>
        <v>-7.3195753943592E-006</v>
      </c>
      <c r="O101" s="28" t="str">
        <f aca="false">IF(-N101&gt;=Summary!$C$7,"BREACH","")</f>
        <v/>
      </c>
      <c r="P101" s="30" t="n">
        <f aca="false">M101+F101</f>
        <v>102464.21</v>
      </c>
      <c r="Q101" s="30" t="n">
        <f aca="false">P101-Summary!$C$5</f>
        <v>2464.21000000005</v>
      </c>
      <c r="R101" s="2" t="str">
        <f aca="false">TEXT(A101,"ddd")</f>
        <v>Mon</v>
      </c>
    </row>
    <row r="102" customFormat="false" ht="15" hidden="false" customHeight="false" outlineLevel="0" collapsed="false">
      <c r="A102" s="42" t="n">
        <v>45181</v>
      </c>
      <c r="B102" s="28" t="n">
        <f aca="false">COUNTIFS(Trades!$D$2:$D$884,$A102)</f>
        <v>1</v>
      </c>
      <c r="C102" s="28" t="n">
        <f aca="false">COUNTIFS(Trades!$D$2:$D$884,$A102,Trades!$Z$2:$Z$884,"Win")</f>
        <v>0</v>
      </c>
      <c r="D102" s="28" t="n">
        <f aca="false">COUNTIFS(Trades!$D$2:$D$884,$A102,Trades!$Z$2:$Z$884,"Loss")</f>
        <v>1</v>
      </c>
      <c r="E102" s="29" t="n">
        <f aca="false">IFERROR(C102/B102,0)</f>
        <v>0</v>
      </c>
      <c r="F102" s="30" t="n">
        <f aca="false">SUMIFS(Trades!$X$2:$X$884,Trades!$D$2:$D$884,$A102)</f>
        <v>-86.04</v>
      </c>
      <c r="G102" s="30" t="n">
        <f aca="false">SUMIFS(Trades!$X$2:$X$884,Trades!$D$2:$D$884,$A102,Trades!$X$2:$X$884,"&gt;0")</f>
        <v>0</v>
      </c>
      <c r="H102" s="30" t="n">
        <f aca="false">SUMIFS(Trades!$X$2:$X$884,Trades!$D$2:$D$884,$A102,Trades!$X$2:$X$884,"&lt;0")</f>
        <v>-86.04</v>
      </c>
      <c r="I102" s="31" t="n">
        <f aca="false">IFERROR(G102/-H102,"no loss")</f>
        <v>0</v>
      </c>
      <c r="J102" s="30" t="n">
        <f aca="false">_xlfn.MAXIFS(Trades!$X$2:$X$884,Trades!$D$2:$D$884,$A102)</f>
        <v>-86.04</v>
      </c>
      <c r="K102" s="30" t="n">
        <f aca="false">_xlfn.MINIFS(Trades!$X$2:$X$884,Trades!$D$2:$D$884,$A102)</f>
        <v>-86.04</v>
      </c>
      <c r="L102" s="32" t="n">
        <f aca="false">SUMIFS(Trades!$Y$2:$Y$884,Trades!$D$2:$D$884,$A102)</f>
        <v>-1.01846590909091</v>
      </c>
      <c r="M102" s="30" t="n">
        <f aca="false">P101</f>
        <v>102464.21</v>
      </c>
      <c r="N102" s="29" t="n">
        <f aca="false">IFERROR(F102/M102,0)</f>
        <v>-0.000839707835545699</v>
      </c>
      <c r="O102" s="28" t="str">
        <f aca="false">IF(-N102&gt;=Summary!$C$7,"BREACH","")</f>
        <v/>
      </c>
      <c r="P102" s="30" t="n">
        <f aca="false">M102+F102</f>
        <v>102378.17</v>
      </c>
      <c r="Q102" s="30" t="n">
        <f aca="false">P102-Summary!$C$5</f>
        <v>2378.17000000006</v>
      </c>
      <c r="R102" s="2" t="str">
        <f aca="false">TEXT(A102,"ddd")</f>
        <v>Tue</v>
      </c>
    </row>
    <row r="103" customFormat="false" ht="15" hidden="false" customHeight="false" outlineLevel="0" collapsed="false">
      <c r="A103" s="42" t="n">
        <v>45182</v>
      </c>
      <c r="B103" s="28" t="n">
        <f aca="false">COUNTIFS(Trades!$D$2:$D$884,$A103)</f>
        <v>1</v>
      </c>
      <c r="C103" s="28" t="n">
        <f aca="false">COUNTIFS(Trades!$D$2:$D$884,$A103,Trades!$Z$2:$Z$884,"Win")</f>
        <v>0</v>
      </c>
      <c r="D103" s="28" t="n">
        <f aca="false">COUNTIFS(Trades!$D$2:$D$884,$A103,Trades!$Z$2:$Z$884,"Loss")</f>
        <v>1</v>
      </c>
      <c r="E103" s="29" t="n">
        <f aca="false">IFERROR(C103/B103,0)</f>
        <v>0</v>
      </c>
      <c r="F103" s="30" t="n">
        <f aca="false">SUMIFS(Trades!$X$2:$X$884,Trades!$D$2:$D$884,$A103)</f>
        <v>-38.76</v>
      </c>
      <c r="G103" s="30" t="n">
        <f aca="false">SUMIFS(Trades!$X$2:$X$884,Trades!$D$2:$D$884,$A103,Trades!$X$2:$X$884,"&gt;0")</f>
        <v>0</v>
      </c>
      <c r="H103" s="30" t="n">
        <f aca="false">SUMIFS(Trades!$X$2:$X$884,Trades!$D$2:$D$884,$A103,Trades!$X$2:$X$884,"&lt;0")</f>
        <v>-38.76</v>
      </c>
      <c r="I103" s="31" t="n">
        <f aca="false">IFERROR(G103/-H103,"no loss")</f>
        <v>0</v>
      </c>
      <c r="J103" s="30" t="n">
        <f aca="false">_xlfn.MAXIFS(Trades!$X$2:$X$884,Trades!$D$2:$D$884,$A103)</f>
        <v>-38.76</v>
      </c>
      <c r="K103" s="30" t="n">
        <f aca="false">_xlfn.MINIFS(Trades!$X$2:$X$884,Trades!$D$2:$D$884,$A103)</f>
        <v>-38.76</v>
      </c>
      <c r="L103" s="32" t="n">
        <f aca="false">SUMIFS(Trades!$Y$2:$Y$884,Trades!$D$2:$D$884,$A103)</f>
        <v>-1.06425041186167</v>
      </c>
      <c r="M103" s="30" t="n">
        <f aca="false">P102</f>
        <v>102378.17</v>
      </c>
      <c r="N103" s="29" t="n">
        <f aca="false">IFERROR(F103/M103,0)</f>
        <v>-0.000378596335527388</v>
      </c>
      <c r="O103" s="28" t="str">
        <f aca="false">IF(-N103&gt;=Summary!$C$7,"BREACH","")</f>
        <v/>
      </c>
      <c r="P103" s="30" t="n">
        <f aca="false">M103+F103</f>
        <v>102339.41</v>
      </c>
      <c r="Q103" s="30" t="n">
        <f aca="false">P103-Summary!$C$5</f>
        <v>2339.41000000006</v>
      </c>
      <c r="R103" s="2" t="str">
        <f aca="false">TEXT(A103,"ddd")</f>
        <v>Wed</v>
      </c>
    </row>
    <row r="104" customFormat="false" ht="15" hidden="false" customHeight="false" outlineLevel="0" collapsed="false">
      <c r="A104" s="42" t="n">
        <v>45183</v>
      </c>
      <c r="B104" s="28" t="n">
        <f aca="false">COUNTIFS(Trades!$D$2:$D$884,$A104)</f>
        <v>1</v>
      </c>
      <c r="C104" s="28" t="n">
        <f aca="false">COUNTIFS(Trades!$D$2:$D$884,$A104,Trades!$Z$2:$Z$884,"Win")</f>
        <v>0</v>
      </c>
      <c r="D104" s="28" t="n">
        <f aca="false">COUNTIFS(Trades!$D$2:$D$884,$A104,Trades!$Z$2:$Z$884,"Loss")</f>
        <v>1</v>
      </c>
      <c r="E104" s="29" t="n">
        <f aca="false">IFERROR(C104/B104,0)</f>
        <v>0</v>
      </c>
      <c r="F104" s="30" t="n">
        <f aca="false">SUMIFS(Trades!$X$2:$X$884,Trades!$D$2:$D$884,$A104)</f>
        <v>-29.23</v>
      </c>
      <c r="G104" s="30" t="n">
        <f aca="false">SUMIFS(Trades!$X$2:$X$884,Trades!$D$2:$D$884,$A104,Trades!$X$2:$X$884,"&gt;0")</f>
        <v>0</v>
      </c>
      <c r="H104" s="30" t="n">
        <f aca="false">SUMIFS(Trades!$X$2:$X$884,Trades!$D$2:$D$884,$A104,Trades!$X$2:$X$884,"&lt;0")</f>
        <v>-29.23</v>
      </c>
      <c r="I104" s="31" t="n">
        <f aca="false">IFERROR(G104/-H104,"no loss")</f>
        <v>0</v>
      </c>
      <c r="J104" s="30" t="n">
        <f aca="false">_xlfn.MAXIFS(Trades!$X$2:$X$884,Trades!$D$2:$D$884,$A104)</f>
        <v>-29.23</v>
      </c>
      <c r="K104" s="30" t="n">
        <f aca="false">_xlfn.MINIFS(Trades!$X$2:$X$884,Trades!$D$2:$D$884,$A104)</f>
        <v>-29.23</v>
      </c>
      <c r="L104" s="32" t="n">
        <f aca="false">SUMIFS(Trades!$Y$2:$Y$884,Trades!$D$2:$D$884,$A104)</f>
        <v>-1.24435930183079</v>
      </c>
      <c r="M104" s="30" t="n">
        <f aca="false">P103</f>
        <v>102339.41</v>
      </c>
      <c r="N104" s="29" t="n">
        <f aca="false">IFERROR(F104/M104,0)</f>
        <v>-0.000285618218826941</v>
      </c>
      <c r="O104" s="28" t="str">
        <f aca="false">IF(-N104&gt;=Summary!$C$7,"BREACH","")</f>
        <v/>
      </c>
      <c r="P104" s="30" t="n">
        <f aca="false">M104+F104</f>
        <v>102310.18</v>
      </c>
      <c r="Q104" s="30" t="n">
        <f aca="false">P104-Summary!$C$5</f>
        <v>2310.18000000007</v>
      </c>
      <c r="R104" s="2" t="str">
        <f aca="false">TEXT(A104,"ddd")</f>
        <v>Thu</v>
      </c>
    </row>
    <row r="105" customFormat="false" ht="15" hidden="false" customHeight="false" outlineLevel="0" collapsed="false">
      <c r="A105" s="42" t="n">
        <v>45184</v>
      </c>
      <c r="B105" s="28" t="n">
        <f aca="false">COUNTIFS(Trades!$D$2:$D$884,$A105)</f>
        <v>2</v>
      </c>
      <c r="C105" s="28" t="n">
        <f aca="false">COUNTIFS(Trades!$D$2:$D$884,$A105,Trades!$Z$2:$Z$884,"Win")</f>
        <v>1</v>
      </c>
      <c r="D105" s="28" t="n">
        <f aca="false">COUNTIFS(Trades!$D$2:$D$884,$A105,Trades!$Z$2:$Z$884,"Loss")</f>
        <v>1</v>
      </c>
      <c r="E105" s="29" t="n">
        <f aca="false">IFERROR(C105/B105,0)</f>
        <v>0.5</v>
      </c>
      <c r="F105" s="30" t="n">
        <f aca="false">SUMIFS(Trades!$X$2:$X$884,Trades!$D$2:$D$884,$A105)</f>
        <v>320.83</v>
      </c>
      <c r="G105" s="30" t="n">
        <f aca="false">SUMIFS(Trades!$X$2:$X$884,Trades!$D$2:$D$884,$A105,Trades!$X$2:$X$884,"&gt;0")</f>
        <v>354.24</v>
      </c>
      <c r="H105" s="30" t="n">
        <f aca="false">SUMIFS(Trades!$X$2:$X$884,Trades!$D$2:$D$884,$A105,Trades!$X$2:$X$884,"&lt;0")</f>
        <v>-33.41</v>
      </c>
      <c r="I105" s="31" t="n">
        <f aca="false">IFERROR(G105/-H105,"no loss")</f>
        <v>10.6028135288836</v>
      </c>
      <c r="J105" s="30" t="n">
        <f aca="false">_xlfn.MAXIFS(Trades!$X$2:$X$884,Trades!$D$2:$D$884,$A105)</f>
        <v>354.24</v>
      </c>
      <c r="K105" s="30" t="n">
        <f aca="false">_xlfn.MINIFS(Trades!$X$2:$X$884,Trades!$D$2:$D$884,$A105)</f>
        <v>-33.41</v>
      </c>
      <c r="L105" s="32" t="n">
        <f aca="false">SUMIFS(Trades!$Y$2:$Y$884,Trades!$D$2:$D$884,$A105)</f>
        <v>0.996336106624524</v>
      </c>
      <c r="M105" s="30" t="n">
        <f aca="false">P104</f>
        <v>102310.18</v>
      </c>
      <c r="N105" s="29" t="n">
        <f aca="false">IFERROR(F105/M105,0)</f>
        <v>0.0031358560800108</v>
      </c>
      <c r="O105" s="28" t="str">
        <f aca="false">IF(-N105&gt;=Summary!$C$7,"BREACH","")</f>
        <v/>
      </c>
      <c r="P105" s="30" t="n">
        <f aca="false">M105+F105</f>
        <v>102631.01</v>
      </c>
      <c r="Q105" s="30" t="n">
        <f aca="false">P105-Summary!$C$5</f>
        <v>2631.01000000007</v>
      </c>
      <c r="R105" s="2" t="str">
        <f aca="false">TEXT(A105,"ddd")</f>
        <v>Fri</v>
      </c>
    </row>
    <row r="106" customFormat="false" ht="15" hidden="false" customHeight="false" outlineLevel="0" collapsed="false">
      <c r="A106" s="42" t="n">
        <v>45187</v>
      </c>
      <c r="B106" s="28" t="n">
        <f aca="false">COUNTIFS(Trades!$D$2:$D$884,$A106)</f>
        <v>1</v>
      </c>
      <c r="C106" s="28" t="n">
        <f aca="false">COUNTIFS(Trades!$D$2:$D$884,$A106,Trades!$Z$2:$Z$884,"Win")</f>
        <v>1</v>
      </c>
      <c r="D106" s="28" t="n">
        <f aca="false">COUNTIFS(Trades!$D$2:$D$884,$A106,Trades!$Z$2:$Z$884,"Loss")</f>
        <v>0</v>
      </c>
      <c r="E106" s="29" t="n">
        <f aca="false">IFERROR(C106/B106,0)</f>
        <v>1</v>
      </c>
      <c r="F106" s="30" t="n">
        <f aca="false">SUMIFS(Trades!$X$2:$X$884,Trades!$D$2:$D$884,$A106)</f>
        <v>131.34</v>
      </c>
      <c r="G106" s="30" t="n">
        <f aca="false">SUMIFS(Trades!$X$2:$X$884,Trades!$D$2:$D$884,$A106,Trades!$X$2:$X$884,"&gt;0")</f>
        <v>131.34</v>
      </c>
      <c r="H106" s="30" t="n">
        <f aca="false">SUMIFS(Trades!$X$2:$X$884,Trades!$D$2:$D$884,$A106,Trades!$X$2:$X$884,"&lt;0")</f>
        <v>0</v>
      </c>
      <c r="I106" s="31" t="str">
        <f aca="false">IFERROR(G106/-H106,"no loss")</f>
        <v>no loss</v>
      </c>
      <c r="J106" s="30" t="n">
        <f aca="false">_xlfn.MAXIFS(Trades!$X$2:$X$884,Trades!$D$2:$D$884,$A106)</f>
        <v>131.34</v>
      </c>
      <c r="K106" s="30" t="n">
        <f aca="false">_xlfn.MINIFS(Trades!$X$2:$X$884,Trades!$D$2:$D$884,$A106)</f>
        <v>131.34</v>
      </c>
      <c r="L106" s="32" t="n">
        <f aca="false">SUMIFS(Trades!$Y$2:$Y$884,Trades!$D$2:$D$884,$A106)</f>
        <v>2.11293436293462</v>
      </c>
      <c r="M106" s="30" t="n">
        <f aca="false">P105</f>
        <v>102631.01</v>
      </c>
      <c r="N106" s="29" t="n">
        <f aca="false">IFERROR(F106/M106,0)</f>
        <v>0.00127973017122213</v>
      </c>
      <c r="O106" s="28" t="str">
        <f aca="false">IF(-N106&gt;=Summary!$C$7,"BREACH","")</f>
        <v/>
      </c>
      <c r="P106" s="30" t="n">
        <f aca="false">M106+F106</f>
        <v>102762.35</v>
      </c>
      <c r="Q106" s="30" t="n">
        <f aca="false">P106-Summary!$C$5</f>
        <v>2762.35000000006</v>
      </c>
      <c r="R106" s="2" t="str">
        <f aca="false">TEXT(A106,"ddd")</f>
        <v>Mon</v>
      </c>
    </row>
    <row r="107" customFormat="false" ht="15" hidden="false" customHeight="false" outlineLevel="0" collapsed="false">
      <c r="A107" s="42" t="n">
        <v>45188</v>
      </c>
      <c r="B107" s="28" t="n">
        <f aca="false">COUNTIFS(Trades!$D$2:$D$884,$A107)</f>
        <v>1</v>
      </c>
      <c r="C107" s="28" t="n">
        <f aca="false">COUNTIFS(Trades!$D$2:$D$884,$A107,Trades!$Z$2:$Z$884,"Win")</f>
        <v>0</v>
      </c>
      <c r="D107" s="28" t="n">
        <f aca="false">COUNTIFS(Trades!$D$2:$D$884,$A107,Trades!$Z$2:$Z$884,"Loss")</f>
        <v>1</v>
      </c>
      <c r="E107" s="29" t="n">
        <f aca="false">IFERROR(C107/B107,0)</f>
        <v>0</v>
      </c>
      <c r="F107" s="30" t="n">
        <f aca="false">SUMIFS(Trades!$X$2:$X$884,Trades!$D$2:$D$884,$A107)</f>
        <v>-4.5</v>
      </c>
      <c r="G107" s="30" t="n">
        <f aca="false">SUMIFS(Trades!$X$2:$X$884,Trades!$D$2:$D$884,$A107,Trades!$X$2:$X$884,"&gt;0")</f>
        <v>0</v>
      </c>
      <c r="H107" s="30" t="n">
        <f aca="false">SUMIFS(Trades!$X$2:$X$884,Trades!$D$2:$D$884,$A107,Trades!$X$2:$X$884,"&lt;0")</f>
        <v>-4.5</v>
      </c>
      <c r="I107" s="31" t="n">
        <f aca="false">IFERROR(G107/-H107,"no loss")</f>
        <v>0</v>
      </c>
      <c r="J107" s="30" t="n">
        <f aca="false">_xlfn.MAXIFS(Trades!$X$2:$X$884,Trades!$D$2:$D$884,$A107)</f>
        <v>-4.5</v>
      </c>
      <c r="K107" s="30" t="n">
        <f aca="false">_xlfn.MINIFS(Trades!$X$2:$X$884,Trades!$D$2:$D$884,$A107)</f>
        <v>-4.5</v>
      </c>
      <c r="L107" s="32" t="n">
        <f aca="false">SUMIFS(Trades!$Y$2:$Y$884,Trades!$D$2:$D$884,$A107)</f>
        <v>-0.0223147872656943</v>
      </c>
      <c r="M107" s="30" t="n">
        <f aca="false">P106</f>
        <v>102762.35</v>
      </c>
      <c r="N107" s="29" t="n">
        <f aca="false">IFERROR(F107/M107,0)</f>
        <v>-4.37903570714371E-005</v>
      </c>
      <c r="O107" s="28" t="str">
        <f aca="false">IF(-N107&gt;=Summary!$C$7,"BREACH","")</f>
        <v/>
      </c>
      <c r="P107" s="30" t="n">
        <f aca="false">M107+F107</f>
        <v>102757.85</v>
      </c>
      <c r="Q107" s="30" t="n">
        <f aca="false">P107-Summary!$C$5</f>
        <v>2757.85000000006</v>
      </c>
      <c r="R107" s="2" t="str">
        <f aca="false">TEXT(A107,"ddd")</f>
        <v>Tue</v>
      </c>
    </row>
    <row r="108" customFormat="false" ht="15" hidden="false" customHeight="false" outlineLevel="0" collapsed="false">
      <c r="A108" s="42" t="n">
        <v>45189</v>
      </c>
      <c r="B108" s="28" t="n">
        <f aca="false">COUNTIFS(Trades!$D$2:$D$884,$A108)</f>
        <v>1</v>
      </c>
      <c r="C108" s="28" t="n">
        <f aca="false">COUNTIFS(Trades!$D$2:$D$884,$A108,Trades!$Z$2:$Z$884,"Win")</f>
        <v>1</v>
      </c>
      <c r="D108" s="28" t="n">
        <f aca="false">COUNTIFS(Trades!$D$2:$D$884,$A108,Trades!$Z$2:$Z$884,"Loss")</f>
        <v>0</v>
      </c>
      <c r="E108" s="29" t="n">
        <f aca="false">IFERROR(C108/B108,0)</f>
        <v>1</v>
      </c>
      <c r="F108" s="30" t="n">
        <f aca="false">SUMIFS(Trades!$X$2:$X$884,Trades!$D$2:$D$884,$A108)</f>
        <v>326.94</v>
      </c>
      <c r="G108" s="30" t="n">
        <f aca="false">SUMIFS(Trades!$X$2:$X$884,Trades!$D$2:$D$884,$A108,Trades!$X$2:$X$884,"&gt;0")</f>
        <v>326.94</v>
      </c>
      <c r="H108" s="30" t="n">
        <f aca="false">SUMIFS(Trades!$X$2:$X$884,Trades!$D$2:$D$884,$A108,Trades!$X$2:$X$884,"&lt;0")</f>
        <v>0</v>
      </c>
      <c r="I108" s="31" t="str">
        <f aca="false">IFERROR(G108/-H108,"no loss")</f>
        <v>no loss</v>
      </c>
      <c r="J108" s="30" t="n">
        <f aca="false">_xlfn.MAXIFS(Trades!$X$2:$X$884,Trades!$D$2:$D$884,$A108)</f>
        <v>326.94</v>
      </c>
      <c r="K108" s="30" t="n">
        <f aca="false">_xlfn.MINIFS(Trades!$X$2:$X$884,Trades!$D$2:$D$884,$A108)</f>
        <v>326.94</v>
      </c>
      <c r="L108" s="32" t="n">
        <f aca="false">SUMIFS(Trades!$Y$2:$Y$884,Trades!$D$2:$D$884,$A108)</f>
        <v>1.98868613138689</v>
      </c>
      <c r="M108" s="30" t="n">
        <f aca="false">P107</f>
        <v>102757.85</v>
      </c>
      <c r="N108" s="29" t="n">
        <f aca="false">IFERROR(F108/M108,0)</f>
        <v>0.00318165473489373</v>
      </c>
      <c r="O108" s="28" t="str">
        <f aca="false">IF(-N108&gt;=Summary!$C$7,"BREACH","")</f>
        <v/>
      </c>
      <c r="P108" s="30" t="n">
        <f aca="false">M108+F108</f>
        <v>103084.79</v>
      </c>
      <c r="Q108" s="30" t="n">
        <f aca="false">P108-Summary!$C$5</f>
        <v>3084.79000000007</v>
      </c>
      <c r="R108" s="2" t="str">
        <f aca="false">TEXT(A108,"ddd")</f>
        <v>Wed</v>
      </c>
    </row>
    <row r="109" customFormat="false" ht="15" hidden="false" customHeight="false" outlineLevel="0" collapsed="false">
      <c r="A109" s="42" t="n">
        <v>45190</v>
      </c>
      <c r="B109" s="28" t="n">
        <f aca="false">COUNTIFS(Trades!$D$2:$D$884,$A109)</f>
        <v>1</v>
      </c>
      <c r="C109" s="28" t="n">
        <f aca="false">COUNTIFS(Trades!$D$2:$D$884,$A109,Trades!$Z$2:$Z$884,"Win")</f>
        <v>0</v>
      </c>
      <c r="D109" s="28" t="n">
        <f aca="false">COUNTIFS(Trades!$D$2:$D$884,$A109,Trades!$Z$2:$Z$884,"Loss")</f>
        <v>1</v>
      </c>
      <c r="E109" s="29" t="n">
        <f aca="false">IFERROR(C109/B109,0)</f>
        <v>0</v>
      </c>
      <c r="F109" s="30" t="n">
        <f aca="false">SUMIFS(Trades!$X$2:$X$884,Trades!$D$2:$D$884,$A109)</f>
        <v>-50.28</v>
      </c>
      <c r="G109" s="30" t="n">
        <f aca="false">SUMIFS(Trades!$X$2:$X$884,Trades!$D$2:$D$884,$A109,Trades!$X$2:$X$884,"&gt;0")</f>
        <v>0</v>
      </c>
      <c r="H109" s="30" t="n">
        <f aca="false">SUMIFS(Trades!$X$2:$X$884,Trades!$D$2:$D$884,$A109,Trades!$X$2:$X$884,"&lt;0")</f>
        <v>-50.28</v>
      </c>
      <c r="I109" s="31" t="n">
        <f aca="false">IFERROR(G109/-H109,"no loss")</f>
        <v>0</v>
      </c>
      <c r="J109" s="30" t="n">
        <f aca="false">_xlfn.MAXIFS(Trades!$X$2:$X$884,Trades!$D$2:$D$884,$A109)</f>
        <v>-50.28</v>
      </c>
      <c r="K109" s="30" t="n">
        <f aca="false">_xlfn.MINIFS(Trades!$X$2:$X$884,Trades!$D$2:$D$884,$A109)</f>
        <v>-50.28</v>
      </c>
      <c r="L109" s="32" t="n">
        <f aca="false">SUMIFS(Trades!$Y$2:$Y$884,Trades!$D$2:$D$884,$A109)</f>
        <v>-1.05594758064512</v>
      </c>
      <c r="M109" s="30" t="n">
        <f aca="false">P108</f>
        <v>103084.79</v>
      </c>
      <c r="N109" s="29" t="n">
        <f aca="false">IFERROR(F109/M109,0)</f>
        <v>-0.000487753818967861</v>
      </c>
      <c r="O109" s="28" t="str">
        <f aca="false">IF(-N109&gt;=Summary!$C$7,"BREACH","")</f>
        <v/>
      </c>
      <c r="P109" s="30" t="n">
        <f aca="false">M109+F109</f>
        <v>103034.51</v>
      </c>
      <c r="Q109" s="30" t="n">
        <f aca="false">P109-Summary!$C$5</f>
        <v>3034.51000000007</v>
      </c>
      <c r="R109" s="2" t="str">
        <f aca="false">TEXT(A109,"ddd")</f>
        <v>Thu</v>
      </c>
    </row>
    <row r="110" customFormat="false" ht="15" hidden="false" customHeight="false" outlineLevel="0" collapsed="false">
      <c r="A110" s="42" t="n">
        <v>45191</v>
      </c>
      <c r="B110" s="28" t="n">
        <f aca="false">COUNTIFS(Trades!$D$2:$D$884,$A110)</f>
        <v>1</v>
      </c>
      <c r="C110" s="28" t="n">
        <f aca="false">COUNTIFS(Trades!$D$2:$D$884,$A110,Trades!$Z$2:$Z$884,"Win")</f>
        <v>0</v>
      </c>
      <c r="D110" s="28" t="n">
        <f aca="false">COUNTIFS(Trades!$D$2:$D$884,$A110,Trades!$Z$2:$Z$884,"Loss")</f>
        <v>1</v>
      </c>
      <c r="E110" s="29" t="n">
        <f aca="false">IFERROR(C110/B110,0)</f>
        <v>0</v>
      </c>
      <c r="F110" s="30" t="n">
        <f aca="false">SUMIFS(Trades!$X$2:$X$884,Trades!$D$2:$D$884,$A110)</f>
        <v>-33.98</v>
      </c>
      <c r="G110" s="30" t="n">
        <f aca="false">SUMIFS(Trades!$X$2:$X$884,Trades!$D$2:$D$884,$A110,Trades!$X$2:$X$884,"&gt;0")</f>
        <v>0</v>
      </c>
      <c r="H110" s="30" t="n">
        <f aca="false">SUMIFS(Trades!$X$2:$X$884,Trades!$D$2:$D$884,$A110,Trades!$X$2:$X$884,"&lt;0")</f>
        <v>-33.98</v>
      </c>
      <c r="I110" s="31" t="n">
        <f aca="false">IFERROR(G110/-H110,"no loss")</f>
        <v>0</v>
      </c>
      <c r="J110" s="30" t="n">
        <f aca="false">_xlfn.MAXIFS(Trades!$X$2:$X$884,Trades!$D$2:$D$884,$A110)</f>
        <v>-33.98</v>
      </c>
      <c r="K110" s="30" t="n">
        <f aca="false">_xlfn.MINIFS(Trades!$X$2:$X$884,Trades!$D$2:$D$884,$A110)</f>
        <v>-33.98</v>
      </c>
      <c r="L110" s="32" t="n">
        <f aca="false">SUMIFS(Trades!$Y$2:$Y$884,Trades!$D$2:$D$884,$A110)</f>
        <v>-1.03800097751698</v>
      </c>
      <c r="M110" s="30" t="n">
        <f aca="false">P109</f>
        <v>103034.51</v>
      </c>
      <c r="N110" s="29" t="n">
        <f aca="false">IFERROR(F110/M110,0)</f>
        <v>-0.000329792416152607</v>
      </c>
      <c r="O110" s="28" t="str">
        <f aca="false">IF(-N110&gt;=Summary!$C$7,"BREACH","")</f>
        <v/>
      </c>
      <c r="P110" s="30" t="n">
        <f aca="false">M110+F110</f>
        <v>103000.53</v>
      </c>
      <c r="Q110" s="30" t="n">
        <f aca="false">P110-Summary!$C$5</f>
        <v>3000.53000000007</v>
      </c>
      <c r="R110" s="2" t="str">
        <f aca="false">TEXT(A110,"ddd")</f>
        <v>Fri</v>
      </c>
    </row>
    <row r="111" customFormat="false" ht="15" hidden="false" customHeight="false" outlineLevel="0" collapsed="false">
      <c r="A111" s="42" t="n">
        <v>45194</v>
      </c>
      <c r="B111" s="28" t="n">
        <f aca="false">COUNTIFS(Trades!$D$2:$D$884,$A111)</f>
        <v>1</v>
      </c>
      <c r="C111" s="28" t="n">
        <f aca="false">COUNTIFS(Trades!$D$2:$D$884,$A111,Trades!$Z$2:$Z$884,"Win")</f>
        <v>0</v>
      </c>
      <c r="D111" s="28" t="n">
        <f aca="false">COUNTIFS(Trades!$D$2:$D$884,$A111,Trades!$Z$2:$Z$884,"Loss")</f>
        <v>1</v>
      </c>
      <c r="E111" s="29" t="n">
        <f aca="false">IFERROR(C111/B111,0)</f>
        <v>0</v>
      </c>
      <c r="F111" s="30" t="n">
        <f aca="false">SUMIFS(Trades!$X$2:$X$884,Trades!$D$2:$D$884,$A111)</f>
        <v>-3.16</v>
      </c>
      <c r="G111" s="30" t="n">
        <f aca="false">SUMIFS(Trades!$X$2:$X$884,Trades!$D$2:$D$884,$A111,Trades!$X$2:$X$884,"&gt;0")</f>
        <v>0</v>
      </c>
      <c r="H111" s="30" t="n">
        <f aca="false">SUMIFS(Trades!$X$2:$X$884,Trades!$D$2:$D$884,$A111,Trades!$X$2:$X$884,"&lt;0")</f>
        <v>-3.16</v>
      </c>
      <c r="I111" s="31" t="n">
        <f aca="false">IFERROR(G111/-H111,"no loss")</f>
        <v>0</v>
      </c>
      <c r="J111" s="30" t="n">
        <f aca="false">_xlfn.MAXIFS(Trades!$X$2:$X$884,Trades!$D$2:$D$884,$A111)</f>
        <v>-3.16</v>
      </c>
      <c r="K111" s="30" t="n">
        <f aca="false">_xlfn.MINIFS(Trades!$X$2:$X$884,Trades!$D$2:$D$884,$A111)</f>
        <v>-3.16</v>
      </c>
      <c r="L111" s="32" t="n">
        <f aca="false">SUMIFS(Trades!$Y$2:$Y$884,Trades!$D$2:$D$884,$A111)</f>
        <v>-0.0286496581986967</v>
      </c>
      <c r="M111" s="30" t="n">
        <f aca="false">P110</f>
        <v>103000.53</v>
      </c>
      <c r="N111" s="29" t="n">
        <f aca="false">IFERROR(F111/M111,0)</f>
        <v>-3.06794537853349E-005</v>
      </c>
      <c r="O111" s="28" t="str">
        <f aca="false">IF(-N111&gt;=Summary!$C$7,"BREACH","")</f>
        <v/>
      </c>
      <c r="P111" s="30" t="n">
        <f aca="false">M111+F111</f>
        <v>102997.37</v>
      </c>
      <c r="Q111" s="30" t="n">
        <f aca="false">P111-Summary!$C$5</f>
        <v>2997.37000000007</v>
      </c>
      <c r="R111" s="2" t="str">
        <f aca="false">TEXT(A111,"ddd")</f>
        <v>Mon</v>
      </c>
    </row>
    <row r="112" customFormat="false" ht="15" hidden="false" customHeight="false" outlineLevel="0" collapsed="false">
      <c r="A112" s="42" t="n">
        <v>45195</v>
      </c>
      <c r="B112" s="28" t="n">
        <f aca="false">COUNTIFS(Trades!$D$2:$D$884,$A112)</f>
        <v>1</v>
      </c>
      <c r="C112" s="28" t="n">
        <f aca="false">COUNTIFS(Trades!$D$2:$D$884,$A112,Trades!$Z$2:$Z$884,"Win")</f>
        <v>0</v>
      </c>
      <c r="D112" s="28" t="n">
        <f aca="false">COUNTIFS(Trades!$D$2:$D$884,$A112,Trades!$Z$2:$Z$884,"Loss")</f>
        <v>1</v>
      </c>
      <c r="E112" s="29" t="n">
        <f aca="false">IFERROR(C112/B112,0)</f>
        <v>0</v>
      </c>
      <c r="F112" s="30" t="n">
        <f aca="false">SUMIFS(Trades!$X$2:$X$884,Trades!$D$2:$D$884,$A112)</f>
        <v>-0.68</v>
      </c>
      <c r="G112" s="30" t="n">
        <f aca="false">SUMIFS(Trades!$X$2:$X$884,Trades!$D$2:$D$884,$A112,Trades!$X$2:$X$884,"&gt;0")</f>
        <v>0</v>
      </c>
      <c r="H112" s="30" t="n">
        <f aca="false">SUMIFS(Trades!$X$2:$X$884,Trades!$D$2:$D$884,$A112,Trades!$X$2:$X$884,"&lt;0")</f>
        <v>-0.68</v>
      </c>
      <c r="I112" s="31" t="n">
        <f aca="false">IFERROR(G112/-H112,"no loss")</f>
        <v>0</v>
      </c>
      <c r="J112" s="30" t="n">
        <f aca="false">_xlfn.MAXIFS(Trades!$X$2:$X$884,Trades!$D$2:$D$884,$A112)</f>
        <v>-0.68</v>
      </c>
      <c r="K112" s="30" t="n">
        <f aca="false">_xlfn.MINIFS(Trades!$X$2:$X$884,Trades!$D$2:$D$884,$A112)</f>
        <v>-0.68</v>
      </c>
      <c r="L112" s="32" t="n">
        <f aca="false">SUMIFS(Trades!$Y$2:$Y$884,Trades!$D$2:$D$884,$A112)</f>
        <v>-0.0036571330228356</v>
      </c>
      <c r="M112" s="30" t="n">
        <f aca="false">P111</f>
        <v>102997.37</v>
      </c>
      <c r="N112" s="29" t="n">
        <f aca="false">IFERROR(F112/M112,0)</f>
        <v>-6.60211032572967E-006</v>
      </c>
      <c r="O112" s="28" t="str">
        <f aca="false">IF(-N112&gt;=Summary!$C$7,"BREACH","")</f>
        <v/>
      </c>
      <c r="P112" s="30" t="n">
        <f aca="false">M112+F112</f>
        <v>102996.69</v>
      </c>
      <c r="Q112" s="30" t="n">
        <f aca="false">P112-Summary!$C$5</f>
        <v>2996.69000000008</v>
      </c>
      <c r="R112" s="2" t="str">
        <f aca="false">TEXT(A112,"ddd")</f>
        <v>Tue</v>
      </c>
    </row>
    <row r="113" customFormat="false" ht="15" hidden="false" customHeight="false" outlineLevel="0" collapsed="false">
      <c r="A113" s="42" t="n">
        <v>45196</v>
      </c>
      <c r="B113" s="28" t="n">
        <f aca="false">COUNTIFS(Trades!$D$2:$D$884,$A113)</f>
        <v>1</v>
      </c>
      <c r="C113" s="28" t="n">
        <f aca="false">COUNTIFS(Trades!$D$2:$D$884,$A113,Trades!$Z$2:$Z$884,"Win")</f>
        <v>0</v>
      </c>
      <c r="D113" s="28" t="n">
        <f aca="false">COUNTIFS(Trades!$D$2:$D$884,$A113,Trades!$Z$2:$Z$884,"Loss")</f>
        <v>1</v>
      </c>
      <c r="E113" s="29" t="n">
        <f aca="false">IFERROR(C113/B113,0)</f>
        <v>0</v>
      </c>
      <c r="F113" s="30" t="n">
        <f aca="false">SUMIFS(Trades!$X$2:$X$884,Trades!$D$2:$D$884,$A113)</f>
        <v>-109.55</v>
      </c>
      <c r="G113" s="30" t="n">
        <f aca="false">SUMIFS(Trades!$X$2:$X$884,Trades!$D$2:$D$884,$A113,Trades!$X$2:$X$884,"&gt;0")</f>
        <v>0</v>
      </c>
      <c r="H113" s="30" t="n">
        <f aca="false">SUMIFS(Trades!$X$2:$X$884,Trades!$D$2:$D$884,$A113,Trades!$X$2:$X$884,"&lt;0")</f>
        <v>-109.55</v>
      </c>
      <c r="I113" s="31" t="n">
        <f aca="false">IFERROR(G113/-H113,"no loss")</f>
        <v>0</v>
      </c>
      <c r="J113" s="30" t="n">
        <f aca="false">_xlfn.MAXIFS(Trades!$X$2:$X$884,Trades!$D$2:$D$884,$A113)</f>
        <v>-109.55</v>
      </c>
      <c r="K113" s="30" t="n">
        <f aca="false">_xlfn.MINIFS(Trades!$X$2:$X$884,Trades!$D$2:$D$884,$A113)</f>
        <v>-109.55</v>
      </c>
      <c r="L113" s="32" t="n">
        <f aca="false">SUMIFS(Trades!$Y$2:$Y$884,Trades!$D$2:$D$884,$A113)</f>
        <v>-1.00280106916622</v>
      </c>
      <c r="M113" s="30" t="n">
        <f aca="false">P112</f>
        <v>102996.69</v>
      </c>
      <c r="N113" s="29" t="n">
        <f aca="false">IFERROR(F113/M113,0)</f>
        <v>-0.00106362641362552</v>
      </c>
      <c r="O113" s="28" t="str">
        <f aca="false">IF(-N113&gt;=Summary!$C$7,"BREACH","")</f>
        <v/>
      </c>
      <c r="P113" s="30" t="n">
        <f aca="false">M113+F113</f>
        <v>102887.14</v>
      </c>
      <c r="Q113" s="30" t="n">
        <f aca="false">P113-Summary!$C$5</f>
        <v>2887.14000000007</v>
      </c>
      <c r="R113" s="2" t="str">
        <f aca="false">TEXT(A113,"ddd")</f>
        <v>Wed</v>
      </c>
    </row>
    <row r="114" customFormat="false" ht="15" hidden="false" customHeight="false" outlineLevel="0" collapsed="false">
      <c r="A114" s="42" t="n">
        <v>45197</v>
      </c>
      <c r="B114" s="28" t="n">
        <f aca="false">COUNTIFS(Trades!$D$2:$D$884,$A114)</f>
        <v>1</v>
      </c>
      <c r="C114" s="28" t="n">
        <f aca="false">COUNTIFS(Trades!$D$2:$D$884,$A114,Trades!$Z$2:$Z$884,"Win")</f>
        <v>1</v>
      </c>
      <c r="D114" s="28" t="n">
        <f aca="false">COUNTIFS(Trades!$D$2:$D$884,$A114,Trades!$Z$2:$Z$884,"Loss")</f>
        <v>0</v>
      </c>
      <c r="E114" s="29" t="n">
        <f aca="false">IFERROR(C114/B114,0)</f>
        <v>1</v>
      </c>
      <c r="F114" s="30" t="n">
        <f aca="false">SUMIFS(Trades!$X$2:$X$884,Trades!$D$2:$D$884,$A114)</f>
        <v>341.43</v>
      </c>
      <c r="G114" s="30" t="n">
        <f aca="false">SUMIFS(Trades!$X$2:$X$884,Trades!$D$2:$D$884,$A114,Trades!$X$2:$X$884,"&gt;0")</f>
        <v>341.43</v>
      </c>
      <c r="H114" s="30" t="n">
        <f aca="false">SUMIFS(Trades!$X$2:$X$884,Trades!$D$2:$D$884,$A114,Trades!$X$2:$X$884,"&lt;0")</f>
        <v>0</v>
      </c>
      <c r="I114" s="31" t="str">
        <f aca="false">IFERROR(G114/-H114,"no loss")</f>
        <v>no loss</v>
      </c>
      <c r="J114" s="30" t="n">
        <f aca="false">_xlfn.MAXIFS(Trades!$X$2:$X$884,Trades!$D$2:$D$884,$A114)</f>
        <v>341.43</v>
      </c>
      <c r="K114" s="30" t="n">
        <f aca="false">_xlfn.MINIFS(Trades!$X$2:$X$884,Trades!$D$2:$D$884,$A114)</f>
        <v>341.43</v>
      </c>
      <c r="L114" s="32" t="n">
        <f aca="false">SUMIFS(Trades!$Y$2:$Y$884,Trades!$D$2:$D$884,$A114)</f>
        <v>2.17407638526292</v>
      </c>
      <c r="M114" s="30" t="n">
        <f aca="false">P113</f>
        <v>102887.14</v>
      </c>
      <c r="N114" s="29" t="n">
        <f aca="false">IFERROR(F114/M114,0)</f>
        <v>0.00331849053244166</v>
      </c>
      <c r="O114" s="28" t="str">
        <f aca="false">IF(-N114&gt;=Summary!$C$7,"BREACH","")</f>
        <v/>
      </c>
      <c r="P114" s="30" t="n">
        <f aca="false">M114+F114</f>
        <v>103228.57</v>
      </c>
      <c r="Q114" s="30" t="n">
        <f aca="false">P114-Summary!$C$5</f>
        <v>3228.57000000007</v>
      </c>
      <c r="R114" s="2" t="str">
        <f aca="false">TEXT(A114,"ddd")</f>
        <v>Thu</v>
      </c>
    </row>
    <row r="115" customFormat="false" ht="15" hidden="false" customHeight="false" outlineLevel="0" collapsed="false">
      <c r="A115" s="42" t="n">
        <v>45198</v>
      </c>
      <c r="B115" s="28" t="n">
        <f aca="false">COUNTIFS(Trades!$D$2:$D$884,$A115)</f>
        <v>1</v>
      </c>
      <c r="C115" s="28" t="n">
        <f aca="false">COUNTIFS(Trades!$D$2:$D$884,$A115,Trades!$Z$2:$Z$884,"Win")</f>
        <v>0</v>
      </c>
      <c r="D115" s="28" t="n">
        <f aca="false">COUNTIFS(Trades!$D$2:$D$884,$A115,Trades!$Z$2:$Z$884,"Loss")</f>
        <v>1</v>
      </c>
      <c r="E115" s="29" t="n">
        <f aca="false">IFERROR(C115/B115,0)</f>
        <v>0</v>
      </c>
      <c r="F115" s="30" t="n">
        <f aca="false">SUMIFS(Trades!$X$2:$X$884,Trades!$D$2:$D$884,$A115)</f>
        <v>-48.55</v>
      </c>
      <c r="G115" s="30" t="n">
        <f aca="false">SUMIFS(Trades!$X$2:$X$884,Trades!$D$2:$D$884,$A115,Trades!$X$2:$X$884,"&gt;0")</f>
        <v>0</v>
      </c>
      <c r="H115" s="30" t="n">
        <f aca="false">SUMIFS(Trades!$X$2:$X$884,Trades!$D$2:$D$884,$A115,Trades!$X$2:$X$884,"&lt;0")</f>
        <v>-48.55</v>
      </c>
      <c r="I115" s="31" t="n">
        <f aca="false">IFERROR(G115/-H115,"no loss")</f>
        <v>0</v>
      </c>
      <c r="J115" s="30" t="n">
        <f aca="false">_xlfn.MAXIFS(Trades!$X$2:$X$884,Trades!$D$2:$D$884,$A115)</f>
        <v>-48.55</v>
      </c>
      <c r="K115" s="30" t="n">
        <f aca="false">_xlfn.MINIFS(Trades!$X$2:$X$884,Trades!$D$2:$D$884,$A115)</f>
        <v>-48.55</v>
      </c>
      <c r="L115" s="32" t="n">
        <f aca="false">SUMIFS(Trades!$Y$2:$Y$884,Trades!$D$2:$D$884,$A115)</f>
        <v>-1.00392886683219</v>
      </c>
      <c r="M115" s="30" t="n">
        <f aca="false">P114</f>
        <v>103228.57</v>
      </c>
      <c r="N115" s="29" t="n">
        <f aca="false">IFERROR(F115/M115,0)</f>
        <v>-0.000470315533771319</v>
      </c>
      <c r="O115" s="28" t="str">
        <f aca="false">IF(-N115&gt;=Summary!$C$7,"BREACH","")</f>
        <v/>
      </c>
      <c r="P115" s="30" t="n">
        <f aca="false">M115+F115</f>
        <v>103180.02</v>
      </c>
      <c r="Q115" s="30" t="n">
        <f aca="false">P115-Summary!$C$5</f>
        <v>3180.02000000006</v>
      </c>
      <c r="R115" s="2" t="str">
        <f aca="false">TEXT(A115,"ddd")</f>
        <v>Fri</v>
      </c>
    </row>
    <row r="116" customFormat="false" ht="15" hidden="false" customHeight="false" outlineLevel="0" collapsed="false">
      <c r="A116" s="42" t="n">
        <v>45202</v>
      </c>
      <c r="B116" s="28" t="n">
        <f aca="false">COUNTIFS(Trades!$D$2:$D$884,$A116)</f>
        <v>1</v>
      </c>
      <c r="C116" s="28" t="n">
        <f aca="false">COUNTIFS(Trades!$D$2:$D$884,$A116,Trades!$Z$2:$Z$884,"Win")</f>
        <v>1</v>
      </c>
      <c r="D116" s="28" t="n">
        <f aca="false">COUNTIFS(Trades!$D$2:$D$884,$A116,Trades!$Z$2:$Z$884,"Loss")</f>
        <v>0</v>
      </c>
      <c r="E116" s="29" t="n">
        <f aca="false">IFERROR(C116/B116,0)</f>
        <v>1</v>
      </c>
      <c r="F116" s="30" t="n">
        <f aca="false">SUMIFS(Trades!$X$2:$X$884,Trades!$D$2:$D$884,$A116)</f>
        <v>637.98</v>
      </c>
      <c r="G116" s="30" t="n">
        <f aca="false">SUMIFS(Trades!$X$2:$X$884,Trades!$D$2:$D$884,$A116,Trades!$X$2:$X$884,"&gt;0")</f>
        <v>637.98</v>
      </c>
      <c r="H116" s="30" t="n">
        <f aca="false">SUMIFS(Trades!$X$2:$X$884,Trades!$D$2:$D$884,$A116,Trades!$X$2:$X$884,"&lt;0")</f>
        <v>0</v>
      </c>
      <c r="I116" s="31" t="str">
        <f aca="false">IFERROR(G116/-H116,"no loss")</f>
        <v>no loss</v>
      </c>
      <c r="J116" s="30" t="n">
        <f aca="false">_xlfn.MAXIFS(Trades!$X$2:$X$884,Trades!$D$2:$D$884,$A116)</f>
        <v>637.98</v>
      </c>
      <c r="K116" s="30" t="n">
        <f aca="false">_xlfn.MINIFS(Trades!$X$2:$X$884,Trades!$D$2:$D$884,$A116)</f>
        <v>637.98</v>
      </c>
      <c r="L116" s="32" t="n">
        <f aca="false">SUMIFS(Trades!$Y$2:$Y$884,Trades!$D$2:$D$884,$A116)</f>
        <v>2.04653937947491</v>
      </c>
      <c r="M116" s="30" t="n">
        <f aca="false">P115</f>
        <v>103180.02</v>
      </c>
      <c r="N116" s="29" t="n">
        <f aca="false">IFERROR(F116/M116,0)</f>
        <v>0.00618317383539952</v>
      </c>
      <c r="O116" s="28" t="str">
        <f aca="false">IF(-N116&gt;=Summary!$C$7,"BREACH","")</f>
        <v/>
      </c>
      <c r="P116" s="30" t="n">
        <f aca="false">M116+F116</f>
        <v>103818</v>
      </c>
      <c r="Q116" s="30" t="n">
        <f aca="false">P116-Summary!$C$5</f>
        <v>3818.00000000006</v>
      </c>
      <c r="R116" s="2" t="str">
        <f aca="false">TEXT(A116,"ddd")</f>
        <v>Tue</v>
      </c>
    </row>
    <row r="117" customFormat="false" ht="15" hidden="false" customHeight="false" outlineLevel="0" collapsed="false">
      <c r="A117" s="42" t="n">
        <v>45203</v>
      </c>
      <c r="B117" s="28" t="n">
        <f aca="false">COUNTIFS(Trades!$D$2:$D$884,$A117)</f>
        <v>1</v>
      </c>
      <c r="C117" s="28" t="n">
        <f aca="false">COUNTIFS(Trades!$D$2:$D$884,$A117,Trades!$Z$2:$Z$884,"Win")</f>
        <v>0</v>
      </c>
      <c r="D117" s="28" t="n">
        <f aca="false">COUNTIFS(Trades!$D$2:$D$884,$A117,Trades!$Z$2:$Z$884,"Loss")</f>
        <v>1</v>
      </c>
      <c r="E117" s="29" t="n">
        <f aca="false">IFERROR(C117/B117,0)</f>
        <v>0</v>
      </c>
      <c r="F117" s="30" t="n">
        <f aca="false">SUMIFS(Trades!$X$2:$X$884,Trades!$D$2:$D$884,$A117)</f>
        <v>-63.87</v>
      </c>
      <c r="G117" s="30" t="n">
        <f aca="false">SUMIFS(Trades!$X$2:$X$884,Trades!$D$2:$D$884,$A117,Trades!$X$2:$X$884,"&gt;0")</f>
        <v>0</v>
      </c>
      <c r="H117" s="30" t="n">
        <f aca="false">SUMIFS(Trades!$X$2:$X$884,Trades!$D$2:$D$884,$A117,Trades!$X$2:$X$884,"&lt;0")</f>
        <v>-63.87</v>
      </c>
      <c r="I117" s="31" t="n">
        <f aca="false">IFERROR(G117/-H117,"no loss")</f>
        <v>0</v>
      </c>
      <c r="J117" s="30" t="n">
        <f aca="false">_xlfn.MAXIFS(Trades!$X$2:$X$884,Trades!$D$2:$D$884,$A117)</f>
        <v>-63.87</v>
      </c>
      <c r="K117" s="30" t="n">
        <f aca="false">_xlfn.MINIFS(Trades!$X$2:$X$884,Trades!$D$2:$D$884,$A117)</f>
        <v>-63.87</v>
      </c>
      <c r="L117" s="32" t="n">
        <f aca="false">SUMIFS(Trades!$Y$2:$Y$884,Trades!$D$2:$D$884,$A117)</f>
        <v>-1.01937563840664</v>
      </c>
      <c r="M117" s="30" t="n">
        <f aca="false">P116</f>
        <v>103818</v>
      </c>
      <c r="N117" s="29" t="n">
        <f aca="false">IFERROR(F117/M117,0)</f>
        <v>-0.000615211235045945</v>
      </c>
      <c r="O117" s="28" t="str">
        <f aca="false">IF(-N117&gt;=Summary!$C$7,"BREACH","")</f>
        <v/>
      </c>
      <c r="P117" s="30" t="n">
        <f aca="false">M117+F117</f>
        <v>103754.13</v>
      </c>
      <c r="Q117" s="30" t="n">
        <f aca="false">P117-Summary!$C$5</f>
        <v>3754.13000000006</v>
      </c>
      <c r="R117" s="2" t="str">
        <f aca="false">TEXT(A117,"ddd")</f>
        <v>Wed</v>
      </c>
    </row>
    <row r="118" customFormat="false" ht="15" hidden="false" customHeight="false" outlineLevel="0" collapsed="false">
      <c r="A118" s="42" t="n">
        <v>45204</v>
      </c>
      <c r="B118" s="28" t="n">
        <f aca="false">COUNTIFS(Trades!$D$2:$D$884,$A118)</f>
        <v>1</v>
      </c>
      <c r="C118" s="28" t="n">
        <f aca="false">COUNTIFS(Trades!$D$2:$D$884,$A118,Trades!$Z$2:$Z$884,"Win")</f>
        <v>0</v>
      </c>
      <c r="D118" s="28" t="n">
        <f aca="false">COUNTIFS(Trades!$D$2:$D$884,$A118,Trades!$Z$2:$Z$884,"Loss")</f>
        <v>1</v>
      </c>
      <c r="E118" s="29" t="n">
        <f aca="false">IFERROR(C118/B118,0)</f>
        <v>0</v>
      </c>
      <c r="F118" s="30" t="n">
        <f aca="false">SUMIFS(Trades!$X$2:$X$884,Trades!$D$2:$D$884,$A118)</f>
        <v>-71.92</v>
      </c>
      <c r="G118" s="30" t="n">
        <f aca="false">SUMIFS(Trades!$X$2:$X$884,Trades!$D$2:$D$884,$A118,Trades!$X$2:$X$884,"&gt;0")</f>
        <v>0</v>
      </c>
      <c r="H118" s="30" t="n">
        <f aca="false">SUMIFS(Trades!$X$2:$X$884,Trades!$D$2:$D$884,$A118,Trades!$X$2:$X$884,"&lt;0")</f>
        <v>-71.92</v>
      </c>
      <c r="I118" s="31" t="n">
        <f aca="false">IFERROR(G118/-H118,"no loss")</f>
        <v>0</v>
      </c>
      <c r="J118" s="30" t="n">
        <f aca="false">_xlfn.MAXIFS(Trades!$X$2:$X$884,Trades!$D$2:$D$884,$A118)</f>
        <v>-71.92</v>
      </c>
      <c r="K118" s="30" t="n">
        <f aca="false">_xlfn.MINIFS(Trades!$X$2:$X$884,Trades!$D$2:$D$884,$A118)</f>
        <v>-71.92</v>
      </c>
      <c r="L118" s="32" t="n">
        <f aca="false">SUMIFS(Trades!$Y$2:$Y$884,Trades!$D$2:$D$884,$A118)</f>
        <v>-1.01754385964916</v>
      </c>
      <c r="M118" s="30" t="n">
        <f aca="false">P117</f>
        <v>103754.13</v>
      </c>
      <c r="N118" s="29" t="n">
        <f aca="false">IFERROR(F118/M118,0)</f>
        <v>-0.000693177225812601</v>
      </c>
      <c r="O118" s="28" t="str">
        <f aca="false">IF(-N118&gt;=Summary!$C$7,"BREACH","")</f>
        <v/>
      </c>
      <c r="P118" s="30" t="n">
        <f aca="false">M118+F118</f>
        <v>103682.21</v>
      </c>
      <c r="Q118" s="30" t="n">
        <f aca="false">P118-Summary!$C$5</f>
        <v>3682.21000000006</v>
      </c>
      <c r="R118" s="2" t="str">
        <f aca="false">TEXT(A118,"ddd")</f>
        <v>Thu</v>
      </c>
    </row>
    <row r="119" customFormat="false" ht="15" hidden="false" customHeight="false" outlineLevel="0" collapsed="false">
      <c r="A119" s="42" t="n">
        <v>45205</v>
      </c>
      <c r="B119" s="28" t="n">
        <f aca="false">COUNTIFS(Trades!$D$2:$D$884,$A119)</f>
        <v>2</v>
      </c>
      <c r="C119" s="28" t="n">
        <f aca="false">COUNTIFS(Trades!$D$2:$D$884,$A119,Trades!$Z$2:$Z$884,"Win")</f>
        <v>1</v>
      </c>
      <c r="D119" s="28" t="n">
        <f aca="false">COUNTIFS(Trades!$D$2:$D$884,$A119,Trades!$Z$2:$Z$884,"Loss")</f>
        <v>1</v>
      </c>
      <c r="E119" s="29" t="n">
        <f aca="false">IFERROR(C119/B119,0)</f>
        <v>0.5</v>
      </c>
      <c r="F119" s="30" t="n">
        <f aca="false">SUMIFS(Trades!$X$2:$X$884,Trades!$D$2:$D$884,$A119)</f>
        <v>-32.13</v>
      </c>
      <c r="G119" s="30" t="n">
        <f aca="false">SUMIFS(Trades!$X$2:$X$884,Trades!$D$2:$D$884,$A119,Trades!$X$2:$X$884,"&gt;0")</f>
        <v>388.86</v>
      </c>
      <c r="H119" s="30" t="n">
        <f aca="false">SUMIFS(Trades!$X$2:$X$884,Trades!$D$2:$D$884,$A119,Trades!$X$2:$X$884,"&lt;0")</f>
        <v>-420.99</v>
      </c>
      <c r="I119" s="31" t="n">
        <f aca="false">IFERROR(G119/-H119,"no loss")</f>
        <v>0.923679897384736</v>
      </c>
      <c r="J119" s="30" t="n">
        <f aca="false">_xlfn.MAXIFS(Trades!$X$2:$X$884,Trades!$D$2:$D$884,$A119)</f>
        <v>388.86</v>
      </c>
      <c r="K119" s="30" t="n">
        <f aca="false">_xlfn.MINIFS(Trades!$X$2:$X$884,Trades!$D$2:$D$884,$A119)</f>
        <v>-420.99</v>
      </c>
      <c r="L119" s="32" t="n">
        <f aca="false">SUMIFS(Trades!$Y$2:$Y$884,Trades!$D$2:$D$884,$A119)</f>
        <v>0.991800800424039</v>
      </c>
      <c r="M119" s="30" t="n">
        <f aca="false">P118</f>
        <v>103682.21</v>
      </c>
      <c r="N119" s="29" t="n">
        <f aca="false">IFERROR(F119/M119,0)</f>
        <v>-0.000309889227862716</v>
      </c>
      <c r="O119" s="28" t="str">
        <f aca="false">IF(-N119&gt;=Summary!$C$7,"BREACH","")</f>
        <v/>
      </c>
      <c r="P119" s="30" t="n">
        <f aca="false">M119+F119</f>
        <v>103650.08</v>
      </c>
      <c r="Q119" s="30" t="n">
        <f aca="false">P119-Summary!$C$5</f>
        <v>3650.08000000006</v>
      </c>
      <c r="R119" s="2" t="str">
        <f aca="false">TEXT(A119,"ddd")</f>
        <v>Fri</v>
      </c>
    </row>
    <row r="120" customFormat="false" ht="15" hidden="false" customHeight="false" outlineLevel="0" collapsed="false">
      <c r="A120" s="42" t="n">
        <v>45208</v>
      </c>
      <c r="B120" s="28" t="n">
        <f aca="false">COUNTIFS(Trades!$D$2:$D$884,$A120)</f>
        <v>1</v>
      </c>
      <c r="C120" s="28" t="n">
        <f aca="false">COUNTIFS(Trades!$D$2:$D$884,$A120,Trades!$Z$2:$Z$884,"Win")</f>
        <v>1</v>
      </c>
      <c r="D120" s="28" t="n">
        <f aca="false">COUNTIFS(Trades!$D$2:$D$884,$A120,Trades!$Z$2:$Z$884,"Loss")</f>
        <v>0</v>
      </c>
      <c r="E120" s="29" t="n">
        <f aca="false">IFERROR(C120/B120,0)</f>
        <v>1</v>
      </c>
      <c r="F120" s="30" t="n">
        <f aca="false">SUMIFS(Trades!$X$2:$X$884,Trades!$D$2:$D$884,$A120)</f>
        <v>205.84</v>
      </c>
      <c r="G120" s="30" t="n">
        <f aca="false">SUMIFS(Trades!$X$2:$X$884,Trades!$D$2:$D$884,$A120,Trades!$X$2:$X$884,"&gt;0")</f>
        <v>205.84</v>
      </c>
      <c r="H120" s="30" t="n">
        <f aca="false">SUMIFS(Trades!$X$2:$X$884,Trades!$D$2:$D$884,$A120,Trades!$X$2:$X$884,"&lt;0")</f>
        <v>0</v>
      </c>
      <c r="I120" s="31" t="str">
        <f aca="false">IFERROR(G120/-H120,"no loss")</f>
        <v>no loss</v>
      </c>
      <c r="J120" s="30" t="n">
        <f aca="false">_xlfn.MAXIFS(Trades!$X$2:$X$884,Trades!$D$2:$D$884,$A120)</f>
        <v>205.84</v>
      </c>
      <c r="K120" s="30" t="n">
        <f aca="false">_xlfn.MINIFS(Trades!$X$2:$X$884,Trades!$D$2:$D$884,$A120)</f>
        <v>205.84</v>
      </c>
      <c r="L120" s="32" t="n">
        <f aca="false">SUMIFS(Trades!$Y$2:$Y$884,Trades!$D$2:$D$884,$A120)</f>
        <v>2.06211180124219</v>
      </c>
      <c r="M120" s="30" t="n">
        <f aca="false">P119</f>
        <v>103650.08</v>
      </c>
      <c r="N120" s="29" t="n">
        <f aca="false">IFERROR(F120/M120,0)</f>
        <v>0.00198591260132168</v>
      </c>
      <c r="O120" s="28" t="str">
        <f aca="false">IF(-N120&gt;=Summary!$C$7,"BREACH","")</f>
        <v/>
      </c>
      <c r="P120" s="30" t="n">
        <f aca="false">M120+F120</f>
        <v>103855.92</v>
      </c>
      <c r="Q120" s="30" t="n">
        <f aca="false">P120-Summary!$C$5</f>
        <v>3855.92000000006</v>
      </c>
      <c r="R120" s="2" t="str">
        <f aca="false">TEXT(A120,"ddd")</f>
        <v>Mon</v>
      </c>
    </row>
    <row r="121" customFormat="false" ht="15" hidden="false" customHeight="false" outlineLevel="0" collapsed="false">
      <c r="A121" s="42" t="n">
        <v>45209</v>
      </c>
      <c r="B121" s="28" t="n">
        <f aca="false">COUNTIFS(Trades!$D$2:$D$884,$A121)</f>
        <v>1</v>
      </c>
      <c r="C121" s="28" t="n">
        <f aca="false">COUNTIFS(Trades!$D$2:$D$884,$A121,Trades!$Z$2:$Z$884,"Win")</f>
        <v>1</v>
      </c>
      <c r="D121" s="28" t="n">
        <f aca="false">COUNTIFS(Trades!$D$2:$D$884,$A121,Trades!$Z$2:$Z$884,"Loss")</f>
        <v>0</v>
      </c>
      <c r="E121" s="29" t="n">
        <f aca="false">IFERROR(C121/B121,0)</f>
        <v>1</v>
      </c>
      <c r="F121" s="30" t="n">
        <f aca="false">SUMIFS(Trades!$X$2:$X$884,Trades!$D$2:$D$884,$A121)</f>
        <v>93.81</v>
      </c>
      <c r="G121" s="30" t="n">
        <f aca="false">SUMIFS(Trades!$X$2:$X$884,Trades!$D$2:$D$884,$A121,Trades!$X$2:$X$884,"&gt;0")</f>
        <v>93.81</v>
      </c>
      <c r="H121" s="30" t="n">
        <f aca="false">SUMIFS(Trades!$X$2:$X$884,Trades!$D$2:$D$884,$A121,Trades!$X$2:$X$884,"&lt;0")</f>
        <v>0</v>
      </c>
      <c r="I121" s="31" t="str">
        <f aca="false">IFERROR(G121/-H121,"no loss")</f>
        <v>no loss</v>
      </c>
      <c r="J121" s="30" t="n">
        <f aca="false">_xlfn.MAXIFS(Trades!$X$2:$X$884,Trades!$D$2:$D$884,$A121)</f>
        <v>93.81</v>
      </c>
      <c r="K121" s="30" t="n">
        <f aca="false">_xlfn.MINIFS(Trades!$X$2:$X$884,Trades!$D$2:$D$884,$A121)</f>
        <v>93.81</v>
      </c>
      <c r="L121" s="32" t="n">
        <f aca="false">SUMIFS(Trades!$Y$2:$Y$884,Trades!$D$2:$D$884,$A121)</f>
        <v>2.01205387783104</v>
      </c>
      <c r="M121" s="30" t="n">
        <f aca="false">P120</f>
        <v>103855.92</v>
      </c>
      <c r="N121" s="29" t="n">
        <f aca="false">IFERROR(F121/M121,0)</f>
        <v>0.000903270607973045</v>
      </c>
      <c r="O121" s="28" t="str">
        <f aca="false">IF(-N121&gt;=Summary!$C$7,"BREACH","")</f>
        <v/>
      </c>
      <c r="P121" s="30" t="n">
        <f aca="false">M121+F121</f>
        <v>103949.73</v>
      </c>
      <c r="Q121" s="30" t="n">
        <f aca="false">P121-Summary!$C$5</f>
        <v>3949.73000000005</v>
      </c>
      <c r="R121" s="2" t="str">
        <f aca="false">TEXT(A121,"ddd")</f>
        <v>Tue</v>
      </c>
    </row>
    <row r="122" customFormat="false" ht="15" hidden="false" customHeight="false" outlineLevel="0" collapsed="false">
      <c r="A122" s="42" t="n">
        <v>45210</v>
      </c>
      <c r="B122" s="28" t="n">
        <f aca="false">COUNTIFS(Trades!$D$2:$D$884,$A122)</f>
        <v>1</v>
      </c>
      <c r="C122" s="28" t="n">
        <f aca="false">COUNTIFS(Trades!$D$2:$D$884,$A122,Trades!$Z$2:$Z$884,"Win")</f>
        <v>0</v>
      </c>
      <c r="D122" s="28" t="n">
        <f aca="false">COUNTIFS(Trades!$D$2:$D$884,$A122,Trades!$Z$2:$Z$884,"Loss")</f>
        <v>1</v>
      </c>
      <c r="E122" s="29" t="n">
        <f aca="false">IFERROR(C122/B122,0)</f>
        <v>0</v>
      </c>
      <c r="F122" s="30" t="n">
        <f aca="false">SUMIFS(Trades!$X$2:$X$884,Trades!$D$2:$D$884,$A122)</f>
        <v>-149.82</v>
      </c>
      <c r="G122" s="30" t="n">
        <f aca="false">SUMIFS(Trades!$X$2:$X$884,Trades!$D$2:$D$884,$A122,Trades!$X$2:$X$884,"&gt;0")</f>
        <v>0</v>
      </c>
      <c r="H122" s="30" t="n">
        <f aca="false">SUMIFS(Trades!$X$2:$X$884,Trades!$D$2:$D$884,$A122,Trades!$X$2:$X$884,"&lt;0")</f>
        <v>-149.82</v>
      </c>
      <c r="I122" s="31" t="n">
        <f aca="false">IFERROR(G122/-H122,"no loss")</f>
        <v>0</v>
      </c>
      <c r="J122" s="30" t="n">
        <f aca="false">_xlfn.MAXIFS(Trades!$X$2:$X$884,Trades!$D$2:$D$884,$A122)</f>
        <v>-149.82</v>
      </c>
      <c r="K122" s="30" t="n">
        <f aca="false">_xlfn.MINIFS(Trades!$X$2:$X$884,Trades!$D$2:$D$884,$A122)</f>
        <v>-149.82</v>
      </c>
      <c r="L122" s="32" t="n">
        <f aca="false">SUMIFS(Trades!$Y$2:$Y$884,Trades!$D$2:$D$884,$A122)</f>
        <v>-1.00970481196929</v>
      </c>
      <c r="M122" s="30" t="n">
        <f aca="false">P121</f>
        <v>103949.73</v>
      </c>
      <c r="N122" s="29" t="n">
        <f aca="false">IFERROR(F122/M122,0)</f>
        <v>-0.00144127358483759</v>
      </c>
      <c r="O122" s="28" t="str">
        <f aca="false">IF(-N122&gt;=Summary!$C$7,"BREACH","")</f>
        <v/>
      </c>
      <c r="P122" s="30" t="n">
        <f aca="false">M122+F122</f>
        <v>103799.91</v>
      </c>
      <c r="Q122" s="30" t="n">
        <f aca="false">P122-Summary!$C$5</f>
        <v>3799.91000000005</v>
      </c>
      <c r="R122" s="2" t="str">
        <f aca="false">TEXT(A122,"ddd")</f>
        <v>Wed</v>
      </c>
    </row>
    <row r="123" customFormat="false" ht="15" hidden="false" customHeight="false" outlineLevel="0" collapsed="false">
      <c r="A123" s="42" t="n">
        <v>45211</v>
      </c>
      <c r="B123" s="28" t="n">
        <f aca="false">COUNTIFS(Trades!$D$2:$D$884,$A123)</f>
        <v>2</v>
      </c>
      <c r="C123" s="28" t="n">
        <f aca="false">COUNTIFS(Trades!$D$2:$D$884,$A123,Trades!$Z$2:$Z$884,"Win")</f>
        <v>1</v>
      </c>
      <c r="D123" s="28" t="n">
        <f aca="false">COUNTIFS(Trades!$D$2:$D$884,$A123,Trades!$Z$2:$Z$884,"Loss")</f>
        <v>1</v>
      </c>
      <c r="E123" s="29" t="n">
        <f aca="false">IFERROR(C123/B123,0)</f>
        <v>0.5</v>
      </c>
      <c r="F123" s="30" t="n">
        <f aca="false">SUMIFS(Trades!$X$2:$X$884,Trades!$D$2:$D$884,$A123)</f>
        <v>25.62</v>
      </c>
      <c r="G123" s="30" t="n">
        <f aca="false">SUMIFS(Trades!$X$2:$X$884,Trades!$D$2:$D$884,$A123,Trades!$X$2:$X$884,"&gt;0")</f>
        <v>28.92</v>
      </c>
      <c r="H123" s="30" t="n">
        <f aca="false">SUMIFS(Trades!$X$2:$X$884,Trades!$D$2:$D$884,$A123,Trades!$X$2:$X$884,"&lt;0")</f>
        <v>-3.3</v>
      </c>
      <c r="I123" s="31" t="n">
        <f aca="false">IFERROR(G123/-H123,"no loss")</f>
        <v>8.76363636363637</v>
      </c>
      <c r="J123" s="30" t="n">
        <f aca="false">_xlfn.MAXIFS(Trades!$X$2:$X$884,Trades!$D$2:$D$884,$A123)</f>
        <v>28.92</v>
      </c>
      <c r="K123" s="30" t="n">
        <f aca="false">_xlfn.MINIFS(Trades!$X$2:$X$884,Trades!$D$2:$D$884,$A123)</f>
        <v>-3.3</v>
      </c>
      <c r="L123" s="32" t="n">
        <f aca="false">SUMIFS(Trades!$Y$2:$Y$884,Trades!$D$2:$D$884,$A123)</f>
        <v>2.34842859699987</v>
      </c>
      <c r="M123" s="30" t="n">
        <f aca="false">P122</f>
        <v>103799.91</v>
      </c>
      <c r="N123" s="29" t="n">
        <f aca="false">IFERROR(F123/M123,0)</f>
        <v>0.000246821023255222</v>
      </c>
      <c r="O123" s="28" t="str">
        <f aca="false">IF(-N123&gt;=Summary!$C$7,"BREACH","")</f>
        <v/>
      </c>
      <c r="P123" s="30" t="n">
        <f aca="false">M123+F123</f>
        <v>103825.53</v>
      </c>
      <c r="Q123" s="30" t="n">
        <f aca="false">P123-Summary!$C$5</f>
        <v>3825.53000000004</v>
      </c>
      <c r="R123" s="2" t="str">
        <f aca="false">TEXT(A123,"ddd")</f>
        <v>Thu</v>
      </c>
    </row>
    <row r="124" customFormat="false" ht="15" hidden="false" customHeight="false" outlineLevel="0" collapsed="false">
      <c r="A124" s="42" t="n">
        <v>45212</v>
      </c>
      <c r="B124" s="28" t="n">
        <f aca="false">COUNTIFS(Trades!$D$2:$D$884,$A124)</f>
        <v>1</v>
      </c>
      <c r="C124" s="28" t="n">
        <f aca="false">COUNTIFS(Trades!$D$2:$D$884,$A124,Trades!$Z$2:$Z$884,"Win")</f>
        <v>0</v>
      </c>
      <c r="D124" s="28" t="n">
        <f aca="false">COUNTIFS(Trades!$D$2:$D$884,$A124,Trades!$Z$2:$Z$884,"Loss")</f>
        <v>1</v>
      </c>
      <c r="E124" s="29" t="n">
        <f aca="false">IFERROR(C124/B124,0)</f>
        <v>0</v>
      </c>
      <c r="F124" s="30" t="n">
        <f aca="false">SUMIFS(Trades!$X$2:$X$884,Trades!$D$2:$D$884,$A124)</f>
        <v>-5.1</v>
      </c>
      <c r="G124" s="30" t="n">
        <f aca="false">SUMIFS(Trades!$X$2:$X$884,Trades!$D$2:$D$884,$A124,Trades!$X$2:$X$884,"&gt;0")</f>
        <v>0</v>
      </c>
      <c r="H124" s="30" t="n">
        <f aca="false">SUMIFS(Trades!$X$2:$X$884,Trades!$D$2:$D$884,$A124,Trades!$X$2:$X$884,"&lt;0")</f>
        <v>-5.1</v>
      </c>
      <c r="I124" s="31" t="n">
        <f aca="false">IFERROR(G124/-H124,"no loss")</f>
        <v>0</v>
      </c>
      <c r="J124" s="30" t="n">
        <f aca="false">_xlfn.MAXIFS(Trades!$X$2:$X$884,Trades!$D$2:$D$884,$A124)</f>
        <v>-5.1</v>
      </c>
      <c r="K124" s="30" t="n">
        <f aca="false">_xlfn.MINIFS(Trades!$X$2:$X$884,Trades!$D$2:$D$884,$A124)</f>
        <v>-5.1</v>
      </c>
      <c r="L124" s="32" t="n">
        <f aca="false">SUMIFS(Trades!$Y$2:$Y$884,Trades!$D$2:$D$884,$A124)</f>
        <v>-0.0324427480916022</v>
      </c>
      <c r="M124" s="30" t="n">
        <f aca="false">P123</f>
        <v>103825.53</v>
      </c>
      <c r="N124" s="29" t="n">
        <f aca="false">IFERROR(F124/M124,0)</f>
        <v>-4.9120866515201E-005</v>
      </c>
      <c r="O124" s="28" t="str">
        <f aca="false">IF(-N124&gt;=Summary!$C$7,"BREACH","")</f>
        <v/>
      </c>
      <c r="P124" s="30" t="n">
        <f aca="false">M124+F124</f>
        <v>103820.43</v>
      </c>
      <c r="Q124" s="30" t="n">
        <f aca="false">P124-Summary!$C$5</f>
        <v>3820.43000000004</v>
      </c>
      <c r="R124" s="2" t="str">
        <f aca="false">TEXT(A124,"ddd")</f>
        <v>Fri</v>
      </c>
    </row>
    <row r="125" customFormat="false" ht="15" hidden="false" customHeight="false" outlineLevel="0" collapsed="false">
      <c r="A125" s="42" t="n">
        <v>45216</v>
      </c>
      <c r="B125" s="28" t="n">
        <f aca="false">COUNTIFS(Trades!$D$2:$D$884,$A125)</f>
        <v>1</v>
      </c>
      <c r="C125" s="28" t="n">
        <f aca="false">COUNTIFS(Trades!$D$2:$D$884,$A125,Trades!$Z$2:$Z$884,"Win")</f>
        <v>0</v>
      </c>
      <c r="D125" s="28" t="n">
        <f aca="false">COUNTIFS(Trades!$D$2:$D$884,$A125,Trades!$Z$2:$Z$884,"Loss")</f>
        <v>1</v>
      </c>
      <c r="E125" s="29" t="n">
        <f aca="false">IFERROR(C125/B125,0)</f>
        <v>0</v>
      </c>
      <c r="F125" s="30" t="n">
        <f aca="false">SUMIFS(Trades!$X$2:$X$884,Trades!$D$2:$D$884,$A125)</f>
        <v>-229.9</v>
      </c>
      <c r="G125" s="30" t="n">
        <f aca="false">SUMIFS(Trades!$X$2:$X$884,Trades!$D$2:$D$884,$A125,Trades!$X$2:$X$884,"&gt;0")</f>
        <v>0</v>
      </c>
      <c r="H125" s="30" t="n">
        <f aca="false">SUMIFS(Trades!$X$2:$X$884,Trades!$D$2:$D$884,$A125,Trades!$X$2:$X$884,"&lt;0")</f>
        <v>-229.9</v>
      </c>
      <c r="I125" s="31" t="n">
        <f aca="false">IFERROR(G125/-H125,"no loss")</f>
        <v>0</v>
      </c>
      <c r="J125" s="30" t="n">
        <f aca="false">_xlfn.MAXIFS(Trades!$X$2:$X$884,Trades!$D$2:$D$884,$A125)</f>
        <v>-229.9</v>
      </c>
      <c r="K125" s="30" t="n">
        <f aca="false">_xlfn.MINIFS(Trades!$X$2:$X$884,Trades!$D$2:$D$884,$A125)</f>
        <v>-229.9</v>
      </c>
      <c r="L125" s="32" t="n">
        <f aca="false">SUMIFS(Trades!$Y$2:$Y$884,Trades!$D$2:$D$884,$A125)</f>
        <v>-1.01092271432088</v>
      </c>
      <c r="M125" s="30" t="n">
        <f aca="false">P124</f>
        <v>103820.43</v>
      </c>
      <c r="N125" s="29" t="n">
        <f aca="false">IFERROR(F125/M125,0)</f>
        <v>-0.00221440038343128</v>
      </c>
      <c r="O125" s="28" t="str">
        <f aca="false">IF(-N125&gt;=Summary!$C$7,"BREACH","")</f>
        <v/>
      </c>
      <c r="P125" s="30" t="n">
        <f aca="false">M125+F125</f>
        <v>103590.53</v>
      </c>
      <c r="Q125" s="30" t="n">
        <f aca="false">P125-Summary!$C$5</f>
        <v>3590.53000000004</v>
      </c>
      <c r="R125" s="2" t="str">
        <f aca="false">TEXT(A125,"ddd")</f>
        <v>Tue</v>
      </c>
    </row>
    <row r="126" customFormat="false" ht="15" hidden="false" customHeight="false" outlineLevel="0" collapsed="false">
      <c r="A126" s="42" t="n">
        <v>45217</v>
      </c>
      <c r="B126" s="28" t="n">
        <f aca="false">COUNTIFS(Trades!$D$2:$D$884,$A126)</f>
        <v>1</v>
      </c>
      <c r="C126" s="28" t="n">
        <f aca="false">COUNTIFS(Trades!$D$2:$D$884,$A126,Trades!$Z$2:$Z$884,"Win")</f>
        <v>0</v>
      </c>
      <c r="D126" s="28" t="n">
        <f aca="false">COUNTIFS(Trades!$D$2:$D$884,$A126,Trades!$Z$2:$Z$884,"Loss")</f>
        <v>1</v>
      </c>
      <c r="E126" s="29" t="n">
        <f aca="false">IFERROR(C126/B126,0)</f>
        <v>0</v>
      </c>
      <c r="F126" s="30" t="n">
        <f aca="false">SUMIFS(Trades!$X$2:$X$884,Trades!$D$2:$D$884,$A126)</f>
        <v>-5.21</v>
      </c>
      <c r="G126" s="30" t="n">
        <f aca="false">SUMIFS(Trades!$X$2:$X$884,Trades!$D$2:$D$884,$A126,Trades!$X$2:$X$884,"&gt;0")</f>
        <v>0</v>
      </c>
      <c r="H126" s="30" t="n">
        <f aca="false">SUMIFS(Trades!$X$2:$X$884,Trades!$D$2:$D$884,$A126,Trades!$X$2:$X$884,"&lt;0")</f>
        <v>-5.21</v>
      </c>
      <c r="I126" s="31" t="n">
        <f aca="false">IFERROR(G126/-H126,"no loss")</f>
        <v>0</v>
      </c>
      <c r="J126" s="30" t="n">
        <f aca="false">_xlfn.MAXIFS(Trades!$X$2:$X$884,Trades!$D$2:$D$884,$A126)</f>
        <v>-5.21</v>
      </c>
      <c r="K126" s="30" t="n">
        <f aca="false">_xlfn.MINIFS(Trades!$X$2:$X$884,Trades!$D$2:$D$884,$A126)</f>
        <v>-5.21</v>
      </c>
      <c r="L126" s="32" t="n">
        <f aca="false">SUMIFS(Trades!$Y$2:$Y$884,Trades!$D$2:$D$884,$A126)</f>
        <v>-0.0477727447780076</v>
      </c>
      <c r="M126" s="30" t="n">
        <f aca="false">P125</f>
        <v>103590.53</v>
      </c>
      <c r="N126" s="29" t="n">
        <f aca="false">IFERROR(F126/M126,0)</f>
        <v>-5.02941726430012E-005</v>
      </c>
      <c r="O126" s="28" t="str">
        <f aca="false">IF(-N126&gt;=Summary!$C$7,"BREACH","")</f>
        <v/>
      </c>
      <c r="P126" s="30" t="n">
        <f aca="false">M126+F126</f>
        <v>103585.32</v>
      </c>
      <c r="Q126" s="30" t="n">
        <f aca="false">P126-Summary!$C$5</f>
        <v>3585.32000000004</v>
      </c>
      <c r="R126" s="2" t="str">
        <f aca="false">TEXT(A126,"ddd")</f>
        <v>Wed</v>
      </c>
    </row>
    <row r="127" customFormat="false" ht="15" hidden="false" customHeight="false" outlineLevel="0" collapsed="false">
      <c r="A127" s="42" t="n">
        <v>45218</v>
      </c>
      <c r="B127" s="28" t="n">
        <f aca="false">COUNTIFS(Trades!$D$2:$D$884,$A127)</f>
        <v>1</v>
      </c>
      <c r="C127" s="28" t="n">
        <f aca="false">COUNTIFS(Trades!$D$2:$D$884,$A127,Trades!$Z$2:$Z$884,"Win")</f>
        <v>1</v>
      </c>
      <c r="D127" s="28" t="n">
        <f aca="false">COUNTIFS(Trades!$D$2:$D$884,$A127,Trades!$Z$2:$Z$884,"Loss")</f>
        <v>0</v>
      </c>
      <c r="E127" s="29" t="n">
        <f aca="false">IFERROR(C127/B127,0)</f>
        <v>1</v>
      </c>
      <c r="F127" s="30" t="n">
        <f aca="false">SUMIFS(Trades!$X$2:$X$884,Trades!$D$2:$D$884,$A127)</f>
        <v>209.62</v>
      </c>
      <c r="G127" s="30" t="n">
        <f aca="false">SUMIFS(Trades!$X$2:$X$884,Trades!$D$2:$D$884,$A127,Trades!$X$2:$X$884,"&gt;0")</f>
        <v>209.62</v>
      </c>
      <c r="H127" s="30" t="n">
        <f aca="false">SUMIFS(Trades!$X$2:$X$884,Trades!$D$2:$D$884,$A127,Trades!$X$2:$X$884,"&lt;0")</f>
        <v>0</v>
      </c>
      <c r="I127" s="31" t="str">
        <f aca="false">IFERROR(G127/-H127,"no loss")</f>
        <v>no loss</v>
      </c>
      <c r="J127" s="30" t="n">
        <f aca="false">_xlfn.MAXIFS(Trades!$X$2:$X$884,Trades!$D$2:$D$884,$A127)</f>
        <v>209.62</v>
      </c>
      <c r="K127" s="30" t="n">
        <f aca="false">_xlfn.MINIFS(Trades!$X$2:$X$884,Trades!$D$2:$D$884,$A127)</f>
        <v>209.62</v>
      </c>
      <c r="L127" s="32" t="n">
        <f aca="false">SUMIFS(Trades!$Y$2:$Y$884,Trades!$D$2:$D$884,$A127)</f>
        <v>2.00294297508036</v>
      </c>
      <c r="M127" s="30" t="n">
        <f aca="false">P126</f>
        <v>103585.32</v>
      </c>
      <c r="N127" s="29" t="n">
        <f aca="false">IFERROR(F127/M127,0)</f>
        <v>0.00202364582162801</v>
      </c>
      <c r="O127" s="28" t="str">
        <f aca="false">IF(-N127&gt;=Summary!$C$7,"BREACH","")</f>
        <v/>
      </c>
      <c r="P127" s="30" t="n">
        <f aca="false">M127+F127</f>
        <v>103794.94</v>
      </c>
      <c r="Q127" s="30" t="n">
        <f aca="false">P127-Summary!$C$5</f>
        <v>3794.94000000003</v>
      </c>
      <c r="R127" s="2" t="str">
        <f aca="false">TEXT(A127,"ddd")</f>
        <v>Thu</v>
      </c>
    </row>
    <row r="128" customFormat="false" ht="15" hidden="false" customHeight="false" outlineLevel="0" collapsed="false">
      <c r="A128" s="42" t="n">
        <v>45219</v>
      </c>
      <c r="B128" s="28" t="n">
        <f aca="false">COUNTIFS(Trades!$D$2:$D$884,$A128)</f>
        <v>1</v>
      </c>
      <c r="C128" s="28" t="n">
        <f aca="false">COUNTIFS(Trades!$D$2:$D$884,$A128,Trades!$Z$2:$Z$884,"Win")</f>
        <v>0</v>
      </c>
      <c r="D128" s="28" t="n">
        <f aca="false">COUNTIFS(Trades!$D$2:$D$884,$A128,Trades!$Z$2:$Z$884,"Loss")</f>
        <v>1</v>
      </c>
      <c r="E128" s="29" t="n">
        <f aca="false">IFERROR(C128/B128,0)</f>
        <v>0</v>
      </c>
      <c r="F128" s="30" t="n">
        <f aca="false">SUMIFS(Trades!$X$2:$X$884,Trades!$D$2:$D$884,$A128)</f>
        <v>-0.43</v>
      </c>
      <c r="G128" s="30" t="n">
        <f aca="false">SUMIFS(Trades!$X$2:$X$884,Trades!$D$2:$D$884,$A128,Trades!$X$2:$X$884,"&gt;0")</f>
        <v>0</v>
      </c>
      <c r="H128" s="30" t="n">
        <f aca="false">SUMIFS(Trades!$X$2:$X$884,Trades!$D$2:$D$884,$A128,Trades!$X$2:$X$884,"&lt;0")</f>
        <v>-0.43</v>
      </c>
      <c r="I128" s="31" t="n">
        <f aca="false">IFERROR(G128/-H128,"no loss")</f>
        <v>0</v>
      </c>
      <c r="J128" s="30" t="n">
        <f aca="false">_xlfn.MAXIFS(Trades!$X$2:$X$884,Trades!$D$2:$D$884,$A128)</f>
        <v>-0.43</v>
      </c>
      <c r="K128" s="30" t="n">
        <f aca="false">_xlfn.MINIFS(Trades!$X$2:$X$884,Trades!$D$2:$D$884,$A128)</f>
        <v>-0.43</v>
      </c>
      <c r="L128" s="32" t="n">
        <f aca="false">SUMIFS(Trades!$Y$2:$Y$884,Trades!$D$2:$D$884,$A128)</f>
        <v>-0.00600474794023219</v>
      </c>
      <c r="M128" s="30" t="n">
        <f aca="false">P127</f>
        <v>103794.94</v>
      </c>
      <c r="N128" s="29" t="n">
        <f aca="false">IFERROR(F128/M128,0)</f>
        <v>-4.14278383898097E-006</v>
      </c>
      <c r="O128" s="28" t="str">
        <f aca="false">IF(-N128&gt;=Summary!$C$7,"BREACH","")</f>
        <v/>
      </c>
      <c r="P128" s="30" t="n">
        <f aca="false">M128+F128</f>
        <v>103794.51</v>
      </c>
      <c r="Q128" s="30" t="n">
        <f aca="false">P128-Summary!$C$5</f>
        <v>3794.51000000004</v>
      </c>
      <c r="R128" s="2" t="str">
        <f aca="false">TEXT(A128,"ddd")</f>
        <v>Fri</v>
      </c>
    </row>
    <row r="129" customFormat="false" ht="15" hidden="false" customHeight="false" outlineLevel="0" collapsed="false">
      <c r="A129" s="42" t="n">
        <v>45222</v>
      </c>
      <c r="B129" s="28" t="n">
        <f aca="false">COUNTIFS(Trades!$D$2:$D$884,$A129)</f>
        <v>1</v>
      </c>
      <c r="C129" s="28" t="n">
        <f aca="false">COUNTIFS(Trades!$D$2:$D$884,$A129,Trades!$Z$2:$Z$884,"Win")</f>
        <v>0</v>
      </c>
      <c r="D129" s="28" t="n">
        <f aca="false">COUNTIFS(Trades!$D$2:$D$884,$A129,Trades!$Z$2:$Z$884,"Loss")</f>
        <v>1</v>
      </c>
      <c r="E129" s="29" t="n">
        <f aca="false">IFERROR(C129/B129,0)</f>
        <v>0</v>
      </c>
      <c r="F129" s="30" t="n">
        <f aca="false">SUMIFS(Trades!$X$2:$X$884,Trades!$D$2:$D$884,$A129)</f>
        <v>-76.48</v>
      </c>
      <c r="G129" s="30" t="n">
        <f aca="false">SUMIFS(Trades!$X$2:$X$884,Trades!$D$2:$D$884,$A129,Trades!$X$2:$X$884,"&gt;0")</f>
        <v>0</v>
      </c>
      <c r="H129" s="30" t="n">
        <f aca="false">SUMIFS(Trades!$X$2:$X$884,Trades!$D$2:$D$884,$A129,Trades!$X$2:$X$884,"&lt;0")</f>
        <v>-76.48</v>
      </c>
      <c r="I129" s="31" t="n">
        <f aca="false">IFERROR(G129/-H129,"no loss")</f>
        <v>0</v>
      </c>
      <c r="J129" s="30" t="n">
        <f aca="false">_xlfn.MAXIFS(Trades!$X$2:$X$884,Trades!$D$2:$D$884,$A129)</f>
        <v>-76.48</v>
      </c>
      <c r="K129" s="30" t="n">
        <f aca="false">_xlfn.MINIFS(Trades!$X$2:$X$884,Trades!$D$2:$D$884,$A129)</f>
        <v>-76.48</v>
      </c>
      <c r="L129" s="32" t="n">
        <f aca="false">SUMIFS(Trades!$Y$2:$Y$884,Trades!$D$2:$D$884,$A129)</f>
        <v>-1.01962457337874</v>
      </c>
      <c r="M129" s="30" t="n">
        <f aca="false">P128</f>
        <v>103794.51</v>
      </c>
      <c r="N129" s="29" t="n">
        <f aca="false">IFERROR(F129/M129,0)</f>
        <v>-0.00073684051304833</v>
      </c>
      <c r="O129" s="28" t="str">
        <f aca="false">IF(-N129&gt;=Summary!$C$7,"BREACH","")</f>
        <v/>
      </c>
      <c r="P129" s="30" t="n">
        <f aca="false">M129+F129</f>
        <v>103718.03</v>
      </c>
      <c r="Q129" s="30" t="n">
        <f aca="false">P129-Summary!$C$5</f>
        <v>3718.03000000004</v>
      </c>
      <c r="R129" s="2" t="str">
        <f aca="false">TEXT(A129,"ddd")</f>
        <v>Mon</v>
      </c>
    </row>
    <row r="130" customFormat="false" ht="15" hidden="false" customHeight="false" outlineLevel="0" collapsed="false">
      <c r="A130" s="42" t="n">
        <v>45223</v>
      </c>
      <c r="B130" s="28" t="n">
        <f aca="false">COUNTIFS(Trades!$D$2:$D$884,$A130)</f>
        <v>1</v>
      </c>
      <c r="C130" s="28" t="n">
        <f aca="false">COUNTIFS(Trades!$D$2:$D$884,$A130,Trades!$Z$2:$Z$884,"Win")</f>
        <v>0</v>
      </c>
      <c r="D130" s="28" t="n">
        <f aca="false">COUNTIFS(Trades!$D$2:$D$884,$A130,Trades!$Z$2:$Z$884,"Loss")</f>
        <v>1</v>
      </c>
      <c r="E130" s="29" t="n">
        <f aca="false">IFERROR(C130/B130,0)</f>
        <v>0</v>
      </c>
      <c r="F130" s="30" t="n">
        <f aca="false">SUMIFS(Trades!$X$2:$X$884,Trades!$D$2:$D$884,$A130)</f>
        <v>-176.82</v>
      </c>
      <c r="G130" s="30" t="n">
        <f aca="false">SUMIFS(Trades!$X$2:$X$884,Trades!$D$2:$D$884,$A130,Trades!$X$2:$X$884,"&gt;0")</f>
        <v>0</v>
      </c>
      <c r="H130" s="30" t="n">
        <f aca="false">SUMIFS(Trades!$X$2:$X$884,Trades!$D$2:$D$884,$A130,Trades!$X$2:$X$884,"&lt;0")</f>
        <v>-176.82</v>
      </c>
      <c r="I130" s="31" t="n">
        <f aca="false">IFERROR(G130/-H130,"no loss")</f>
        <v>0</v>
      </c>
      <c r="J130" s="30" t="n">
        <f aca="false">_xlfn.MAXIFS(Trades!$X$2:$X$884,Trades!$D$2:$D$884,$A130)</f>
        <v>-176.82</v>
      </c>
      <c r="K130" s="30" t="n">
        <f aca="false">_xlfn.MINIFS(Trades!$X$2:$X$884,Trades!$D$2:$D$884,$A130)</f>
        <v>-176.82</v>
      </c>
      <c r="L130" s="32" t="n">
        <f aca="false">SUMIFS(Trades!$Y$2:$Y$884,Trades!$D$2:$D$884,$A130)</f>
        <v>-1.05198653038403</v>
      </c>
      <c r="M130" s="30" t="n">
        <f aca="false">P129</f>
        <v>103718.03</v>
      </c>
      <c r="N130" s="29" t="n">
        <f aca="false">IFERROR(F130/M130,0)</f>
        <v>-0.00170481448596739</v>
      </c>
      <c r="O130" s="28" t="str">
        <f aca="false">IF(-N130&gt;=Summary!$C$7,"BREACH","")</f>
        <v/>
      </c>
      <c r="P130" s="30" t="n">
        <f aca="false">M130+F130</f>
        <v>103541.21</v>
      </c>
      <c r="Q130" s="30" t="n">
        <f aca="false">P130-Summary!$C$5</f>
        <v>3541.21000000004</v>
      </c>
      <c r="R130" s="2" t="str">
        <f aca="false">TEXT(A130,"ddd")</f>
        <v>Tue</v>
      </c>
    </row>
    <row r="131" customFormat="false" ht="15" hidden="false" customHeight="false" outlineLevel="0" collapsed="false">
      <c r="A131" s="42" t="n">
        <v>45224</v>
      </c>
      <c r="B131" s="28" t="n">
        <f aca="false">COUNTIFS(Trades!$D$2:$D$884,$A131)</f>
        <v>1</v>
      </c>
      <c r="C131" s="28" t="n">
        <f aca="false">COUNTIFS(Trades!$D$2:$D$884,$A131,Trades!$Z$2:$Z$884,"Win")</f>
        <v>1</v>
      </c>
      <c r="D131" s="28" t="n">
        <f aca="false">COUNTIFS(Trades!$D$2:$D$884,$A131,Trades!$Z$2:$Z$884,"Loss")</f>
        <v>0</v>
      </c>
      <c r="E131" s="29" t="n">
        <f aca="false">IFERROR(C131/B131,0)</f>
        <v>1</v>
      </c>
      <c r="F131" s="30" t="n">
        <f aca="false">SUMIFS(Trades!$X$2:$X$884,Trades!$D$2:$D$884,$A131)</f>
        <v>236.9</v>
      </c>
      <c r="G131" s="30" t="n">
        <f aca="false">SUMIFS(Trades!$X$2:$X$884,Trades!$D$2:$D$884,$A131,Trades!$X$2:$X$884,"&gt;0")</f>
        <v>236.9</v>
      </c>
      <c r="H131" s="30" t="n">
        <f aca="false">SUMIFS(Trades!$X$2:$X$884,Trades!$D$2:$D$884,$A131,Trades!$X$2:$X$884,"&lt;0")</f>
        <v>0</v>
      </c>
      <c r="I131" s="31" t="str">
        <f aca="false">IFERROR(G131/-H131,"no loss")</f>
        <v>no loss</v>
      </c>
      <c r="J131" s="30" t="n">
        <f aca="false">_xlfn.MAXIFS(Trades!$X$2:$X$884,Trades!$D$2:$D$884,$A131)</f>
        <v>236.9</v>
      </c>
      <c r="K131" s="30" t="n">
        <f aca="false">_xlfn.MINIFS(Trades!$X$2:$X$884,Trades!$D$2:$D$884,$A131)</f>
        <v>236.9</v>
      </c>
      <c r="L131" s="32" t="n">
        <f aca="false">SUMIFS(Trades!$Y$2:$Y$884,Trades!$D$2:$D$884,$A131)</f>
        <v>1.9665299752627</v>
      </c>
      <c r="M131" s="30" t="n">
        <f aca="false">P130</f>
        <v>103541.21</v>
      </c>
      <c r="N131" s="29" t="n">
        <f aca="false">IFERROR(F131/M131,0)</f>
        <v>0.0022879778978824</v>
      </c>
      <c r="O131" s="28" t="str">
        <f aca="false">IF(-N131&gt;=Summary!$C$7,"BREACH","")</f>
        <v/>
      </c>
      <c r="P131" s="30" t="n">
        <f aca="false">M131+F131</f>
        <v>103778.11</v>
      </c>
      <c r="Q131" s="30" t="n">
        <f aca="false">P131-Summary!$C$5</f>
        <v>3778.11000000003</v>
      </c>
      <c r="R131" s="2" t="str">
        <f aca="false">TEXT(A131,"ddd")</f>
        <v>Wed</v>
      </c>
    </row>
    <row r="132" customFormat="false" ht="15" hidden="false" customHeight="false" outlineLevel="0" collapsed="false">
      <c r="A132" s="42" t="n">
        <v>45225</v>
      </c>
      <c r="B132" s="28" t="n">
        <f aca="false">COUNTIFS(Trades!$D$2:$D$884,$A132)</f>
        <v>1</v>
      </c>
      <c r="C132" s="28" t="n">
        <f aca="false">COUNTIFS(Trades!$D$2:$D$884,$A132,Trades!$Z$2:$Z$884,"Win")</f>
        <v>1</v>
      </c>
      <c r="D132" s="28" t="n">
        <f aca="false">COUNTIFS(Trades!$D$2:$D$884,$A132,Trades!$Z$2:$Z$884,"Loss")</f>
        <v>0</v>
      </c>
      <c r="E132" s="29" t="n">
        <f aca="false">IFERROR(C132/B132,0)</f>
        <v>1</v>
      </c>
      <c r="F132" s="30" t="n">
        <f aca="false">SUMIFS(Trades!$X$2:$X$884,Trades!$D$2:$D$884,$A132)</f>
        <v>490.88</v>
      </c>
      <c r="G132" s="30" t="n">
        <f aca="false">SUMIFS(Trades!$X$2:$X$884,Trades!$D$2:$D$884,$A132,Trades!$X$2:$X$884,"&gt;0")</f>
        <v>490.88</v>
      </c>
      <c r="H132" s="30" t="n">
        <f aca="false">SUMIFS(Trades!$X$2:$X$884,Trades!$D$2:$D$884,$A132,Trades!$X$2:$X$884,"&lt;0")</f>
        <v>0</v>
      </c>
      <c r="I132" s="31" t="str">
        <f aca="false">IFERROR(G132/-H132,"no loss")</f>
        <v>no loss</v>
      </c>
      <c r="J132" s="30" t="n">
        <f aca="false">_xlfn.MAXIFS(Trades!$X$2:$X$884,Trades!$D$2:$D$884,$A132)</f>
        <v>490.88</v>
      </c>
      <c r="K132" s="30" t="n">
        <f aca="false">_xlfn.MINIFS(Trades!$X$2:$X$884,Trades!$D$2:$D$884,$A132)</f>
        <v>490.88</v>
      </c>
      <c r="L132" s="32" t="n">
        <f aca="false">SUMIFS(Trades!$Y$2:$Y$884,Trades!$D$2:$D$884,$A132)</f>
        <v>2.02963747023027</v>
      </c>
      <c r="M132" s="30" t="n">
        <f aca="false">P131</f>
        <v>103778.11</v>
      </c>
      <c r="N132" s="29" t="n">
        <f aca="false">IFERROR(F132/M132,0)</f>
        <v>0.00473009192400979</v>
      </c>
      <c r="O132" s="28" t="str">
        <f aca="false">IF(-N132&gt;=Summary!$C$7,"BREACH","")</f>
        <v/>
      </c>
      <c r="P132" s="30" t="n">
        <f aca="false">M132+F132</f>
        <v>104268.99</v>
      </c>
      <c r="Q132" s="30" t="n">
        <f aca="false">P132-Summary!$C$5</f>
        <v>4268.99000000003</v>
      </c>
      <c r="R132" s="2" t="str">
        <f aca="false">TEXT(A132,"ddd")</f>
        <v>Thu</v>
      </c>
    </row>
    <row r="133" customFormat="false" ht="15" hidden="false" customHeight="false" outlineLevel="0" collapsed="false">
      <c r="A133" s="42" t="n">
        <v>45229</v>
      </c>
      <c r="B133" s="28" t="n">
        <f aca="false">COUNTIFS(Trades!$D$2:$D$884,$A133)</f>
        <v>1</v>
      </c>
      <c r="C133" s="28" t="n">
        <f aca="false">COUNTIFS(Trades!$D$2:$D$884,$A133,Trades!$Z$2:$Z$884,"Win")</f>
        <v>0</v>
      </c>
      <c r="D133" s="28" t="n">
        <f aca="false">COUNTIFS(Trades!$D$2:$D$884,$A133,Trades!$Z$2:$Z$884,"Loss")</f>
        <v>1</v>
      </c>
      <c r="E133" s="29" t="n">
        <f aca="false">IFERROR(C133/B133,0)</f>
        <v>0</v>
      </c>
      <c r="F133" s="30" t="n">
        <f aca="false">SUMIFS(Trades!$X$2:$X$884,Trades!$D$2:$D$884,$A133)</f>
        <v>-0.7</v>
      </c>
      <c r="G133" s="30" t="n">
        <f aca="false">SUMIFS(Trades!$X$2:$X$884,Trades!$D$2:$D$884,$A133,Trades!$X$2:$X$884,"&gt;0")</f>
        <v>0</v>
      </c>
      <c r="H133" s="30" t="n">
        <f aca="false">SUMIFS(Trades!$X$2:$X$884,Trades!$D$2:$D$884,$A133,Trades!$X$2:$X$884,"&lt;0")</f>
        <v>-0.7</v>
      </c>
      <c r="I133" s="31" t="n">
        <f aca="false">IFERROR(G133/-H133,"no loss")</f>
        <v>0</v>
      </c>
      <c r="J133" s="30" t="n">
        <f aca="false">_xlfn.MAXIFS(Trades!$X$2:$X$884,Trades!$D$2:$D$884,$A133)</f>
        <v>-0.7</v>
      </c>
      <c r="K133" s="30" t="n">
        <f aca="false">_xlfn.MINIFS(Trades!$X$2:$X$884,Trades!$D$2:$D$884,$A133)</f>
        <v>-0.7</v>
      </c>
      <c r="L133" s="32" t="n">
        <f aca="false">SUMIFS(Trades!$Y$2:$Y$884,Trades!$D$2:$D$884,$A133)</f>
        <v>-0.003206537672237</v>
      </c>
      <c r="M133" s="30" t="n">
        <f aca="false">P132</f>
        <v>104268.99</v>
      </c>
      <c r="N133" s="29" t="n">
        <f aca="false">IFERROR(F133/M133,0)</f>
        <v>-6.71340539502684E-006</v>
      </c>
      <c r="O133" s="28" t="str">
        <f aca="false">IF(-N133&gt;=Summary!$C$7,"BREACH","")</f>
        <v/>
      </c>
      <c r="P133" s="30" t="n">
        <f aca="false">M133+F133</f>
        <v>104268.29</v>
      </c>
      <c r="Q133" s="30" t="n">
        <f aca="false">P133-Summary!$C$5</f>
        <v>4268.29000000004</v>
      </c>
      <c r="R133" s="2" t="str">
        <f aca="false">TEXT(A133,"ddd")</f>
        <v>Mon</v>
      </c>
    </row>
    <row r="134" customFormat="false" ht="15" hidden="false" customHeight="false" outlineLevel="0" collapsed="false">
      <c r="A134" s="42" t="n">
        <v>45230</v>
      </c>
      <c r="B134" s="28" t="n">
        <f aca="false">COUNTIFS(Trades!$D$2:$D$884,$A134)</f>
        <v>1</v>
      </c>
      <c r="C134" s="28" t="n">
        <f aca="false">COUNTIFS(Trades!$D$2:$D$884,$A134,Trades!$Z$2:$Z$884,"Win")</f>
        <v>0</v>
      </c>
      <c r="D134" s="28" t="n">
        <f aca="false">COUNTIFS(Trades!$D$2:$D$884,$A134,Trades!$Z$2:$Z$884,"Loss")</f>
        <v>1</v>
      </c>
      <c r="E134" s="29" t="n">
        <f aca="false">IFERROR(C134/B134,0)</f>
        <v>0</v>
      </c>
      <c r="F134" s="30" t="n">
        <f aca="false">SUMIFS(Trades!$X$2:$X$884,Trades!$D$2:$D$884,$A134)</f>
        <v>-97.79</v>
      </c>
      <c r="G134" s="30" t="n">
        <f aca="false">SUMIFS(Trades!$X$2:$X$884,Trades!$D$2:$D$884,$A134,Trades!$X$2:$X$884,"&gt;0")</f>
        <v>0</v>
      </c>
      <c r="H134" s="30" t="n">
        <f aca="false">SUMIFS(Trades!$X$2:$X$884,Trades!$D$2:$D$884,$A134,Trades!$X$2:$X$884,"&lt;0")</f>
        <v>-97.79</v>
      </c>
      <c r="I134" s="31" t="n">
        <f aca="false">IFERROR(G134/-H134,"no loss")</f>
        <v>0</v>
      </c>
      <c r="J134" s="30" t="n">
        <f aca="false">_xlfn.MAXIFS(Trades!$X$2:$X$884,Trades!$D$2:$D$884,$A134)</f>
        <v>-97.79</v>
      </c>
      <c r="K134" s="30" t="n">
        <f aca="false">_xlfn.MINIFS(Trades!$X$2:$X$884,Trades!$D$2:$D$884,$A134)</f>
        <v>-97.79</v>
      </c>
      <c r="L134" s="32" t="n">
        <f aca="false">SUMIFS(Trades!$Y$2:$Y$884,Trades!$D$2:$D$884,$A134)</f>
        <v>-1.00194672131148</v>
      </c>
      <c r="M134" s="30" t="n">
        <f aca="false">P133</f>
        <v>104268.29</v>
      </c>
      <c r="N134" s="29" t="n">
        <f aca="false">IFERROR(F134/M134,0)</f>
        <v>-0.000937869029980256</v>
      </c>
      <c r="O134" s="28" t="str">
        <f aca="false">IF(-N134&gt;=Summary!$C$7,"BREACH","")</f>
        <v/>
      </c>
      <c r="P134" s="30" t="n">
        <f aca="false">M134+F134</f>
        <v>104170.5</v>
      </c>
      <c r="Q134" s="30" t="n">
        <f aca="false">P134-Summary!$C$5</f>
        <v>4170.50000000004</v>
      </c>
      <c r="R134" s="2" t="str">
        <f aca="false">TEXT(A134,"ddd")</f>
        <v>Tue</v>
      </c>
    </row>
    <row r="135" customFormat="false" ht="15" hidden="false" customHeight="false" outlineLevel="0" collapsed="false">
      <c r="A135" s="42" t="n">
        <v>45231</v>
      </c>
      <c r="B135" s="28" t="n">
        <f aca="false">COUNTIFS(Trades!$D$2:$D$884,$A135)</f>
        <v>1</v>
      </c>
      <c r="C135" s="28" t="n">
        <f aca="false">COUNTIFS(Trades!$D$2:$D$884,$A135,Trades!$Z$2:$Z$884,"Win")</f>
        <v>0</v>
      </c>
      <c r="D135" s="28" t="n">
        <f aca="false">COUNTIFS(Trades!$D$2:$D$884,$A135,Trades!$Z$2:$Z$884,"Loss")</f>
        <v>1</v>
      </c>
      <c r="E135" s="29" t="n">
        <f aca="false">IFERROR(C135/B135,0)</f>
        <v>0</v>
      </c>
      <c r="F135" s="30" t="n">
        <f aca="false">SUMIFS(Trades!$X$2:$X$884,Trades!$D$2:$D$884,$A135)</f>
        <v>-158.21</v>
      </c>
      <c r="G135" s="30" t="n">
        <f aca="false">SUMIFS(Trades!$X$2:$X$884,Trades!$D$2:$D$884,$A135,Trades!$X$2:$X$884,"&gt;0")</f>
        <v>0</v>
      </c>
      <c r="H135" s="30" t="n">
        <f aca="false">SUMIFS(Trades!$X$2:$X$884,Trades!$D$2:$D$884,$A135,Trades!$X$2:$X$884,"&lt;0")</f>
        <v>-158.21</v>
      </c>
      <c r="I135" s="31" t="n">
        <f aca="false">IFERROR(G135/-H135,"no loss")</f>
        <v>0</v>
      </c>
      <c r="J135" s="30" t="n">
        <f aca="false">_xlfn.MAXIFS(Trades!$X$2:$X$884,Trades!$D$2:$D$884,$A135)</f>
        <v>-158.21</v>
      </c>
      <c r="K135" s="30" t="n">
        <f aca="false">_xlfn.MINIFS(Trades!$X$2:$X$884,Trades!$D$2:$D$884,$A135)</f>
        <v>-158.21</v>
      </c>
      <c r="L135" s="32" t="n">
        <f aca="false">SUMIFS(Trades!$Y$2:$Y$884,Trades!$D$2:$D$884,$A135)</f>
        <v>-1.01939432989691</v>
      </c>
      <c r="M135" s="30" t="n">
        <f aca="false">P134</f>
        <v>104170.5</v>
      </c>
      <c r="N135" s="29" t="n">
        <f aca="false">IFERROR(F135/M135,0)</f>
        <v>-0.00151876010962797</v>
      </c>
      <c r="O135" s="28" t="str">
        <f aca="false">IF(-N135&gt;=Summary!$C$7,"BREACH","")</f>
        <v/>
      </c>
      <c r="P135" s="30" t="n">
        <f aca="false">M135+F135</f>
        <v>104012.29</v>
      </c>
      <c r="Q135" s="30" t="n">
        <f aca="false">P135-Summary!$C$5</f>
        <v>4012.29000000004</v>
      </c>
      <c r="R135" s="2" t="str">
        <f aca="false">TEXT(A135,"ddd")</f>
        <v>Wed</v>
      </c>
    </row>
    <row r="136" customFormat="false" ht="15" hidden="false" customHeight="false" outlineLevel="0" collapsed="false">
      <c r="A136" s="42" t="n">
        <v>45232</v>
      </c>
      <c r="B136" s="28" t="n">
        <f aca="false">COUNTIFS(Trades!$D$2:$D$884,$A136)</f>
        <v>1</v>
      </c>
      <c r="C136" s="28" t="n">
        <f aca="false">COUNTIFS(Trades!$D$2:$D$884,$A136,Trades!$Z$2:$Z$884,"Win")</f>
        <v>1</v>
      </c>
      <c r="D136" s="28" t="n">
        <f aca="false">COUNTIFS(Trades!$D$2:$D$884,$A136,Trades!$Z$2:$Z$884,"Loss")</f>
        <v>0</v>
      </c>
      <c r="E136" s="29" t="n">
        <f aca="false">IFERROR(C136/B136,0)</f>
        <v>1</v>
      </c>
      <c r="F136" s="30" t="n">
        <f aca="false">SUMIFS(Trades!$X$2:$X$884,Trades!$D$2:$D$884,$A136)</f>
        <v>155.06</v>
      </c>
      <c r="G136" s="30" t="n">
        <f aca="false">SUMIFS(Trades!$X$2:$X$884,Trades!$D$2:$D$884,$A136,Trades!$X$2:$X$884,"&gt;0")</f>
        <v>155.06</v>
      </c>
      <c r="H136" s="30" t="n">
        <f aca="false">SUMIFS(Trades!$X$2:$X$884,Trades!$D$2:$D$884,$A136,Trades!$X$2:$X$884,"&lt;0")</f>
        <v>0</v>
      </c>
      <c r="I136" s="31" t="str">
        <f aca="false">IFERROR(G136/-H136,"no loss")</f>
        <v>no loss</v>
      </c>
      <c r="J136" s="30" t="n">
        <f aca="false">_xlfn.MAXIFS(Trades!$X$2:$X$884,Trades!$D$2:$D$884,$A136)</f>
        <v>155.06</v>
      </c>
      <c r="K136" s="30" t="n">
        <f aca="false">_xlfn.MINIFS(Trades!$X$2:$X$884,Trades!$D$2:$D$884,$A136)</f>
        <v>155.06</v>
      </c>
      <c r="L136" s="32" t="n">
        <f aca="false">SUMIFS(Trades!$Y$2:$Y$884,Trades!$D$2:$D$884,$A136)</f>
        <v>2.00558760379731</v>
      </c>
      <c r="M136" s="30" t="n">
        <f aca="false">P135</f>
        <v>104012.29</v>
      </c>
      <c r="N136" s="29" t="n">
        <f aca="false">IFERROR(F136/M136,0)</f>
        <v>0.0014907853677676</v>
      </c>
      <c r="O136" s="28" t="str">
        <f aca="false">IF(-N136&gt;=Summary!$C$7,"BREACH","")</f>
        <v/>
      </c>
      <c r="P136" s="30" t="n">
        <f aca="false">M136+F136</f>
        <v>104167.35</v>
      </c>
      <c r="Q136" s="30" t="n">
        <f aca="false">P136-Summary!$C$5</f>
        <v>4167.35000000004</v>
      </c>
      <c r="R136" s="2" t="str">
        <f aca="false">TEXT(A136,"ddd")</f>
        <v>Thu</v>
      </c>
    </row>
    <row r="137" customFormat="false" ht="15" hidden="false" customHeight="false" outlineLevel="0" collapsed="false">
      <c r="A137" s="42" t="n">
        <v>45233</v>
      </c>
      <c r="B137" s="28" t="n">
        <f aca="false">COUNTIFS(Trades!$D$2:$D$884,$A137)</f>
        <v>1</v>
      </c>
      <c r="C137" s="28" t="n">
        <f aca="false">COUNTIFS(Trades!$D$2:$D$884,$A137,Trades!$Z$2:$Z$884,"Win")</f>
        <v>0</v>
      </c>
      <c r="D137" s="28" t="n">
        <f aca="false">COUNTIFS(Trades!$D$2:$D$884,$A137,Trades!$Z$2:$Z$884,"Loss")</f>
        <v>1</v>
      </c>
      <c r="E137" s="29" t="n">
        <f aca="false">IFERROR(C137/B137,0)</f>
        <v>0</v>
      </c>
      <c r="F137" s="30" t="n">
        <f aca="false">SUMIFS(Trades!$X$2:$X$884,Trades!$D$2:$D$884,$A137)</f>
        <v>-0.19</v>
      </c>
      <c r="G137" s="30" t="n">
        <f aca="false">SUMIFS(Trades!$X$2:$X$884,Trades!$D$2:$D$884,$A137,Trades!$X$2:$X$884,"&gt;0")</f>
        <v>0</v>
      </c>
      <c r="H137" s="30" t="n">
        <f aca="false">SUMIFS(Trades!$X$2:$X$884,Trades!$D$2:$D$884,$A137,Trades!$X$2:$X$884,"&lt;0")</f>
        <v>-0.19</v>
      </c>
      <c r="I137" s="31" t="n">
        <f aca="false">IFERROR(G137/-H137,"no loss")</f>
        <v>0</v>
      </c>
      <c r="J137" s="30" t="n">
        <f aca="false">_xlfn.MAXIFS(Trades!$X$2:$X$884,Trades!$D$2:$D$884,$A137)</f>
        <v>-0.19</v>
      </c>
      <c r="K137" s="30" t="n">
        <f aca="false">_xlfn.MINIFS(Trades!$X$2:$X$884,Trades!$D$2:$D$884,$A137)</f>
        <v>-0.19</v>
      </c>
      <c r="L137" s="32" t="n">
        <f aca="false">SUMIFS(Trades!$Y$2:$Y$884,Trades!$D$2:$D$884,$A137)</f>
        <v>-0.00133239831697055</v>
      </c>
      <c r="M137" s="30" t="n">
        <f aca="false">P136</f>
        <v>104167.35</v>
      </c>
      <c r="N137" s="29" t="n">
        <f aca="false">IFERROR(F137/M137,0)</f>
        <v>-1.82398803463849E-006</v>
      </c>
      <c r="O137" s="28" t="str">
        <f aca="false">IF(-N137&gt;=Summary!$C$7,"BREACH","")</f>
        <v/>
      </c>
      <c r="P137" s="30" t="n">
        <f aca="false">M137+F137</f>
        <v>104167.16</v>
      </c>
      <c r="Q137" s="30" t="n">
        <f aca="false">P137-Summary!$C$5</f>
        <v>4167.16000000003</v>
      </c>
      <c r="R137" s="2" t="str">
        <f aca="false">TEXT(A137,"ddd")</f>
        <v>Fri</v>
      </c>
    </row>
    <row r="138" customFormat="false" ht="15" hidden="false" customHeight="false" outlineLevel="0" collapsed="false">
      <c r="A138" s="42" t="n">
        <v>45236</v>
      </c>
      <c r="B138" s="28" t="n">
        <f aca="false">COUNTIFS(Trades!$D$2:$D$884,$A138)</f>
        <v>1</v>
      </c>
      <c r="C138" s="28" t="n">
        <f aca="false">COUNTIFS(Trades!$D$2:$D$884,$A138,Trades!$Z$2:$Z$884,"Win")</f>
        <v>0</v>
      </c>
      <c r="D138" s="28" t="n">
        <f aca="false">COUNTIFS(Trades!$D$2:$D$884,$A138,Trades!$Z$2:$Z$884,"Loss")</f>
        <v>1</v>
      </c>
      <c r="E138" s="29" t="n">
        <f aca="false">IFERROR(C138/B138,0)</f>
        <v>0</v>
      </c>
      <c r="F138" s="30" t="n">
        <f aca="false">SUMIFS(Trades!$X$2:$X$884,Trades!$D$2:$D$884,$A138)</f>
        <v>-77.94</v>
      </c>
      <c r="G138" s="30" t="n">
        <f aca="false">SUMIFS(Trades!$X$2:$X$884,Trades!$D$2:$D$884,$A138,Trades!$X$2:$X$884,"&gt;0")</f>
        <v>0</v>
      </c>
      <c r="H138" s="30" t="n">
        <f aca="false">SUMIFS(Trades!$X$2:$X$884,Trades!$D$2:$D$884,$A138,Trades!$X$2:$X$884,"&lt;0")</f>
        <v>-77.94</v>
      </c>
      <c r="I138" s="31" t="n">
        <f aca="false">IFERROR(G138/-H138,"no loss")</f>
        <v>0</v>
      </c>
      <c r="J138" s="30" t="n">
        <f aca="false">_xlfn.MAXIFS(Trades!$X$2:$X$884,Trades!$D$2:$D$884,$A138)</f>
        <v>-77.94</v>
      </c>
      <c r="K138" s="30" t="n">
        <f aca="false">_xlfn.MINIFS(Trades!$X$2:$X$884,Trades!$D$2:$D$884,$A138)</f>
        <v>-77.94</v>
      </c>
      <c r="L138" s="32" t="n">
        <f aca="false">SUMIFS(Trades!$Y$2:$Y$884,Trades!$D$2:$D$884,$A138)</f>
        <v>-1.01802507836989</v>
      </c>
      <c r="M138" s="30" t="n">
        <f aca="false">P137</f>
        <v>104167.16</v>
      </c>
      <c r="N138" s="29" t="n">
        <f aca="false">IFERROR(F138/M138,0)</f>
        <v>-0.000748220456427918</v>
      </c>
      <c r="O138" s="28" t="str">
        <f aca="false">IF(-N138&gt;=Summary!$C$7,"BREACH","")</f>
        <v/>
      </c>
      <c r="P138" s="30" t="n">
        <f aca="false">M138+F138</f>
        <v>104089.22</v>
      </c>
      <c r="Q138" s="30" t="n">
        <f aca="false">P138-Summary!$C$5</f>
        <v>4089.22000000003</v>
      </c>
      <c r="R138" s="2" t="str">
        <f aca="false">TEXT(A138,"ddd")</f>
        <v>Mon</v>
      </c>
    </row>
    <row r="139" customFormat="false" ht="15" hidden="false" customHeight="false" outlineLevel="0" collapsed="false">
      <c r="A139" s="42" t="n">
        <v>45237</v>
      </c>
      <c r="B139" s="28" t="n">
        <f aca="false">COUNTIFS(Trades!$D$2:$D$884,$A139)</f>
        <v>1</v>
      </c>
      <c r="C139" s="28" t="n">
        <f aca="false">COUNTIFS(Trades!$D$2:$D$884,$A139,Trades!$Z$2:$Z$884,"Win")</f>
        <v>1</v>
      </c>
      <c r="D139" s="28" t="n">
        <f aca="false">COUNTIFS(Trades!$D$2:$D$884,$A139,Trades!$Z$2:$Z$884,"Loss")</f>
        <v>0</v>
      </c>
      <c r="E139" s="29" t="n">
        <f aca="false">IFERROR(C139/B139,0)</f>
        <v>1</v>
      </c>
      <c r="F139" s="30" t="n">
        <f aca="false">SUMIFS(Trades!$X$2:$X$884,Trades!$D$2:$D$884,$A139)</f>
        <v>126.24</v>
      </c>
      <c r="G139" s="30" t="n">
        <f aca="false">SUMIFS(Trades!$X$2:$X$884,Trades!$D$2:$D$884,$A139,Trades!$X$2:$X$884,"&gt;0")</f>
        <v>126.24</v>
      </c>
      <c r="H139" s="30" t="n">
        <f aca="false">SUMIFS(Trades!$X$2:$X$884,Trades!$D$2:$D$884,$A139,Trades!$X$2:$X$884,"&lt;0")</f>
        <v>0</v>
      </c>
      <c r="I139" s="31" t="str">
        <f aca="false">IFERROR(G139/-H139,"no loss")</f>
        <v>no loss</v>
      </c>
      <c r="J139" s="30" t="n">
        <f aca="false">_xlfn.MAXIFS(Trades!$X$2:$X$884,Trades!$D$2:$D$884,$A139)</f>
        <v>126.24</v>
      </c>
      <c r="K139" s="30" t="n">
        <f aca="false">_xlfn.MINIFS(Trades!$X$2:$X$884,Trades!$D$2:$D$884,$A139)</f>
        <v>126.24</v>
      </c>
      <c r="L139" s="32" t="n">
        <f aca="false">SUMIFS(Trades!$Y$2:$Y$884,Trades!$D$2:$D$884,$A139)</f>
        <v>2.11457286432184</v>
      </c>
      <c r="M139" s="30" t="n">
        <f aca="false">P138</f>
        <v>104089.22</v>
      </c>
      <c r="N139" s="29" t="n">
        <f aca="false">IFERROR(F139/M139,0)</f>
        <v>0.00121280570648911</v>
      </c>
      <c r="O139" s="28" t="str">
        <f aca="false">IF(-N139&gt;=Summary!$C$7,"BREACH","")</f>
        <v/>
      </c>
      <c r="P139" s="30" t="n">
        <f aca="false">M139+F139</f>
        <v>104215.46</v>
      </c>
      <c r="Q139" s="30" t="n">
        <f aca="false">P139-Summary!$C$5</f>
        <v>4215.46000000004</v>
      </c>
      <c r="R139" s="2" t="str">
        <f aca="false">TEXT(A139,"ddd")</f>
        <v>Tue</v>
      </c>
    </row>
    <row r="140" customFormat="false" ht="15" hidden="false" customHeight="false" outlineLevel="0" collapsed="false">
      <c r="A140" s="42" t="n">
        <v>45238</v>
      </c>
      <c r="B140" s="28" t="n">
        <f aca="false">COUNTIFS(Trades!$D$2:$D$884,$A140)</f>
        <v>1</v>
      </c>
      <c r="C140" s="28" t="n">
        <f aca="false">COUNTIFS(Trades!$D$2:$D$884,$A140,Trades!$Z$2:$Z$884,"Win")</f>
        <v>0</v>
      </c>
      <c r="D140" s="28" t="n">
        <f aca="false">COUNTIFS(Trades!$D$2:$D$884,$A140,Trades!$Z$2:$Z$884,"Loss")</f>
        <v>1</v>
      </c>
      <c r="E140" s="29" t="n">
        <f aca="false">IFERROR(C140/B140,0)</f>
        <v>0</v>
      </c>
      <c r="F140" s="30" t="n">
        <f aca="false">SUMIFS(Trades!$X$2:$X$884,Trades!$D$2:$D$884,$A140)</f>
        <v>-104.88</v>
      </c>
      <c r="G140" s="30" t="n">
        <f aca="false">SUMIFS(Trades!$X$2:$X$884,Trades!$D$2:$D$884,$A140,Trades!$X$2:$X$884,"&gt;0")</f>
        <v>0</v>
      </c>
      <c r="H140" s="30" t="n">
        <f aca="false">SUMIFS(Trades!$X$2:$X$884,Trades!$D$2:$D$884,$A140,Trades!$X$2:$X$884,"&lt;0")</f>
        <v>-104.88</v>
      </c>
      <c r="I140" s="31" t="n">
        <f aca="false">IFERROR(G140/-H140,"no loss")</f>
        <v>0</v>
      </c>
      <c r="J140" s="30" t="n">
        <f aca="false">_xlfn.MAXIFS(Trades!$X$2:$X$884,Trades!$D$2:$D$884,$A140)</f>
        <v>-104.88</v>
      </c>
      <c r="K140" s="30" t="n">
        <f aca="false">_xlfn.MINIFS(Trades!$X$2:$X$884,Trades!$D$2:$D$884,$A140)</f>
        <v>-104.88</v>
      </c>
      <c r="L140" s="32" t="n">
        <f aca="false">SUMIFS(Trades!$Y$2:$Y$884,Trades!$D$2:$D$884,$A140)</f>
        <v>-1.03248670998226</v>
      </c>
      <c r="M140" s="30" t="n">
        <f aca="false">P139</f>
        <v>104215.46</v>
      </c>
      <c r="N140" s="29" t="n">
        <f aca="false">IFERROR(F140/M140,0)</f>
        <v>-0.00100637659709989</v>
      </c>
      <c r="O140" s="28" t="str">
        <f aca="false">IF(-N140&gt;=Summary!$C$7,"BREACH","")</f>
        <v/>
      </c>
      <c r="P140" s="30" t="n">
        <f aca="false">M140+F140</f>
        <v>104110.58</v>
      </c>
      <c r="Q140" s="30" t="n">
        <f aca="false">P140-Summary!$C$5</f>
        <v>4110.58000000003</v>
      </c>
      <c r="R140" s="2" t="str">
        <f aca="false">TEXT(A140,"ddd")</f>
        <v>Wed</v>
      </c>
    </row>
    <row r="141" customFormat="false" ht="15" hidden="false" customHeight="false" outlineLevel="0" collapsed="false">
      <c r="A141" s="42" t="n">
        <v>45239</v>
      </c>
      <c r="B141" s="28" t="n">
        <f aca="false">COUNTIFS(Trades!$D$2:$D$884,$A141)</f>
        <v>2</v>
      </c>
      <c r="C141" s="28" t="n">
        <f aca="false">COUNTIFS(Trades!$D$2:$D$884,$A141,Trades!$Z$2:$Z$884,"Win")</f>
        <v>0</v>
      </c>
      <c r="D141" s="28" t="n">
        <f aca="false">COUNTIFS(Trades!$D$2:$D$884,$A141,Trades!$Z$2:$Z$884,"Loss")</f>
        <v>2</v>
      </c>
      <c r="E141" s="29" t="n">
        <f aca="false">IFERROR(C141/B141,0)</f>
        <v>0</v>
      </c>
      <c r="F141" s="30" t="n">
        <f aca="false">SUMIFS(Trades!$X$2:$X$884,Trades!$D$2:$D$884,$A141)</f>
        <v>-153</v>
      </c>
      <c r="G141" s="30" t="n">
        <f aca="false">SUMIFS(Trades!$X$2:$X$884,Trades!$D$2:$D$884,$A141,Trades!$X$2:$X$884,"&gt;0")</f>
        <v>0</v>
      </c>
      <c r="H141" s="30" t="n">
        <f aca="false">SUMIFS(Trades!$X$2:$X$884,Trades!$D$2:$D$884,$A141,Trades!$X$2:$X$884,"&lt;0")</f>
        <v>-153</v>
      </c>
      <c r="I141" s="31" t="n">
        <f aca="false">IFERROR(G141/-H141,"no loss")</f>
        <v>0</v>
      </c>
      <c r="J141" s="30" t="n">
        <f aca="false">_xlfn.MAXIFS(Trades!$X$2:$X$884,Trades!$D$2:$D$884,$A141)</f>
        <v>-5.82</v>
      </c>
      <c r="K141" s="30" t="n">
        <f aca="false">_xlfn.MINIFS(Trades!$X$2:$X$884,Trades!$D$2:$D$884,$A141)</f>
        <v>-147.18</v>
      </c>
      <c r="L141" s="32" t="n">
        <f aca="false">SUMIFS(Trades!$Y$2:$Y$884,Trades!$D$2:$D$884,$A141)</f>
        <v>-1.06942952119573</v>
      </c>
      <c r="M141" s="30" t="n">
        <f aca="false">P140</f>
        <v>104110.58</v>
      </c>
      <c r="N141" s="29" t="n">
        <f aca="false">IFERROR(F141/M141,0)</f>
        <v>-0.00146959127496936</v>
      </c>
      <c r="O141" s="28" t="str">
        <f aca="false">IF(-N141&gt;=Summary!$C$7,"BREACH","")</f>
        <v/>
      </c>
      <c r="P141" s="30" t="n">
        <f aca="false">M141+F141</f>
        <v>103957.58</v>
      </c>
      <c r="Q141" s="30" t="n">
        <f aca="false">P141-Summary!$C$5</f>
        <v>3957.58000000003</v>
      </c>
      <c r="R141" s="2" t="str">
        <f aca="false">TEXT(A141,"ddd")</f>
        <v>Thu</v>
      </c>
    </row>
    <row r="142" customFormat="false" ht="15" hidden="false" customHeight="false" outlineLevel="0" collapsed="false">
      <c r="A142" s="42" t="n">
        <v>45240</v>
      </c>
      <c r="B142" s="28" t="n">
        <f aca="false">COUNTIFS(Trades!$D$2:$D$884,$A142)</f>
        <v>2</v>
      </c>
      <c r="C142" s="28" t="n">
        <f aca="false">COUNTIFS(Trades!$D$2:$D$884,$A142,Trades!$Z$2:$Z$884,"Win")</f>
        <v>1</v>
      </c>
      <c r="D142" s="28" t="n">
        <f aca="false">COUNTIFS(Trades!$D$2:$D$884,$A142,Trades!$Z$2:$Z$884,"Loss")</f>
        <v>1</v>
      </c>
      <c r="E142" s="29" t="n">
        <f aca="false">IFERROR(C142/B142,0)</f>
        <v>0.5</v>
      </c>
      <c r="F142" s="30" t="n">
        <f aca="false">SUMIFS(Trades!$X$2:$X$884,Trades!$D$2:$D$884,$A142)</f>
        <v>180.18</v>
      </c>
      <c r="G142" s="30" t="n">
        <f aca="false">SUMIFS(Trades!$X$2:$X$884,Trades!$D$2:$D$884,$A142,Trades!$X$2:$X$884,"&gt;0")</f>
        <v>181.44</v>
      </c>
      <c r="H142" s="30" t="n">
        <f aca="false">SUMIFS(Trades!$X$2:$X$884,Trades!$D$2:$D$884,$A142,Trades!$X$2:$X$884,"&lt;0")</f>
        <v>-1.26</v>
      </c>
      <c r="I142" s="31" t="n">
        <f aca="false">IFERROR(G142/-H142,"no loss")</f>
        <v>144</v>
      </c>
      <c r="J142" s="30" t="n">
        <f aca="false">_xlfn.MAXIFS(Trades!$X$2:$X$884,Trades!$D$2:$D$884,$A142)</f>
        <v>181.44</v>
      </c>
      <c r="K142" s="30" t="n">
        <f aca="false">_xlfn.MINIFS(Trades!$X$2:$X$884,Trades!$D$2:$D$884,$A142)</f>
        <v>-1.26</v>
      </c>
      <c r="L142" s="32" t="n">
        <f aca="false">SUMIFS(Trades!$Y$2:$Y$884,Trades!$D$2:$D$884,$A142)</f>
        <v>2.21686822056705</v>
      </c>
      <c r="M142" s="30" t="n">
        <f aca="false">P141</f>
        <v>103957.58</v>
      </c>
      <c r="N142" s="29" t="n">
        <f aca="false">IFERROR(F142/M142,0)</f>
        <v>0.00173320694844955</v>
      </c>
      <c r="O142" s="28" t="str">
        <f aca="false">IF(-N142&gt;=Summary!$C$7,"BREACH","")</f>
        <v/>
      </c>
      <c r="P142" s="30" t="n">
        <f aca="false">M142+F142</f>
        <v>104137.76</v>
      </c>
      <c r="Q142" s="30" t="n">
        <f aca="false">P142-Summary!$C$5</f>
        <v>4137.76000000002</v>
      </c>
      <c r="R142" s="2" t="str">
        <f aca="false">TEXT(A142,"ddd")</f>
        <v>Fri</v>
      </c>
    </row>
    <row r="143" customFormat="false" ht="15" hidden="false" customHeight="false" outlineLevel="0" collapsed="false">
      <c r="A143" s="42" t="n">
        <v>45244</v>
      </c>
      <c r="B143" s="28" t="n">
        <f aca="false">COUNTIFS(Trades!$D$2:$D$884,$A143)</f>
        <v>1</v>
      </c>
      <c r="C143" s="28" t="n">
        <f aca="false">COUNTIFS(Trades!$D$2:$D$884,$A143,Trades!$Z$2:$Z$884,"Win")</f>
        <v>1</v>
      </c>
      <c r="D143" s="28" t="n">
        <f aca="false">COUNTIFS(Trades!$D$2:$D$884,$A143,Trades!$Z$2:$Z$884,"Loss")</f>
        <v>0</v>
      </c>
      <c r="E143" s="29" t="n">
        <f aca="false">IFERROR(C143/B143,0)</f>
        <v>1</v>
      </c>
      <c r="F143" s="30" t="n">
        <f aca="false">SUMIFS(Trades!$X$2:$X$884,Trades!$D$2:$D$884,$A143)</f>
        <v>56.76</v>
      </c>
      <c r="G143" s="30" t="n">
        <f aca="false">SUMIFS(Trades!$X$2:$X$884,Trades!$D$2:$D$884,$A143,Trades!$X$2:$X$884,"&gt;0")</f>
        <v>56.76</v>
      </c>
      <c r="H143" s="30" t="n">
        <f aca="false">SUMIFS(Trades!$X$2:$X$884,Trades!$D$2:$D$884,$A143,Trades!$X$2:$X$884,"&lt;0")</f>
        <v>0</v>
      </c>
      <c r="I143" s="31" t="str">
        <f aca="false">IFERROR(G143/-H143,"no loss")</f>
        <v>no loss</v>
      </c>
      <c r="J143" s="30" t="n">
        <f aca="false">_xlfn.MAXIFS(Trades!$X$2:$X$884,Trades!$D$2:$D$884,$A143)</f>
        <v>56.76</v>
      </c>
      <c r="K143" s="30" t="n">
        <f aca="false">_xlfn.MINIFS(Trades!$X$2:$X$884,Trades!$D$2:$D$884,$A143)</f>
        <v>56.76</v>
      </c>
      <c r="L143" s="32" t="n">
        <f aca="false">SUMIFS(Trades!$Y$2:$Y$884,Trades!$D$2:$D$884,$A143)</f>
        <v>2.00423728813587</v>
      </c>
      <c r="M143" s="30" t="n">
        <f aca="false">P142</f>
        <v>104137.76</v>
      </c>
      <c r="N143" s="29" t="n">
        <f aca="false">IFERROR(F143/M143,0)</f>
        <v>0.000545047252792839</v>
      </c>
      <c r="O143" s="28" t="str">
        <f aca="false">IF(-N143&gt;=Summary!$C$7,"BREACH","")</f>
        <v/>
      </c>
      <c r="P143" s="30" t="n">
        <f aca="false">M143+F143</f>
        <v>104194.52</v>
      </c>
      <c r="Q143" s="30" t="n">
        <f aca="false">P143-Summary!$C$5</f>
        <v>4194.52000000002</v>
      </c>
      <c r="R143" s="2" t="str">
        <f aca="false">TEXT(A143,"ddd")</f>
        <v>Tue</v>
      </c>
    </row>
    <row r="144" customFormat="false" ht="15" hidden="false" customHeight="false" outlineLevel="0" collapsed="false">
      <c r="A144" s="42" t="n">
        <v>45245</v>
      </c>
      <c r="B144" s="28" t="n">
        <f aca="false">COUNTIFS(Trades!$D$2:$D$884,$A144)</f>
        <v>1</v>
      </c>
      <c r="C144" s="28" t="n">
        <f aca="false">COUNTIFS(Trades!$D$2:$D$884,$A144,Trades!$Z$2:$Z$884,"Win")</f>
        <v>1</v>
      </c>
      <c r="D144" s="28" t="n">
        <f aca="false">COUNTIFS(Trades!$D$2:$D$884,$A144,Trades!$Z$2:$Z$884,"Loss")</f>
        <v>0</v>
      </c>
      <c r="E144" s="29" t="n">
        <f aca="false">IFERROR(C144/B144,0)</f>
        <v>1</v>
      </c>
      <c r="F144" s="30" t="n">
        <f aca="false">SUMIFS(Trades!$X$2:$X$884,Trades!$D$2:$D$884,$A144)</f>
        <v>47.33</v>
      </c>
      <c r="G144" s="30" t="n">
        <f aca="false">SUMIFS(Trades!$X$2:$X$884,Trades!$D$2:$D$884,$A144,Trades!$X$2:$X$884,"&gt;0")</f>
        <v>47.33</v>
      </c>
      <c r="H144" s="30" t="n">
        <f aca="false">SUMIFS(Trades!$X$2:$X$884,Trades!$D$2:$D$884,$A144,Trades!$X$2:$X$884,"&lt;0")</f>
        <v>0</v>
      </c>
      <c r="I144" s="31" t="str">
        <f aca="false">IFERROR(G144/-H144,"no loss")</f>
        <v>no loss</v>
      </c>
      <c r="J144" s="30" t="n">
        <f aca="false">_xlfn.MAXIFS(Trades!$X$2:$X$884,Trades!$D$2:$D$884,$A144)</f>
        <v>47.33</v>
      </c>
      <c r="K144" s="30" t="n">
        <f aca="false">_xlfn.MINIFS(Trades!$X$2:$X$884,Trades!$D$2:$D$884,$A144)</f>
        <v>47.33</v>
      </c>
      <c r="L144" s="32" t="n">
        <f aca="false">SUMIFS(Trades!$Y$2:$Y$884,Trades!$D$2:$D$884,$A144)</f>
        <v>2.04519920490894</v>
      </c>
      <c r="M144" s="30" t="n">
        <f aca="false">P143</f>
        <v>104194.52</v>
      </c>
      <c r="N144" s="29" t="n">
        <f aca="false">IFERROR(F144/M144,0)</f>
        <v>0.000454246538109682</v>
      </c>
      <c r="O144" s="28" t="str">
        <f aca="false">IF(-N144&gt;=Summary!$C$7,"BREACH","")</f>
        <v/>
      </c>
      <c r="P144" s="30" t="n">
        <f aca="false">M144+F144</f>
        <v>104241.85</v>
      </c>
      <c r="Q144" s="30" t="n">
        <f aca="false">P144-Summary!$C$5</f>
        <v>4241.85000000002</v>
      </c>
      <c r="R144" s="2" t="str">
        <f aca="false">TEXT(A144,"ddd")</f>
        <v>Wed</v>
      </c>
    </row>
    <row r="145" customFormat="false" ht="15" hidden="false" customHeight="false" outlineLevel="0" collapsed="false">
      <c r="A145" s="42" t="n">
        <v>45246</v>
      </c>
      <c r="B145" s="28" t="n">
        <f aca="false">COUNTIFS(Trades!$D$2:$D$884,$A145)</f>
        <v>1</v>
      </c>
      <c r="C145" s="28" t="n">
        <f aca="false">COUNTIFS(Trades!$D$2:$D$884,$A145,Trades!$Z$2:$Z$884,"Win")</f>
        <v>0</v>
      </c>
      <c r="D145" s="28" t="n">
        <f aca="false">COUNTIFS(Trades!$D$2:$D$884,$A145,Trades!$Z$2:$Z$884,"Loss")</f>
        <v>1</v>
      </c>
      <c r="E145" s="29" t="n">
        <f aca="false">IFERROR(C145/B145,0)</f>
        <v>0</v>
      </c>
      <c r="F145" s="30" t="n">
        <f aca="false">SUMIFS(Trades!$X$2:$X$884,Trades!$D$2:$D$884,$A145)</f>
        <v>-47.56</v>
      </c>
      <c r="G145" s="30" t="n">
        <f aca="false">SUMIFS(Trades!$X$2:$X$884,Trades!$D$2:$D$884,$A145,Trades!$X$2:$X$884,"&gt;0")</f>
        <v>0</v>
      </c>
      <c r="H145" s="30" t="n">
        <f aca="false">SUMIFS(Trades!$X$2:$X$884,Trades!$D$2:$D$884,$A145,Trades!$X$2:$X$884,"&lt;0")</f>
        <v>-47.56</v>
      </c>
      <c r="I145" s="31" t="n">
        <f aca="false">IFERROR(G145/-H145,"no loss")</f>
        <v>0</v>
      </c>
      <c r="J145" s="30" t="n">
        <f aca="false">_xlfn.MAXIFS(Trades!$X$2:$X$884,Trades!$D$2:$D$884,$A145)</f>
        <v>-47.56</v>
      </c>
      <c r="K145" s="30" t="n">
        <f aca="false">_xlfn.MINIFS(Trades!$X$2:$X$884,Trades!$D$2:$D$884,$A145)</f>
        <v>-47.56</v>
      </c>
      <c r="L145" s="32" t="n">
        <f aca="false">SUMIFS(Trades!$Y$2:$Y$884,Trades!$D$2:$D$884,$A145)</f>
        <v>-1.04859335038367</v>
      </c>
      <c r="M145" s="30" t="n">
        <f aca="false">P144</f>
        <v>104241.85</v>
      </c>
      <c r="N145" s="29" t="n">
        <f aca="false">IFERROR(F145/M145,0)</f>
        <v>-0.000456246699382254</v>
      </c>
      <c r="O145" s="28" t="str">
        <f aca="false">IF(-N145&gt;=Summary!$C$7,"BREACH","")</f>
        <v/>
      </c>
      <c r="P145" s="30" t="n">
        <f aca="false">M145+F145</f>
        <v>104194.29</v>
      </c>
      <c r="Q145" s="30" t="n">
        <f aca="false">P145-Summary!$C$5</f>
        <v>4194.29000000002</v>
      </c>
      <c r="R145" s="2" t="str">
        <f aca="false">TEXT(A145,"ddd")</f>
        <v>Thu</v>
      </c>
    </row>
    <row r="146" customFormat="false" ht="15" hidden="false" customHeight="false" outlineLevel="0" collapsed="false">
      <c r="A146" s="42" t="n">
        <v>45247</v>
      </c>
      <c r="B146" s="28" t="n">
        <f aca="false">COUNTIFS(Trades!$D$2:$D$884,$A146)</f>
        <v>1</v>
      </c>
      <c r="C146" s="28" t="n">
        <f aca="false">COUNTIFS(Trades!$D$2:$D$884,$A146,Trades!$Z$2:$Z$884,"Win")</f>
        <v>0</v>
      </c>
      <c r="D146" s="28" t="n">
        <f aca="false">COUNTIFS(Trades!$D$2:$D$884,$A146,Trades!$Z$2:$Z$884,"Loss")</f>
        <v>1</v>
      </c>
      <c r="E146" s="29" t="n">
        <f aca="false">IFERROR(C146/B146,0)</f>
        <v>0</v>
      </c>
      <c r="F146" s="30" t="n">
        <f aca="false">SUMIFS(Trades!$X$2:$X$884,Trades!$D$2:$D$884,$A146)</f>
        <v>-38.98</v>
      </c>
      <c r="G146" s="30" t="n">
        <f aca="false">SUMIFS(Trades!$X$2:$X$884,Trades!$D$2:$D$884,$A146,Trades!$X$2:$X$884,"&gt;0")</f>
        <v>0</v>
      </c>
      <c r="H146" s="30" t="n">
        <f aca="false">SUMIFS(Trades!$X$2:$X$884,Trades!$D$2:$D$884,$A146,Trades!$X$2:$X$884,"&lt;0")</f>
        <v>-38.98</v>
      </c>
      <c r="I146" s="31" t="n">
        <f aca="false">IFERROR(G146/-H146,"no loss")</f>
        <v>0</v>
      </c>
      <c r="J146" s="30" t="n">
        <f aca="false">_xlfn.MAXIFS(Trades!$X$2:$X$884,Trades!$D$2:$D$884,$A146)</f>
        <v>-38.98</v>
      </c>
      <c r="K146" s="30" t="n">
        <f aca="false">_xlfn.MINIFS(Trades!$X$2:$X$884,Trades!$D$2:$D$884,$A146)</f>
        <v>-38.98</v>
      </c>
      <c r="L146" s="32" t="n">
        <f aca="false">SUMIFS(Trades!$Y$2:$Y$884,Trades!$D$2:$D$884,$A146)</f>
        <v>-1.0198315106483</v>
      </c>
      <c r="M146" s="30" t="n">
        <f aca="false">P145</f>
        <v>104194.29</v>
      </c>
      <c r="N146" s="29" t="n">
        <f aca="false">IFERROR(F146/M146,0)</f>
        <v>-0.000374108792334014</v>
      </c>
      <c r="O146" s="28" t="str">
        <f aca="false">IF(-N146&gt;=Summary!$C$7,"BREACH","")</f>
        <v/>
      </c>
      <c r="P146" s="30" t="n">
        <f aca="false">M146+F146</f>
        <v>104155.31</v>
      </c>
      <c r="Q146" s="30" t="n">
        <f aca="false">P146-Summary!$C$5</f>
        <v>4155.31000000003</v>
      </c>
      <c r="R146" s="2" t="str">
        <f aca="false">TEXT(A146,"ddd")</f>
        <v>Fri</v>
      </c>
    </row>
    <row r="147" customFormat="false" ht="15" hidden="false" customHeight="false" outlineLevel="0" collapsed="false">
      <c r="A147" s="42" t="n">
        <v>45250</v>
      </c>
      <c r="B147" s="28" t="n">
        <f aca="false">COUNTIFS(Trades!$D$2:$D$884,$A147)</f>
        <v>1</v>
      </c>
      <c r="C147" s="28" t="n">
        <f aca="false">COUNTIFS(Trades!$D$2:$D$884,$A147,Trades!$Z$2:$Z$884,"Win")</f>
        <v>1</v>
      </c>
      <c r="D147" s="28" t="n">
        <f aca="false">COUNTIFS(Trades!$D$2:$D$884,$A147,Trades!$Z$2:$Z$884,"Loss")</f>
        <v>0</v>
      </c>
      <c r="E147" s="29" t="n">
        <f aca="false">IFERROR(C147/B147,0)</f>
        <v>1</v>
      </c>
      <c r="F147" s="30" t="n">
        <f aca="false">SUMIFS(Trades!$X$2:$X$884,Trades!$D$2:$D$884,$A147)</f>
        <v>211.47</v>
      </c>
      <c r="G147" s="30" t="n">
        <f aca="false">SUMIFS(Trades!$X$2:$X$884,Trades!$D$2:$D$884,$A147,Trades!$X$2:$X$884,"&gt;0")</f>
        <v>211.47</v>
      </c>
      <c r="H147" s="30" t="n">
        <f aca="false">SUMIFS(Trades!$X$2:$X$884,Trades!$D$2:$D$884,$A147,Trades!$X$2:$X$884,"&lt;0")</f>
        <v>0</v>
      </c>
      <c r="I147" s="31" t="str">
        <f aca="false">IFERROR(G147/-H147,"no loss")</f>
        <v>no loss</v>
      </c>
      <c r="J147" s="30" t="n">
        <f aca="false">_xlfn.MAXIFS(Trades!$X$2:$X$884,Trades!$D$2:$D$884,$A147)</f>
        <v>211.47</v>
      </c>
      <c r="K147" s="30" t="n">
        <f aca="false">_xlfn.MINIFS(Trades!$X$2:$X$884,Trades!$D$2:$D$884,$A147)</f>
        <v>211.47</v>
      </c>
      <c r="L147" s="32" t="n">
        <f aca="false">SUMIFS(Trades!$Y$2:$Y$884,Trades!$D$2:$D$884,$A147)</f>
        <v>1.99782711384034</v>
      </c>
      <c r="M147" s="30" t="n">
        <f aca="false">P146</f>
        <v>104155.31</v>
      </c>
      <c r="N147" s="29" t="n">
        <f aca="false">IFERROR(F147/M147,0)</f>
        <v>0.0020303333550637</v>
      </c>
      <c r="O147" s="28" t="str">
        <f aca="false">IF(-N147&gt;=Summary!$C$7,"BREACH","")</f>
        <v/>
      </c>
      <c r="P147" s="30" t="n">
        <f aca="false">M147+F147</f>
        <v>104366.78</v>
      </c>
      <c r="Q147" s="30" t="n">
        <f aca="false">P147-Summary!$C$5</f>
        <v>4366.78000000003</v>
      </c>
      <c r="R147" s="2" t="str">
        <f aca="false">TEXT(A147,"ddd")</f>
        <v>Mon</v>
      </c>
    </row>
    <row r="148" customFormat="false" ht="15" hidden="false" customHeight="false" outlineLevel="0" collapsed="false">
      <c r="A148" s="42" t="n">
        <v>45251</v>
      </c>
      <c r="B148" s="28" t="n">
        <f aca="false">COUNTIFS(Trades!$D$2:$D$884,$A148)</f>
        <v>1</v>
      </c>
      <c r="C148" s="28" t="n">
        <f aca="false">COUNTIFS(Trades!$D$2:$D$884,$A148,Trades!$Z$2:$Z$884,"Win")</f>
        <v>0</v>
      </c>
      <c r="D148" s="28" t="n">
        <f aca="false">COUNTIFS(Trades!$D$2:$D$884,$A148,Trades!$Z$2:$Z$884,"Loss")</f>
        <v>1</v>
      </c>
      <c r="E148" s="29" t="n">
        <f aca="false">IFERROR(C148/B148,0)</f>
        <v>0</v>
      </c>
      <c r="F148" s="30" t="n">
        <f aca="false">SUMIFS(Trades!$X$2:$X$884,Trades!$D$2:$D$884,$A148)</f>
        <v>-20.65</v>
      </c>
      <c r="G148" s="30" t="n">
        <f aca="false">SUMIFS(Trades!$X$2:$X$884,Trades!$D$2:$D$884,$A148,Trades!$X$2:$X$884,"&gt;0")</f>
        <v>0</v>
      </c>
      <c r="H148" s="30" t="n">
        <f aca="false">SUMIFS(Trades!$X$2:$X$884,Trades!$D$2:$D$884,$A148,Trades!$X$2:$X$884,"&lt;0")</f>
        <v>-20.65</v>
      </c>
      <c r="I148" s="31" t="n">
        <f aca="false">IFERROR(G148/-H148,"no loss")</f>
        <v>0</v>
      </c>
      <c r="J148" s="30" t="n">
        <f aca="false">_xlfn.MAXIFS(Trades!$X$2:$X$884,Trades!$D$2:$D$884,$A148)</f>
        <v>-20.65</v>
      </c>
      <c r="K148" s="30" t="n">
        <f aca="false">_xlfn.MINIFS(Trades!$X$2:$X$884,Trades!$D$2:$D$884,$A148)</f>
        <v>-20.65</v>
      </c>
      <c r="L148" s="32" t="n">
        <f aca="false">SUMIFS(Trades!$Y$2:$Y$884,Trades!$D$2:$D$884,$A148)</f>
        <v>-1.02015611105628</v>
      </c>
      <c r="M148" s="30" t="n">
        <f aca="false">P147</f>
        <v>104366.78</v>
      </c>
      <c r="N148" s="29" t="n">
        <f aca="false">IFERROR(F148/M148,0)</f>
        <v>-0.000197859893732469</v>
      </c>
      <c r="O148" s="28" t="str">
        <f aca="false">IF(-N148&gt;=Summary!$C$7,"BREACH","")</f>
        <v/>
      </c>
      <c r="P148" s="30" t="n">
        <f aca="false">M148+F148</f>
        <v>104346.13</v>
      </c>
      <c r="Q148" s="30" t="n">
        <f aca="false">P148-Summary!$C$5</f>
        <v>4346.13000000003</v>
      </c>
      <c r="R148" s="2" t="str">
        <f aca="false">TEXT(A148,"ddd")</f>
        <v>Tue</v>
      </c>
    </row>
    <row r="149" customFormat="false" ht="15" hidden="false" customHeight="false" outlineLevel="0" collapsed="false">
      <c r="A149" s="42" t="n">
        <v>45252</v>
      </c>
      <c r="B149" s="28" t="n">
        <f aca="false">COUNTIFS(Trades!$D$2:$D$884,$A149)</f>
        <v>1</v>
      </c>
      <c r="C149" s="28" t="n">
        <f aca="false">COUNTIFS(Trades!$D$2:$D$884,$A149,Trades!$Z$2:$Z$884,"Win")</f>
        <v>1</v>
      </c>
      <c r="D149" s="28" t="n">
        <f aca="false">COUNTIFS(Trades!$D$2:$D$884,$A149,Trades!$Z$2:$Z$884,"Loss")</f>
        <v>0</v>
      </c>
      <c r="E149" s="29" t="n">
        <f aca="false">IFERROR(C149/B149,0)</f>
        <v>1</v>
      </c>
      <c r="F149" s="30" t="n">
        <f aca="false">SUMIFS(Trades!$X$2:$X$884,Trades!$D$2:$D$884,$A149)</f>
        <v>208.28</v>
      </c>
      <c r="G149" s="30" t="n">
        <f aca="false">SUMIFS(Trades!$X$2:$X$884,Trades!$D$2:$D$884,$A149,Trades!$X$2:$X$884,"&gt;0")</f>
        <v>208.28</v>
      </c>
      <c r="H149" s="30" t="n">
        <f aca="false">SUMIFS(Trades!$X$2:$X$884,Trades!$D$2:$D$884,$A149,Trades!$X$2:$X$884,"&lt;0")</f>
        <v>0</v>
      </c>
      <c r="I149" s="31" t="str">
        <f aca="false">IFERROR(G149/-H149,"no loss")</f>
        <v>no loss</v>
      </c>
      <c r="J149" s="30" t="n">
        <f aca="false">_xlfn.MAXIFS(Trades!$X$2:$X$884,Trades!$D$2:$D$884,$A149)</f>
        <v>208.28</v>
      </c>
      <c r="K149" s="30" t="n">
        <f aca="false">_xlfn.MINIFS(Trades!$X$2:$X$884,Trades!$D$2:$D$884,$A149)</f>
        <v>208.28</v>
      </c>
      <c r="L149" s="32" t="n">
        <f aca="false">SUMIFS(Trades!$Y$2:$Y$884,Trades!$D$2:$D$884,$A149)</f>
        <v>2.02084101449552</v>
      </c>
      <c r="M149" s="30" t="n">
        <f aca="false">P148</f>
        <v>104346.13</v>
      </c>
      <c r="N149" s="29" t="n">
        <f aca="false">IFERROR(F149/M149,0)</f>
        <v>0.00199604911078159</v>
      </c>
      <c r="O149" s="28" t="str">
        <f aca="false">IF(-N149&gt;=Summary!$C$7,"BREACH","")</f>
        <v/>
      </c>
      <c r="P149" s="30" t="n">
        <f aca="false">M149+F149</f>
        <v>104554.41</v>
      </c>
      <c r="Q149" s="30" t="n">
        <f aca="false">P149-Summary!$C$5</f>
        <v>4554.41000000003</v>
      </c>
      <c r="R149" s="2" t="str">
        <f aca="false">TEXT(A149,"ddd")</f>
        <v>Wed</v>
      </c>
    </row>
    <row r="150" customFormat="false" ht="15" hidden="false" customHeight="false" outlineLevel="0" collapsed="false">
      <c r="A150" s="42" t="n">
        <v>45254</v>
      </c>
      <c r="B150" s="28" t="n">
        <f aca="false">COUNTIFS(Trades!$D$2:$D$884,$A150)</f>
        <v>1</v>
      </c>
      <c r="C150" s="28" t="n">
        <f aca="false">COUNTIFS(Trades!$D$2:$D$884,$A150,Trades!$Z$2:$Z$884,"Win")</f>
        <v>0</v>
      </c>
      <c r="D150" s="28" t="n">
        <f aca="false">COUNTIFS(Trades!$D$2:$D$884,$A150,Trades!$Z$2:$Z$884,"Loss")</f>
        <v>1</v>
      </c>
      <c r="E150" s="29" t="n">
        <f aca="false">IFERROR(C150/B150,0)</f>
        <v>0</v>
      </c>
      <c r="F150" s="30" t="n">
        <f aca="false">SUMIFS(Trades!$X$2:$X$884,Trades!$D$2:$D$884,$A150)</f>
        <v>-0.35</v>
      </c>
      <c r="G150" s="30" t="n">
        <f aca="false">SUMIFS(Trades!$X$2:$X$884,Trades!$D$2:$D$884,$A150,Trades!$X$2:$X$884,"&gt;0")</f>
        <v>0</v>
      </c>
      <c r="H150" s="30" t="n">
        <f aca="false">SUMIFS(Trades!$X$2:$X$884,Trades!$D$2:$D$884,$A150,Trades!$X$2:$X$884,"&lt;0")</f>
        <v>-0.35</v>
      </c>
      <c r="I150" s="31" t="n">
        <f aca="false">IFERROR(G150/-H150,"no loss")</f>
        <v>0</v>
      </c>
      <c r="J150" s="30" t="n">
        <f aca="false">_xlfn.MAXIFS(Trades!$X$2:$X$884,Trades!$D$2:$D$884,$A150)</f>
        <v>-0.35</v>
      </c>
      <c r="K150" s="30" t="n">
        <f aca="false">_xlfn.MINIFS(Trades!$X$2:$X$884,Trades!$D$2:$D$884,$A150)</f>
        <v>-0.35</v>
      </c>
      <c r="L150" s="32" t="n">
        <f aca="false">SUMIFS(Trades!$Y$2:$Y$884,Trades!$D$2:$D$884,$A150)</f>
        <v>-0.0129773822765996</v>
      </c>
      <c r="M150" s="30" t="n">
        <f aca="false">P149</f>
        <v>104554.41</v>
      </c>
      <c r="N150" s="29" t="n">
        <f aca="false">IFERROR(F150/M150,0)</f>
        <v>-3.34753933382628E-006</v>
      </c>
      <c r="O150" s="28" t="str">
        <f aca="false">IF(-N150&gt;=Summary!$C$7,"BREACH","")</f>
        <v/>
      </c>
      <c r="P150" s="30" t="n">
        <f aca="false">M150+F150</f>
        <v>104554.06</v>
      </c>
      <c r="Q150" s="30" t="n">
        <f aca="false">P150-Summary!$C$5</f>
        <v>4554.06000000003</v>
      </c>
      <c r="R150" s="2" t="str">
        <f aca="false">TEXT(A150,"ddd")</f>
        <v>Fri</v>
      </c>
    </row>
    <row r="151" customFormat="false" ht="15" hidden="false" customHeight="false" outlineLevel="0" collapsed="false">
      <c r="A151" s="42" t="n">
        <v>45257</v>
      </c>
      <c r="B151" s="28" t="n">
        <f aca="false">COUNTIFS(Trades!$D$2:$D$884,$A151)</f>
        <v>2</v>
      </c>
      <c r="C151" s="28" t="n">
        <f aca="false">COUNTIFS(Trades!$D$2:$D$884,$A151,Trades!$Z$2:$Z$884,"Win")</f>
        <v>0</v>
      </c>
      <c r="D151" s="28" t="n">
        <f aca="false">COUNTIFS(Trades!$D$2:$D$884,$A151,Trades!$Z$2:$Z$884,"Loss")</f>
        <v>2</v>
      </c>
      <c r="E151" s="29" t="n">
        <f aca="false">IFERROR(C151/B151,0)</f>
        <v>0</v>
      </c>
      <c r="F151" s="30" t="n">
        <f aca="false">SUMIFS(Trades!$X$2:$X$884,Trades!$D$2:$D$884,$A151)</f>
        <v>-31.15</v>
      </c>
      <c r="G151" s="30" t="n">
        <f aca="false">SUMIFS(Trades!$X$2:$X$884,Trades!$D$2:$D$884,$A151,Trades!$X$2:$X$884,"&gt;0")</f>
        <v>0</v>
      </c>
      <c r="H151" s="30" t="n">
        <f aca="false">SUMIFS(Trades!$X$2:$X$884,Trades!$D$2:$D$884,$A151,Trades!$X$2:$X$884,"&lt;0")</f>
        <v>-31.15</v>
      </c>
      <c r="I151" s="31" t="n">
        <f aca="false">IFERROR(G151/-H151,"no loss")</f>
        <v>0</v>
      </c>
      <c r="J151" s="30" t="n">
        <f aca="false">_xlfn.MAXIFS(Trades!$X$2:$X$884,Trades!$D$2:$D$884,$A151)</f>
        <v>-1.8</v>
      </c>
      <c r="K151" s="30" t="n">
        <f aca="false">_xlfn.MINIFS(Trades!$X$2:$X$884,Trades!$D$2:$D$884,$A151)</f>
        <v>-29.35</v>
      </c>
      <c r="L151" s="32" t="n">
        <f aca="false">SUMIFS(Trades!$Y$2:$Y$884,Trades!$D$2:$D$884,$A151)</f>
        <v>-1.05253113339028</v>
      </c>
      <c r="M151" s="30" t="n">
        <f aca="false">P150</f>
        <v>104554.06</v>
      </c>
      <c r="N151" s="29" t="n">
        <f aca="false">IFERROR(F151/M151,0)</f>
        <v>-0.000297931998049621</v>
      </c>
      <c r="O151" s="28" t="str">
        <f aca="false">IF(-N151&gt;=Summary!$C$7,"BREACH","")</f>
        <v/>
      </c>
      <c r="P151" s="30" t="n">
        <f aca="false">M151+F151</f>
        <v>104522.91</v>
      </c>
      <c r="Q151" s="30" t="n">
        <f aca="false">P151-Summary!$C$5</f>
        <v>4522.91000000003</v>
      </c>
      <c r="R151" s="2" t="str">
        <f aca="false">TEXT(A151,"ddd")</f>
        <v>Mon</v>
      </c>
    </row>
    <row r="152" customFormat="false" ht="15" hidden="false" customHeight="false" outlineLevel="0" collapsed="false">
      <c r="A152" s="42" t="n">
        <v>45259</v>
      </c>
      <c r="B152" s="28" t="n">
        <f aca="false">COUNTIFS(Trades!$D$2:$D$884,$A152)</f>
        <v>1</v>
      </c>
      <c r="C152" s="28" t="n">
        <f aca="false">COUNTIFS(Trades!$D$2:$D$884,$A152,Trades!$Z$2:$Z$884,"Win")</f>
        <v>0</v>
      </c>
      <c r="D152" s="28" t="n">
        <f aca="false">COUNTIFS(Trades!$D$2:$D$884,$A152,Trades!$Z$2:$Z$884,"Loss")</f>
        <v>1</v>
      </c>
      <c r="E152" s="29" t="n">
        <f aca="false">IFERROR(C152/B152,0)</f>
        <v>0</v>
      </c>
      <c r="F152" s="30" t="n">
        <f aca="false">SUMIFS(Trades!$X$2:$X$884,Trades!$D$2:$D$884,$A152)</f>
        <v>-1.28</v>
      </c>
      <c r="G152" s="30" t="n">
        <f aca="false">SUMIFS(Trades!$X$2:$X$884,Trades!$D$2:$D$884,$A152,Trades!$X$2:$X$884,"&gt;0")</f>
        <v>0</v>
      </c>
      <c r="H152" s="30" t="n">
        <f aca="false">SUMIFS(Trades!$X$2:$X$884,Trades!$D$2:$D$884,$A152,Trades!$X$2:$X$884,"&lt;0")</f>
        <v>-1.28</v>
      </c>
      <c r="I152" s="31" t="n">
        <f aca="false">IFERROR(G152/-H152,"no loss")</f>
        <v>0</v>
      </c>
      <c r="J152" s="30" t="n">
        <f aca="false">_xlfn.MAXIFS(Trades!$X$2:$X$884,Trades!$D$2:$D$884,$A152)</f>
        <v>-1.28</v>
      </c>
      <c r="K152" s="30" t="n">
        <f aca="false">_xlfn.MINIFS(Trades!$X$2:$X$884,Trades!$D$2:$D$884,$A152)</f>
        <v>-1.28</v>
      </c>
      <c r="L152" s="32" t="n">
        <f aca="false">SUMIFS(Trades!$Y$2:$Y$884,Trades!$D$2:$D$884,$A152)</f>
        <v>-0.0357681774995804</v>
      </c>
      <c r="M152" s="30" t="n">
        <f aca="false">P151</f>
        <v>104522.91</v>
      </c>
      <c r="N152" s="29" t="n">
        <f aca="false">IFERROR(F152/M152,0)</f>
        <v>-1.22461190565781E-005</v>
      </c>
      <c r="O152" s="28" t="str">
        <f aca="false">IF(-N152&gt;=Summary!$C$7,"BREACH","")</f>
        <v/>
      </c>
      <c r="P152" s="30" t="n">
        <f aca="false">M152+F152</f>
        <v>104521.63</v>
      </c>
      <c r="Q152" s="30" t="n">
        <f aca="false">P152-Summary!$C$5</f>
        <v>4521.63000000003</v>
      </c>
      <c r="R152" s="2" t="str">
        <f aca="false">TEXT(A152,"ddd")</f>
        <v>Wed</v>
      </c>
    </row>
    <row r="153" customFormat="false" ht="15" hidden="false" customHeight="false" outlineLevel="0" collapsed="false">
      <c r="A153" s="42" t="n">
        <v>45260</v>
      </c>
      <c r="B153" s="28" t="n">
        <f aca="false">COUNTIFS(Trades!$D$2:$D$884,$A153)</f>
        <v>1</v>
      </c>
      <c r="C153" s="28" t="n">
        <f aca="false">COUNTIFS(Trades!$D$2:$D$884,$A153,Trades!$Z$2:$Z$884,"Win")</f>
        <v>1</v>
      </c>
      <c r="D153" s="28" t="n">
        <f aca="false">COUNTIFS(Trades!$D$2:$D$884,$A153,Trades!$Z$2:$Z$884,"Loss")</f>
        <v>0</v>
      </c>
      <c r="E153" s="29" t="n">
        <f aca="false">IFERROR(C153/B153,0)</f>
        <v>1</v>
      </c>
      <c r="F153" s="30" t="n">
        <f aca="false">SUMIFS(Trades!$X$2:$X$884,Trades!$D$2:$D$884,$A153)</f>
        <v>373.64</v>
      </c>
      <c r="G153" s="30" t="n">
        <f aca="false">SUMIFS(Trades!$X$2:$X$884,Trades!$D$2:$D$884,$A153,Trades!$X$2:$X$884,"&gt;0")</f>
        <v>373.64</v>
      </c>
      <c r="H153" s="30" t="n">
        <f aca="false">SUMIFS(Trades!$X$2:$X$884,Trades!$D$2:$D$884,$A153,Trades!$X$2:$X$884,"&lt;0")</f>
        <v>0</v>
      </c>
      <c r="I153" s="31" t="str">
        <f aca="false">IFERROR(G153/-H153,"no loss")</f>
        <v>no loss</v>
      </c>
      <c r="J153" s="30" t="n">
        <f aca="false">_xlfn.MAXIFS(Trades!$X$2:$X$884,Trades!$D$2:$D$884,$A153)</f>
        <v>373.64</v>
      </c>
      <c r="K153" s="30" t="n">
        <f aca="false">_xlfn.MINIFS(Trades!$X$2:$X$884,Trades!$D$2:$D$884,$A153)</f>
        <v>373.64</v>
      </c>
      <c r="L153" s="32" t="n">
        <f aca="false">SUMIFS(Trades!$Y$2:$Y$884,Trades!$D$2:$D$884,$A153)</f>
        <v>1.95569792517217</v>
      </c>
      <c r="M153" s="30" t="n">
        <f aca="false">P152</f>
        <v>104521.63</v>
      </c>
      <c r="N153" s="29" t="n">
        <f aca="false">IFERROR(F153/M153,0)</f>
        <v>0.00357476246782604</v>
      </c>
      <c r="O153" s="28" t="str">
        <f aca="false">IF(-N153&gt;=Summary!$C$7,"BREACH","")</f>
        <v/>
      </c>
      <c r="P153" s="30" t="n">
        <f aca="false">M153+F153</f>
        <v>104895.27</v>
      </c>
      <c r="Q153" s="30" t="n">
        <f aca="false">P153-Summary!$C$5</f>
        <v>4895.27000000003</v>
      </c>
      <c r="R153" s="2" t="str">
        <f aca="false">TEXT(A153,"ddd")</f>
        <v>Thu</v>
      </c>
    </row>
    <row r="154" customFormat="false" ht="15" hidden="false" customHeight="false" outlineLevel="0" collapsed="false">
      <c r="A154" s="42" t="n">
        <v>45264</v>
      </c>
      <c r="B154" s="28" t="n">
        <f aca="false">COUNTIFS(Trades!$D$2:$D$884,$A154)</f>
        <v>1</v>
      </c>
      <c r="C154" s="28" t="n">
        <f aca="false">COUNTIFS(Trades!$D$2:$D$884,$A154,Trades!$Z$2:$Z$884,"Win")</f>
        <v>0</v>
      </c>
      <c r="D154" s="28" t="n">
        <f aca="false">COUNTIFS(Trades!$D$2:$D$884,$A154,Trades!$Z$2:$Z$884,"Loss")</f>
        <v>1</v>
      </c>
      <c r="E154" s="29" t="n">
        <f aca="false">IFERROR(C154/B154,0)</f>
        <v>0</v>
      </c>
      <c r="F154" s="30" t="n">
        <f aca="false">SUMIFS(Trades!$X$2:$X$884,Trades!$D$2:$D$884,$A154)</f>
        <v>-87.46</v>
      </c>
      <c r="G154" s="30" t="n">
        <f aca="false">SUMIFS(Trades!$X$2:$X$884,Trades!$D$2:$D$884,$A154,Trades!$X$2:$X$884,"&gt;0")</f>
        <v>0</v>
      </c>
      <c r="H154" s="30" t="n">
        <f aca="false">SUMIFS(Trades!$X$2:$X$884,Trades!$D$2:$D$884,$A154,Trades!$X$2:$X$884,"&lt;0")</f>
        <v>-87.46</v>
      </c>
      <c r="I154" s="31" t="n">
        <f aca="false">IFERROR(G154/-H154,"no loss")</f>
        <v>0</v>
      </c>
      <c r="J154" s="30" t="n">
        <f aca="false">_xlfn.MAXIFS(Trades!$X$2:$X$884,Trades!$D$2:$D$884,$A154)</f>
        <v>-87.46</v>
      </c>
      <c r="K154" s="30" t="n">
        <f aca="false">_xlfn.MINIFS(Trades!$X$2:$X$884,Trades!$D$2:$D$884,$A154)</f>
        <v>-87.46</v>
      </c>
      <c r="L154" s="32" t="n">
        <f aca="false">SUMIFS(Trades!$Y$2:$Y$884,Trades!$D$2:$D$884,$A154)</f>
        <v>-1.01818435819231</v>
      </c>
      <c r="M154" s="30" t="n">
        <f aca="false">P153</f>
        <v>104895.27</v>
      </c>
      <c r="N154" s="29" t="n">
        <f aca="false">IFERROR(F154/M154,0)</f>
        <v>-0.000833784020957284</v>
      </c>
      <c r="O154" s="28" t="str">
        <f aca="false">IF(-N154&gt;=Summary!$C$7,"BREACH","")</f>
        <v/>
      </c>
      <c r="P154" s="30" t="n">
        <f aca="false">M154+F154</f>
        <v>104807.81</v>
      </c>
      <c r="Q154" s="30" t="n">
        <f aca="false">P154-Summary!$C$5</f>
        <v>4807.81000000003</v>
      </c>
      <c r="R154" s="2" t="str">
        <f aca="false">TEXT(A154,"ddd")</f>
        <v>Mon</v>
      </c>
    </row>
    <row r="155" customFormat="false" ht="15" hidden="false" customHeight="false" outlineLevel="0" collapsed="false">
      <c r="A155" s="42" t="n">
        <v>45266</v>
      </c>
      <c r="B155" s="28" t="n">
        <f aca="false">COUNTIFS(Trades!$D$2:$D$884,$A155)</f>
        <v>1</v>
      </c>
      <c r="C155" s="28" t="n">
        <f aca="false">COUNTIFS(Trades!$D$2:$D$884,$A155,Trades!$Z$2:$Z$884,"Win")</f>
        <v>0</v>
      </c>
      <c r="D155" s="28" t="n">
        <f aca="false">COUNTIFS(Trades!$D$2:$D$884,$A155,Trades!$Z$2:$Z$884,"Loss")</f>
        <v>1</v>
      </c>
      <c r="E155" s="29" t="n">
        <f aca="false">IFERROR(C155/B155,0)</f>
        <v>0</v>
      </c>
      <c r="F155" s="30" t="n">
        <f aca="false">SUMIFS(Trades!$X$2:$X$884,Trades!$D$2:$D$884,$A155)</f>
        <v>-33.58</v>
      </c>
      <c r="G155" s="30" t="n">
        <f aca="false">SUMIFS(Trades!$X$2:$X$884,Trades!$D$2:$D$884,$A155,Trades!$X$2:$X$884,"&gt;0")</f>
        <v>0</v>
      </c>
      <c r="H155" s="30" t="n">
        <f aca="false">SUMIFS(Trades!$X$2:$X$884,Trades!$D$2:$D$884,$A155,Trades!$X$2:$X$884,"&lt;0")</f>
        <v>-33.58</v>
      </c>
      <c r="I155" s="31" t="n">
        <f aca="false">IFERROR(G155/-H155,"no loss")</f>
        <v>0</v>
      </c>
      <c r="J155" s="30" t="n">
        <f aca="false">_xlfn.MAXIFS(Trades!$X$2:$X$884,Trades!$D$2:$D$884,$A155)</f>
        <v>-33.58</v>
      </c>
      <c r="K155" s="30" t="n">
        <f aca="false">_xlfn.MINIFS(Trades!$X$2:$X$884,Trades!$D$2:$D$884,$A155)</f>
        <v>-33.58</v>
      </c>
      <c r="L155" s="32" t="n">
        <f aca="false">SUMIFS(Trades!$Y$2:$Y$884,Trades!$D$2:$D$884,$A155)</f>
        <v>-1.10069489969839</v>
      </c>
      <c r="M155" s="30" t="n">
        <f aca="false">P154</f>
        <v>104807.81</v>
      </c>
      <c r="N155" s="29" t="n">
        <f aca="false">IFERROR(F155/M155,0)</f>
        <v>-0.00032039597049113</v>
      </c>
      <c r="O155" s="28" t="str">
        <f aca="false">IF(-N155&gt;=Summary!$C$7,"BREACH","")</f>
        <v/>
      </c>
      <c r="P155" s="30" t="n">
        <f aca="false">M155+F155</f>
        <v>104774.23</v>
      </c>
      <c r="Q155" s="30" t="n">
        <f aca="false">P155-Summary!$C$5</f>
        <v>4774.23000000003</v>
      </c>
      <c r="R155" s="2" t="str">
        <f aca="false">TEXT(A155,"ddd")</f>
        <v>Wed</v>
      </c>
    </row>
    <row r="156" customFormat="false" ht="15" hidden="false" customHeight="false" outlineLevel="0" collapsed="false">
      <c r="A156" s="42" t="n">
        <v>45267</v>
      </c>
      <c r="B156" s="28" t="n">
        <f aca="false">COUNTIFS(Trades!$D$2:$D$884,$A156)</f>
        <v>2</v>
      </c>
      <c r="C156" s="28" t="n">
        <f aca="false">COUNTIFS(Trades!$D$2:$D$884,$A156,Trades!$Z$2:$Z$884,"Win")</f>
        <v>0</v>
      </c>
      <c r="D156" s="28" t="n">
        <f aca="false">COUNTIFS(Trades!$D$2:$D$884,$A156,Trades!$Z$2:$Z$884,"Loss")</f>
        <v>2</v>
      </c>
      <c r="E156" s="29" t="n">
        <f aca="false">IFERROR(C156/B156,0)</f>
        <v>0</v>
      </c>
      <c r="F156" s="30" t="n">
        <f aca="false">SUMIFS(Trades!$X$2:$X$884,Trades!$D$2:$D$884,$A156)</f>
        <v>-114.14</v>
      </c>
      <c r="G156" s="30" t="n">
        <f aca="false">SUMIFS(Trades!$X$2:$X$884,Trades!$D$2:$D$884,$A156,Trades!$X$2:$X$884,"&gt;0")</f>
        <v>0</v>
      </c>
      <c r="H156" s="30" t="n">
        <f aca="false">SUMIFS(Trades!$X$2:$X$884,Trades!$D$2:$D$884,$A156,Trades!$X$2:$X$884,"&lt;0")</f>
        <v>-114.14</v>
      </c>
      <c r="I156" s="31" t="n">
        <f aca="false">IFERROR(G156/-H156,"no loss")</f>
        <v>0</v>
      </c>
      <c r="J156" s="30" t="n">
        <f aca="false">_xlfn.MAXIFS(Trades!$X$2:$X$884,Trades!$D$2:$D$884,$A156)</f>
        <v>-31.61</v>
      </c>
      <c r="K156" s="30" t="n">
        <f aca="false">_xlfn.MINIFS(Trades!$X$2:$X$884,Trades!$D$2:$D$884,$A156)</f>
        <v>-82.53</v>
      </c>
      <c r="L156" s="32" t="n">
        <f aca="false">SUMIFS(Trades!$Y$2:$Y$884,Trades!$D$2:$D$884,$A156)</f>
        <v>-2.03311849919427</v>
      </c>
      <c r="M156" s="30" t="n">
        <f aca="false">P155</f>
        <v>104774.23</v>
      </c>
      <c r="N156" s="29" t="n">
        <f aca="false">IFERROR(F156/M156,0)</f>
        <v>-0.00108939001508291</v>
      </c>
      <c r="O156" s="28" t="str">
        <f aca="false">IF(-N156&gt;=Summary!$C$7,"BREACH","")</f>
        <v/>
      </c>
      <c r="P156" s="30" t="n">
        <f aca="false">M156+F156</f>
        <v>104660.09</v>
      </c>
      <c r="Q156" s="30" t="n">
        <f aca="false">P156-Summary!$C$5</f>
        <v>4660.09000000003</v>
      </c>
      <c r="R156" s="2" t="str">
        <f aca="false">TEXT(A156,"ddd")</f>
        <v>Thu</v>
      </c>
    </row>
    <row r="157" customFormat="false" ht="15" hidden="false" customHeight="false" outlineLevel="0" collapsed="false">
      <c r="A157" s="42" t="n">
        <v>45268</v>
      </c>
      <c r="B157" s="28" t="n">
        <f aca="false">COUNTIFS(Trades!$D$2:$D$884,$A157)</f>
        <v>1</v>
      </c>
      <c r="C157" s="28" t="n">
        <f aca="false">COUNTIFS(Trades!$D$2:$D$884,$A157,Trades!$Z$2:$Z$884,"Win")</f>
        <v>0</v>
      </c>
      <c r="D157" s="28" t="n">
        <f aca="false">COUNTIFS(Trades!$D$2:$D$884,$A157,Trades!$Z$2:$Z$884,"Loss")</f>
        <v>1</v>
      </c>
      <c r="E157" s="29" t="n">
        <f aca="false">IFERROR(C157/B157,0)</f>
        <v>0</v>
      </c>
      <c r="F157" s="30" t="n">
        <f aca="false">SUMIFS(Trades!$X$2:$X$884,Trades!$D$2:$D$884,$A157)</f>
        <v>-2.09</v>
      </c>
      <c r="G157" s="30" t="n">
        <f aca="false">SUMIFS(Trades!$X$2:$X$884,Trades!$D$2:$D$884,$A157,Trades!$X$2:$X$884,"&gt;0")</f>
        <v>0</v>
      </c>
      <c r="H157" s="30" t="n">
        <f aca="false">SUMIFS(Trades!$X$2:$X$884,Trades!$D$2:$D$884,$A157,Trades!$X$2:$X$884,"&lt;0")</f>
        <v>-2.09</v>
      </c>
      <c r="I157" s="31" t="n">
        <f aca="false">IFERROR(G157/-H157,"no loss")</f>
        <v>0</v>
      </c>
      <c r="J157" s="30" t="n">
        <f aca="false">_xlfn.MAXIFS(Trades!$X$2:$X$884,Trades!$D$2:$D$884,$A157)</f>
        <v>-2.09</v>
      </c>
      <c r="K157" s="30" t="n">
        <f aca="false">_xlfn.MINIFS(Trades!$X$2:$X$884,Trades!$D$2:$D$884,$A157)</f>
        <v>-2.09</v>
      </c>
      <c r="L157" s="32" t="n">
        <f aca="false">SUMIFS(Trades!$Y$2:$Y$884,Trades!$D$2:$D$884,$A157)</f>
        <v>-0.00897272977057251</v>
      </c>
      <c r="M157" s="30" t="n">
        <f aca="false">P156</f>
        <v>104660.09</v>
      </c>
      <c r="N157" s="29" t="n">
        <f aca="false">IFERROR(F157/M157,0)</f>
        <v>-1.99694076318872E-005</v>
      </c>
      <c r="O157" s="28" t="str">
        <f aca="false">IF(-N157&gt;=Summary!$C$7,"BREACH","")</f>
        <v/>
      </c>
      <c r="P157" s="30" t="n">
        <f aca="false">M157+F157</f>
        <v>104658</v>
      </c>
      <c r="Q157" s="30" t="n">
        <f aca="false">P157-Summary!$C$5</f>
        <v>4658.00000000003</v>
      </c>
      <c r="R157" s="2" t="str">
        <f aca="false">TEXT(A157,"ddd")</f>
        <v>Fri</v>
      </c>
    </row>
    <row r="158" customFormat="false" ht="15" hidden="false" customHeight="false" outlineLevel="0" collapsed="false">
      <c r="A158" s="42" t="n">
        <v>45271</v>
      </c>
      <c r="B158" s="28" t="n">
        <f aca="false">COUNTIFS(Trades!$D$2:$D$884,$A158)</f>
        <v>1</v>
      </c>
      <c r="C158" s="28" t="n">
        <f aca="false">COUNTIFS(Trades!$D$2:$D$884,$A158,Trades!$Z$2:$Z$884,"Win")</f>
        <v>0</v>
      </c>
      <c r="D158" s="28" t="n">
        <f aca="false">COUNTIFS(Trades!$D$2:$D$884,$A158,Trades!$Z$2:$Z$884,"Loss")</f>
        <v>1</v>
      </c>
      <c r="E158" s="29" t="n">
        <f aca="false">IFERROR(C158/B158,0)</f>
        <v>0</v>
      </c>
      <c r="F158" s="30" t="n">
        <f aca="false">SUMIFS(Trades!$X$2:$X$884,Trades!$D$2:$D$884,$A158)</f>
        <v>-162.57</v>
      </c>
      <c r="G158" s="30" t="n">
        <f aca="false">SUMIFS(Trades!$X$2:$X$884,Trades!$D$2:$D$884,$A158,Trades!$X$2:$X$884,"&gt;0")</f>
        <v>0</v>
      </c>
      <c r="H158" s="30" t="n">
        <f aca="false">SUMIFS(Trades!$X$2:$X$884,Trades!$D$2:$D$884,$A158,Trades!$X$2:$X$884,"&lt;0")</f>
        <v>-162.57</v>
      </c>
      <c r="I158" s="31" t="n">
        <f aca="false">IFERROR(G158/-H158,"no loss")</f>
        <v>0</v>
      </c>
      <c r="J158" s="30" t="n">
        <f aca="false">_xlfn.MAXIFS(Trades!$X$2:$X$884,Trades!$D$2:$D$884,$A158)</f>
        <v>-162.57</v>
      </c>
      <c r="K158" s="30" t="n">
        <f aca="false">_xlfn.MINIFS(Trades!$X$2:$X$884,Trades!$D$2:$D$884,$A158)</f>
        <v>-162.57</v>
      </c>
      <c r="L158" s="32" t="n">
        <f aca="false">SUMIFS(Trades!$Y$2:$Y$884,Trades!$D$2:$D$884,$A158)</f>
        <v>-1.0115232892395</v>
      </c>
      <c r="M158" s="30" t="n">
        <f aca="false">P157</f>
        <v>104658</v>
      </c>
      <c r="N158" s="29" t="n">
        <f aca="false">IFERROR(F158/M158,0)</f>
        <v>-0.00155334518144815</v>
      </c>
      <c r="O158" s="28" t="str">
        <f aca="false">IF(-N158&gt;=Summary!$C$7,"BREACH","")</f>
        <v/>
      </c>
      <c r="P158" s="30" t="n">
        <f aca="false">M158+F158</f>
        <v>104495.43</v>
      </c>
      <c r="Q158" s="30" t="n">
        <f aca="false">P158-Summary!$C$5</f>
        <v>4495.43000000002</v>
      </c>
      <c r="R158" s="2" t="str">
        <f aca="false">TEXT(A158,"ddd")</f>
        <v>Mon</v>
      </c>
    </row>
    <row r="159" customFormat="false" ht="15" hidden="false" customHeight="false" outlineLevel="0" collapsed="false">
      <c r="A159" s="42" t="n">
        <v>45272</v>
      </c>
      <c r="B159" s="28" t="n">
        <f aca="false">COUNTIFS(Trades!$D$2:$D$884,$A159)</f>
        <v>1</v>
      </c>
      <c r="C159" s="28" t="n">
        <f aca="false">COUNTIFS(Trades!$D$2:$D$884,$A159,Trades!$Z$2:$Z$884,"Win")</f>
        <v>1</v>
      </c>
      <c r="D159" s="28" t="n">
        <f aca="false">COUNTIFS(Trades!$D$2:$D$884,$A159,Trades!$Z$2:$Z$884,"Loss")</f>
        <v>0</v>
      </c>
      <c r="E159" s="29" t="n">
        <f aca="false">IFERROR(C159/B159,0)</f>
        <v>1</v>
      </c>
      <c r="F159" s="30" t="n">
        <f aca="false">SUMIFS(Trades!$X$2:$X$884,Trades!$D$2:$D$884,$A159)</f>
        <v>59.02</v>
      </c>
      <c r="G159" s="30" t="n">
        <f aca="false">SUMIFS(Trades!$X$2:$X$884,Trades!$D$2:$D$884,$A159,Trades!$X$2:$X$884,"&gt;0")</f>
        <v>59.02</v>
      </c>
      <c r="H159" s="30" t="n">
        <f aca="false">SUMIFS(Trades!$X$2:$X$884,Trades!$D$2:$D$884,$A159,Trades!$X$2:$X$884,"&lt;0")</f>
        <v>0</v>
      </c>
      <c r="I159" s="31" t="str">
        <f aca="false">IFERROR(G159/-H159,"no loss")</f>
        <v>no loss</v>
      </c>
      <c r="J159" s="30" t="n">
        <f aca="false">_xlfn.MAXIFS(Trades!$X$2:$X$884,Trades!$D$2:$D$884,$A159)</f>
        <v>59.02</v>
      </c>
      <c r="K159" s="30" t="n">
        <f aca="false">_xlfn.MINIFS(Trades!$X$2:$X$884,Trades!$D$2:$D$884,$A159)</f>
        <v>59.02</v>
      </c>
      <c r="L159" s="32" t="n">
        <f aca="false">SUMIFS(Trades!$Y$2:$Y$884,Trades!$D$2:$D$884,$A159)</f>
        <v>2.01902025177913</v>
      </c>
      <c r="M159" s="30" t="n">
        <f aca="false">P158</f>
        <v>104495.43</v>
      </c>
      <c r="N159" s="29" t="n">
        <f aca="false">IFERROR(F159/M159,0)</f>
        <v>0.000564809389271856</v>
      </c>
      <c r="O159" s="28" t="str">
        <f aca="false">IF(-N159&gt;=Summary!$C$7,"BREACH","")</f>
        <v/>
      </c>
      <c r="P159" s="30" t="n">
        <f aca="false">M159+F159</f>
        <v>104554.45</v>
      </c>
      <c r="Q159" s="30" t="n">
        <f aca="false">P159-Summary!$C$5</f>
        <v>4554.45000000003</v>
      </c>
      <c r="R159" s="2" t="str">
        <f aca="false">TEXT(A159,"ddd")</f>
        <v>Tue</v>
      </c>
    </row>
    <row r="160" customFormat="false" ht="15" hidden="false" customHeight="false" outlineLevel="0" collapsed="false">
      <c r="A160" s="42" t="n">
        <v>45273</v>
      </c>
      <c r="B160" s="28" t="n">
        <f aca="false">COUNTIFS(Trades!$D$2:$D$884,$A160)</f>
        <v>1</v>
      </c>
      <c r="C160" s="28" t="n">
        <f aca="false">COUNTIFS(Trades!$D$2:$D$884,$A160,Trades!$Z$2:$Z$884,"Win")</f>
        <v>0</v>
      </c>
      <c r="D160" s="28" t="n">
        <f aca="false">COUNTIFS(Trades!$D$2:$D$884,$A160,Trades!$Z$2:$Z$884,"Loss")</f>
        <v>1</v>
      </c>
      <c r="E160" s="29" t="n">
        <f aca="false">IFERROR(C160/B160,0)</f>
        <v>0</v>
      </c>
      <c r="F160" s="30" t="n">
        <f aca="false">SUMIFS(Trades!$X$2:$X$884,Trades!$D$2:$D$884,$A160)</f>
        <v>-0.22</v>
      </c>
      <c r="G160" s="30" t="n">
        <f aca="false">SUMIFS(Trades!$X$2:$X$884,Trades!$D$2:$D$884,$A160,Trades!$X$2:$X$884,"&gt;0")</f>
        <v>0</v>
      </c>
      <c r="H160" s="30" t="n">
        <f aca="false">SUMIFS(Trades!$X$2:$X$884,Trades!$D$2:$D$884,$A160,Trades!$X$2:$X$884,"&lt;0")</f>
        <v>-0.22</v>
      </c>
      <c r="I160" s="31" t="n">
        <f aca="false">IFERROR(G160/-H160,"no loss")</f>
        <v>0</v>
      </c>
      <c r="J160" s="30" t="n">
        <f aca="false">_xlfn.MAXIFS(Trades!$X$2:$X$884,Trades!$D$2:$D$884,$A160)</f>
        <v>-0.22</v>
      </c>
      <c r="K160" s="30" t="n">
        <f aca="false">_xlfn.MINIFS(Trades!$X$2:$X$884,Trades!$D$2:$D$884,$A160)</f>
        <v>-0.22</v>
      </c>
      <c r="L160" s="32" t="n">
        <f aca="false">SUMIFS(Trades!$Y$2:$Y$884,Trades!$D$2:$D$884,$A160)</f>
        <v>-0.00537424272034433</v>
      </c>
      <c r="M160" s="30" t="n">
        <f aca="false">P159</f>
        <v>104554.45</v>
      </c>
      <c r="N160" s="29" t="n">
        <f aca="false">IFERROR(F160/M160,0)</f>
        <v>-2.10416677625869E-006</v>
      </c>
      <c r="O160" s="28" t="str">
        <f aca="false">IF(-N160&gt;=Summary!$C$7,"BREACH","")</f>
        <v/>
      </c>
      <c r="P160" s="30" t="n">
        <f aca="false">M160+F160</f>
        <v>104554.23</v>
      </c>
      <c r="Q160" s="30" t="n">
        <f aca="false">P160-Summary!$C$5</f>
        <v>4554.23000000003</v>
      </c>
      <c r="R160" s="2" t="str">
        <f aca="false">TEXT(A160,"ddd")</f>
        <v>Wed</v>
      </c>
    </row>
    <row r="161" customFormat="false" ht="15" hidden="false" customHeight="false" outlineLevel="0" collapsed="false">
      <c r="A161" s="42" t="n">
        <v>45274</v>
      </c>
      <c r="B161" s="28" t="n">
        <f aca="false">COUNTIFS(Trades!$D$2:$D$884,$A161)</f>
        <v>1</v>
      </c>
      <c r="C161" s="28" t="n">
        <f aca="false">COUNTIFS(Trades!$D$2:$D$884,$A161,Trades!$Z$2:$Z$884,"Win")</f>
        <v>1</v>
      </c>
      <c r="D161" s="28" t="n">
        <f aca="false">COUNTIFS(Trades!$D$2:$D$884,$A161,Trades!$Z$2:$Z$884,"Loss")</f>
        <v>0</v>
      </c>
      <c r="E161" s="29" t="n">
        <f aca="false">IFERROR(C161/B161,0)</f>
        <v>1</v>
      </c>
      <c r="F161" s="30" t="n">
        <f aca="false">SUMIFS(Trades!$X$2:$X$884,Trades!$D$2:$D$884,$A161)</f>
        <v>42.56</v>
      </c>
      <c r="G161" s="30" t="n">
        <f aca="false">SUMIFS(Trades!$X$2:$X$884,Trades!$D$2:$D$884,$A161,Trades!$X$2:$X$884,"&gt;0")</f>
        <v>42.56</v>
      </c>
      <c r="H161" s="30" t="n">
        <f aca="false">SUMIFS(Trades!$X$2:$X$884,Trades!$D$2:$D$884,$A161,Trades!$X$2:$X$884,"&lt;0")</f>
        <v>0</v>
      </c>
      <c r="I161" s="31" t="str">
        <f aca="false">IFERROR(G161/-H161,"no loss")</f>
        <v>no loss</v>
      </c>
      <c r="J161" s="30" t="n">
        <f aca="false">_xlfn.MAXIFS(Trades!$X$2:$X$884,Trades!$D$2:$D$884,$A161)</f>
        <v>42.56</v>
      </c>
      <c r="K161" s="30" t="n">
        <f aca="false">_xlfn.MINIFS(Trades!$X$2:$X$884,Trades!$D$2:$D$884,$A161)</f>
        <v>42.56</v>
      </c>
      <c r="L161" s="32" t="n">
        <f aca="false">SUMIFS(Trades!$Y$2:$Y$884,Trades!$D$2:$D$884,$A161)</f>
        <v>2.09944751381275</v>
      </c>
      <c r="M161" s="30" t="n">
        <f aca="false">P160</f>
        <v>104554.23</v>
      </c>
      <c r="N161" s="29" t="n">
        <f aca="false">IFERROR(F161/M161,0)</f>
        <v>0.00040706148378693</v>
      </c>
      <c r="O161" s="28" t="str">
        <f aca="false">IF(-N161&gt;=Summary!$C$7,"BREACH","")</f>
        <v/>
      </c>
      <c r="P161" s="30" t="n">
        <f aca="false">M161+F161</f>
        <v>104596.79</v>
      </c>
      <c r="Q161" s="30" t="n">
        <f aca="false">P161-Summary!$C$5</f>
        <v>4596.79000000002</v>
      </c>
      <c r="R161" s="2" t="str">
        <f aca="false">TEXT(A161,"ddd")</f>
        <v>Thu</v>
      </c>
    </row>
    <row r="162" customFormat="false" ht="15" hidden="false" customHeight="false" outlineLevel="0" collapsed="false">
      <c r="A162" s="42" t="n">
        <v>45275</v>
      </c>
      <c r="B162" s="28" t="n">
        <f aca="false">COUNTIFS(Trades!$D$2:$D$884,$A162)</f>
        <v>1</v>
      </c>
      <c r="C162" s="28" t="n">
        <f aca="false">COUNTIFS(Trades!$D$2:$D$884,$A162,Trades!$Z$2:$Z$884,"Win")</f>
        <v>0</v>
      </c>
      <c r="D162" s="28" t="n">
        <f aca="false">COUNTIFS(Trades!$D$2:$D$884,$A162,Trades!$Z$2:$Z$884,"Loss")</f>
        <v>1</v>
      </c>
      <c r="E162" s="29" t="n">
        <f aca="false">IFERROR(C162/B162,0)</f>
        <v>0</v>
      </c>
      <c r="F162" s="30" t="n">
        <f aca="false">SUMIFS(Trades!$X$2:$X$884,Trades!$D$2:$D$884,$A162)</f>
        <v>-88.42</v>
      </c>
      <c r="G162" s="30" t="n">
        <f aca="false">SUMIFS(Trades!$X$2:$X$884,Trades!$D$2:$D$884,$A162,Trades!$X$2:$X$884,"&gt;0")</f>
        <v>0</v>
      </c>
      <c r="H162" s="30" t="n">
        <f aca="false">SUMIFS(Trades!$X$2:$X$884,Trades!$D$2:$D$884,$A162,Trades!$X$2:$X$884,"&lt;0")</f>
        <v>-88.42</v>
      </c>
      <c r="I162" s="31" t="n">
        <f aca="false">IFERROR(G162/-H162,"no loss")</f>
        <v>0</v>
      </c>
      <c r="J162" s="30" t="n">
        <f aca="false">_xlfn.MAXIFS(Trades!$X$2:$X$884,Trades!$D$2:$D$884,$A162)</f>
        <v>-88.42</v>
      </c>
      <c r="K162" s="30" t="n">
        <f aca="false">_xlfn.MINIFS(Trades!$X$2:$X$884,Trades!$D$2:$D$884,$A162)</f>
        <v>-88.42</v>
      </c>
      <c r="L162" s="32" t="n">
        <f aca="false">SUMIFS(Trades!$Y$2:$Y$884,Trades!$D$2:$D$884,$A162)</f>
        <v>-1.04981952887532</v>
      </c>
      <c r="M162" s="30" t="n">
        <f aca="false">P161</f>
        <v>104596.79</v>
      </c>
      <c r="N162" s="29" t="n">
        <f aca="false">IFERROR(F162/M162,0)</f>
        <v>-0.00084534142969397</v>
      </c>
      <c r="O162" s="28" t="str">
        <f aca="false">IF(-N162&gt;=Summary!$C$7,"BREACH","")</f>
        <v/>
      </c>
      <c r="P162" s="30" t="n">
        <f aca="false">M162+F162</f>
        <v>104508.37</v>
      </c>
      <c r="Q162" s="30" t="n">
        <f aca="false">P162-Summary!$C$5</f>
        <v>4508.37000000002</v>
      </c>
      <c r="R162" s="2" t="str">
        <f aca="false">TEXT(A162,"ddd")</f>
        <v>Fri</v>
      </c>
    </row>
    <row r="163" customFormat="false" ht="15" hidden="false" customHeight="false" outlineLevel="0" collapsed="false">
      <c r="A163" s="42" t="n">
        <v>45278</v>
      </c>
      <c r="B163" s="28" t="n">
        <f aca="false">COUNTIFS(Trades!$D$2:$D$884,$A163)</f>
        <v>1</v>
      </c>
      <c r="C163" s="28" t="n">
        <f aca="false">COUNTIFS(Trades!$D$2:$D$884,$A163,Trades!$Z$2:$Z$884,"Win")</f>
        <v>0</v>
      </c>
      <c r="D163" s="28" t="n">
        <f aca="false">COUNTIFS(Trades!$D$2:$D$884,$A163,Trades!$Z$2:$Z$884,"Loss")</f>
        <v>1</v>
      </c>
      <c r="E163" s="29" t="n">
        <f aca="false">IFERROR(C163/B163,0)</f>
        <v>0</v>
      </c>
      <c r="F163" s="30" t="n">
        <f aca="false">SUMIFS(Trades!$X$2:$X$884,Trades!$D$2:$D$884,$A163)</f>
        <v>-97.27</v>
      </c>
      <c r="G163" s="30" t="n">
        <f aca="false">SUMIFS(Trades!$X$2:$X$884,Trades!$D$2:$D$884,$A163,Trades!$X$2:$X$884,"&gt;0")</f>
        <v>0</v>
      </c>
      <c r="H163" s="30" t="n">
        <f aca="false">SUMIFS(Trades!$X$2:$X$884,Trades!$D$2:$D$884,$A163,Trades!$X$2:$X$884,"&lt;0")</f>
        <v>-97.27</v>
      </c>
      <c r="I163" s="31" t="n">
        <f aca="false">IFERROR(G163/-H163,"no loss")</f>
        <v>0</v>
      </c>
      <c r="J163" s="30" t="n">
        <f aca="false">_xlfn.MAXIFS(Trades!$X$2:$X$884,Trades!$D$2:$D$884,$A163)</f>
        <v>-97.27</v>
      </c>
      <c r="K163" s="30" t="n">
        <f aca="false">_xlfn.MINIFS(Trades!$X$2:$X$884,Trades!$D$2:$D$884,$A163)</f>
        <v>-97.27</v>
      </c>
      <c r="L163" s="32" t="n">
        <f aca="false">SUMIFS(Trades!$Y$2:$Y$884,Trades!$D$2:$D$884,$A163)</f>
        <v>-1.00518766534398</v>
      </c>
      <c r="M163" s="30" t="n">
        <f aca="false">P162</f>
        <v>104508.37</v>
      </c>
      <c r="N163" s="29" t="n">
        <f aca="false">IFERROR(F163/M163,0)</f>
        <v>-0.000930738848955351</v>
      </c>
      <c r="O163" s="28" t="str">
        <f aca="false">IF(-N163&gt;=Summary!$C$7,"BREACH","")</f>
        <v/>
      </c>
      <c r="P163" s="30" t="n">
        <f aca="false">M163+F163</f>
        <v>104411.1</v>
      </c>
      <c r="Q163" s="30" t="n">
        <f aca="false">P163-Summary!$C$5</f>
        <v>4411.10000000002</v>
      </c>
      <c r="R163" s="2" t="str">
        <f aca="false">TEXT(A163,"ddd")</f>
        <v>Mon</v>
      </c>
    </row>
    <row r="164" customFormat="false" ht="15" hidden="false" customHeight="false" outlineLevel="0" collapsed="false">
      <c r="A164" s="42" t="n">
        <v>45279</v>
      </c>
      <c r="B164" s="28" t="n">
        <f aca="false">COUNTIFS(Trades!$D$2:$D$884,$A164)</f>
        <v>1</v>
      </c>
      <c r="C164" s="28" t="n">
        <f aca="false">COUNTIFS(Trades!$D$2:$D$884,$A164,Trades!$Z$2:$Z$884,"Win")</f>
        <v>0</v>
      </c>
      <c r="D164" s="28" t="n">
        <f aca="false">COUNTIFS(Trades!$D$2:$D$884,$A164,Trades!$Z$2:$Z$884,"Loss")</f>
        <v>1</v>
      </c>
      <c r="E164" s="29" t="n">
        <f aca="false">IFERROR(C164/B164,0)</f>
        <v>0</v>
      </c>
      <c r="F164" s="30" t="n">
        <f aca="false">SUMIFS(Trades!$X$2:$X$884,Trades!$D$2:$D$884,$A164)</f>
        <v>-56.39</v>
      </c>
      <c r="G164" s="30" t="n">
        <f aca="false">SUMIFS(Trades!$X$2:$X$884,Trades!$D$2:$D$884,$A164,Trades!$X$2:$X$884,"&gt;0")</f>
        <v>0</v>
      </c>
      <c r="H164" s="30" t="n">
        <f aca="false">SUMIFS(Trades!$X$2:$X$884,Trades!$D$2:$D$884,$A164,Trades!$X$2:$X$884,"&lt;0")</f>
        <v>-56.39</v>
      </c>
      <c r="I164" s="31" t="n">
        <f aca="false">IFERROR(G164/-H164,"no loss")</f>
        <v>0</v>
      </c>
      <c r="J164" s="30" t="n">
        <f aca="false">_xlfn.MAXIFS(Trades!$X$2:$X$884,Trades!$D$2:$D$884,$A164)</f>
        <v>-56.39</v>
      </c>
      <c r="K164" s="30" t="n">
        <f aca="false">_xlfn.MINIFS(Trades!$X$2:$X$884,Trades!$D$2:$D$884,$A164)</f>
        <v>-56.39</v>
      </c>
      <c r="L164" s="32" t="n">
        <f aca="false">SUMIFS(Trades!$Y$2:$Y$884,Trades!$D$2:$D$884,$A164)</f>
        <v>-1.00395242842912</v>
      </c>
      <c r="M164" s="30" t="n">
        <f aca="false">P163</f>
        <v>104411.1</v>
      </c>
      <c r="N164" s="29" t="n">
        <f aca="false">IFERROR(F164/M164,0)</f>
        <v>-0.000540076677671244</v>
      </c>
      <c r="O164" s="28" t="str">
        <f aca="false">IF(-N164&gt;=Summary!$C$7,"BREACH","")</f>
        <v/>
      </c>
      <c r="P164" s="30" t="n">
        <f aca="false">M164+F164</f>
        <v>104354.71</v>
      </c>
      <c r="Q164" s="30" t="n">
        <f aca="false">P164-Summary!$C$5</f>
        <v>4354.71000000002</v>
      </c>
      <c r="R164" s="2" t="str">
        <f aca="false">TEXT(A164,"ddd")</f>
        <v>Tue</v>
      </c>
    </row>
    <row r="165" customFormat="false" ht="15" hidden="false" customHeight="false" outlineLevel="0" collapsed="false">
      <c r="A165" s="42" t="n">
        <v>45280</v>
      </c>
      <c r="B165" s="28" t="n">
        <f aca="false">COUNTIFS(Trades!$D$2:$D$884,$A165)</f>
        <v>2</v>
      </c>
      <c r="C165" s="28" t="n">
        <f aca="false">COUNTIFS(Trades!$D$2:$D$884,$A165,Trades!$Z$2:$Z$884,"Win")</f>
        <v>1</v>
      </c>
      <c r="D165" s="28" t="n">
        <f aca="false">COUNTIFS(Trades!$D$2:$D$884,$A165,Trades!$Z$2:$Z$884,"Loss")</f>
        <v>1</v>
      </c>
      <c r="E165" s="29" t="n">
        <f aca="false">IFERROR(C165/B165,0)</f>
        <v>0.5</v>
      </c>
      <c r="F165" s="30" t="n">
        <f aca="false">SUMIFS(Trades!$X$2:$X$884,Trades!$D$2:$D$884,$A165)</f>
        <v>279.34</v>
      </c>
      <c r="G165" s="30" t="n">
        <f aca="false">SUMIFS(Trades!$X$2:$X$884,Trades!$D$2:$D$884,$A165,Trades!$X$2:$X$884,"&gt;0")</f>
        <v>279.72</v>
      </c>
      <c r="H165" s="30" t="n">
        <f aca="false">SUMIFS(Trades!$X$2:$X$884,Trades!$D$2:$D$884,$A165,Trades!$X$2:$X$884,"&lt;0")</f>
        <v>-0.38</v>
      </c>
      <c r="I165" s="31" t="n">
        <f aca="false">IFERROR(G165/-H165,"no loss")</f>
        <v>736.105263157895</v>
      </c>
      <c r="J165" s="30" t="n">
        <f aca="false">_xlfn.MAXIFS(Trades!$X$2:$X$884,Trades!$D$2:$D$884,$A165)</f>
        <v>279.72</v>
      </c>
      <c r="K165" s="30" t="n">
        <f aca="false">_xlfn.MINIFS(Trades!$X$2:$X$884,Trades!$D$2:$D$884,$A165)</f>
        <v>-0.38</v>
      </c>
      <c r="L165" s="32" t="n">
        <f aca="false">SUMIFS(Trades!$Y$2:$Y$884,Trades!$D$2:$D$884,$A165)</f>
        <v>1.94142966306078</v>
      </c>
      <c r="M165" s="30" t="n">
        <f aca="false">P164</f>
        <v>104354.71</v>
      </c>
      <c r="N165" s="29" t="n">
        <f aca="false">IFERROR(F165/M165,0)</f>
        <v>0.00267683174051272</v>
      </c>
      <c r="O165" s="28" t="str">
        <f aca="false">IF(-N165&gt;=Summary!$C$7,"BREACH","")</f>
        <v/>
      </c>
      <c r="P165" s="30" t="n">
        <f aca="false">M165+F165</f>
        <v>104634.05</v>
      </c>
      <c r="Q165" s="30" t="n">
        <f aca="false">P165-Summary!$C$5</f>
        <v>4634.05000000002</v>
      </c>
      <c r="R165" s="2" t="str">
        <f aca="false">TEXT(A165,"ddd")</f>
        <v>Wed</v>
      </c>
    </row>
    <row r="166" customFormat="false" ht="15" hidden="false" customHeight="false" outlineLevel="0" collapsed="false">
      <c r="A166" s="42" t="n">
        <v>45282</v>
      </c>
      <c r="B166" s="28" t="n">
        <f aca="false">COUNTIFS(Trades!$D$2:$D$884,$A166)</f>
        <v>1</v>
      </c>
      <c r="C166" s="28" t="n">
        <f aca="false">COUNTIFS(Trades!$D$2:$D$884,$A166,Trades!$Z$2:$Z$884,"Win")</f>
        <v>0</v>
      </c>
      <c r="D166" s="28" t="n">
        <f aca="false">COUNTIFS(Trades!$D$2:$D$884,$A166,Trades!$Z$2:$Z$884,"Loss")</f>
        <v>1</v>
      </c>
      <c r="E166" s="29" t="n">
        <f aca="false">IFERROR(C166/B166,0)</f>
        <v>0</v>
      </c>
      <c r="F166" s="30" t="n">
        <f aca="false">SUMIFS(Trades!$X$2:$X$884,Trades!$D$2:$D$884,$A166)</f>
        <v>-31.86</v>
      </c>
      <c r="G166" s="30" t="n">
        <f aca="false">SUMIFS(Trades!$X$2:$X$884,Trades!$D$2:$D$884,$A166,Trades!$X$2:$X$884,"&gt;0")</f>
        <v>0</v>
      </c>
      <c r="H166" s="30" t="n">
        <f aca="false">SUMIFS(Trades!$X$2:$X$884,Trades!$D$2:$D$884,$A166,Trades!$X$2:$X$884,"&lt;0")</f>
        <v>-31.86</v>
      </c>
      <c r="I166" s="31" t="n">
        <f aca="false">IFERROR(G166/-H166,"no loss")</f>
        <v>0</v>
      </c>
      <c r="J166" s="30" t="n">
        <f aca="false">_xlfn.MAXIFS(Trades!$X$2:$X$884,Trades!$D$2:$D$884,$A166)</f>
        <v>-31.86</v>
      </c>
      <c r="K166" s="30" t="n">
        <f aca="false">_xlfn.MINIFS(Trades!$X$2:$X$884,Trades!$D$2:$D$884,$A166)</f>
        <v>-31.86</v>
      </c>
      <c r="L166" s="32" t="n">
        <f aca="false">SUMIFS(Trades!$Y$2:$Y$884,Trades!$D$2:$D$884,$A166)</f>
        <v>-1.12882653061205</v>
      </c>
      <c r="M166" s="30" t="n">
        <f aca="false">P165</f>
        <v>104634.05</v>
      </c>
      <c r="N166" s="29" t="n">
        <f aca="false">IFERROR(F166/M166,0)</f>
        <v>-0.000304489790847243</v>
      </c>
      <c r="O166" s="28" t="str">
        <f aca="false">IF(-N166&gt;=Summary!$C$7,"BREACH","")</f>
        <v/>
      </c>
      <c r="P166" s="30" t="n">
        <f aca="false">M166+F166</f>
        <v>104602.19</v>
      </c>
      <c r="Q166" s="30" t="n">
        <f aca="false">P166-Summary!$C$5</f>
        <v>4602.19000000002</v>
      </c>
      <c r="R166" s="2" t="str">
        <f aca="false">TEXT(A166,"ddd")</f>
        <v>Fri</v>
      </c>
    </row>
    <row r="167" customFormat="false" ht="15" hidden="false" customHeight="false" outlineLevel="0" collapsed="false">
      <c r="A167" s="42" t="n">
        <v>45286</v>
      </c>
      <c r="B167" s="28" t="n">
        <f aca="false">COUNTIFS(Trades!$D$2:$D$884,$A167)</f>
        <v>1</v>
      </c>
      <c r="C167" s="28" t="n">
        <f aca="false">COUNTIFS(Trades!$D$2:$D$884,$A167,Trades!$Z$2:$Z$884,"Win")</f>
        <v>0</v>
      </c>
      <c r="D167" s="28" t="n">
        <f aca="false">COUNTIFS(Trades!$D$2:$D$884,$A167,Trades!$Z$2:$Z$884,"Loss")</f>
        <v>1</v>
      </c>
      <c r="E167" s="29" t="n">
        <f aca="false">IFERROR(C167/B167,0)</f>
        <v>0</v>
      </c>
      <c r="F167" s="30" t="n">
        <f aca="false">SUMIFS(Trades!$X$2:$X$884,Trades!$D$2:$D$884,$A167)</f>
        <v>-2.7</v>
      </c>
      <c r="G167" s="30" t="n">
        <f aca="false">SUMIFS(Trades!$X$2:$X$884,Trades!$D$2:$D$884,$A167,Trades!$X$2:$X$884,"&gt;0")</f>
        <v>0</v>
      </c>
      <c r="H167" s="30" t="n">
        <f aca="false">SUMIFS(Trades!$X$2:$X$884,Trades!$D$2:$D$884,$A167,Trades!$X$2:$X$884,"&lt;0")</f>
        <v>-2.7</v>
      </c>
      <c r="I167" s="31" t="n">
        <f aca="false">IFERROR(G167/-H167,"no loss")</f>
        <v>0</v>
      </c>
      <c r="J167" s="30" t="n">
        <f aca="false">_xlfn.MAXIFS(Trades!$X$2:$X$884,Trades!$D$2:$D$884,$A167)</f>
        <v>-2.7</v>
      </c>
      <c r="K167" s="30" t="n">
        <f aca="false">_xlfn.MINIFS(Trades!$X$2:$X$884,Trades!$D$2:$D$884,$A167)</f>
        <v>-2.7</v>
      </c>
      <c r="L167" s="32" t="n">
        <f aca="false">SUMIFS(Trades!$Y$2:$Y$884,Trades!$D$2:$D$884,$A167)</f>
        <v>-0.0285388127853874</v>
      </c>
      <c r="M167" s="30" t="n">
        <f aca="false">P166</f>
        <v>104602.19</v>
      </c>
      <c r="N167" s="29" t="n">
        <f aca="false">IFERROR(F167/M167,0)</f>
        <v>-2.58120790778855E-005</v>
      </c>
      <c r="O167" s="28" t="str">
        <f aca="false">IF(-N167&gt;=Summary!$C$7,"BREACH","")</f>
        <v/>
      </c>
      <c r="P167" s="30" t="n">
        <f aca="false">M167+F167</f>
        <v>104599.49</v>
      </c>
      <c r="Q167" s="30" t="n">
        <f aca="false">P167-Summary!$C$5</f>
        <v>4599.49000000002</v>
      </c>
      <c r="R167" s="2" t="str">
        <f aca="false">TEXT(A167,"ddd")</f>
        <v>Tue</v>
      </c>
    </row>
    <row r="168" customFormat="false" ht="15" hidden="false" customHeight="false" outlineLevel="0" collapsed="false">
      <c r="A168" s="42" t="n">
        <v>45287</v>
      </c>
      <c r="B168" s="28" t="n">
        <f aca="false">COUNTIFS(Trades!$D$2:$D$884,$A168)</f>
        <v>1</v>
      </c>
      <c r="C168" s="28" t="n">
        <f aca="false">COUNTIFS(Trades!$D$2:$D$884,$A168,Trades!$Z$2:$Z$884,"Win")</f>
        <v>0</v>
      </c>
      <c r="D168" s="28" t="n">
        <f aca="false">COUNTIFS(Trades!$D$2:$D$884,$A168,Trades!$Z$2:$Z$884,"Loss")</f>
        <v>1</v>
      </c>
      <c r="E168" s="29" t="n">
        <f aca="false">IFERROR(C168/B168,0)</f>
        <v>0</v>
      </c>
      <c r="F168" s="30" t="n">
        <f aca="false">SUMIFS(Trades!$X$2:$X$884,Trades!$D$2:$D$884,$A168)</f>
        <v>-114.43</v>
      </c>
      <c r="G168" s="30" t="n">
        <f aca="false">SUMIFS(Trades!$X$2:$X$884,Trades!$D$2:$D$884,$A168,Trades!$X$2:$X$884,"&gt;0")</f>
        <v>0</v>
      </c>
      <c r="H168" s="30" t="n">
        <f aca="false">SUMIFS(Trades!$X$2:$X$884,Trades!$D$2:$D$884,$A168,Trades!$X$2:$X$884,"&lt;0")</f>
        <v>-114.43</v>
      </c>
      <c r="I168" s="31" t="n">
        <f aca="false">IFERROR(G168/-H168,"no loss")</f>
        <v>0</v>
      </c>
      <c r="J168" s="30" t="n">
        <f aca="false">_xlfn.MAXIFS(Trades!$X$2:$X$884,Trades!$D$2:$D$884,$A168)</f>
        <v>-114.43</v>
      </c>
      <c r="K168" s="30" t="n">
        <f aca="false">_xlfn.MINIFS(Trades!$X$2:$X$884,Trades!$D$2:$D$884,$A168)</f>
        <v>-114.43</v>
      </c>
      <c r="L168" s="32" t="n">
        <f aca="false">SUMIFS(Trades!$Y$2:$Y$884,Trades!$D$2:$D$884,$A168)</f>
        <v>-1.02817761963805</v>
      </c>
      <c r="M168" s="30" t="n">
        <f aca="false">P167</f>
        <v>104599.49</v>
      </c>
      <c r="N168" s="29" t="n">
        <f aca="false">IFERROR(F168/M168,0)</f>
        <v>-0.00109398238939788</v>
      </c>
      <c r="O168" s="28" t="str">
        <f aca="false">IF(-N168&gt;=Summary!$C$7,"BREACH","")</f>
        <v/>
      </c>
      <c r="P168" s="30" t="n">
        <f aca="false">M168+F168</f>
        <v>104485.06</v>
      </c>
      <c r="Q168" s="30" t="n">
        <f aca="false">P168-Summary!$C$5</f>
        <v>4485.06000000003</v>
      </c>
      <c r="R168" s="2" t="str">
        <f aca="false">TEXT(A168,"ddd")</f>
        <v>Wed</v>
      </c>
    </row>
    <row r="169" customFormat="false" ht="15" hidden="false" customHeight="false" outlineLevel="0" collapsed="false">
      <c r="A169" s="42" t="n">
        <v>45288</v>
      </c>
      <c r="B169" s="28" t="n">
        <f aca="false">COUNTIFS(Trades!$D$2:$D$884,$A169)</f>
        <v>1</v>
      </c>
      <c r="C169" s="28" t="n">
        <f aca="false">COUNTIFS(Trades!$D$2:$D$884,$A169,Trades!$Z$2:$Z$884,"Win")</f>
        <v>1</v>
      </c>
      <c r="D169" s="28" t="n">
        <f aca="false">COUNTIFS(Trades!$D$2:$D$884,$A169,Trades!$Z$2:$Z$884,"Loss")</f>
        <v>0</v>
      </c>
      <c r="E169" s="29" t="n">
        <f aca="false">IFERROR(C169/B169,0)</f>
        <v>1</v>
      </c>
      <c r="F169" s="30" t="n">
        <f aca="false">SUMIFS(Trades!$X$2:$X$884,Trades!$D$2:$D$884,$A169)</f>
        <v>28.73</v>
      </c>
      <c r="G169" s="30" t="n">
        <f aca="false">SUMIFS(Trades!$X$2:$X$884,Trades!$D$2:$D$884,$A169,Trades!$X$2:$X$884,"&gt;0")</f>
        <v>28.73</v>
      </c>
      <c r="H169" s="30" t="n">
        <f aca="false">SUMIFS(Trades!$X$2:$X$884,Trades!$D$2:$D$884,$A169,Trades!$X$2:$X$884,"&lt;0")</f>
        <v>0</v>
      </c>
      <c r="I169" s="31" t="str">
        <f aca="false">IFERROR(G169/-H169,"no loss")</f>
        <v>no loss</v>
      </c>
      <c r="J169" s="30" t="n">
        <f aca="false">_xlfn.MAXIFS(Trades!$X$2:$X$884,Trades!$D$2:$D$884,$A169)</f>
        <v>28.73</v>
      </c>
      <c r="K169" s="30" t="n">
        <f aca="false">_xlfn.MINIFS(Trades!$X$2:$X$884,Trades!$D$2:$D$884,$A169)</f>
        <v>28.73</v>
      </c>
      <c r="L169" s="32" t="n">
        <f aca="false">SUMIFS(Trades!$Y$2:$Y$884,Trades!$D$2:$D$884,$A169)</f>
        <v>2.42939286318427</v>
      </c>
      <c r="M169" s="30" t="n">
        <f aca="false">P168</f>
        <v>104485.06</v>
      </c>
      <c r="N169" s="29" t="n">
        <f aca="false">IFERROR(F169/M169,0)</f>
        <v>0.000274967540813969</v>
      </c>
      <c r="O169" s="28" t="str">
        <f aca="false">IF(-N169&gt;=Summary!$C$7,"BREACH","")</f>
        <v/>
      </c>
      <c r="P169" s="30" t="n">
        <f aca="false">M169+F169</f>
        <v>104513.79</v>
      </c>
      <c r="Q169" s="30" t="n">
        <f aca="false">P169-Summary!$C$5</f>
        <v>4513.79000000002</v>
      </c>
      <c r="R169" s="2" t="str">
        <f aca="false">TEXT(A169,"ddd")</f>
        <v>Thu</v>
      </c>
    </row>
    <row r="170" customFormat="false" ht="15" hidden="false" customHeight="false" outlineLevel="0" collapsed="false">
      <c r="A170" s="42" t="n">
        <v>45289</v>
      </c>
      <c r="B170" s="28" t="n">
        <f aca="false">COUNTIFS(Trades!$D$2:$D$884,$A170)</f>
        <v>1</v>
      </c>
      <c r="C170" s="28" t="n">
        <f aca="false">COUNTIFS(Trades!$D$2:$D$884,$A170,Trades!$Z$2:$Z$884,"Win")</f>
        <v>0</v>
      </c>
      <c r="D170" s="28" t="n">
        <f aca="false">COUNTIFS(Trades!$D$2:$D$884,$A170,Trades!$Z$2:$Z$884,"Loss")</f>
        <v>1</v>
      </c>
      <c r="E170" s="29" t="n">
        <f aca="false">IFERROR(C170/B170,0)</f>
        <v>0</v>
      </c>
      <c r="F170" s="30" t="n">
        <f aca="false">SUMIFS(Trades!$X$2:$X$884,Trades!$D$2:$D$884,$A170)</f>
        <v>-47.14</v>
      </c>
      <c r="G170" s="30" t="n">
        <f aca="false">SUMIFS(Trades!$X$2:$X$884,Trades!$D$2:$D$884,$A170,Trades!$X$2:$X$884,"&gt;0")</f>
        <v>0</v>
      </c>
      <c r="H170" s="30" t="n">
        <f aca="false">SUMIFS(Trades!$X$2:$X$884,Trades!$D$2:$D$884,$A170,Trades!$X$2:$X$884,"&lt;0")</f>
        <v>-47.14</v>
      </c>
      <c r="I170" s="31" t="n">
        <f aca="false">IFERROR(G170/-H170,"no loss")</f>
        <v>0</v>
      </c>
      <c r="J170" s="30" t="n">
        <f aca="false">_xlfn.MAXIFS(Trades!$X$2:$X$884,Trades!$D$2:$D$884,$A170)</f>
        <v>-47.14</v>
      </c>
      <c r="K170" s="30" t="n">
        <f aca="false">_xlfn.MINIFS(Trades!$X$2:$X$884,Trades!$D$2:$D$884,$A170)</f>
        <v>-47.14</v>
      </c>
      <c r="L170" s="32" t="n">
        <f aca="false">SUMIFS(Trades!$Y$2:$Y$884,Trades!$D$2:$D$884,$A170)</f>
        <v>-1.0115445689025</v>
      </c>
      <c r="M170" s="30" t="n">
        <f aca="false">P169</f>
        <v>104513.79</v>
      </c>
      <c r="N170" s="29" t="n">
        <f aca="false">IFERROR(F170/M170,0)</f>
        <v>-0.000451040958327126</v>
      </c>
      <c r="O170" s="28" t="str">
        <f aca="false">IF(-N170&gt;=Summary!$C$7,"BREACH","")</f>
        <v/>
      </c>
      <c r="P170" s="30" t="n">
        <f aca="false">M170+F170</f>
        <v>104466.65</v>
      </c>
      <c r="Q170" s="30" t="n">
        <f aca="false">P170-Summary!$C$5</f>
        <v>4466.65000000002</v>
      </c>
      <c r="R170" s="2" t="str">
        <f aca="false">TEXT(A170,"ddd")</f>
        <v>Fri</v>
      </c>
    </row>
    <row r="171" customFormat="false" ht="15" hidden="false" customHeight="false" outlineLevel="0" collapsed="false">
      <c r="A171" s="42" t="n">
        <v>45293</v>
      </c>
      <c r="B171" s="28" t="n">
        <f aca="false">COUNTIFS(Trades!$D$2:$D$884,$A171)</f>
        <v>1</v>
      </c>
      <c r="C171" s="28" t="n">
        <f aca="false">COUNTIFS(Trades!$D$2:$D$884,$A171,Trades!$Z$2:$Z$884,"Win")</f>
        <v>1</v>
      </c>
      <c r="D171" s="28" t="n">
        <f aca="false">COUNTIFS(Trades!$D$2:$D$884,$A171,Trades!$Z$2:$Z$884,"Loss")</f>
        <v>0</v>
      </c>
      <c r="E171" s="29" t="n">
        <f aca="false">IFERROR(C171/B171,0)</f>
        <v>1</v>
      </c>
      <c r="F171" s="30" t="n">
        <f aca="false">SUMIFS(Trades!$X$2:$X$884,Trades!$D$2:$D$884,$A171)</f>
        <v>170.8</v>
      </c>
      <c r="G171" s="30" t="n">
        <f aca="false">SUMIFS(Trades!$X$2:$X$884,Trades!$D$2:$D$884,$A171,Trades!$X$2:$X$884,"&gt;0")</f>
        <v>170.8</v>
      </c>
      <c r="H171" s="30" t="n">
        <f aca="false">SUMIFS(Trades!$X$2:$X$884,Trades!$D$2:$D$884,$A171,Trades!$X$2:$X$884,"&lt;0")</f>
        <v>0</v>
      </c>
      <c r="I171" s="31" t="str">
        <f aca="false">IFERROR(G171/-H171,"no loss")</f>
        <v>no loss</v>
      </c>
      <c r="J171" s="30" t="n">
        <f aca="false">_xlfn.MAXIFS(Trades!$X$2:$X$884,Trades!$D$2:$D$884,$A171)</f>
        <v>170.8</v>
      </c>
      <c r="K171" s="30" t="n">
        <f aca="false">_xlfn.MINIFS(Trades!$X$2:$X$884,Trades!$D$2:$D$884,$A171)</f>
        <v>170.8</v>
      </c>
      <c r="L171" s="32" t="n">
        <f aca="false">SUMIFS(Trades!$Y$2:$Y$884,Trades!$D$2:$D$884,$A171)</f>
        <v>2.00131233595827</v>
      </c>
      <c r="M171" s="30" t="n">
        <f aca="false">P170</f>
        <v>104466.65</v>
      </c>
      <c r="N171" s="29" t="n">
        <f aca="false">IFERROR(F171/M171,0)</f>
        <v>0.00163497154355002</v>
      </c>
      <c r="O171" s="28" t="str">
        <f aca="false">IF(-N171&gt;=Summary!$C$7,"BREACH","")</f>
        <v/>
      </c>
      <c r="P171" s="30" t="n">
        <f aca="false">M171+F171</f>
        <v>104637.45</v>
      </c>
      <c r="Q171" s="30" t="n">
        <f aca="false">P171-Summary!$C$5</f>
        <v>4637.45000000003</v>
      </c>
      <c r="R171" s="2" t="str">
        <f aca="false">TEXT(A171,"ddd")</f>
        <v>Tue</v>
      </c>
    </row>
    <row r="172" customFormat="false" ht="15" hidden="false" customHeight="false" outlineLevel="0" collapsed="false">
      <c r="A172" s="42" t="n">
        <v>45294</v>
      </c>
      <c r="B172" s="28" t="n">
        <f aca="false">COUNTIFS(Trades!$D$2:$D$884,$A172)</f>
        <v>1</v>
      </c>
      <c r="C172" s="28" t="n">
        <f aca="false">COUNTIFS(Trades!$D$2:$D$884,$A172,Trades!$Z$2:$Z$884,"Win")</f>
        <v>1</v>
      </c>
      <c r="D172" s="28" t="n">
        <f aca="false">COUNTIFS(Trades!$D$2:$D$884,$A172,Trades!$Z$2:$Z$884,"Loss")</f>
        <v>0</v>
      </c>
      <c r="E172" s="29" t="n">
        <f aca="false">IFERROR(C172/B172,0)</f>
        <v>1</v>
      </c>
      <c r="F172" s="30" t="n">
        <f aca="false">SUMIFS(Trades!$X$2:$X$884,Trades!$D$2:$D$884,$A172)</f>
        <v>103.88</v>
      </c>
      <c r="G172" s="30" t="n">
        <f aca="false">SUMIFS(Trades!$X$2:$X$884,Trades!$D$2:$D$884,$A172,Trades!$X$2:$X$884,"&gt;0")</f>
        <v>103.88</v>
      </c>
      <c r="H172" s="30" t="n">
        <f aca="false">SUMIFS(Trades!$X$2:$X$884,Trades!$D$2:$D$884,$A172,Trades!$X$2:$X$884,"&lt;0")</f>
        <v>0</v>
      </c>
      <c r="I172" s="31" t="str">
        <f aca="false">IFERROR(G172/-H172,"no loss")</f>
        <v>no loss</v>
      </c>
      <c r="J172" s="30" t="n">
        <f aca="false">_xlfn.MAXIFS(Trades!$X$2:$X$884,Trades!$D$2:$D$884,$A172)</f>
        <v>103.88</v>
      </c>
      <c r="K172" s="30" t="n">
        <f aca="false">_xlfn.MINIFS(Trades!$X$2:$X$884,Trades!$D$2:$D$884,$A172)</f>
        <v>103.88</v>
      </c>
      <c r="L172" s="32" t="n">
        <f aca="false">SUMIFS(Trades!$Y$2:$Y$884,Trades!$D$2:$D$884,$A172)</f>
        <v>2.00757575757541</v>
      </c>
      <c r="M172" s="30" t="n">
        <f aca="false">P171</f>
        <v>104637.45</v>
      </c>
      <c r="N172" s="29" t="n">
        <f aca="false">IFERROR(F172/M172,0)</f>
        <v>0.000992761195919816</v>
      </c>
      <c r="O172" s="28" t="str">
        <f aca="false">IF(-N172&gt;=Summary!$C$7,"BREACH","")</f>
        <v/>
      </c>
      <c r="P172" s="30" t="n">
        <f aca="false">M172+F172</f>
        <v>104741.33</v>
      </c>
      <c r="Q172" s="30" t="n">
        <f aca="false">P172-Summary!$C$5</f>
        <v>4741.33000000003</v>
      </c>
      <c r="R172" s="2" t="str">
        <f aca="false">TEXT(A172,"ddd")</f>
        <v>Wed</v>
      </c>
    </row>
    <row r="173" customFormat="false" ht="15" hidden="false" customHeight="false" outlineLevel="0" collapsed="false">
      <c r="A173" s="42" t="n">
        <v>45295</v>
      </c>
      <c r="B173" s="28" t="n">
        <f aca="false">COUNTIFS(Trades!$D$2:$D$884,$A173)</f>
        <v>1</v>
      </c>
      <c r="C173" s="28" t="n">
        <f aca="false">COUNTIFS(Trades!$D$2:$D$884,$A173,Trades!$Z$2:$Z$884,"Win")</f>
        <v>0</v>
      </c>
      <c r="D173" s="28" t="n">
        <f aca="false">COUNTIFS(Trades!$D$2:$D$884,$A173,Trades!$Z$2:$Z$884,"Loss")</f>
        <v>1</v>
      </c>
      <c r="E173" s="29" t="n">
        <f aca="false">IFERROR(C173/B173,0)</f>
        <v>0</v>
      </c>
      <c r="F173" s="30" t="n">
        <f aca="false">SUMIFS(Trades!$X$2:$X$884,Trades!$D$2:$D$884,$A173)</f>
        <v>-66.98</v>
      </c>
      <c r="G173" s="30" t="n">
        <f aca="false">SUMIFS(Trades!$X$2:$X$884,Trades!$D$2:$D$884,$A173,Trades!$X$2:$X$884,"&gt;0")</f>
        <v>0</v>
      </c>
      <c r="H173" s="30" t="n">
        <f aca="false">SUMIFS(Trades!$X$2:$X$884,Trades!$D$2:$D$884,$A173,Trades!$X$2:$X$884,"&lt;0")</f>
        <v>-66.98</v>
      </c>
      <c r="I173" s="31" t="n">
        <f aca="false">IFERROR(G173/-H173,"no loss")</f>
        <v>0</v>
      </c>
      <c r="J173" s="30" t="n">
        <f aca="false">_xlfn.MAXIFS(Trades!$X$2:$X$884,Trades!$D$2:$D$884,$A173)</f>
        <v>-66.98</v>
      </c>
      <c r="K173" s="30" t="n">
        <f aca="false">_xlfn.MINIFS(Trades!$X$2:$X$884,Trades!$D$2:$D$884,$A173)</f>
        <v>-66.98</v>
      </c>
      <c r="L173" s="32" t="n">
        <f aca="false">SUMIFS(Trades!$Y$2:$Y$884,Trades!$D$2:$D$884,$A173)</f>
        <v>-1.00173486480015</v>
      </c>
      <c r="M173" s="30" t="n">
        <f aca="false">P172</f>
        <v>104741.33</v>
      </c>
      <c r="N173" s="29" t="n">
        <f aca="false">IFERROR(F173/M173,0)</f>
        <v>-0.000639480136446616</v>
      </c>
      <c r="O173" s="28" t="str">
        <f aca="false">IF(-N173&gt;=Summary!$C$7,"BREACH","")</f>
        <v/>
      </c>
      <c r="P173" s="30" t="n">
        <f aca="false">M173+F173</f>
        <v>104674.35</v>
      </c>
      <c r="Q173" s="30" t="n">
        <f aca="false">P173-Summary!$C$5</f>
        <v>4674.35000000004</v>
      </c>
      <c r="R173" s="2" t="str">
        <f aca="false">TEXT(A173,"ddd")</f>
        <v>Thu</v>
      </c>
    </row>
    <row r="174" customFormat="false" ht="15" hidden="false" customHeight="false" outlineLevel="0" collapsed="false">
      <c r="A174" s="42" t="n">
        <v>45296</v>
      </c>
      <c r="B174" s="28" t="n">
        <f aca="false">COUNTIFS(Trades!$D$2:$D$884,$A174)</f>
        <v>1</v>
      </c>
      <c r="C174" s="28" t="n">
        <f aca="false">COUNTIFS(Trades!$D$2:$D$884,$A174,Trades!$Z$2:$Z$884,"Win")</f>
        <v>1</v>
      </c>
      <c r="D174" s="28" t="n">
        <f aca="false">COUNTIFS(Trades!$D$2:$D$884,$A174,Trades!$Z$2:$Z$884,"Loss")</f>
        <v>0</v>
      </c>
      <c r="E174" s="29" t="n">
        <f aca="false">IFERROR(C174/B174,0)</f>
        <v>1</v>
      </c>
      <c r="F174" s="30" t="n">
        <f aca="false">SUMIFS(Trades!$X$2:$X$884,Trades!$D$2:$D$884,$A174)</f>
        <v>44.46</v>
      </c>
      <c r="G174" s="30" t="n">
        <f aca="false">SUMIFS(Trades!$X$2:$X$884,Trades!$D$2:$D$884,$A174,Trades!$X$2:$X$884,"&gt;0")</f>
        <v>44.46</v>
      </c>
      <c r="H174" s="30" t="n">
        <f aca="false">SUMIFS(Trades!$X$2:$X$884,Trades!$D$2:$D$884,$A174,Trades!$X$2:$X$884,"&lt;0")</f>
        <v>0</v>
      </c>
      <c r="I174" s="31" t="str">
        <f aca="false">IFERROR(G174/-H174,"no loss")</f>
        <v>no loss</v>
      </c>
      <c r="J174" s="30" t="n">
        <f aca="false">_xlfn.MAXIFS(Trades!$X$2:$X$884,Trades!$D$2:$D$884,$A174)</f>
        <v>44.46</v>
      </c>
      <c r="K174" s="30" t="n">
        <f aca="false">_xlfn.MINIFS(Trades!$X$2:$X$884,Trades!$D$2:$D$884,$A174)</f>
        <v>44.46</v>
      </c>
      <c r="L174" s="32" t="n">
        <f aca="false">SUMIFS(Trades!$Y$2:$Y$884,Trades!$D$2:$D$884,$A174)</f>
        <v>2.15741459627312</v>
      </c>
      <c r="M174" s="30" t="n">
        <f aca="false">P173</f>
        <v>104674.35</v>
      </c>
      <c r="N174" s="29" t="n">
        <f aca="false">IFERROR(F174/M174,0)</f>
        <v>0.000424745890468868</v>
      </c>
      <c r="O174" s="28" t="str">
        <f aca="false">IF(-N174&gt;=Summary!$C$7,"BREACH","")</f>
        <v/>
      </c>
      <c r="P174" s="30" t="n">
        <f aca="false">M174+F174</f>
        <v>104718.81</v>
      </c>
      <c r="Q174" s="30" t="n">
        <f aca="false">P174-Summary!$C$5</f>
        <v>4718.81000000004</v>
      </c>
      <c r="R174" s="2" t="str">
        <f aca="false">TEXT(A174,"ddd")</f>
        <v>Fri</v>
      </c>
    </row>
    <row r="175" customFormat="false" ht="15" hidden="false" customHeight="false" outlineLevel="0" collapsed="false">
      <c r="A175" s="42" t="n">
        <v>45299</v>
      </c>
      <c r="B175" s="28" t="n">
        <f aca="false">COUNTIFS(Trades!$D$2:$D$884,$A175)</f>
        <v>1</v>
      </c>
      <c r="C175" s="28" t="n">
        <f aca="false">COUNTIFS(Trades!$D$2:$D$884,$A175,Trades!$Z$2:$Z$884,"Win")</f>
        <v>1</v>
      </c>
      <c r="D175" s="28" t="n">
        <f aca="false">COUNTIFS(Trades!$D$2:$D$884,$A175,Trades!$Z$2:$Z$884,"Loss")</f>
        <v>0</v>
      </c>
      <c r="E175" s="29" t="n">
        <f aca="false">IFERROR(C175/B175,0)</f>
        <v>1</v>
      </c>
      <c r="F175" s="30" t="n">
        <f aca="false">SUMIFS(Trades!$X$2:$X$884,Trades!$D$2:$D$884,$A175)</f>
        <v>235.03</v>
      </c>
      <c r="G175" s="30" t="n">
        <f aca="false">SUMIFS(Trades!$X$2:$X$884,Trades!$D$2:$D$884,$A175,Trades!$X$2:$X$884,"&gt;0")</f>
        <v>235.03</v>
      </c>
      <c r="H175" s="30" t="n">
        <f aca="false">SUMIFS(Trades!$X$2:$X$884,Trades!$D$2:$D$884,$A175,Trades!$X$2:$X$884,"&lt;0")</f>
        <v>0</v>
      </c>
      <c r="I175" s="31" t="str">
        <f aca="false">IFERROR(G175/-H175,"no loss")</f>
        <v>no loss</v>
      </c>
      <c r="J175" s="30" t="n">
        <f aca="false">_xlfn.MAXIFS(Trades!$X$2:$X$884,Trades!$D$2:$D$884,$A175)</f>
        <v>235.03</v>
      </c>
      <c r="K175" s="30" t="n">
        <f aca="false">_xlfn.MINIFS(Trades!$X$2:$X$884,Trades!$D$2:$D$884,$A175)</f>
        <v>235.03</v>
      </c>
      <c r="L175" s="32" t="n">
        <f aca="false">SUMIFS(Trades!$Y$2:$Y$884,Trades!$D$2:$D$884,$A175)</f>
        <v>2.01874184017033</v>
      </c>
      <c r="M175" s="30" t="n">
        <f aca="false">P174</f>
        <v>104718.81</v>
      </c>
      <c r="N175" s="29" t="n">
        <f aca="false">IFERROR(F175/M175,0)</f>
        <v>0.00224439143263755</v>
      </c>
      <c r="O175" s="28" t="str">
        <f aca="false">IF(-N175&gt;=Summary!$C$7,"BREACH","")</f>
        <v/>
      </c>
      <c r="P175" s="30" t="n">
        <f aca="false">M175+F175</f>
        <v>104953.84</v>
      </c>
      <c r="Q175" s="30" t="n">
        <f aca="false">P175-Summary!$C$5</f>
        <v>4953.84000000004</v>
      </c>
      <c r="R175" s="2" t="str">
        <f aca="false">TEXT(A175,"ddd")</f>
        <v>Mon</v>
      </c>
    </row>
    <row r="176" customFormat="false" ht="15" hidden="false" customHeight="false" outlineLevel="0" collapsed="false">
      <c r="A176" s="42" t="n">
        <v>45300</v>
      </c>
      <c r="B176" s="28" t="n">
        <f aca="false">COUNTIFS(Trades!$D$2:$D$884,$A176)</f>
        <v>1</v>
      </c>
      <c r="C176" s="28" t="n">
        <f aca="false">COUNTIFS(Trades!$D$2:$D$884,$A176,Trades!$Z$2:$Z$884,"Win")</f>
        <v>1</v>
      </c>
      <c r="D176" s="28" t="n">
        <f aca="false">COUNTIFS(Trades!$D$2:$D$884,$A176,Trades!$Z$2:$Z$884,"Loss")</f>
        <v>0</v>
      </c>
      <c r="E176" s="29" t="n">
        <f aca="false">IFERROR(C176/B176,0)</f>
        <v>1</v>
      </c>
      <c r="F176" s="30" t="n">
        <f aca="false">SUMIFS(Trades!$X$2:$X$884,Trades!$D$2:$D$884,$A176)</f>
        <v>117.82</v>
      </c>
      <c r="G176" s="30" t="n">
        <f aca="false">SUMIFS(Trades!$X$2:$X$884,Trades!$D$2:$D$884,$A176,Trades!$X$2:$X$884,"&gt;0")</f>
        <v>117.82</v>
      </c>
      <c r="H176" s="30" t="n">
        <f aca="false">SUMIFS(Trades!$X$2:$X$884,Trades!$D$2:$D$884,$A176,Trades!$X$2:$X$884,"&lt;0")</f>
        <v>0</v>
      </c>
      <c r="I176" s="31" t="str">
        <f aca="false">IFERROR(G176/-H176,"no loss")</f>
        <v>no loss</v>
      </c>
      <c r="J176" s="30" t="n">
        <f aca="false">_xlfn.MAXIFS(Trades!$X$2:$X$884,Trades!$D$2:$D$884,$A176)</f>
        <v>117.82</v>
      </c>
      <c r="K176" s="30" t="n">
        <f aca="false">_xlfn.MINIFS(Trades!$X$2:$X$884,Trades!$D$2:$D$884,$A176)</f>
        <v>117.82</v>
      </c>
      <c r="L176" s="32" t="n">
        <f aca="false">SUMIFS(Trades!$Y$2:$Y$884,Trades!$D$2:$D$884,$A176)</f>
        <v>2.00756543075254</v>
      </c>
      <c r="M176" s="30" t="n">
        <f aca="false">P175</f>
        <v>104953.84</v>
      </c>
      <c r="N176" s="29" t="n">
        <f aca="false">IFERROR(F176/M176,0)</f>
        <v>0.00112258874949216</v>
      </c>
      <c r="O176" s="28" t="str">
        <f aca="false">IF(-N176&gt;=Summary!$C$7,"BREACH","")</f>
        <v/>
      </c>
      <c r="P176" s="30" t="n">
        <f aca="false">M176+F176</f>
        <v>105071.66</v>
      </c>
      <c r="Q176" s="30" t="n">
        <f aca="false">P176-Summary!$C$5</f>
        <v>5071.66000000005</v>
      </c>
      <c r="R176" s="2" t="str">
        <f aca="false">TEXT(A176,"ddd")</f>
        <v>Tue</v>
      </c>
    </row>
    <row r="177" customFormat="false" ht="15" hidden="false" customHeight="false" outlineLevel="0" collapsed="false">
      <c r="A177" s="42" t="n">
        <v>45301</v>
      </c>
      <c r="B177" s="28" t="n">
        <f aca="false">COUNTIFS(Trades!$D$2:$D$884,$A177)</f>
        <v>1</v>
      </c>
      <c r="C177" s="28" t="n">
        <f aca="false">COUNTIFS(Trades!$D$2:$D$884,$A177,Trades!$Z$2:$Z$884,"Win")</f>
        <v>1</v>
      </c>
      <c r="D177" s="28" t="n">
        <f aca="false">COUNTIFS(Trades!$D$2:$D$884,$A177,Trades!$Z$2:$Z$884,"Loss")</f>
        <v>0</v>
      </c>
      <c r="E177" s="29" t="n">
        <f aca="false">IFERROR(C177/B177,0)</f>
        <v>1</v>
      </c>
      <c r="F177" s="30" t="n">
        <f aca="false">SUMIFS(Trades!$X$2:$X$884,Trades!$D$2:$D$884,$A177)</f>
        <v>104.27</v>
      </c>
      <c r="G177" s="30" t="n">
        <f aca="false">SUMIFS(Trades!$X$2:$X$884,Trades!$D$2:$D$884,$A177,Trades!$X$2:$X$884,"&gt;0")</f>
        <v>104.27</v>
      </c>
      <c r="H177" s="30" t="n">
        <f aca="false">SUMIFS(Trades!$X$2:$X$884,Trades!$D$2:$D$884,$A177,Trades!$X$2:$X$884,"&lt;0")</f>
        <v>0</v>
      </c>
      <c r="I177" s="31" t="str">
        <f aca="false">IFERROR(G177/-H177,"no loss")</f>
        <v>no loss</v>
      </c>
      <c r="J177" s="30" t="n">
        <f aca="false">_xlfn.MAXIFS(Trades!$X$2:$X$884,Trades!$D$2:$D$884,$A177)</f>
        <v>104.27</v>
      </c>
      <c r="K177" s="30" t="n">
        <f aca="false">_xlfn.MINIFS(Trades!$X$2:$X$884,Trades!$D$2:$D$884,$A177)</f>
        <v>104.27</v>
      </c>
      <c r="L177" s="32" t="n">
        <f aca="false">SUMIFS(Trades!$Y$2:$Y$884,Trades!$D$2:$D$884,$A177)</f>
        <v>2.08273410035185</v>
      </c>
      <c r="M177" s="30" t="n">
        <f aca="false">P176</f>
        <v>105071.66</v>
      </c>
      <c r="N177" s="29" t="n">
        <f aca="false">IFERROR(F177/M177,0)</f>
        <v>0.000992370349911669</v>
      </c>
      <c r="O177" s="28" t="str">
        <f aca="false">IF(-N177&gt;=Summary!$C$7,"BREACH","")</f>
        <v/>
      </c>
      <c r="P177" s="30" t="n">
        <f aca="false">M177+F177</f>
        <v>105175.93</v>
      </c>
      <c r="Q177" s="30" t="n">
        <f aca="false">P177-Summary!$C$5</f>
        <v>5175.93000000005</v>
      </c>
      <c r="R177" s="2" t="str">
        <f aca="false">TEXT(A177,"ddd")</f>
        <v>Wed</v>
      </c>
    </row>
    <row r="178" customFormat="false" ht="15" hidden="false" customHeight="false" outlineLevel="0" collapsed="false">
      <c r="A178" s="42" t="n">
        <v>45302</v>
      </c>
      <c r="B178" s="28" t="n">
        <f aca="false">COUNTIFS(Trades!$D$2:$D$884,$A178)</f>
        <v>2</v>
      </c>
      <c r="C178" s="28" t="n">
        <f aca="false">COUNTIFS(Trades!$D$2:$D$884,$A178,Trades!$Z$2:$Z$884,"Win")</f>
        <v>0</v>
      </c>
      <c r="D178" s="28" t="n">
        <f aca="false">COUNTIFS(Trades!$D$2:$D$884,$A178,Trades!$Z$2:$Z$884,"Loss")</f>
        <v>2</v>
      </c>
      <c r="E178" s="29" t="n">
        <f aca="false">IFERROR(C178/B178,0)</f>
        <v>0</v>
      </c>
      <c r="F178" s="30" t="n">
        <f aca="false">SUMIFS(Trades!$X$2:$X$884,Trades!$D$2:$D$884,$A178)</f>
        <v>-41.33</v>
      </c>
      <c r="G178" s="30" t="n">
        <f aca="false">SUMIFS(Trades!$X$2:$X$884,Trades!$D$2:$D$884,$A178,Trades!$X$2:$X$884,"&gt;0")</f>
        <v>0</v>
      </c>
      <c r="H178" s="30" t="n">
        <f aca="false">SUMIFS(Trades!$X$2:$X$884,Trades!$D$2:$D$884,$A178,Trades!$X$2:$X$884,"&lt;0")</f>
        <v>-41.33</v>
      </c>
      <c r="I178" s="31" t="n">
        <f aca="false">IFERROR(G178/-H178,"no loss")</f>
        <v>0</v>
      </c>
      <c r="J178" s="30" t="n">
        <f aca="false">_xlfn.MAXIFS(Trades!$X$2:$X$884,Trades!$D$2:$D$884,$A178)</f>
        <v>-4.54</v>
      </c>
      <c r="K178" s="30" t="n">
        <f aca="false">_xlfn.MINIFS(Trades!$X$2:$X$884,Trades!$D$2:$D$884,$A178)</f>
        <v>-36.79</v>
      </c>
      <c r="L178" s="32" t="n">
        <f aca="false">SUMIFS(Trades!$Y$2:$Y$884,Trades!$D$2:$D$884,$A178)</f>
        <v>-1.07486771193185</v>
      </c>
      <c r="M178" s="30" t="n">
        <f aca="false">P177</f>
        <v>105175.93</v>
      </c>
      <c r="N178" s="29" t="n">
        <f aca="false">IFERROR(F178/M178,0)</f>
        <v>-0.000392960632722715</v>
      </c>
      <c r="O178" s="28" t="str">
        <f aca="false">IF(-N178&gt;=Summary!$C$7,"BREACH","")</f>
        <v/>
      </c>
      <c r="P178" s="30" t="n">
        <f aca="false">M178+F178</f>
        <v>105134.6</v>
      </c>
      <c r="Q178" s="30" t="n">
        <f aca="false">P178-Summary!$C$5</f>
        <v>5134.60000000005</v>
      </c>
      <c r="R178" s="2" t="str">
        <f aca="false">TEXT(A178,"ddd")</f>
        <v>Thu</v>
      </c>
    </row>
    <row r="179" customFormat="false" ht="15" hidden="false" customHeight="false" outlineLevel="0" collapsed="false">
      <c r="A179" s="42" t="n">
        <v>45307</v>
      </c>
      <c r="B179" s="28" t="n">
        <f aca="false">COUNTIFS(Trades!$D$2:$D$884,$A179)</f>
        <v>2</v>
      </c>
      <c r="C179" s="28" t="n">
        <f aca="false">COUNTIFS(Trades!$D$2:$D$884,$A179,Trades!$Z$2:$Z$884,"Win")</f>
        <v>1</v>
      </c>
      <c r="D179" s="28" t="n">
        <f aca="false">COUNTIFS(Trades!$D$2:$D$884,$A179,Trades!$Z$2:$Z$884,"Loss")</f>
        <v>1</v>
      </c>
      <c r="E179" s="29" t="n">
        <f aca="false">IFERROR(C179/B179,0)</f>
        <v>0.5</v>
      </c>
      <c r="F179" s="30" t="n">
        <f aca="false">SUMIFS(Trades!$X$2:$X$884,Trades!$D$2:$D$884,$A179)</f>
        <v>-39.87</v>
      </c>
      <c r="G179" s="30" t="n">
        <f aca="false">SUMIFS(Trades!$X$2:$X$884,Trades!$D$2:$D$884,$A179,Trades!$X$2:$X$884,"&gt;0")</f>
        <v>71.23</v>
      </c>
      <c r="H179" s="30" t="n">
        <f aca="false">SUMIFS(Trades!$X$2:$X$884,Trades!$D$2:$D$884,$A179,Trades!$X$2:$X$884,"&lt;0")</f>
        <v>-111.1</v>
      </c>
      <c r="I179" s="31" t="n">
        <f aca="false">IFERROR(G179/-H179,"no loss")</f>
        <v>0.641134113411341</v>
      </c>
      <c r="J179" s="30" t="n">
        <f aca="false">_xlfn.MAXIFS(Trades!$X$2:$X$884,Trades!$D$2:$D$884,$A179)</f>
        <v>71.23</v>
      </c>
      <c r="K179" s="30" t="n">
        <f aca="false">_xlfn.MINIFS(Trades!$X$2:$X$884,Trades!$D$2:$D$884,$A179)</f>
        <v>-111.1</v>
      </c>
      <c r="L179" s="32" t="n">
        <f aca="false">SUMIFS(Trades!$Y$2:$Y$884,Trades!$D$2:$D$884,$A179)</f>
        <v>1.00909712942064</v>
      </c>
      <c r="M179" s="30" t="n">
        <f aca="false">P178</f>
        <v>105134.6</v>
      </c>
      <c r="N179" s="29" t="n">
        <f aca="false">IFERROR(F179/M179,0)</f>
        <v>-0.000379228151341233</v>
      </c>
      <c r="O179" s="28" t="str">
        <f aca="false">IF(-N179&gt;=Summary!$C$7,"BREACH","")</f>
        <v/>
      </c>
      <c r="P179" s="30" t="n">
        <f aca="false">M179+F179</f>
        <v>105094.73</v>
      </c>
      <c r="Q179" s="30" t="n">
        <f aca="false">P179-Summary!$C$5</f>
        <v>5094.73000000005</v>
      </c>
      <c r="R179" s="2" t="str">
        <f aca="false">TEXT(A179,"ddd")</f>
        <v>Tue</v>
      </c>
    </row>
    <row r="180" customFormat="false" ht="15" hidden="false" customHeight="false" outlineLevel="0" collapsed="false">
      <c r="A180" s="42" t="n">
        <v>45308</v>
      </c>
      <c r="B180" s="28" t="n">
        <f aca="false">COUNTIFS(Trades!$D$2:$D$884,$A180)</f>
        <v>1</v>
      </c>
      <c r="C180" s="28" t="n">
        <f aca="false">COUNTIFS(Trades!$D$2:$D$884,$A180,Trades!$Z$2:$Z$884,"Win")</f>
        <v>0</v>
      </c>
      <c r="D180" s="28" t="n">
        <f aca="false">COUNTIFS(Trades!$D$2:$D$884,$A180,Trades!$Z$2:$Z$884,"Loss")</f>
        <v>1</v>
      </c>
      <c r="E180" s="29" t="n">
        <f aca="false">IFERROR(C180/B180,0)</f>
        <v>0</v>
      </c>
      <c r="F180" s="30" t="n">
        <f aca="false">SUMIFS(Trades!$X$2:$X$884,Trades!$D$2:$D$884,$A180)</f>
        <v>-93.3</v>
      </c>
      <c r="G180" s="30" t="n">
        <f aca="false">SUMIFS(Trades!$X$2:$X$884,Trades!$D$2:$D$884,$A180,Trades!$X$2:$X$884,"&gt;0")</f>
        <v>0</v>
      </c>
      <c r="H180" s="30" t="n">
        <f aca="false">SUMIFS(Trades!$X$2:$X$884,Trades!$D$2:$D$884,$A180,Trades!$X$2:$X$884,"&lt;0")</f>
        <v>-93.3</v>
      </c>
      <c r="I180" s="31" t="n">
        <f aca="false">IFERROR(G180/-H180,"no loss")</f>
        <v>0</v>
      </c>
      <c r="J180" s="30" t="n">
        <f aca="false">_xlfn.MAXIFS(Trades!$X$2:$X$884,Trades!$D$2:$D$884,$A180)</f>
        <v>-93.3</v>
      </c>
      <c r="K180" s="30" t="n">
        <f aca="false">_xlfn.MINIFS(Trades!$X$2:$X$884,Trades!$D$2:$D$884,$A180)</f>
        <v>-93.3</v>
      </c>
      <c r="L180" s="32" t="n">
        <f aca="false">SUMIFS(Trades!$Y$2:$Y$884,Trades!$D$2:$D$884,$A180)</f>
        <v>-1.00974025974026</v>
      </c>
      <c r="M180" s="30" t="n">
        <f aca="false">P179</f>
        <v>105094.73</v>
      </c>
      <c r="N180" s="29" t="n">
        <f aca="false">IFERROR(F180/M180,0)</f>
        <v>-0.000887770490489865</v>
      </c>
      <c r="O180" s="28" t="str">
        <f aca="false">IF(-N180&gt;=Summary!$C$7,"BREACH","")</f>
        <v/>
      </c>
      <c r="P180" s="30" t="n">
        <f aca="false">M180+F180</f>
        <v>105001.43</v>
      </c>
      <c r="Q180" s="30" t="n">
        <f aca="false">P180-Summary!$C$5</f>
        <v>5001.43000000005</v>
      </c>
      <c r="R180" s="2" t="str">
        <f aca="false">TEXT(A180,"ddd")</f>
        <v>Wed</v>
      </c>
    </row>
    <row r="181" customFormat="false" ht="15" hidden="false" customHeight="false" outlineLevel="0" collapsed="false">
      <c r="A181" s="42" t="n">
        <v>45309</v>
      </c>
      <c r="B181" s="28" t="n">
        <f aca="false">COUNTIFS(Trades!$D$2:$D$884,$A181)</f>
        <v>1</v>
      </c>
      <c r="C181" s="28" t="n">
        <f aca="false">COUNTIFS(Trades!$D$2:$D$884,$A181,Trades!$Z$2:$Z$884,"Win")</f>
        <v>1</v>
      </c>
      <c r="D181" s="28" t="n">
        <f aca="false">COUNTIFS(Trades!$D$2:$D$884,$A181,Trades!$Z$2:$Z$884,"Loss")</f>
        <v>0</v>
      </c>
      <c r="E181" s="29" t="n">
        <f aca="false">IFERROR(C181/B181,0)</f>
        <v>1</v>
      </c>
      <c r="F181" s="30" t="n">
        <f aca="false">SUMIFS(Trades!$X$2:$X$884,Trades!$D$2:$D$884,$A181)</f>
        <v>89.6</v>
      </c>
      <c r="G181" s="30" t="n">
        <f aca="false">SUMIFS(Trades!$X$2:$X$884,Trades!$D$2:$D$884,$A181,Trades!$X$2:$X$884,"&gt;0")</f>
        <v>89.6</v>
      </c>
      <c r="H181" s="30" t="n">
        <f aca="false">SUMIFS(Trades!$X$2:$X$884,Trades!$D$2:$D$884,$A181,Trades!$X$2:$X$884,"&lt;0")</f>
        <v>0</v>
      </c>
      <c r="I181" s="31" t="str">
        <f aca="false">IFERROR(G181/-H181,"no loss")</f>
        <v>no loss</v>
      </c>
      <c r="J181" s="30" t="n">
        <f aca="false">_xlfn.MAXIFS(Trades!$X$2:$X$884,Trades!$D$2:$D$884,$A181)</f>
        <v>89.6</v>
      </c>
      <c r="K181" s="30" t="n">
        <f aca="false">_xlfn.MINIFS(Trades!$X$2:$X$884,Trades!$D$2:$D$884,$A181)</f>
        <v>89.6</v>
      </c>
      <c r="L181" s="32" t="n">
        <f aca="false">SUMIFS(Trades!$Y$2:$Y$884,Trades!$D$2:$D$884,$A181)</f>
        <v>2.03303684879221</v>
      </c>
      <c r="M181" s="30" t="n">
        <f aca="false">P180</f>
        <v>105001.43</v>
      </c>
      <c r="N181" s="29" t="n">
        <f aca="false">IFERROR(F181/M181,0)</f>
        <v>0.000853321711904304</v>
      </c>
      <c r="O181" s="28" t="str">
        <f aca="false">IF(-N181&gt;=Summary!$C$7,"BREACH","")</f>
        <v/>
      </c>
      <c r="P181" s="30" t="n">
        <f aca="false">M181+F181</f>
        <v>105091.03</v>
      </c>
      <c r="Q181" s="30" t="n">
        <f aca="false">P181-Summary!$C$5</f>
        <v>5091.03000000006</v>
      </c>
      <c r="R181" s="2" t="str">
        <f aca="false">TEXT(A181,"ddd")</f>
        <v>Thu</v>
      </c>
    </row>
    <row r="182" customFormat="false" ht="15" hidden="false" customHeight="false" outlineLevel="0" collapsed="false">
      <c r="A182" s="42" t="n">
        <v>45310</v>
      </c>
      <c r="B182" s="28" t="n">
        <f aca="false">COUNTIFS(Trades!$D$2:$D$884,$A182)</f>
        <v>1</v>
      </c>
      <c r="C182" s="28" t="n">
        <f aca="false">COUNTIFS(Trades!$D$2:$D$884,$A182,Trades!$Z$2:$Z$884,"Win")</f>
        <v>0</v>
      </c>
      <c r="D182" s="28" t="n">
        <f aca="false">COUNTIFS(Trades!$D$2:$D$884,$A182,Trades!$Z$2:$Z$884,"Loss")</f>
        <v>1</v>
      </c>
      <c r="E182" s="29" t="n">
        <f aca="false">IFERROR(C182/B182,0)</f>
        <v>0</v>
      </c>
      <c r="F182" s="30" t="n">
        <f aca="false">SUMIFS(Trades!$X$2:$X$884,Trades!$D$2:$D$884,$A182)</f>
        <v>-25.81</v>
      </c>
      <c r="G182" s="30" t="n">
        <f aca="false">SUMIFS(Trades!$X$2:$X$884,Trades!$D$2:$D$884,$A182,Trades!$X$2:$X$884,"&gt;0")</f>
        <v>0</v>
      </c>
      <c r="H182" s="30" t="n">
        <f aca="false">SUMIFS(Trades!$X$2:$X$884,Trades!$D$2:$D$884,$A182,Trades!$X$2:$X$884,"&lt;0")</f>
        <v>-25.81</v>
      </c>
      <c r="I182" s="31" t="n">
        <f aca="false">IFERROR(G182/-H182,"no loss")</f>
        <v>0</v>
      </c>
      <c r="J182" s="30" t="n">
        <f aca="false">_xlfn.MAXIFS(Trades!$X$2:$X$884,Trades!$D$2:$D$884,$A182)</f>
        <v>-25.81</v>
      </c>
      <c r="K182" s="30" t="n">
        <f aca="false">_xlfn.MINIFS(Trades!$X$2:$X$884,Trades!$D$2:$D$884,$A182)</f>
        <v>-25.81</v>
      </c>
      <c r="L182" s="32" t="n">
        <f aca="false">SUMIFS(Trades!$Y$2:$Y$884,Trades!$D$2:$D$884,$A182)</f>
        <v>-1.00623781676413</v>
      </c>
      <c r="M182" s="30" t="n">
        <f aca="false">P181</f>
        <v>105091.03</v>
      </c>
      <c r="N182" s="29" t="n">
        <f aca="false">IFERROR(F182/M182,0)</f>
        <v>-0.000245596603249583</v>
      </c>
      <c r="O182" s="28" t="str">
        <f aca="false">IF(-N182&gt;=Summary!$C$7,"BREACH","")</f>
        <v/>
      </c>
      <c r="P182" s="30" t="n">
        <f aca="false">M182+F182</f>
        <v>105065.22</v>
      </c>
      <c r="Q182" s="30" t="n">
        <f aca="false">P182-Summary!$C$5</f>
        <v>5065.22000000006</v>
      </c>
      <c r="R182" s="2" t="str">
        <f aca="false">TEXT(A182,"ddd")</f>
        <v>Fri</v>
      </c>
    </row>
    <row r="183" customFormat="false" ht="15" hidden="false" customHeight="false" outlineLevel="0" collapsed="false">
      <c r="A183" s="42" t="n">
        <v>45313</v>
      </c>
      <c r="B183" s="28" t="n">
        <f aca="false">COUNTIFS(Trades!$D$2:$D$884,$A183)</f>
        <v>1</v>
      </c>
      <c r="C183" s="28" t="n">
        <f aca="false">COUNTIFS(Trades!$D$2:$D$884,$A183,Trades!$Z$2:$Z$884,"Win")</f>
        <v>0</v>
      </c>
      <c r="D183" s="28" t="n">
        <f aca="false">COUNTIFS(Trades!$D$2:$D$884,$A183,Trades!$Z$2:$Z$884,"Loss")</f>
        <v>1</v>
      </c>
      <c r="E183" s="29" t="n">
        <f aca="false">IFERROR(C183/B183,0)</f>
        <v>0</v>
      </c>
      <c r="F183" s="30" t="n">
        <f aca="false">SUMIFS(Trades!$X$2:$X$884,Trades!$D$2:$D$884,$A183)</f>
        <v>-68.47</v>
      </c>
      <c r="G183" s="30" t="n">
        <f aca="false">SUMIFS(Trades!$X$2:$X$884,Trades!$D$2:$D$884,$A183,Trades!$X$2:$X$884,"&gt;0")</f>
        <v>0</v>
      </c>
      <c r="H183" s="30" t="n">
        <f aca="false">SUMIFS(Trades!$X$2:$X$884,Trades!$D$2:$D$884,$A183,Trades!$X$2:$X$884,"&lt;0")</f>
        <v>-68.47</v>
      </c>
      <c r="I183" s="31" t="n">
        <f aca="false">IFERROR(G183/-H183,"no loss")</f>
        <v>0</v>
      </c>
      <c r="J183" s="30" t="n">
        <f aca="false">_xlfn.MAXIFS(Trades!$X$2:$X$884,Trades!$D$2:$D$884,$A183)</f>
        <v>-68.47</v>
      </c>
      <c r="K183" s="30" t="n">
        <f aca="false">_xlfn.MINIFS(Trades!$X$2:$X$884,Trades!$D$2:$D$884,$A183)</f>
        <v>-68.47</v>
      </c>
      <c r="L183" s="32" t="n">
        <f aca="false">SUMIFS(Trades!$Y$2:$Y$884,Trades!$D$2:$D$884,$A183)</f>
        <v>-1.00234226321171</v>
      </c>
      <c r="M183" s="30" t="n">
        <f aca="false">P182</f>
        <v>105065.22</v>
      </c>
      <c r="N183" s="29" t="n">
        <f aca="false">IFERROR(F183/M183,0)</f>
        <v>-0.000651690445230115</v>
      </c>
      <c r="O183" s="28" t="str">
        <f aca="false">IF(-N183&gt;=Summary!$C$7,"BREACH","")</f>
        <v/>
      </c>
      <c r="P183" s="30" t="n">
        <f aca="false">M183+F183</f>
        <v>104996.75</v>
      </c>
      <c r="Q183" s="30" t="n">
        <f aca="false">P183-Summary!$C$5</f>
        <v>4996.75000000006</v>
      </c>
      <c r="R183" s="2" t="str">
        <f aca="false">TEXT(A183,"ddd")</f>
        <v>Mon</v>
      </c>
    </row>
    <row r="184" customFormat="false" ht="15" hidden="false" customHeight="false" outlineLevel="0" collapsed="false">
      <c r="A184" s="42" t="n">
        <v>45314</v>
      </c>
      <c r="B184" s="28" t="n">
        <f aca="false">COUNTIFS(Trades!$D$2:$D$884,$A184)</f>
        <v>1</v>
      </c>
      <c r="C184" s="28" t="n">
        <f aca="false">COUNTIFS(Trades!$D$2:$D$884,$A184,Trades!$Z$2:$Z$884,"Win")</f>
        <v>0</v>
      </c>
      <c r="D184" s="28" t="n">
        <f aca="false">COUNTIFS(Trades!$D$2:$D$884,$A184,Trades!$Z$2:$Z$884,"Loss")</f>
        <v>1</v>
      </c>
      <c r="E184" s="29" t="n">
        <f aca="false">IFERROR(C184/B184,0)</f>
        <v>0</v>
      </c>
      <c r="F184" s="30" t="n">
        <f aca="false">SUMIFS(Trades!$X$2:$X$884,Trades!$D$2:$D$884,$A184)</f>
        <v>-51.19</v>
      </c>
      <c r="G184" s="30" t="n">
        <f aca="false">SUMIFS(Trades!$X$2:$X$884,Trades!$D$2:$D$884,$A184,Trades!$X$2:$X$884,"&gt;0")</f>
        <v>0</v>
      </c>
      <c r="H184" s="30" t="n">
        <f aca="false">SUMIFS(Trades!$X$2:$X$884,Trades!$D$2:$D$884,$A184,Trades!$X$2:$X$884,"&lt;0")</f>
        <v>-51.19</v>
      </c>
      <c r="I184" s="31" t="n">
        <f aca="false">IFERROR(G184/-H184,"no loss")</f>
        <v>0</v>
      </c>
      <c r="J184" s="30" t="n">
        <f aca="false">_xlfn.MAXIFS(Trades!$X$2:$X$884,Trades!$D$2:$D$884,$A184)</f>
        <v>-51.19</v>
      </c>
      <c r="K184" s="30" t="n">
        <f aca="false">_xlfn.MINIFS(Trades!$X$2:$X$884,Trades!$D$2:$D$884,$A184)</f>
        <v>-51.19</v>
      </c>
      <c r="L184" s="32" t="n">
        <f aca="false">SUMIFS(Trades!$Y$2:$Y$884,Trades!$D$2:$D$884,$A184)</f>
        <v>-1.03715860280418</v>
      </c>
      <c r="M184" s="30" t="n">
        <f aca="false">P183</f>
        <v>104996.75</v>
      </c>
      <c r="N184" s="29" t="n">
        <f aca="false">IFERROR(F184/M184,0)</f>
        <v>-0.000487538900013572</v>
      </c>
      <c r="O184" s="28" t="str">
        <f aca="false">IF(-N184&gt;=Summary!$C$7,"BREACH","")</f>
        <v/>
      </c>
      <c r="P184" s="30" t="n">
        <f aca="false">M184+F184</f>
        <v>104945.56</v>
      </c>
      <c r="Q184" s="30" t="n">
        <f aca="false">P184-Summary!$C$5</f>
        <v>4945.56000000006</v>
      </c>
      <c r="R184" s="2" t="str">
        <f aca="false">TEXT(A184,"ddd")</f>
        <v>Tue</v>
      </c>
    </row>
    <row r="185" customFormat="false" ht="15" hidden="false" customHeight="false" outlineLevel="0" collapsed="false">
      <c r="A185" s="42" t="n">
        <v>45315</v>
      </c>
      <c r="B185" s="28" t="n">
        <f aca="false">COUNTIFS(Trades!$D$2:$D$884,$A185)</f>
        <v>1</v>
      </c>
      <c r="C185" s="28" t="n">
        <f aca="false">COUNTIFS(Trades!$D$2:$D$884,$A185,Trades!$Z$2:$Z$884,"Win")</f>
        <v>1</v>
      </c>
      <c r="D185" s="28" t="n">
        <f aca="false">COUNTIFS(Trades!$D$2:$D$884,$A185,Trades!$Z$2:$Z$884,"Loss")</f>
        <v>0</v>
      </c>
      <c r="E185" s="29" t="n">
        <f aca="false">IFERROR(C185/B185,0)</f>
        <v>1</v>
      </c>
      <c r="F185" s="30" t="n">
        <f aca="false">SUMIFS(Trades!$X$2:$X$884,Trades!$D$2:$D$884,$A185)</f>
        <v>193.32</v>
      </c>
      <c r="G185" s="30" t="n">
        <f aca="false">SUMIFS(Trades!$X$2:$X$884,Trades!$D$2:$D$884,$A185,Trades!$X$2:$X$884,"&gt;0")</f>
        <v>193.32</v>
      </c>
      <c r="H185" s="30" t="n">
        <f aca="false">SUMIFS(Trades!$X$2:$X$884,Trades!$D$2:$D$884,$A185,Trades!$X$2:$X$884,"&lt;0")</f>
        <v>0</v>
      </c>
      <c r="I185" s="31" t="str">
        <f aca="false">IFERROR(G185/-H185,"no loss")</f>
        <v>no loss</v>
      </c>
      <c r="J185" s="30" t="n">
        <f aca="false">_xlfn.MAXIFS(Trades!$X$2:$X$884,Trades!$D$2:$D$884,$A185)</f>
        <v>193.32</v>
      </c>
      <c r="K185" s="30" t="n">
        <f aca="false">_xlfn.MINIFS(Trades!$X$2:$X$884,Trades!$D$2:$D$884,$A185)</f>
        <v>193.32</v>
      </c>
      <c r="L185" s="32" t="n">
        <f aca="false">SUMIFS(Trades!$Y$2:$Y$884,Trades!$D$2:$D$884,$A185)</f>
        <v>2.01576576576553</v>
      </c>
      <c r="M185" s="30" t="n">
        <f aca="false">P184</f>
        <v>104945.56</v>
      </c>
      <c r="N185" s="29" t="n">
        <f aca="false">IFERROR(F185/M185,0)</f>
        <v>0.00184209794106582</v>
      </c>
      <c r="O185" s="28" t="str">
        <f aca="false">IF(-N185&gt;=Summary!$C$7,"BREACH","")</f>
        <v/>
      </c>
      <c r="P185" s="30" t="n">
        <f aca="false">M185+F185</f>
        <v>105138.88</v>
      </c>
      <c r="Q185" s="30" t="n">
        <f aca="false">P185-Summary!$C$5</f>
        <v>5138.88000000006</v>
      </c>
      <c r="R185" s="2" t="str">
        <f aca="false">TEXT(A185,"ddd")</f>
        <v>Wed</v>
      </c>
    </row>
    <row r="186" customFormat="false" ht="15" hidden="false" customHeight="false" outlineLevel="0" collapsed="false">
      <c r="A186" s="42" t="n">
        <v>45316</v>
      </c>
      <c r="B186" s="28" t="n">
        <f aca="false">COUNTIFS(Trades!$D$2:$D$884,$A186)</f>
        <v>1</v>
      </c>
      <c r="C186" s="28" t="n">
        <f aca="false">COUNTIFS(Trades!$D$2:$D$884,$A186,Trades!$Z$2:$Z$884,"Win")</f>
        <v>0</v>
      </c>
      <c r="D186" s="28" t="n">
        <f aca="false">COUNTIFS(Trades!$D$2:$D$884,$A186,Trades!$Z$2:$Z$884,"Loss")</f>
        <v>1</v>
      </c>
      <c r="E186" s="29" t="n">
        <f aca="false">IFERROR(C186/B186,0)</f>
        <v>0</v>
      </c>
      <c r="F186" s="30" t="n">
        <f aca="false">SUMIFS(Trades!$X$2:$X$884,Trades!$D$2:$D$884,$A186)</f>
        <v>-140.13</v>
      </c>
      <c r="G186" s="30" t="n">
        <f aca="false">SUMIFS(Trades!$X$2:$X$884,Trades!$D$2:$D$884,$A186,Trades!$X$2:$X$884,"&gt;0")</f>
        <v>0</v>
      </c>
      <c r="H186" s="30" t="n">
        <f aca="false">SUMIFS(Trades!$X$2:$X$884,Trades!$D$2:$D$884,$A186,Trades!$X$2:$X$884,"&lt;0")</f>
        <v>-140.13</v>
      </c>
      <c r="I186" s="31" t="n">
        <f aca="false">IFERROR(G186/-H186,"no loss")</f>
        <v>0</v>
      </c>
      <c r="J186" s="30" t="n">
        <f aca="false">_xlfn.MAXIFS(Trades!$X$2:$X$884,Trades!$D$2:$D$884,$A186)</f>
        <v>-140.13</v>
      </c>
      <c r="K186" s="30" t="n">
        <f aca="false">_xlfn.MINIFS(Trades!$X$2:$X$884,Trades!$D$2:$D$884,$A186)</f>
        <v>-140.13</v>
      </c>
      <c r="L186" s="32" t="n">
        <f aca="false">SUMIFS(Trades!$Y$2:$Y$884,Trades!$D$2:$D$884,$A186)</f>
        <v>-1.02044828942193</v>
      </c>
      <c r="M186" s="30" t="n">
        <f aca="false">P185</f>
        <v>105138.88</v>
      </c>
      <c r="N186" s="29" t="n">
        <f aca="false">IFERROR(F186/M186,0)</f>
        <v>-0.00133280856710667</v>
      </c>
      <c r="O186" s="28" t="str">
        <f aca="false">IF(-N186&gt;=Summary!$C$7,"BREACH","")</f>
        <v/>
      </c>
      <c r="P186" s="30" t="n">
        <f aca="false">M186+F186</f>
        <v>104998.75</v>
      </c>
      <c r="Q186" s="30" t="n">
        <f aca="false">P186-Summary!$C$5</f>
        <v>4998.75000000006</v>
      </c>
      <c r="R186" s="2" t="str">
        <f aca="false">TEXT(A186,"ddd")</f>
        <v>Thu</v>
      </c>
    </row>
    <row r="187" customFormat="false" ht="15" hidden="false" customHeight="false" outlineLevel="0" collapsed="false">
      <c r="A187" s="42" t="n">
        <v>45317</v>
      </c>
      <c r="B187" s="28" t="n">
        <f aca="false">COUNTIFS(Trades!$D$2:$D$884,$A187)</f>
        <v>1</v>
      </c>
      <c r="C187" s="28" t="n">
        <f aca="false">COUNTIFS(Trades!$D$2:$D$884,$A187,Trades!$Z$2:$Z$884,"Win")</f>
        <v>0</v>
      </c>
      <c r="D187" s="28" t="n">
        <f aca="false">COUNTIFS(Trades!$D$2:$D$884,$A187,Trades!$Z$2:$Z$884,"Loss")</f>
        <v>1</v>
      </c>
      <c r="E187" s="29" t="n">
        <f aca="false">IFERROR(C187/B187,0)</f>
        <v>0</v>
      </c>
      <c r="F187" s="30" t="n">
        <f aca="false">SUMIFS(Trades!$X$2:$X$884,Trades!$D$2:$D$884,$A187)</f>
        <v>-3.02</v>
      </c>
      <c r="G187" s="30" t="n">
        <f aca="false">SUMIFS(Trades!$X$2:$X$884,Trades!$D$2:$D$884,$A187,Trades!$X$2:$X$884,"&gt;0")</f>
        <v>0</v>
      </c>
      <c r="H187" s="30" t="n">
        <f aca="false">SUMIFS(Trades!$X$2:$X$884,Trades!$D$2:$D$884,$A187,Trades!$X$2:$X$884,"&lt;0")</f>
        <v>-3.02</v>
      </c>
      <c r="I187" s="31" t="n">
        <f aca="false">IFERROR(G187/-H187,"no loss")</f>
        <v>0</v>
      </c>
      <c r="J187" s="30" t="n">
        <f aca="false">_xlfn.MAXIFS(Trades!$X$2:$X$884,Trades!$D$2:$D$884,$A187)</f>
        <v>-3.02</v>
      </c>
      <c r="K187" s="30" t="n">
        <f aca="false">_xlfn.MINIFS(Trades!$X$2:$X$884,Trades!$D$2:$D$884,$A187)</f>
        <v>-3.02</v>
      </c>
      <c r="L187" s="32" t="n">
        <f aca="false">SUMIFS(Trades!$Y$2:$Y$884,Trades!$D$2:$D$884,$A187)</f>
        <v>-0.0795532374479875</v>
      </c>
      <c r="M187" s="30" t="n">
        <f aca="false">P186</f>
        <v>104998.75</v>
      </c>
      <c r="N187" s="29" t="n">
        <f aca="false">IFERROR(F187/M187,0)</f>
        <v>-2.87622471696091E-005</v>
      </c>
      <c r="O187" s="28" t="str">
        <f aca="false">IF(-N187&gt;=Summary!$C$7,"BREACH","")</f>
        <v/>
      </c>
      <c r="P187" s="30" t="n">
        <f aca="false">M187+F187</f>
        <v>104995.73</v>
      </c>
      <c r="Q187" s="30" t="n">
        <f aca="false">P187-Summary!$C$5</f>
        <v>4995.73000000005</v>
      </c>
      <c r="R187" s="2" t="str">
        <f aca="false">TEXT(A187,"ddd")</f>
        <v>Fri</v>
      </c>
    </row>
    <row r="188" customFormat="false" ht="15" hidden="false" customHeight="false" outlineLevel="0" collapsed="false">
      <c r="A188" s="42" t="n">
        <v>45320</v>
      </c>
      <c r="B188" s="28" t="n">
        <f aca="false">COUNTIFS(Trades!$D$2:$D$884,$A188)</f>
        <v>1</v>
      </c>
      <c r="C188" s="28" t="n">
        <f aca="false">COUNTIFS(Trades!$D$2:$D$884,$A188,Trades!$Z$2:$Z$884,"Win")</f>
        <v>0</v>
      </c>
      <c r="D188" s="28" t="n">
        <f aca="false">COUNTIFS(Trades!$D$2:$D$884,$A188,Trades!$Z$2:$Z$884,"Loss")</f>
        <v>1</v>
      </c>
      <c r="E188" s="29" t="n">
        <f aca="false">IFERROR(C188/B188,0)</f>
        <v>0</v>
      </c>
      <c r="F188" s="30" t="n">
        <f aca="false">SUMIFS(Trades!$X$2:$X$884,Trades!$D$2:$D$884,$A188)</f>
        <v>-43.84</v>
      </c>
      <c r="G188" s="30" t="n">
        <f aca="false">SUMIFS(Trades!$X$2:$X$884,Trades!$D$2:$D$884,$A188,Trades!$X$2:$X$884,"&gt;0")</f>
        <v>0</v>
      </c>
      <c r="H188" s="30" t="n">
        <f aca="false">SUMIFS(Trades!$X$2:$X$884,Trades!$D$2:$D$884,$A188,Trades!$X$2:$X$884,"&lt;0")</f>
        <v>-43.84</v>
      </c>
      <c r="I188" s="31" t="n">
        <f aca="false">IFERROR(G188/-H188,"no loss")</f>
        <v>0</v>
      </c>
      <c r="J188" s="30" t="n">
        <f aca="false">_xlfn.MAXIFS(Trades!$X$2:$X$884,Trades!$D$2:$D$884,$A188)</f>
        <v>-43.84</v>
      </c>
      <c r="K188" s="30" t="n">
        <f aca="false">_xlfn.MINIFS(Trades!$X$2:$X$884,Trades!$D$2:$D$884,$A188)</f>
        <v>-43.84</v>
      </c>
      <c r="L188" s="32" t="n">
        <f aca="false">SUMIFS(Trades!$Y$2:$Y$884,Trades!$D$2:$D$884,$A188)</f>
        <v>-1.00726036209876</v>
      </c>
      <c r="M188" s="30" t="n">
        <f aca="false">P187</f>
        <v>104995.73</v>
      </c>
      <c r="N188" s="29" t="n">
        <f aca="false">IFERROR(F188/M188,0)</f>
        <v>-0.000417540789515916</v>
      </c>
      <c r="O188" s="28" t="str">
        <f aca="false">IF(-N188&gt;=Summary!$C$7,"BREACH","")</f>
        <v/>
      </c>
      <c r="P188" s="30" t="n">
        <f aca="false">M188+F188</f>
        <v>104951.89</v>
      </c>
      <c r="Q188" s="30" t="n">
        <f aca="false">P188-Summary!$C$5</f>
        <v>4951.89000000006</v>
      </c>
      <c r="R188" s="2" t="str">
        <f aca="false">TEXT(A188,"ddd")</f>
        <v>Mon</v>
      </c>
    </row>
    <row r="189" customFormat="false" ht="15" hidden="false" customHeight="false" outlineLevel="0" collapsed="false">
      <c r="A189" s="42" t="n">
        <v>45321</v>
      </c>
      <c r="B189" s="28" t="n">
        <f aca="false">COUNTIFS(Trades!$D$2:$D$884,$A189)</f>
        <v>1</v>
      </c>
      <c r="C189" s="28" t="n">
        <f aca="false">COUNTIFS(Trades!$D$2:$D$884,$A189,Trades!$Z$2:$Z$884,"Win")</f>
        <v>0</v>
      </c>
      <c r="D189" s="28" t="n">
        <f aca="false">COUNTIFS(Trades!$D$2:$D$884,$A189,Trades!$Z$2:$Z$884,"Loss")</f>
        <v>1</v>
      </c>
      <c r="E189" s="29" t="n">
        <f aca="false">IFERROR(C189/B189,0)</f>
        <v>0</v>
      </c>
      <c r="F189" s="30" t="n">
        <f aca="false">SUMIFS(Trades!$X$2:$X$884,Trades!$D$2:$D$884,$A189)</f>
        <v>-0.16</v>
      </c>
      <c r="G189" s="30" t="n">
        <f aca="false">SUMIFS(Trades!$X$2:$X$884,Trades!$D$2:$D$884,$A189,Trades!$X$2:$X$884,"&gt;0")</f>
        <v>0</v>
      </c>
      <c r="H189" s="30" t="n">
        <f aca="false">SUMIFS(Trades!$X$2:$X$884,Trades!$D$2:$D$884,$A189,Trades!$X$2:$X$884,"&lt;0")</f>
        <v>-0.16</v>
      </c>
      <c r="I189" s="31" t="n">
        <f aca="false">IFERROR(G189/-H189,"no loss")</f>
        <v>0</v>
      </c>
      <c r="J189" s="30" t="n">
        <f aca="false">_xlfn.MAXIFS(Trades!$X$2:$X$884,Trades!$D$2:$D$884,$A189)</f>
        <v>-0.16</v>
      </c>
      <c r="K189" s="30" t="n">
        <f aca="false">_xlfn.MINIFS(Trades!$X$2:$X$884,Trades!$D$2:$D$884,$A189)</f>
        <v>-0.16</v>
      </c>
      <c r="L189" s="32" t="n">
        <f aca="false">SUMIFS(Trades!$Y$2:$Y$884,Trades!$D$2:$D$884,$A189)</f>
        <v>-0.00353263269451594</v>
      </c>
      <c r="M189" s="30" t="n">
        <f aca="false">P188</f>
        <v>104951.89</v>
      </c>
      <c r="N189" s="29" t="n">
        <f aca="false">IFERROR(F189/M189,0)</f>
        <v>-1.52450803887381E-006</v>
      </c>
      <c r="O189" s="28" t="str">
        <f aca="false">IF(-N189&gt;=Summary!$C$7,"BREACH","")</f>
        <v/>
      </c>
      <c r="P189" s="30" t="n">
        <f aca="false">M189+F189</f>
        <v>104951.73</v>
      </c>
      <c r="Q189" s="30" t="n">
        <f aca="false">P189-Summary!$C$5</f>
        <v>4951.73000000005</v>
      </c>
      <c r="R189" s="2" t="str">
        <f aca="false">TEXT(A189,"ddd")</f>
        <v>Tue</v>
      </c>
    </row>
    <row r="190" customFormat="false" ht="15" hidden="false" customHeight="false" outlineLevel="0" collapsed="false">
      <c r="A190" s="42" t="n">
        <v>45322</v>
      </c>
      <c r="B190" s="28" t="n">
        <f aca="false">COUNTIFS(Trades!$D$2:$D$884,$A190)</f>
        <v>1</v>
      </c>
      <c r="C190" s="28" t="n">
        <f aca="false">COUNTIFS(Trades!$D$2:$D$884,$A190,Trades!$Z$2:$Z$884,"Win")</f>
        <v>1</v>
      </c>
      <c r="D190" s="28" t="n">
        <f aca="false">COUNTIFS(Trades!$D$2:$D$884,$A190,Trades!$Z$2:$Z$884,"Loss")</f>
        <v>0</v>
      </c>
      <c r="E190" s="29" t="n">
        <f aca="false">IFERROR(C190/B190,0)</f>
        <v>1</v>
      </c>
      <c r="F190" s="30" t="n">
        <f aca="false">SUMIFS(Trades!$X$2:$X$884,Trades!$D$2:$D$884,$A190)</f>
        <v>525.69</v>
      </c>
      <c r="G190" s="30" t="n">
        <f aca="false">SUMIFS(Trades!$X$2:$X$884,Trades!$D$2:$D$884,$A190,Trades!$X$2:$X$884,"&gt;0")</f>
        <v>525.69</v>
      </c>
      <c r="H190" s="30" t="n">
        <f aca="false">SUMIFS(Trades!$X$2:$X$884,Trades!$D$2:$D$884,$A190,Trades!$X$2:$X$884,"&lt;0")</f>
        <v>0</v>
      </c>
      <c r="I190" s="31" t="str">
        <f aca="false">IFERROR(G190/-H190,"no loss")</f>
        <v>no loss</v>
      </c>
      <c r="J190" s="30" t="n">
        <f aca="false">_xlfn.MAXIFS(Trades!$X$2:$X$884,Trades!$D$2:$D$884,$A190)</f>
        <v>525.69</v>
      </c>
      <c r="K190" s="30" t="n">
        <f aca="false">_xlfn.MINIFS(Trades!$X$2:$X$884,Trades!$D$2:$D$884,$A190)</f>
        <v>525.69</v>
      </c>
      <c r="L190" s="32" t="n">
        <f aca="false">SUMIFS(Trades!$Y$2:$Y$884,Trades!$D$2:$D$884,$A190)</f>
        <v>2.00020546537901</v>
      </c>
      <c r="M190" s="30" t="n">
        <f aca="false">P189</f>
        <v>104951.73</v>
      </c>
      <c r="N190" s="29" t="n">
        <f aca="false">IFERROR(F190/M190,0)</f>
        <v>0.00500887407954114</v>
      </c>
      <c r="O190" s="28" t="str">
        <f aca="false">IF(-N190&gt;=Summary!$C$7,"BREACH","")</f>
        <v/>
      </c>
      <c r="P190" s="30" t="n">
        <f aca="false">M190+F190</f>
        <v>105477.42</v>
      </c>
      <c r="Q190" s="30" t="n">
        <f aca="false">P190-Summary!$C$5</f>
        <v>5477.42000000006</v>
      </c>
      <c r="R190" s="2" t="str">
        <f aca="false">TEXT(A190,"ddd")</f>
        <v>Wed</v>
      </c>
    </row>
    <row r="191" customFormat="false" ht="15" hidden="false" customHeight="false" outlineLevel="0" collapsed="false">
      <c r="A191" s="42" t="n">
        <v>45324</v>
      </c>
      <c r="B191" s="28" t="n">
        <f aca="false">COUNTIFS(Trades!$D$2:$D$884,$A191)</f>
        <v>2</v>
      </c>
      <c r="C191" s="28" t="n">
        <f aca="false">COUNTIFS(Trades!$D$2:$D$884,$A191,Trades!$Z$2:$Z$884,"Win")</f>
        <v>1</v>
      </c>
      <c r="D191" s="28" t="n">
        <f aca="false">COUNTIFS(Trades!$D$2:$D$884,$A191,Trades!$Z$2:$Z$884,"Loss")</f>
        <v>1</v>
      </c>
      <c r="E191" s="29" t="n">
        <f aca="false">IFERROR(C191/B191,0)</f>
        <v>0.5</v>
      </c>
      <c r="F191" s="30" t="n">
        <f aca="false">SUMIFS(Trades!$X$2:$X$884,Trades!$D$2:$D$884,$A191)</f>
        <v>443.71</v>
      </c>
      <c r="G191" s="30" t="n">
        <f aca="false">SUMIFS(Trades!$X$2:$X$884,Trades!$D$2:$D$884,$A191,Trades!$X$2:$X$884,"&gt;0")</f>
        <v>483.18</v>
      </c>
      <c r="H191" s="30" t="n">
        <f aca="false">SUMIFS(Trades!$X$2:$X$884,Trades!$D$2:$D$884,$A191,Trades!$X$2:$X$884,"&lt;0")</f>
        <v>-39.47</v>
      </c>
      <c r="I191" s="31" t="n">
        <f aca="false">IFERROR(G191/-H191,"no loss")</f>
        <v>12.2417025589055</v>
      </c>
      <c r="J191" s="30" t="n">
        <f aca="false">_xlfn.MAXIFS(Trades!$X$2:$X$884,Trades!$D$2:$D$884,$A191)</f>
        <v>483.18</v>
      </c>
      <c r="K191" s="30" t="n">
        <f aca="false">_xlfn.MINIFS(Trades!$X$2:$X$884,Trades!$D$2:$D$884,$A191)</f>
        <v>-39.47</v>
      </c>
      <c r="L191" s="32" t="n">
        <f aca="false">SUMIFS(Trades!$Y$2:$Y$884,Trades!$D$2:$D$884,$A191)</f>
        <v>2.11632793422123</v>
      </c>
      <c r="M191" s="30" t="n">
        <f aca="false">P190</f>
        <v>105477.42</v>
      </c>
      <c r="N191" s="29" t="n">
        <f aca="false">IFERROR(F191/M191,0)</f>
        <v>0.00420668234016342</v>
      </c>
      <c r="O191" s="28" t="str">
        <f aca="false">IF(-N191&gt;=Summary!$C$7,"BREACH","")</f>
        <v/>
      </c>
      <c r="P191" s="30" t="n">
        <f aca="false">M191+F191</f>
        <v>105921.13</v>
      </c>
      <c r="Q191" s="30" t="n">
        <f aca="false">P191-Summary!$C$5</f>
        <v>5921.13000000006</v>
      </c>
      <c r="R191" s="2" t="str">
        <f aca="false">TEXT(A191,"ddd")</f>
        <v>Fri</v>
      </c>
    </row>
    <row r="192" customFormat="false" ht="15" hidden="false" customHeight="false" outlineLevel="0" collapsed="false">
      <c r="A192" s="42" t="n">
        <v>45328</v>
      </c>
      <c r="B192" s="28" t="n">
        <f aca="false">COUNTIFS(Trades!$D$2:$D$884,$A192)</f>
        <v>1</v>
      </c>
      <c r="C192" s="28" t="n">
        <f aca="false">COUNTIFS(Trades!$D$2:$D$884,$A192,Trades!$Z$2:$Z$884,"Win")</f>
        <v>0</v>
      </c>
      <c r="D192" s="28" t="n">
        <f aca="false">COUNTIFS(Trades!$D$2:$D$884,$A192,Trades!$Z$2:$Z$884,"Loss")</f>
        <v>1</v>
      </c>
      <c r="E192" s="29" t="n">
        <f aca="false">IFERROR(C192/B192,0)</f>
        <v>0</v>
      </c>
      <c r="F192" s="30" t="n">
        <f aca="false">SUMIFS(Trades!$X$2:$X$884,Trades!$D$2:$D$884,$A192)</f>
        <v>-31.72</v>
      </c>
      <c r="G192" s="30" t="n">
        <f aca="false">SUMIFS(Trades!$X$2:$X$884,Trades!$D$2:$D$884,$A192,Trades!$X$2:$X$884,"&gt;0")</f>
        <v>0</v>
      </c>
      <c r="H192" s="30" t="n">
        <f aca="false">SUMIFS(Trades!$X$2:$X$884,Trades!$D$2:$D$884,$A192,Trades!$X$2:$X$884,"&lt;0")</f>
        <v>-31.72</v>
      </c>
      <c r="I192" s="31" t="n">
        <f aca="false">IFERROR(G192/-H192,"no loss")</f>
        <v>0</v>
      </c>
      <c r="J192" s="30" t="n">
        <f aca="false">_xlfn.MAXIFS(Trades!$X$2:$X$884,Trades!$D$2:$D$884,$A192)</f>
        <v>-31.72</v>
      </c>
      <c r="K192" s="30" t="n">
        <f aca="false">_xlfn.MINIFS(Trades!$X$2:$X$884,Trades!$D$2:$D$884,$A192)</f>
        <v>-31.72</v>
      </c>
      <c r="L192" s="32" t="n">
        <f aca="false">SUMIFS(Trades!$Y$2:$Y$884,Trades!$D$2:$D$884,$A192)</f>
        <v>-1.17760617760611</v>
      </c>
      <c r="M192" s="30" t="n">
        <f aca="false">P191</f>
        <v>105921.13</v>
      </c>
      <c r="N192" s="29" t="n">
        <f aca="false">IFERROR(F192/M192,0)</f>
        <v>-0.000299468104239447</v>
      </c>
      <c r="O192" s="28" t="str">
        <f aca="false">IF(-N192&gt;=Summary!$C$7,"BREACH","")</f>
        <v/>
      </c>
      <c r="P192" s="30" t="n">
        <f aca="false">M192+F192</f>
        <v>105889.41</v>
      </c>
      <c r="Q192" s="30" t="n">
        <f aca="false">P192-Summary!$C$5</f>
        <v>5889.41000000006</v>
      </c>
      <c r="R192" s="2" t="str">
        <f aca="false">TEXT(A192,"ddd")</f>
        <v>Tue</v>
      </c>
    </row>
    <row r="193" customFormat="false" ht="15" hidden="false" customHeight="false" outlineLevel="0" collapsed="false">
      <c r="A193" s="42" t="n">
        <v>45329</v>
      </c>
      <c r="B193" s="28" t="n">
        <f aca="false">COUNTIFS(Trades!$D$2:$D$884,$A193)</f>
        <v>1</v>
      </c>
      <c r="C193" s="28" t="n">
        <f aca="false">COUNTIFS(Trades!$D$2:$D$884,$A193,Trades!$Z$2:$Z$884,"Win")</f>
        <v>0</v>
      </c>
      <c r="D193" s="28" t="n">
        <f aca="false">COUNTIFS(Trades!$D$2:$D$884,$A193,Trades!$Z$2:$Z$884,"Loss")</f>
        <v>1</v>
      </c>
      <c r="E193" s="29" t="n">
        <f aca="false">IFERROR(C193/B193,0)</f>
        <v>0</v>
      </c>
      <c r="F193" s="30" t="n">
        <f aca="false">SUMIFS(Trades!$X$2:$X$884,Trades!$D$2:$D$884,$A193)</f>
        <v>-1.56</v>
      </c>
      <c r="G193" s="30" t="n">
        <f aca="false">SUMIFS(Trades!$X$2:$X$884,Trades!$D$2:$D$884,$A193,Trades!$X$2:$X$884,"&gt;0")</f>
        <v>0</v>
      </c>
      <c r="H193" s="30" t="n">
        <f aca="false">SUMIFS(Trades!$X$2:$X$884,Trades!$D$2:$D$884,$A193,Trades!$X$2:$X$884,"&lt;0")</f>
        <v>-1.56</v>
      </c>
      <c r="I193" s="31" t="n">
        <f aca="false">IFERROR(G193/-H193,"no loss")</f>
        <v>0</v>
      </c>
      <c r="J193" s="30" t="n">
        <f aca="false">_xlfn.MAXIFS(Trades!$X$2:$X$884,Trades!$D$2:$D$884,$A193)</f>
        <v>-1.56</v>
      </c>
      <c r="K193" s="30" t="n">
        <f aca="false">_xlfn.MINIFS(Trades!$X$2:$X$884,Trades!$D$2:$D$884,$A193)</f>
        <v>-1.56</v>
      </c>
      <c r="L193" s="32" t="n">
        <f aca="false">SUMIFS(Trades!$Y$2:$Y$884,Trades!$D$2:$D$884,$A193)</f>
        <v>-0.0348432055749105</v>
      </c>
      <c r="M193" s="30" t="n">
        <f aca="false">P192</f>
        <v>105889.41</v>
      </c>
      <c r="N193" s="29" t="n">
        <f aca="false">IFERROR(F193/M193,0)</f>
        <v>-1.4732351422111E-005</v>
      </c>
      <c r="O193" s="28" t="str">
        <f aca="false">IF(-N193&gt;=Summary!$C$7,"BREACH","")</f>
        <v/>
      </c>
      <c r="P193" s="30" t="n">
        <f aca="false">M193+F193</f>
        <v>105887.85</v>
      </c>
      <c r="Q193" s="30" t="n">
        <f aca="false">P193-Summary!$C$5</f>
        <v>5887.85000000006</v>
      </c>
      <c r="R193" s="2" t="str">
        <f aca="false">TEXT(A193,"ddd")</f>
        <v>Wed</v>
      </c>
    </row>
    <row r="194" customFormat="false" ht="15" hidden="false" customHeight="false" outlineLevel="0" collapsed="false">
      <c r="A194" s="42" t="n">
        <v>45330</v>
      </c>
      <c r="B194" s="28" t="n">
        <f aca="false">COUNTIFS(Trades!$D$2:$D$884,$A194)</f>
        <v>1</v>
      </c>
      <c r="C194" s="28" t="n">
        <f aca="false">COUNTIFS(Trades!$D$2:$D$884,$A194,Trades!$Z$2:$Z$884,"Win")</f>
        <v>0</v>
      </c>
      <c r="D194" s="28" t="n">
        <f aca="false">COUNTIFS(Trades!$D$2:$D$884,$A194,Trades!$Z$2:$Z$884,"Loss")</f>
        <v>1</v>
      </c>
      <c r="E194" s="29" t="n">
        <f aca="false">IFERROR(C194/B194,0)</f>
        <v>0</v>
      </c>
      <c r="F194" s="30" t="n">
        <f aca="false">SUMIFS(Trades!$X$2:$X$884,Trades!$D$2:$D$884,$A194)</f>
        <v>-1.92</v>
      </c>
      <c r="G194" s="30" t="n">
        <f aca="false">SUMIFS(Trades!$X$2:$X$884,Trades!$D$2:$D$884,$A194,Trades!$X$2:$X$884,"&gt;0")</f>
        <v>0</v>
      </c>
      <c r="H194" s="30" t="n">
        <f aca="false">SUMIFS(Trades!$X$2:$X$884,Trades!$D$2:$D$884,$A194,Trades!$X$2:$X$884,"&lt;0")</f>
        <v>-1.92</v>
      </c>
      <c r="I194" s="31" t="n">
        <f aca="false">IFERROR(G194/-H194,"no loss")</f>
        <v>0</v>
      </c>
      <c r="J194" s="30" t="n">
        <f aca="false">_xlfn.MAXIFS(Trades!$X$2:$X$884,Trades!$D$2:$D$884,$A194)</f>
        <v>-1.92</v>
      </c>
      <c r="K194" s="30" t="n">
        <f aca="false">_xlfn.MINIFS(Trades!$X$2:$X$884,Trades!$D$2:$D$884,$A194)</f>
        <v>-1.92</v>
      </c>
      <c r="L194" s="32" t="n">
        <f aca="false">SUMIFS(Trades!$Y$2:$Y$884,Trades!$D$2:$D$884,$A194)</f>
        <v>-0.019619063189733</v>
      </c>
      <c r="M194" s="30" t="n">
        <f aca="false">P193</f>
        <v>105887.85</v>
      </c>
      <c r="N194" s="29" t="n">
        <f aca="false">IFERROR(F194/M194,0)</f>
        <v>-1.81323919599841E-005</v>
      </c>
      <c r="O194" s="28" t="str">
        <f aca="false">IF(-N194&gt;=Summary!$C$7,"BREACH","")</f>
        <v/>
      </c>
      <c r="P194" s="30" t="n">
        <f aca="false">M194+F194</f>
        <v>105885.93</v>
      </c>
      <c r="Q194" s="30" t="n">
        <f aca="false">P194-Summary!$C$5</f>
        <v>5885.93000000007</v>
      </c>
      <c r="R194" s="2" t="str">
        <f aca="false">TEXT(A194,"ddd")</f>
        <v>Thu</v>
      </c>
    </row>
    <row r="195" customFormat="false" ht="15" hidden="false" customHeight="false" outlineLevel="0" collapsed="false">
      <c r="A195" s="42" t="n">
        <v>45331</v>
      </c>
      <c r="B195" s="28" t="n">
        <f aca="false">COUNTIFS(Trades!$D$2:$D$884,$A195)</f>
        <v>1</v>
      </c>
      <c r="C195" s="28" t="n">
        <f aca="false">COUNTIFS(Trades!$D$2:$D$884,$A195,Trades!$Z$2:$Z$884,"Win")</f>
        <v>0</v>
      </c>
      <c r="D195" s="28" t="n">
        <f aca="false">COUNTIFS(Trades!$D$2:$D$884,$A195,Trades!$Z$2:$Z$884,"Loss")</f>
        <v>1</v>
      </c>
      <c r="E195" s="29" t="n">
        <f aca="false">IFERROR(C195/B195,0)</f>
        <v>0</v>
      </c>
      <c r="F195" s="30" t="n">
        <f aca="false">SUMIFS(Trades!$X$2:$X$884,Trades!$D$2:$D$884,$A195)</f>
        <v>-38.12</v>
      </c>
      <c r="G195" s="30" t="n">
        <f aca="false">SUMIFS(Trades!$X$2:$X$884,Trades!$D$2:$D$884,$A195,Trades!$X$2:$X$884,"&gt;0")</f>
        <v>0</v>
      </c>
      <c r="H195" s="30" t="n">
        <f aca="false">SUMIFS(Trades!$X$2:$X$884,Trades!$D$2:$D$884,$A195,Trades!$X$2:$X$884,"&lt;0")</f>
        <v>-38.12</v>
      </c>
      <c r="I195" s="31" t="n">
        <f aca="false">IFERROR(G195/-H195,"no loss")</f>
        <v>0</v>
      </c>
      <c r="J195" s="30" t="n">
        <f aca="false">_xlfn.MAXIFS(Trades!$X$2:$X$884,Trades!$D$2:$D$884,$A195)</f>
        <v>-38.12</v>
      </c>
      <c r="K195" s="30" t="n">
        <f aca="false">_xlfn.MINIFS(Trades!$X$2:$X$884,Trades!$D$2:$D$884,$A195)</f>
        <v>-38.12</v>
      </c>
      <c r="L195" s="32" t="n">
        <f aca="false">SUMIFS(Trades!$Y$2:$Y$884,Trades!$D$2:$D$884,$A195)</f>
        <v>-1.00559248707385</v>
      </c>
      <c r="M195" s="30" t="n">
        <f aca="false">P194</f>
        <v>105885.93</v>
      </c>
      <c r="N195" s="29" t="n">
        <f aca="false">IFERROR(F195/M195,0)</f>
        <v>-0.000360010059882366</v>
      </c>
      <c r="O195" s="28" t="str">
        <f aca="false">IF(-N195&gt;=Summary!$C$7,"BREACH","")</f>
        <v/>
      </c>
      <c r="P195" s="30" t="n">
        <f aca="false">M195+F195</f>
        <v>105847.81</v>
      </c>
      <c r="Q195" s="30" t="n">
        <f aca="false">P195-Summary!$C$5</f>
        <v>5847.81000000007</v>
      </c>
      <c r="R195" s="2" t="str">
        <f aca="false">TEXT(A195,"ddd")</f>
        <v>Fri</v>
      </c>
    </row>
    <row r="196" customFormat="false" ht="15" hidden="false" customHeight="false" outlineLevel="0" collapsed="false">
      <c r="A196" s="42" t="n">
        <v>45334</v>
      </c>
      <c r="B196" s="28" t="n">
        <f aca="false">COUNTIFS(Trades!$D$2:$D$884,$A196)</f>
        <v>1</v>
      </c>
      <c r="C196" s="28" t="n">
        <f aca="false">COUNTIFS(Trades!$D$2:$D$884,$A196,Trades!$Z$2:$Z$884,"Win")</f>
        <v>1</v>
      </c>
      <c r="D196" s="28" t="n">
        <f aca="false">COUNTIFS(Trades!$D$2:$D$884,$A196,Trades!$Z$2:$Z$884,"Loss")</f>
        <v>0</v>
      </c>
      <c r="E196" s="29" t="n">
        <f aca="false">IFERROR(C196/B196,0)</f>
        <v>1</v>
      </c>
      <c r="F196" s="30" t="n">
        <f aca="false">SUMIFS(Trades!$X$2:$X$884,Trades!$D$2:$D$884,$A196)</f>
        <v>125.06</v>
      </c>
      <c r="G196" s="30" t="n">
        <f aca="false">SUMIFS(Trades!$X$2:$X$884,Trades!$D$2:$D$884,$A196,Trades!$X$2:$X$884,"&gt;0")</f>
        <v>125.06</v>
      </c>
      <c r="H196" s="30" t="n">
        <f aca="false">SUMIFS(Trades!$X$2:$X$884,Trades!$D$2:$D$884,$A196,Trades!$X$2:$X$884,"&lt;0")</f>
        <v>0</v>
      </c>
      <c r="I196" s="31" t="str">
        <f aca="false">IFERROR(G196/-H196,"no loss")</f>
        <v>no loss</v>
      </c>
      <c r="J196" s="30" t="n">
        <f aca="false">_xlfn.MAXIFS(Trades!$X$2:$X$884,Trades!$D$2:$D$884,$A196)</f>
        <v>125.06</v>
      </c>
      <c r="K196" s="30" t="n">
        <f aca="false">_xlfn.MINIFS(Trades!$X$2:$X$884,Trades!$D$2:$D$884,$A196)</f>
        <v>125.06</v>
      </c>
      <c r="L196" s="32" t="n">
        <f aca="false">SUMIFS(Trades!$Y$2:$Y$884,Trades!$D$2:$D$884,$A196)</f>
        <v>2.02441077441122</v>
      </c>
      <c r="M196" s="30" t="n">
        <f aca="false">P195</f>
        <v>105847.81</v>
      </c>
      <c r="N196" s="29" t="n">
        <f aca="false">IFERROR(F196/M196,0)</f>
        <v>0.00118150767597364</v>
      </c>
      <c r="O196" s="28" t="str">
        <f aca="false">IF(-N196&gt;=Summary!$C$7,"BREACH","")</f>
        <v/>
      </c>
      <c r="P196" s="30" t="n">
        <f aca="false">M196+F196</f>
        <v>105972.87</v>
      </c>
      <c r="Q196" s="30" t="n">
        <f aca="false">P196-Summary!$C$5</f>
        <v>5972.87000000007</v>
      </c>
      <c r="R196" s="2" t="str">
        <f aca="false">TEXT(A196,"ddd")</f>
        <v>Mon</v>
      </c>
    </row>
    <row r="197" customFormat="false" ht="15" hidden="false" customHeight="false" outlineLevel="0" collapsed="false">
      <c r="A197" s="42" t="n">
        <v>45335</v>
      </c>
      <c r="B197" s="28" t="n">
        <f aca="false">COUNTIFS(Trades!$D$2:$D$884,$A197)</f>
        <v>1</v>
      </c>
      <c r="C197" s="28" t="n">
        <f aca="false">COUNTIFS(Trades!$D$2:$D$884,$A197,Trades!$Z$2:$Z$884,"Win")</f>
        <v>0</v>
      </c>
      <c r="D197" s="28" t="n">
        <f aca="false">COUNTIFS(Trades!$D$2:$D$884,$A197,Trades!$Z$2:$Z$884,"Loss")</f>
        <v>1</v>
      </c>
      <c r="E197" s="29" t="n">
        <f aca="false">IFERROR(C197/B197,0)</f>
        <v>0</v>
      </c>
      <c r="F197" s="30" t="n">
        <f aca="false">SUMIFS(Trades!$X$2:$X$884,Trades!$D$2:$D$884,$A197)</f>
        <v>-25.06</v>
      </c>
      <c r="G197" s="30" t="n">
        <f aca="false">SUMIFS(Trades!$X$2:$X$884,Trades!$D$2:$D$884,$A197,Trades!$X$2:$X$884,"&gt;0")</f>
        <v>0</v>
      </c>
      <c r="H197" s="30" t="n">
        <f aca="false">SUMIFS(Trades!$X$2:$X$884,Trades!$D$2:$D$884,$A197,Trades!$X$2:$X$884,"&lt;0")</f>
        <v>-25.06</v>
      </c>
      <c r="I197" s="31" t="n">
        <f aca="false">IFERROR(G197/-H197,"no loss")</f>
        <v>0</v>
      </c>
      <c r="J197" s="30" t="n">
        <f aca="false">_xlfn.MAXIFS(Trades!$X$2:$X$884,Trades!$D$2:$D$884,$A197)</f>
        <v>-25.06</v>
      </c>
      <c r="K197" s="30" t="n">
        <f aca="false">_xlfn.MINIFS(Trades!$X$2:$X$884,Trades!$D$2:$D$884,$A197)</f>
        <v>-25.06</v>
      </c>
      <c r="L197" s="32" t="n">
        <f aca="false">SUMIFS(Trades!$Y$2:$Y$884,Trades!$D$2:$D$884,$A197)</f>
        <v>-1.0103209159812</v>
      </c>
      <c r="M197" s="30" t="n">
        <f aca="false">P196</f>
        <v>105972.87</v>
      </c>
      <c r="N197" s="29" t="n">
        <f aca="false">IFERROR(F197/M197,0)</f>
        <v>-0.000236475618712601</v>
      </c>
      <c r="O197" s="28" t="str">
        <f aca="false">IF(-N197&gt;=Summary!$C$7,"BREACH","")</f>
        <v/>
      </c>
      <c r="P197" s="30" t="n">
        <f aca="false">M197+F197</f>
        <v>105947.81</v>
      </c>
      <c r="Q197" s="30" t="n">
        <f aca="false">P197-Summary!$C$5</f>
        <v>5947.81000000007</v>
      </c>
      <c r="R197" s="2" t="str">
        <f aca="false">TEXT(A197,"ddd")</f>
        <v>Tue</v>
      </c>
    </row>
    <row r="198" customFormat="false" ht="15" hidden="false" customHeight="false" outlineLevel="0" collapsed="false">
      <c r="A198" s="42" t="n">
        <v>45337</v>
      </c>
      <c r="B198" s="28" t="n">
        <f aca="false">COUNTIFS(Trades!$D$2:$D$884,$A198)</f>
        <v>1</v>
      </c>
      <c r="C198" s="28" t="n">
        <f aca="false">COUNTIFS(Trades!$D$2:$D$884,$A198,Trades!$Z$2:$Z$884,"Win")</f>
        <v>0</v>
      </c>
      <c r="D198" s="28" t="n">
        <f aca="false">COUNTIFS(Trades!$D$2:$D$884,$A198,Trades!$Z$2:$Z$884,"Loss")</f>
        <v>1</v>
      </c>
      <c r="E198" s="29" t="n">
        <f aca="false">IFERROR(C198/B198,0)</f>
        <v>0</v>
      </c>
      <c r="F198" s="30" t="n">
        <f aca="false">SUMIFS(Trades!$X$2:$X$884,Trades!$D$2:$D$884,$A198)</f>
        <v>-0.36</v>
      </c>
      <c r="G198" s="30" t="n">
        <f aca="false">SUMIFS(Trades!$X$2:$X$884,Trades!$D$2:$D$884,$A198,Trades!$X$2:$X$884,"&gt;0")</f>
        <v>0</v>
      </c>
      <c r="H198" s="30" t="n">
        <f aca="false">SUMIFS(Trades!$X$2:$X$884,Trades!$D$2:$D$884,$A198,Trades!$X$2:$X$884,"&lt;0")</f>
        <v>-0.36</v>
      </c>
      <c r="I198" s="31" t="n">
        <f aca="false">IFERROR(G198/-H198,"no loss")</f>
        <v>0</v>
      </c>
      <c r="J198" s="30" t="n">
        <f aca="false">_xlfn.MAXIFS(Trades!$X$2:$X$884,Trades!$D$2:$D$884,$A198)</f>
        <v>-0.36</v>
      </c>
      <c r="K198" s="30" t="n">
        <f aca="false">_xlfn.MINIFS(Trades!$X$2:$X$884,Trades!$D$2:$D$884,$A198)</f>
        <v>-0.36</v>
      </c>
      <c r="L198" s="32" t="n">
        <f aca="false">SUMIFS(Trades!$Y$2:$Y$884,Trades!$D$2:$D$884,$A198)</f>
        <v>-0.0128681727194801</v>
      </c>
      <c r="M198" s="30" t="n">
        <f aca="false">P197</f>
        <v>105947.81</v>
      </c>
      <c r="N198" s="29" t="n">
        <f aca="false">IFERROR(F198/M198,0)</f>
        <v>-3.39789939971388E-006</v>
      </c>
      <c r="O198" s="28" t="str">
        <f aca="false">IF(-N198&gt;=Summary!$C$7,"BREACH","")</f>
        <v/>
      </c>
      <c r="P198" s="30" t="n">
        <f aca="false">M198+F198</f>
        <v>105947.45</v>
      </c>
      <c r="Q198" s="30" t="n">
        <f aca="false">P198-Summary!$C$5</f>
        <v>5947.45000000007</v>
      </c>
      <c r="R198" s="2" t="str">
        <f aca="false">TEXT(A198,"ddd")</f>
        <v>Thu</v>
      </c>
    </row>
    <row r="199" customFormat="false" ht="15" hidden="false" customHeight="false" outlineLevel="0" collapsed="false">
      <c r="A199" s="42" t="n">
        <v>45338</v>
      </c>
      <c r="B199" s="28" t="n">
        <f aca="false">COUNTIFS(Trades!$D$2:$D$884,$A199)</f>
        <v>2</v>
      </c>
      <c r="C199" s="28" t="n">
        <f aca="false">COUNTIFS(Trades!$D$2:$D$884,$A199,Trades!$Z$2:$Z$884,"Win")</f>
        <v>0</v>
      </c>
      <c r="D199" s="28" t="n">
        <f aca="false">COUNTIFS(Trades!$D$2:$D$884,$A199,Trades!$Z$2:$Z$884,"Loss")</f>
        <v>2</v>
      </c>
      <c r="E199" s="29" t="n">
        <f aca="false">IFERROR(C199/B199,0)</f>
        <v>0</v>
      </c>
      <c r="F199" s="30" t="n">
        <f aca="false">SUMIFS(Trades!$X$2:$X$884,Trades!$D$2:$D$884,$A199)</f>
        <v>-5.09</v>
      </c>
      <c r="G199" s="30" t="n">
        <f aca="false">SUMIFS(Trades!$X$2:$X$884,Trades!$D$2:$D$884,$A199,Trades!$X$2:$X$884,"&gt;0")</f>
        <v>0</v>
      </c>
      <c r="H199" s="30" t="n">
        <f aca="false">SUMIFS(Trades!$X$2:$X$884,Trades!$D$2:$D$884,$A199,Trades!$X$2:$X$884,"&lt;0")</f>
        <v>-5.09</v>
      </c>
      <c r="I199" s="31" t="n">
        <f aca="false">IFERROR(G199/-H199,"no loss")</f>
        <v>0</v>
      </c>
      <c r="J199" s="30" t="n">
        <f aca="false">_xlfn.MAXIFS(Trades!$X$2:$X$884,Trades!$D$2:$D$884,$A199)</f>
        <v>-1.35</v>
      </c>
      <c r="K199" s="30" t="n">
        <f aca="false">_xlfn.MINIFS(Trades!$X$2:$X$884,Trades!$D$2:$D$884,$A199)</f>
        <v>-3.74</v>
      </c>
      <c r="L199" s="32" t="n">
        <f aca="false">SUMIFS(Trades!$Y$2:$Y$884,Trades!$D$2:$D$884,$A199)</f>
        <v>-0.0694011263716333</v>
      </c>
      <c r="M199" s="30" t="n">
        <f aca="false">P198</f>
        <v>105947.45</v>
      </c>
      <c r="N199" s="29" t="n">
        <f aca="false">IFERROR(F199/M199,0)</f>
        <v>-4.80426853123883E-005</v>
      </c>
      <c r="O199" s="28" t="str">
        <f aca="false">IF(-N199&gt;=Summary!$C$7,"BREACH","")</f>
        <v/>
      </c>
      <c r="P199" s="30" t="n">
        <f aca="false">M199+F199</f>
        <v>105942.36</v>
      </c>
      <c r="Q199" s="30" t="n">
        <f aca="false">P199-Summary!$C$5</f>
        <v>5942.36000000007</v>
      </c>
      <c r="R199" s="2" t="str">
        <f aca="false">TEXT(A199,"ddd")</f>
        <v>Fri</v>
      </c>
    </row>
    <row r="200" customFormat="false" ht="15" hidden="false" customHeight="false" outlineLevel="0" collapsed="false">
      <c r="A200" s="42" t="n">
        <v>45342</v>
      </c>
      <c r="B200" s="28" t="n">
        <f aca="false">COUNTIFS(Trades!$D$2:$D$884,$A200)</f>
        <v>1</v>
      </c>
      <c r="C200" s="28" t="n">
        <f aca="false">COUNTIFS(Trades!$D$2:$D$884,$A200,Trades!$Z$2:$Z$884,"Win")</f>
        <v>0</v>
      </c>
      <c r="D200" s="28" t="n">
        <f aca="false">COUNTIFS(Trades!$D$2:$D$884,$A200,Trades!$Z$2:$Z$884,"Loss")</f>
        <v>1</v>
      </c>
      <c r="E200" s="29" t="n">
        <f aca="false">IFERROR(C200/B200,0)</f>
        <v>0</v>
      </c>
      <c r="F200" s="30" t="n">
        <f aca="false">SUMIFS(Trades!$X$2:$X$884,Trades!$D$2:$D$884,$A200)</f>
        <v>-48.67</v>
      </c>
      <c r="G200" s="30" t="n">
        <f aca="false">SUMIFS(Trades!$X$2:$X$884,Trades!$D$2:$D$884,$A200,Trades!$X$2:$X$884,"&gt;0")</f>
        <v>0</v>
      </c>
      <c r="H200" s="30" t="n">
        <f aca="false">SUMIFS(Trades!$X$2:$X$884,Trades!$D$2:$D$884,$A200,Trades!$X$2:$X$884,"&lt;0")</f>
        <v>-48.67</v>
      </c>
      <c r="I200" s="31" t="n">
        <f aca="false">IFERROR(G200/-H200,"no loss")</f>
        <v>0</v>
      </c>
      <c r="J200" s="30" t="n">
        <f aca="false">_xlfn.MAXIFS(Trades!$X$2:$X$884,Trades!$D$2:$D$884,$A200)</f>
        <v>-48.67</v>
      </c>
      <c r="K200" s="30" t="n">
        <f aca="false">_xlfn.MINIFS(Trades!$X$2:$X$884,Trades!$D$2:$D$884,$A200)</f>
        <v>-48.67</v>
      </c>
      <c r="L200" s="32" t="n">
        <f aca="false">SUMIFS(Trades!$Y$2:$Y$884,Trades!$D$2:$D$884,$A200)</f>
        <v>-1.01404283690312</v>
      </c>
      <c r="M200" s="30" t="n">
        <f aca="false">P199</f>
        <v>105942.36</v>
      </c>
      <c r="N200" s="29" t="n">
        <f aca="false">IFERROR(F200/M200,0)</f>
        <v>-0.000459400753390806</v>
      </c>
      <c r="O200" s="28" t="str">
        <f aca="false">IF(-N200&gt;=Summary!$C$7,"BREACH","")</f>
        <v/>
      </c>
      <c r="P200" s="30" t="n">
        <f aca="false">M200+F200</f>
        <v>105893.69</v>
      </c>
      <c r="Q200" s="30" t="n">
        <f aca="false">P200-Summary!$C$5</f>
        <v>5893.69000000008</v>
      </c>
      <c r="R200" s="2" t="str">
        <f aca="false">TEXT(A200,"ddd")</f>
        <v>Tue</v>
      </c>
    </row>
    <row r="201" customFormat="false" ht="15" hidden="false" customHeight="false" outlineLevel="0" collapsed="false">
      <c r="A201" s="42" t="n">
        <v>45343</v>
      </c>
      <c r="B201" s="28" t="n">
        <f aca="false">COUNTIFS(Trades!$D$2:$D$884,$A201)</f>
        <v>1</v>
      </c>
      <c r="C201" s="28" t="n">
        <f aca="false">COUNTIFS(Trades!$D$2:$D$884,$A201,Trades!$Z$2:$Z$884,"Win")</f>
        <v>0</v>
      </c>
      <c r="D201" s="28" t="n">
        <f aca="false">COUNTIFS(Trades!$D$2:$D$884,$A201,Trades!$Z$2:$Z$884,"Loss")</f>
        <v>1</v>
      </c>
      <c r="E201" s="29" t="n">
        <f aca="false">IFERROR(C201/B201,0)</f>
        <v>0</v>
      </c>
      <c r="F201" s="30" t="n">
        <f aca="false">SUMIFS(Trades!$X$2:$X$884,Trades!$D$2:$D$884,$A201)</f>
        <v>-130.57</v>
      </c>
      <c r="G201" s="30" t="n">
        <f aca="false">SUMIFS(Trades!$X$2:$X$884,Trades!$D$2:$D$884,$A201,Trades!$X$2:$X$884,"&gt;0")</f>
        <v>0</v>
      </c>
      <c r="H201" s="30" t="n">
        <f aca="false">SUMIFS(Trades!$X$2:$X$884,Trades!$D$2:$D$884,$A201,Trades!$X$2:$X$884,"&lt;0")</f>
        <v>-130.57</v>
      </c>
      <c r="I201" s="31" t="n">
        <f aca="false">IFERROR(G201/-H201,"no loss")</f>
        <v>0</v>
      </c>
      <c r="J201" s="30" t="n">
        <f aca="false">_xlfn.MAXIFS(Trades!$X$2:$X$884,Trades!$D$2:$D$884,$A201)</f>
        <v>-130.57</v>
      </c>
      <c r="K201" s="30" t="n">
        <f aca="false">_xlfn.MINIFS(Trades!$X$2:$X$884,Trades!$D$2:$D$884,$A201)</f>
        <v>-130.57</v>
      </c>
      <c r="L201" s="32" t="n">
        <f aca="false">SUMIFS(Trades!$Y$2:$Y$884,Trades!$D$2:$D$884,$A201)</f>
        <v>-1.02542958565019</v>
      </c>
      <c r="M201" s="30" t="n">
        <f aca="false">P200</f>
        <v>105893.69</v>
      </c>
      <c r="N201" s="29" t="n">
        <f aca="false">IFERROR(F201/M201,0)</f>
        <v>-0.0012330290879466</v>
      </c>
      <c r="O201" s="28" t="str">
        <f aca="false">IF(-N201&gt;=Summary!$C$7,"BREACH","")</f>
        <v/>
      </c>
      <c r="P201" s="30" t="n">
        <f aca="false">M201+F201</f>
        <v>105763.12</v>
      </c>
      <c r="Q201" s="30" t="n">
        <f aca="false">P201-Summary!$C$5</f>
        <v>5763.12000000007</v>
      </c>
      <c r="R201" s="2" t="str">
        <f aca="false">TEXT(A201,"ddd")</f>
        <v>Wed</v>
      </c>
    </row>
    <row r="202" customFormat="false" ht="15" hidden="false" customHeight="false" outlineLevel="0" collapsed="false">
      <c r="A202" s="42" t="n">
        <v>45344</v>
      </c>
      <c r="B202" s="28" t="n">
        <f aca="false">COUNTIFS(Trades!$D$2:$D$884,$A202)</f>
        <v>1</v>
      </c>
      <c r="C202" s="28" t="n">
        <f aca="false">COUNTIFS(Trades!$D$2:$D$884,$A202,Trades!$Z$2:$Z$884,"Win")</f>
        <v>1</v>
      </c>
      <c r="D202" s="28" t="n">
        <f aca="false">COUNTIFS(Trades!$D$2:$D$884,$A202,Trades!$Z$2:$Z$884,"Loss")</f>
        <v>0</v>
      </c>
      <c r="E202" s="29" t="n">
        <f aca="false">IFERROR(C202/B202,0)</f>
        <v>1</v>
      </c>
      <c r="F202" s="30" t="n">
        <f aca="false">SUMIFS(Trades!$X$2:$X$884,Trades!$D$2:$D$884,$A202)</f>
        <v>498.73</v>
      </c>
      <c r="G202" s="30" t="n">
        <f aca="false">SUMIFS(Trades!$X$2:$X$884,Trades!$D$2:$D$884,$A202,Trades!$X$2:$X$884,"&gt;0")</f>
        <v>498.73</v>
      </c>
      <c r="H202" s="30" t="n">
        <f aca="false">SUMIFS(Trades!$X$2:$X$884,Trades!$D$2:$D$884,$A202,Trades!$X$2:$X$884,"&lt;0")</f>
        <v>0</v>
      </c>
      <c r="I202" s="31" t="str">
        <f aca="false">IFERROR(G202/-H202,"no loss")</f>
        <v>no loss</v>
      </c>
      <c r="J202" s="30" t="n">
        <f aca="false">_xlfn.MAXIFS(Trades!$X$2:$X$884,Trades!$D$2:$D$884,$A202)</f>
        <v>498.73</v>
      </c>
      <c r="K202" s="30" t="n">
        <f aca="false">_xlfn.MINIFS(Trades!$X$2:$X$884,Trades!$D$2:$D$884,$A202)</f>
        <v>498.73</v>
      </c>
      <c r="L202" s="32" t="n">
        <f aca="false">SUMIFS(Trades!$Y$2:$Y$884,Trades!$D$2:$D$884,$A202)</f>
        <v>2.00228842139066</v>
      </c>
      <c r="M202" s="30" t="n">
        <f aca="false">P201</f>
        <v>105763.12</v>
      </c>
      <c r="N202" s="29" t="n">
        <f aca="false">IFERROR(F202/M202,0)</f>
        <v>0.00471553789260377</v>
      </c>
      <c r="O202" s="28" t="str">
        <f aca="false">IF(-N202&gt;=Summary!$C$7,"BREACH","")</f>
        <v/>
      </c>
      <c r="P202" s="30" t="n">
        <f aca="false">M202+F202</f>
        <v>106261.85</v>
      </c>
      <c r="Q202" s="30" t="n">
        <f aca="false">P202-Summary!$C$5</f>
        <v>6261.85000000006</v>
      </c>
      <c r="R202" s="2" t="str">
        <f aca="false">TEXT(A202,"ddd")</f>
        <v>Thu</v>
      </c>
    </row>
    <row r="203" customFormat="false" ht="15" hidden="false" customHeight="false" outlineLevel="0" collapsed="false">
      <c r="A203" s="42" t="n">
        <v>45345</v>
      </c>
      <c r="B203" s="28" t="n">
        <f aca="false">COUNTIFS(Trades!$D$2:$D$884,$A203)</f>
        <v>1</v>
      </c>
      <c r="C203" s="28" t="n">
        <f aca="false">COUNTIFS(Trades!$D$2:$D$884,$A203,Trades!$Z$2:$Z$884,"Win")</f>
        <v>1</v>
      </c>
      <c r="D203" s="28" t="n">
        <f aca="false">COUNTIFS(Trades!$D$2:$D$884,$A203,Trades!$Z$2:$Z$884,"Loss")</f>
        <v>0</v>
      </c>
      <c r="E203" s="29" t="n">
        <f aca="false">IFERROR(C203/B203,0)</f>
        <v>1</v>
      </c>
      <c r="F203" s="30" t="n">
        <f aca="false">SUMIFS(Trades!$X$2:$X$884,Trades!$D$2:$D$884,$A203)</f>
        <v>119.76</v>
      </c>
      <c r="G203" s="30" t="n">
        <f aca="false">SUMIFS(Trades!$X$2:$X$884,Trades!$D$2:$D$884,$A203,Trades!$X$2:$X$884,"&gt;0")</f>
        <v>119.76</v>
      </c>
      <c r="H203" s="30" t="n">
        <f aca="false">SUMIFS(Trades!$X$2:$X$884,Trades!$D$2:$D$884,$A203,Trades!$X$2:$X$884,"&lt;0")</f>
        <v>0</v>
      </c>
      <c r="I203" s="31" t="str">
        <f aca="false">IFERROR(G203/-H203,"no loss")</f>
        <v>no loss</v>
      </c>
      <c r="J203" s="30" t="n">
        <f aca="false">_xlfn.MAXIFS(Trades!$X$2:$X$884,Trades!$D$2:$D$884,$A203)</f>
        <v>119.76</v>
      </c>
      <c r="K203" s="30" t="n">
        <f aca="false">_xlfn.MINIFS(Trades!$X$2:$X$884,Trades!$D$2:$D$884,$A203)</f>
        <v>119.76</v>
      </c>
      <c r="L203" s="32" t="n">
        <f aca="false">SUMIFS(Trades!$Y$2:$Y$884,Trades!$D$2:$D$884,$A203)</f>
        <v>2.00791362081664</v>
      </c>
      <c r="M203" s="30" t="n">
        <f aca="false">P202</f>
        <v>106261.85</v>
      </c>
      <c r="N203" s="29" t="n">
        <f aca="false">IFERROR(F203/M203,0)</f>
        <v>0.00112702724449085</v>
      </c>
      <c r="O203" s="28" t="str">
        <f aca="false">IF(-N203&gt;=Summary!$C$7,"BREACH","")</f>
        <v/>
      </c>
      <c r="P203" s="30" t="n">
        <f aca="false">M203+F203</f>
        <v>106381.61</v>
      </c>
      <c r="Q203" s="30" t="n">
        <f aca="false">P203-Summary!$C$5</f>
        <v>6381.61000000006</v>
      </c>
      <c r="R203" s="2" t="str">
        <f aca="false">TEXT(A203,"ddd")</f>
        <v>Fri</v>
      </c>
    </row>
    <row r="204" customFormat="false" ht="15" hidden="false" customHeight="false" outlineLevel="0" collapsed="false">
      <c r="A204" s="42" t="n">
        <v>45348</v>
      </c>
      <c r="B204" s="28" t="n">
        <f aca="false">COUNTIFS(Trades!$D$2:$D$884,$A204)</f>
        <v>1</v>
      </c>
      <c r="C204" s="28" t="n">
        <f aca="false">COUNTIFS(Trades!$D$2:$D$884,$A204,Trades!$Z$2:$Z$884,"Win")</f>
        <v>0</v>
      </c>
      <c r="D204" s="28" t="n">
        <f aca="false">COUNTIFS(Trades!$D$2:$D$884,$A204,Trades!$Z$2:$Z$884,"Loss")</f>
        <v>1</v>
      </c>
      <c r="E204" s="29" t="n">
        <f aca="false">IFERROR(C204/B204,0)</f>
        <v>0</v>
      </c>
      <c r="F204" s="30" t="n">
        <f aca="false">SUMIFS(Trades!$X$2:$X$884,Trades!$D$2:$D$884,$A204)</f>
        <v>-2.39</v>
      </c>
      <c r="G204" s="30" t="n">
        <f aca="false">SUMIFS(Trades!$X$2:$X$884,Trades!$D$2:$D$884,$A204,Trades!$X$2:$X$884,"&gt;0")</f>
        <v>0</v>
      </c>
      <c r="H204" s="30" t="n">
        <f aca="false">SUMIFS(Trades!$X$2:$X$884,Trades!$D$2:$D$884,$A204,Trades!$X$2:$X$884,"&lt;0")</f>
        <v>-2.39</v>
      </c>
      <c r="I204" s="31" t="n">
        <f aca="false">IFERROR(G204/-H204,"no loss")</f>
        <v>0</v>
      </c>
      <c r="J204" s="30" t="n">
        <f aca="false">_xlfn.MAXIFS(Trades!$X$2:$X$884,Trades!$D$2:$D$884,$A204)</f>
        <v>-2.39</v>
      </c>
      <c r="K204" s="30" t="n">
        <f aca="false">_xlfn.MINIFS(Trades!$X$2:$X$884,Trades!$D$2:$D$884,$A204)</f>
        <v>-2.39</v>
      </c>
      <c r="L204" s="32" t="n">
        <f aca="false">SUMIFS(Trades!$Y$2:$Y$884,Trades!$D$2:$D$884,$A204)</f>
        <v>-0.0422440610859689</v>
      </c>
      <c r="M204" s="30" t="n">
        <f aca="false">P203</f>
        <v>106381.61</v>
      </c>
      <c r="N204" s="29" t="n">
        <f aca="false">IFERROR(F204/M204,0)</f>
        <v>-2.24662890512749E-005</v>
      </c>
      <c r="O204" s="28" t="str">
        <f aca="false">IF(-N204&gt;=Summary!$C$7,"BREACH","")</f>
        <v/>
      </c>
      <c r="P204" s="30" t="n">
        <f aca="false">M204+F204</f>
        <v>106379.22</v>
      </c>
      <c r="Q204" s="30" t="n">
        <f aca="false">P204-Summary!$C$5</f>
        <v>6379.22000000006</v>
      </c>
      <c r="R204" s="2" t="str">
        <f aca="false">TEXT(A204,"ddd")</f>
        <v>Mon</v>
      </c>
    </row>
    <row r="205" customFormat="false" ht="15" hidden="false" customHeight="false" outlineLevel="0" collapsed="false">
      <c r="A205" s="42" t="n">
        <v>45350</v>
      </c>
      <c r="B205" s="28" t="n">
        <f aca="false">COUNTIFS(Trades!$D$2:$D$884,$A205)</f>
        <v>1</v>
      </c>
      <c r="C205" s="28" t="n">
        <f aca="false">COUNTIFS(Trades!$D$2:$D$884,$A205,Trades!$Z$2:$Z$884,"Win")</f>
        <v>0</v>
      </c>
      <c r="D205" s="28" t="n">
        <f aca="false">COUNTIFS(Trades!$D$2:$D$884,$A205,Trades!$Z$2:$Z$884,"Loss")</f>
        <v>1</v>
      </c>
      <c r="E205" s="29" t="n">
        <f aca="false">IFERROR(C205/B205,0)</f>
        <v>0</v>
      </c>
      <c r="F205" s="30" t="n">
        <f aca="false">SUMIFS(Trades!$X$2:$X$884,Trades!$D$2:$D$884,$A205)</f>
        <v>-76.8</v>
      </c>
      <c r="G205" s="30" t="n">
        <f aca="false">SUMIFS(Trades!$X$2:$X$884,Trades!$D$2:$D$884,$A205,Trades!$X$2:$X$884,"&gt;0")</f>
        <v>0</v>
      </c>
      <c r="H205" s="30" t="n">
        <f aca="false">SUMIFS(Trades!$X$2:$X$884,Trades!$D$2:$D$884,$A205,Trades!$X$2:$X$884,"&lt;0")</f>
        <v>-76.8</v>
      </c>
      <c r="I205" s="31" t="n">
        <f aca="false">IFERROR(G205/-H205,"no loss")</f>
        <v>0</v>
      </c>
      <c r="J205" s="30" t="n">
        <f aca="false">_xlfn.MAXIFS(Trades!$X$2:$X$884,Trades!$D$2:$D$884,$A205)</f>
        <v>-76.8</v>
      </c>
      <c r="K205" s="30" t="n">
        <f aca="false">_xlfn.MINIFS(Trades!$X$2:$X$884,Trades!$D$2:$D$884,$A205)</f>
        <v>-76.8</v>
      </c>
      <c r="L205" s="32" t="n">
        <f aca="false">SUMIFS(Trades!$Y$2:$Y$884,Trades!$D$2:$D$884,$A205)</f>
        <v>-0.999947919379169</v>
      </c>
      <c r="M205" s="30" t="n">
        <f aca="false">P204</f>
        <v>106379.22</v>
      </c>
      <c r="N205" s="29" t="n">
        <f aca="false">IFERROR(F205/M205,0)</f>
        <v>-0.00072194550777868</v>
      </c>
      <c r="O205" s="28" t="str">
        <f aca="false">IF(-N205&gt;=Summary!$C$7,"BREACH","")</f>
        <v/>
      </c>
      <c r="P205" s="30" t="n">
        <f aca="false">M205+F205</f>
        <v>106302.42</v>
      </c>
      <c r="Q205" s="30" t="n">
        <f aca="false">P205-Summary!$C$5</f>
        <v>6302.42000000006</v>
      </c>
      <c r="R205" s="2" t="str">
        <f aca="false">TEXT(A205,"ddd")</f>
        <v>Wed</v>
      </c>
    </row>
    <row r="206" customFormat="false" ht="15" hidden="false" customHeight="false" outlineLevel="0" collapsed="false">
      <c r="A206" s="42" t="n">
        <v>45351</v>
      </c>
      <c r="B206" s="28" t="n">
        <f aca="false">COUNTIFS(Trades!$D$2:$D$884,$A206)</f>
        <v>2</v>
      </c>
      <c r="C206" s="28" t="n">
        <f aca="false">COUNTIFS(Trades!$D$2:$D$884,$A206,Trades!$Z$2:$Z$884,"Win")</f>
        <v>1</v>
      </c>
      <c r="D206" s="28" t="n">
        <f aca="false">COUNTIFS(Trades!$D$2:$D$884,$A206,Trades!$Z$2:$Z$884,"Loss")</f>
        <v>1</v>
      </c>
      <c r="E206" s="29" t="n">
        <f aca="false">IFERROR(C206/B206,0)</f>
        <v>0.5</v>
      </c>
      <c r="F206" s="30" t="n">
        <f aca="false">SUMIFS(Trades!$X$2:$X$884,Trades!$D$2:$D$884,$A206)</f>
        <v>193.44</v>
      </c>
      <c r="G206" s="30" t="n">
        <f aca="false">SUMIFS(Trades!$X$2:$X$884,Trades!$D$2:$D$884,$A206,Trades!$X$2:$X$884,"&gt;0")</f>
        <v>216.74</v>
      </c>
      <c r="H206" s="30" t="n">
        <f aca="false">SUMIFS(Trades!$X$2:$X$884,Trades!$D$2:$D$884,$A206,Trades!$X$2:$X$884,"&lt;0")</f>
        <v>-23.3</v>
      </c>
      <c r="I206" s="31" t="n">
        <f aca="false">IFERROR(G206/-H206,"no loss")</f>
        <v>9.30214592274678</v>
      </c>
      <c r="J206" s="30" t="n">
        <f aca="false">_xlfn.MAXIFS(Trades!$X$2:$X$884,Trades!$D$2:$D$884,$A206)</f>
        <v>216.74</v>
      </c>
      <c r="K206" s="30" t="n">
        <f aca="false">_xlfn.MINIFS(Trades!$X$2:$X$884,Trades!$D$2:$D$884,$A206)</f>
        <v>-23.3</v>
      </c>
      <c r="L206" s="32" t="n">
        <f aca="false">SUMIFS(Trades!$Y$2:$Y$884,Trades!$D$2:$D$884,$A206)</f>
        <v>0.895439380721044</v>
      </c>
      <c r="M206" s="30" t="n">
        <f aca="false">P205</f>
        <v>106302.42</v>
      </c>
      <c r="N206" s="29" t="n">
        <f aca="false">IFERROR(F206/M206,0)</f>
        <v>0.00181971398205234</v>
      </c>
      <c r="O206" s="28" t="str">
        <f aca="false">IF(-N206&gt;=Summary!$C$7,"BREACH","")</f>
        <v/>
      </c>
      <c r="P206" s="30" t="n">
        <f aca="false">M206+F206</f>
        <v>106495.86</v>
      </c>
      <c r="Q206" s="30" t="n">
        <f aca="false">P206-Summary!$C$5</f>
        <v>6495.86000000006</v>
      </c>
      <c r="R206" s="2" t="str">
        <f aca="false">TEXT(A206,"ddd")</f>
        <v>Thu</v>
      </c>
    </row>
    <row r="207" customFormat="false" ht="15" hidden="false" customHeight="false" outlineLevel="0" collapsed="false">
      <c r="A207" s="42" t="n">
        <v>45352</v>
      </c>
      <c r="B207" s="28" t="n">
        <f aca="false">COUNTIFS(Trades!$D$2:$D$884,$A207)</f>
        <v>1</v>
      </c>
      <c r="C207" s="28" t="n">
        <f aca="false">COUNTIFS(Trades!$D$2:$D$884,$A207,Trades!$Z$2:$Z$884,"Win")</f>
        <v>1</v>
      </c>
      <c r="D207" s="28" t="n">
        <f aca="false">COUNTIFS(Trades!$D$2:$D$884,$A207,Trades!$Z$2:$Z$884,"Loss")</f>
        <v>0</v>
      </c>
      <c r="E207" s="29" t="n">
        <f aca="false">IFERROR(C207/B207,0)</f>
        <v>1</v>
      </c>
      <c r="F207" s="30" t="n">
        <f aca="false">SUMIFS(Trades!$X$2:$X$884,Trades!$D$2:$D$884,$A207)</f>
        <v>93.03</v>
      </c>
      <c r="G207" s="30" t="n">
        <f aca="false">SUMIFS(Trades!$X$2:$X$884,Trades!$D$2:$D$884,$A207,Trades!$X$2:$X$884,"&gt;0")</f>
        <v>93.03</v>
      </c>
      <c r="H207" s="30" t="n">
        <f aca="false">SUMIFS(Trades!$X$2:$X$884,Trades!$D$2:$D$884,$A207,Trades!$X$2:$X$884,"&lt;0")</f>
        <v>0</v>
      </c>
      <c r="I207" s="31" t="str">
        <f aca="false">IFERROR(G207/-H207,"no loss")</f>
        <v>no loss</v>
      </c>
      <c r="J207" s="30" t="n">
        <f aca="false">_xlfn.MAXIFS(Trades!$X$2:$X$884,Trades!$D$2:$D$884,$A207)</f>
        <v>93.03</v>
      </c>
      <c r="K207" s="30" t="n">
        <f aca="false">_xlfn.MINIFS(Trades!$X$2:$X$884,Trades!$D$2:$D$884,$A207)</f>
        <v>93.03</v>
      </c>
      <c r="L207" s="32" t="n">
        <f aca="false">SUMIFS(Trades!$Y$2:$Y$884,Trades!$D$2:$D$884,$A207)</f>
        <v>2.00116159008806</v>
      </c>
      <c r="M207" s="30" t="n">
        <f aca="false">P206</f>
        <v>106495.86</v>
      </c>
      <c r="N207" s="29" t="n">
        <f aca="false">IFERROR(F207/M207,0)</f>
        <v>0.000873555084676531</v>
      </c>
      <c r="O207" s="28" t="str">
        <f aca="false">IF(-N207&gt;=Summary!$C$7,"BREACH","")</f>
        <v/>
      </c>
      <c r="P207" s="30" t="n">
        <f aca="false">M207+F207</f>
        <v>106588.89</v>
      </c>
      <c r="Q207" s="30" t="n">
        <f aca="false">P207-Summary!$C$5</f>
        <v>6588.89000000006</v>
      </c>
      <c r="R207" s="2" t="str">
        <f aca="false">TEXT(A207,"ddd")</f>
        <v>Fri</v>
      </c>
    </row>
    <row r="208" customFormat="false" ht="15" hidden="false" customHeight="false" outlineLevel="0" collapsed="false">
      <c r="A208" s="42" t="n">
        <v>45355</v>
      </c>
      <c r="B208" s="28" t="n">
        <f aca="false">COUNTIFS(Trades!$D$2:$D$884,$A208)</f>
        <v>1</v>
      </c>
      <c r="C208" s="28" t="n">
        <f aca="false">COUNTIFS(Trades!$D$2:$D$884,$A208,Trades!$Z$2:$Z$884,"Win")</f>
        <v>0</v>
      </c>
      <c r="D208" s="28" t="n">
        <f aca="false">COUNTIFS(Trades!$D$2:$D$884,$A208,Trades!$Z$2:$Z$884,"Loss")</f>
        <v>1</v>
      </c>
      <c r="E208" s="29" t="n">
        <f aca="false">IFERROR(C208/B208,0)</f>
        <v>0</v>
      </c>
      <c r="F208" s="30" t="n">
        <f aca="false">SUMIFS(Trades!$X$2:$X$884,Trades!$D$2:$D$884,$A208)</f>
        <v>-46.96</v>
      </c>
      <c r="G208" s="30" t="n">
        <f aca="false">SUMIFS(Trades!$X$2:$X$884,Trades!$D$2:$D$884,$A208,Trades!$X$2:$X$884,"&gt;0")</f>
        <v>0</v>
      </c>
      <c r="H208" s="30" t="n">
        <f aca="false">SUMIFS(Trades!$X$2:$X$884,Trades!$D$2:$D$884,$A208,Trades!$X$2:$X$884,"&lt;0")</f>
        <v>-46.96</v>
      </c>
      <c r="I208" s="31" t="n">
        <f aca="false">IFERROR(G208/-H208,"no loss")</f>
        <v>0</v>
      </c>
      <c r="J208" s="30" t="n">
        <f aca="false">_xlfn.MAXIFS(Trades!$X$2:$X$884,Trades!$D$2:$D$884,$A208)</f>
        <v>-46.96</v>
      </c>
      <c r="K208" s="30" t="n">
        <f aca="false">_xlfn.MINIFS(Trades!$X$2:$X$884,Trades!$D$2:$D$884,$A208)</f>
        <v>-46.96</v>
      </c>
      <c r="L208" s="32" t="n">
        <f aca="false">SUMIFS(Trades!$Y$2:$Y$884,Trades!$D$2:$D$884,$A208)</f>
        <v>-1.020425901782</v>
      </c>
      <c r="M208" s="30" t="n">
        <f aca="false">P207</f>
        <v>106588.89</v>
      </c>
      <c r="N208" s="29" t="n">
        <f aca="false">IFERROR(F208/M208,0)</f>
        <v>-0.000440571245277064</v>
      </c>
      <c r="O208" s="28" t="str">
        <f aca="false">IF(-N208&gt;=Summary!$C$7,"BREACH","")</f>
        <v/>
      </c>
      <c r="P208" s="30" t="n">
        <f aca="false">M208+F208</f>
        <v>106541.93</v>
      </c>
      <c r="Q208" s="30" t="n">
        <f aca="false">P208-Summary!$C$5</f>
        <v>6541.93000000005</v>
      </c>
      <c r="R208" s="2" t="str">
        <f aca="false">TEXT(A208,"ddd")</f>
        <v>Mon</v>
      </c>
    </row>
    <row r="209" customFormat="false" ht="15" hidden="false" customHeight="false" outlineLevel="0" collapsed="false">
      <c r="A209" s="42" t="n">
        <v>45356</v>
      </c>
      <c r="B209" s="28" t="n">
        <f aca="false">COUNTIFS(Trades!$D$2:$D$884,$A209)</f>
        <v>1</v>
      </c>
      <c r="C209" s="28" t="n">
        <f aca="false">COUNTIFS(Trades!$D$2:$D$884,$A209,Trades!$Z$2:$Z$884,"Win")</f>
        <v>0</v>
      </c>
      <c r="D209" s="28" t="n">
        <f aca="false">COUNTIFS(Trades!$D$2:$D$884,$A209,Trades!$Z$2:$Z$884,"Loss")</f>
        <v>1</v>
      </c>
      <c r="E209" s="29" t="n">
        <f aca="false">IFERROR(C209/B209,0)</f>
        <v>0</v>
      </c>
      <c r="F209" s="30" t="n">
        <f aca="false">SUMIFS(Trades!$X$2:$X$884,Trades!$D$2:$D$884,$A209)</f>
        <v>-0.36</v>
      </c>
      <c r="G209" s="30" t="n">
        <f aca="false">SUMIFS(Trades!$X$2:$X$884,Trades!$D$2:$D$884,$A209,Trades!$X$2:$X$884,"&gt;0")</f>
        <v>0</v>
      </c>
      <c r="H209" s="30" t="n">
        <f aca="false">SUMIFS(Trades!$X$2:$X$884,Trades!$D$2:$D$884,$A209,Trades!$X$2:$X$884,"&lt;0")</f>
        <v>-0.36</v>
      </c>
      <c r="I209" s="31" t="n">
        <f aca="false">IFERROR(G209/-H209,"no loss")</f>
        <v>0</v>
      </c>
      <c r="J209" s="30" t="n">
        <f aca="false">_xlfn.MAXIFS(Trades!$X$2:$X$884,Trades!$D$2:$D$884,$A209)</f>
        <v>-0.36</v>
      </c>
      <c r="K209" s="30" t="n">
        <f aca="false">_xlfn.MINIFS(Trades!$X$2:$X$884,Trades!$D$2:$D$884,$A209)</f>
        <v>-0.36</v>
      </c>
      <c r="L209" s="32" t="n">
        <f aca="false">SUMIFS(Trades!$Y$2:$Y$884,Trades!$D$2:$D$884,$A209)</f>
        <v>-0.00781385657232428</v>
      </c>
      <c r="M209" s="30" t="n">
        <f aca="false">P208</f>
        <v>106541.93</v>
      </c>
      <c r="N209" s="29" t="n">
        <f aca="false">IFERROR(F209/M209,0)</f>
        <v>-3.37895136684684E-006</v>
      </c>
      <c r="O209" s="28" t="str">
        <f aca="false">IF(-N209&gt;=Summary!$C$7,"BREACH","")</f>
        <v/>
      </c>
      <c r="P209" s="30" t="n">
        <f aca="false">M209+F209</f>
        <v>106541.57</v>
      </c>
      <c r="Q209" s="30" t="n">
        <f aca="false">P209-Summary!$C$5</f>
        <v>6541.57000000005</v>
      </c>
      <c r="R209" s="2" t="str">
        <f aca="false">TEXT(A209,"ddd")</f>
        <v>Tue</v>
      </c>
    </row>
    <row r="210" customFormat="false" ht="15" hidden="false" customHeight="false" outlineLevel="0" collapsed="false">
      <c r="A210" s="42" t="n">
        <v>45358</v>
      </c>
      <c r="B210" s="28" t="n">
        <f aca="false">COUNTIFS(Trades!$D$2:$D$884,$A210)</f>
        <v>2</v>
      </c>
      <c r="C210" s="28" t="n">
        <f aca="false">COUNTIFS(Trades!$D$2:$D$884,$A210,Trades!$Z$2:$Z$884,"Win")</f>
        <v>0</v>
      </c>
      <c r="D210" s="28" t="n">
        <f aca="false">COUNTIFS(Trades!$D$2:$D$884,$A210,Trades!$Z$2:$Z$884,"Loss")</f>
        <v>2</v>
      </c>
      <c r="E210" s="29" t="n">
        <f aca="false">IFERROR(C210/B210,0)</f>
        <v>0</v>
      </c>
      <c r="F210" s="30" t="n">
        <f aca="false">SUMIFS(Trades!$X$2:$X$884,Trades!$D$2:$D$884,$A210)</f>
        <v>-67.55</v>
      </c>
      <c r="G210" s="30" t="n">
        <f aca="false">SUMIFS(Trades!$X$2:$X$884,Trades!$D$2:$D$884,$A210,Trades!$X$2:$X$884,"&gt;0")</f>
        <v>0</v>
      </c>
      <c r="H210" s="30" t="n">
        <f aca="false">SUMIFS(Trades!$X$2:$X$884,Trades!$D$2:$D$884,$A210,Trades!$X$2:$X$884,"&lt;0")</f>
        <v>-67.55</v>
      </c>
      <c r="I210" s="31" t="n">
        <f aca="false">IFERROR(G210/-H210,"no loss")</f>
        <v>0</v>
      </c>
      <c r="J210" s="30" t="n">
        <f aca="false">_xlfn.MAXIFS(Trades!$X$2:$X$884,Trades!$D$2:$D$884,$A210)</f>
        <v>-4.84</v>
      </c>
      <c r="K210" s="30" t="n">
        <f aca="false">_xlfn.MINIFS(Trades!$X$2:$X$884,Trades!$D$2:$D$884,$A210)</f>
        <v>-62.71</v>
      </c>
      <c r="L210" s="32" t="n">
        <f aca="false">SUMIFS(Trades!$Y$2:$Y$884,Trades!$D$2:$D$884,$A210)</f>
        <v>-1.07510834186906</v>
      </c>
      <c r="M210" s="30" t="n">
        <f aca="false">P209</f>
        <v>106541.57</v>
      </c>
      <c r="N210" s="29" t="n">
        <f aca="false">IFERROR(F210/M210,0)</f>
        <v>-0.000634024822423773</v>
      </c>
      <c r="O210" s="28" t="str">
        <f aca="false">IF(-N210&gt;=Summary!$C$7,"BREACH","")</f>
        <v/>
      </c>
      <c r="P210" s="30" t="n">
        <f aca="false">M210+F210</f>
        <v>106474.02</v>
      </c>
      <c r="Q210" s="30" t="n">
        <f aca="false">P210-Summary!$C$5</f>
        <v>6474.02000000005</v>
      </c>
      <c r="R210" s="2" t="str">
        <f aca="false">TEXT(A210,"ddd")</f>
        <v>Thu</v>
      </c>
    </row>
    <row r="211" customFormat="false" ht="15" hidden="false" customHeight="false" outlineLevel="0" collapsed="false">
      <c r="A211" s="42" t="n">
        <v>45359</v>
      </c>
      <c r="B211" s="28" t="n">
        <f aca="false">COUNTIFS(Trades!$D$2:$D$884,$A211)</f>
        <v>1</v>
      </c>
      <c r="C211" s="28" t="n">
        <f aca="false">COUNTIFS(Trades!$D$2:$D$884,$A211,Trades!$Z$2:$Z$884,"Win")</f>
        <v>0</v>
      </c>
      <c r="D211" s="28" t="n">
        <f aca="false">COUNTIFS(Trades!$D$2:$D$884,$A211,Trades!$Z$2:$Z$884,"Loss")</f>
        <v>1</v>
      </c>
      <c r="E211" s="29" t="n">
        <f aca="false">IFERROR(C211/B211,0)</f>
        <v>0</v>
      </c>
      <c r="F211" s="30" t="n">
        <f aca="false">SUMIFS(Trades!$X$2:$X$884,Trades!$D$2:$D$884,$A211)</f>
        <v>-242.48</v>
      </c>
      <c r="G211" s="30" t="n">
        <f aca="false">SUMIFS(Trades!$X$2:$X$884,Trades!$D$2:$D$884,$A211,Trades!$X$2:$X$884,"&gt;0")</f>
        <v>0</v>
      </c>
      <c r="H211" s="30" t="n">
        <f aca="false">SUMIFS(Trades!$X$2:$X$884,Trades!$D$2:$D$884,$A211,Trades!$X$2:$X$884,"&lt;0")</f>
        <v>-242.48</v>
      </c>
      <c r="I211" s="31" t="n">
        <f aca="false">IFERROR(G211/-H211,"no loss")</f>
        <v>0</v>
      </c>
      <c r="J211" s="30" t="n">
        <f aca="false">_xlfn.MAXIFS(Trades!$X$2:$X$884,Trades!$D$2:$D$884,$A211)</f>
        <v>-242.48</v>
      </c>
      <c r="K211" s="30" t="n">
        <f aca="false">_xlfn.MINIFS(Trades!$X$2:$X$884,Trades!$D$2:$D$884,$A211)</f>
        <v>-242.48</v>
      </c>
      <c r="L211" s="32" t="n">
        <f aca="false">SUMIFS(Trades!$Y$2:$Y$884,Trades!$D$2:$D$884,$A211)</f>
        <v>-1.04811798675593</v>
      </c>
      <c r="M211" s="30" t="n">
        <f aca="false">P210</f>
        <v>106474.02</v>
      </c>
      <c r="N211" s="29" t="n">
        <f aca="false">IFERROR(F211/M211,0)</f>
        <v>-0.00227736306002159</v>
      </c>
      <c r="O211" s="28" t="str">
        <f aca="false">IF(-N211&gt;=Summary!$C$7,"BREACH","")</f>
        <v/>
      </c>
      <c r="P211" s="30" t="n">
        <f aca="false">M211+F211</f>
        <v>106231.54</v>
      </c>
      <c r="Q211" s="30" t="n">
        <f aca="false">P211-Summary!$C$5</f>
        <v>6231.54000000005</v>
      </c>
      <c r="R211" s="2" t="str">
        <f aca="false">TEXT(A211,"ddd")</f>
        <v>Fri</v>
      </c>
    </row>
    <row r="212" customFormat="false" ht="15" hidden="false" customHeight="false" outlineLevel="0" collapsed="false">
      <c r="A212" s="42" t="n">
        <v>45362</v>
      </c>
      <c r="B212" s="28" t="n">
        <f aca="false">COUNTIFS(Trades!$D$2:$D$884,$A212)</f>
        <v>1</v>
      </c>
      <c r="C212" s="28" t="n">
        <f aca="false">COUNTIFS(Trades!$D$2:$D$884,$A212,Trades!$Z$2:$Z$884,"Win")</f>
        <v>0</v>
      </c>
      <c r="D212" s="28" t="n">
        <f aca="false">COUNTIFS(Trades!$D$2:$D$884,$A212,Trades!$Z$2:$Z$884,"Loss")</f>
        <v>1</v>
      </c>
      <c r="E212" s="29" t="n">
        <f aca="false">IFERROR(C212/B212,0)</f>
        <v>0</v>
      </c>
      <c r="F212" s="30" t="n">
        <f aca="false">SUMIFS(Trades!$X$2:$X$884,Trades!$D$2:$D$884,$A212)</f>
        <v>-107.33</v>
      </c>
      <c r="G212" s="30" t="n">
        <f aca="false">SUMIFS(Trades!$X$2:$X$884,Trades!$D$2:$D$884,$A212,Trades!$X$2:$X$884,"&gt;0")</f>
        <v>0</v>
      </c>
      <c r="H212" s="30" t="n">
        <f aca="false">SUMIFS(Trades!$X$2:$X$884,Trades!$D$2:$D$884,$A212,Trades!$X$2:$X$884,"&lt;0")</f>
        <v>-107.33</v>
      </c>
      <c r="I212" s="31" t="n">
        <f aca="false">IFERROR(G212/-H212,"no loss")</f>
        <v>0</v>
      </c>
      <c r="J212" s="30" t="n">
        <f aca="false">_xlfn.MAXIFS(Trades!$X$2:$X$884,Trades!$D$2:$D$884,$A212)</f>
        <v>-107.33</v>
      </c>
      <c r="K212" s="30" t="n">
        <f aca="false">_xlfn.MINIFS(Trades!$X$2:$X$884,Trades!$D$2:$D$884,$A212)</f>
        <v>-107.33</v>
      </c>
      <c r="L212" s="32" t="n">
        <f aca="false">SUMIFS(Trades!$Y$2:$Y$884,Trades!$D$2:$D$884,$A212)</f>
        <v>-1.01927825261159</v>
      </c>
      <c r="M212" s="30" t="n">
        <f aca="false">P211</f>
        <v>106231.54</v>
      </c>
      <c r="N212" s="29" t="n">
        <f aca="false">IFERROR(F212/M212,0)</f>
        <v>-0.00101034024358491</v>
      </c>
      <c r="O212" s="28" t="str">
        <f aca="false">IF(-N212&gt;=Summary!$C$7,"BREACH","")</f>
        <v/>
      </c>
      <c r="P212" s="30" t="n">
        <f aca="false">M212+F212</f>
        <v>106124.21</v>
      </c>
      <c r="Q212" s="30" t="n">
        <f aca="false">P212-Summary!$C$5</f>
        <v>6124.21000000005</v>
      </c>
      <c r="R212" s="2" t="str">
        <f aca="false">TEXT(A212,"ddd")</f>
        <v>Mon</v>
      </c>
    </row>
    <row r="213" customFormat="false" ht="15" hidden="false" customHeight="false" outlineLevel="0" collapsed="false">
      <c r="A213" s="42" t="n">
        <v>45363</v>
      </c>
      <c r="B213" s="28" t="n">
        <f aca="false">COUNTIFS(Trades!$D$2:$D$884,$A213)</f>
        <v>1</v>
      </c>
      <c r="C213" s="28" t="n">
        <f aca="false">COUNTIFS(Trades!$D$2:$D$884,$A213,Trades!$Z$2:$Z$884,"Win")</f>
        <v>1</v>
      </c>
      <c r="D213" s="28" t="n">
        <f aca="false">COUNTIFS(Trades!$D$2:$D$884,$A213,Trades!$Z$2:$Z$884,"Loss")</f>
        <v>0</v>
      </c>
      <c r="E213" s="29" t="n">
        <f aca="false">IFERROR(C213/B213,0)</f>
        <v>1</v>
      </c>
      <c r="F213" s="30" t="n">
        <f aca="false">SUMIFS(Trades!$X$2:$X$884,Trades!$D$2:$D$884,$A213)</f>
        <v>52.31</v>
      </c>
      <c r="G213" s="30" t="n">
        <f aca="false">SUMIFS(Trades!$X$2:$X$884,Trades!$D$2:$D$884,$A213,Trades!$X$2:$X$884,"&gt;0")</f>
        <v>52.31</v>
      </c>
      <c r="H213" s="30" t="n">
        <f aca="false">SUMIFS(Trades!$X$2:$X$884,Trades!$D$2:$D$884,$A213,Trades!$X$2:$X$884,"&lt;0")</f>
        <v>0</v>
      </c>
      <c r="I213" s="31" t="str">
        <f aca="false">IFERROR(G213/-H213,"no loss")</f>
        <v>no loss</v>
      </c>
      <c r="J213" s="30" t="n">
        <f aca="false">_xlfn.MAXIFS(Trades!$X$2:$X$884,Trades!$D$2:$D$884,$A213)</f>
        <v>52.31</v>
      </c>
      <c r="K213" s="30" t="n">
        <f aca="false">_xlfn.MINIFS(Trades!$X$2:$X$884,Trades!$D$2:$D$884,$A213)</f>
        <v>52.31</v>
      </c>
      <c r="L213" s="32" t="n">
        <f aca="false">SUMIFS(Trades!$Y$2:$Y$884,Trades!$D$2:$D$884,$A213)</f>
        <v>2.04048993602885</v>
      </c>
      <c r="M213" s="30" t="n">
        <f aca="false">P212</f>
        <v>106124.21</v>
      </c>
      <c r="N213" s="29" t="n">
        <f aca="false">IFERROR(F213/M213,0)</f>
        <v>0.000492912974334508</v>
      </c>
      <c r="O213" s="28" t="str">
        <f aca="false">IF(-N213&gt;=Summary!$C$7,"BREACH","")</f>
        <v/>
      </c>
      <c r="P213" s="30" t="n">
        <f aca="false">M213+F213</f>
        <v>106176.52</v>
      </c>
      <c r="Q213" s="30" t="n">
        <f aca="false">P213-Summary!$C$5</f>
        <v>6176.52000000005</v>
      </c>
      <c r="R213" s="2" t="str">
        <f aca="false">TEXT(A213,"ddd")</f>
        <v>Tue</v>
      </c>
    </row>
    <row r="214" customFormat="false" ht="15" hidden="false" customHeight="false" outlineLevel="0" collapsed="false">
      <c r="A214" s="42" t="n">
        <v>45364</v>
      </c>
      <c r="B214" s="28" t="n">
        <f aca="false">COUNTIFS(Trades!$D$2:$D$884,$A214)</f>
        <v>1</v>
      </c>
      <c r="C214" s="28" t="n">
        <f aca="false">COUNTIFS(Trades!$D$2:$D$884,$A214,Trades!$Z$2:$Z$884,"Win")</f>
        <v>0</v>
      </c>
      <c r="D214" s="28" t="n">
        <f aca="false">COUNTIFS(Trades!$D$2:$D$884,$A214,Trades!$Z$2:$Z$884,"Loss")</f>
        <v>1</v>
      </c>
      <c r="E214" s="29" t="n">
        <f aca="false">IFERROR(C214/B214,0)</f>
        <v>0</v>
      </c>
      <c r="F214" s="30" t="n">
        <f aca="false">SUMIFS(Trades!$X$2:$X$884,Trades!$D$2:$D$884,$A214)</f>
        <v>-44.3</v>
      </c>
      <c r="G214" s="30" t="n">
        <f aca="false">SUMIFS(Trades!$X$2:$X$884,Trades!$D$2:$D$884,$A214,Trades!$X$2:$X$884,"&gt;0")</f>
        <v>0</v>
      </c>
      <c r="H214" s="30" t="n">
        <f aca="false">SUMIFS(Trades!$X$2:$X$884,Trades!$D$2:$D$884,$A214,Trades!$X$2:$X$884,"&lt;0")</f>
        <v>-44.3</v>
      </c>
      <c r="I214" s="31" t="n">
        <f aca="false">IFERROR(G214/-H214,"no loss")</f>
        <v>0</v>
      </c>
      <c r="J214" s="30" t="n">
        <f aca="false">_xlfn.MAXIFS(Trades!$X$2:$X$884,Trades!$D$2:$D$884,$A214)</f>
        <v>-44.3</v>
      </c>
      <c r="K214" s="30" t="n">
        <f aca="false">_xlfn.MINIFS(Trades!$X$2:$X$884,Trades!$D$2:$D$884,$A214)</f>
        <v>-44.3</v>
      </c>
      <c r="L214" s="32" t="n">
        <f aca="false">SUMIFS(Trades!$Y$2:$Y$884,Trades!$D$2:$D$884,$A214)</f>
        <v>-1.03138387036712</v>
      </c>
      <c r="M214" s="30" t="n">
        <f aca="false">P213</f>
        <v>106176.52</v>
      </c>
      <c r="N214" s="29" t="n">
        <f aca="false">IFERROR(F214/M214,0)</f>
        <v>-0.000417229722729658</v>
      </c>
      <c r="O214" s="28" t="str">
        <f aca="false">IF(-N214&gt;=Summary!$C$7,"BREACH","")</f>
        <v/>
      </c>
      <c r="P214" s="30" t="n">
        <f aca="false">M214+F214</f>
        <v>106132.22</v>
      </c>
      <c r="Q214" s="30" t="n">
        <f aca="false">P214-Summary!$C$5</f>
        <v>6132.22000000005</v>
      </c>
      <c r="R214" s="2" t="str">
        <f aca="false">TEXT(A214,"ddd")</f>
        <v>Wed</v>
      </c>
    </row>
    <row r="215" customFormat="false" ht="15" hidden="false" customHeight="false" outlineLevel="0" collapsed="false">
      <c r="A215" s="42" t="n">
        <v>45365</v>
      </c>
      <c r="B215" s="28" t="n">
        <f aca="false">COUNTIFS(Trades!$D$2:$D$884,$A215)</f>
        <v>1</v>
      </c>
      <c r="C215" s="28" t="n">
        <f aca="false">COUNTIFS(Trades!$D$2:$D$884,$A215,Trades!$Z$2:$Z$884,"Win")</f>
        <v>0</v>
      </c>
      <c r="D215" s="28" t="n">
        <f aca="false">COUNTIFS(Trades!$D$2:$D$884,$A215,Trades!$Z$2:$Z$884,"Loss")</f>
        <v>1</v>
      </c>
      <c r="E215" s="29" t="n">
        <f aca="false">IFERROR(C215/B215,0)</f>
        <v>0</v>
      </c>
      <c r="F215" s="30" t="n">
        <f aca="false">SUMIFS(Trades!$X$2:$X$884,Trades!$D$2:$D$884,$A215)</f>
        <v>-4.63</v>
      </c>
      <c r="G215" s="30" t="n">
        <f aca="false">SUMIFS(Trades!$X$2:$X$884,Trades!$D$2:$D$884,$A215,Trades!$X$2:$X$884,"&gt;0")</f>
        <v>0</v>
      </c>
      <c r="H215" s="30" t="n">
        <f aca="false">SUMIFS(Trades!$X$2:$X$884,Trades!$D$2:$D$884,$A215,Trades!$X$2:$X$884,"&lt;0")</f>
        <v>-4.63</v>
      </c>
      <c r="I215" s="31" t="n">
        <f aca="false">IFERROR(G215/-H215,"no loss")</f>
        <v>0</v>
      </c>
      <c r="J215" s="30" t="n">
        <f aca="false">_xlfn.MAXIFS(Trades!$X$2:$X$884,Trades!$D$2:$D$884,$A215)</f>
        <v>-4.63</v>
      </c>
      <c r="K215" s="30" t="n">
        <f aca="false">_xlfn.MINIFS(Trades!$X$2:$X$884,Trades!$D$2:$D$884,$A215)</f>
        <v>-4.63</v>
      </c>
      <c r="L215" s="32" t="n">
        <f aca="false">SUMIFS(Trades!$Y$2:$Y$884,Trades!$D$2:$D$884,$A215)</f>
        <v>-0.0204357267703608</v>
      </c>
      <c r="M215" s="30" t="n">
        <f aca="false">P214</f>
        <v>106132.22</v>
      </c>
      <c r="N215" s="29" t="n">
        <f aca="false">IFERROR(F215/M215,0)</f>
        <v>-4.36248294815655E-005</v>
      </c>
      <c r="O215" s="28" t="str">
        <f aca="false">IF(-N215&gt;=Summary!$C$7,"BREACH","")</f>
        <v/>
      </c>
      <c r="P215" s="30" t="n">
        <f aca="false">M215+F215</f>
        <v>106127.59</v>
      </c>
      <c r="Q215" s="30" t="n">
        <f aca="false">P215-Summary!$C$5</f>
        <v>6127.59000000004</v>
      </c>
      <c r="R215" s="2" t="str">
        <f aca="false">TEXT(A215,"ddd")</f>
        <v>Thu</v>
      </c>
    </row>
    <row r="216" customFormat="false" ht="15" hidden="false" customHeight="false" outlineLevel="0" collapsed="false">
      <c r="A216" s="42" t="n">
        <v>45366</v>
      </c>
      <c r="B216" s="28" t="n">
        <f aca="false">COUNTIFS(Trades!$D$2:$D$884,$A216)</f>
        <v>1</v>
      </c>
      <c r="C216" s="28" t="n">
        <f aca="false">COUNTIFS(Trades!$D$2:$D$884,$A216,Trades!$Z$2:$Z$884,"Win")</f>
        <v>0</v>
      </c>
      <c r="D216" s="28" t="n">
        <f aca="false">COUNTIFS(Trades!$D$2:$D$884,$A216,Trades!$Z$2:$Z$884,"Loss")</f>
        <v>1</v>
      </c>
      <c r="E216" s="29" t="n">
        <f aca="false">IFERROR(C216/B216,0)</f>
        <v>0</v>
      </c>
      <c r="F216" s="30" t="n">
        <f aca="false">SUMIFS(Trades!$X$2:$X$884,Trades!$D$2:$D$884,$A216)</f>
        <v>-155.84</v>
      </c>
      <c r="G216" s="30" t="n">
        <f aca="false">SUMIFS(Trades!$X$2:$X$884,Trades!$D$2:$D$884,$A216,Trades!$X$2:$X$884,"&gt;0")</f>
        <v>0</v>
      </c>
      <c r="H216" s="30" t="n">
        <f aca="false">SUMIFS(Trades!$X$2:$X$884,Trades!$D$2:$D$884,$A216,Trades!$X$2:$X$884,"&lt;0")</f>
        <v>-155.84</v>
      </c>
      <c r="I216" s="31" t="n">
        <f aca="false">IFERROR(G216/-H216,"no loss")</f>
        <v>0</v>
      </c>
      <c r="J216" s="30" t="n">
        <f aca="false">_xlfn.MAXIFS(Trades!$X$2:$X$884,Trades!$D$2:$D$884,$A216)</f>
        <v>-155.84</v>
      </c>
      <c r="K216" s="30" t="n">
        <f aca="false">_xlfn.MINIFS(Trades!$X$2:$X$884,Trades!$D$2:$D$884,$A216)</f>
        <v>-155.84</v>
      </c>
      <c r="L216" s="32" t="n">
        <f aca="false">SUMIFS(Trades!$Y$2:$Y$884,Trades!$D$2:$D$884,$A216)</f>
        <v>-1.02040281815566</v>
      </c>
      <c r="M216" s="30" t="n">
        <f aca="false">P215</f>
        <v>106127.59</v>
      </c>
      <c r="N216" s="29" t="n">
        <f aca="false">IFERROR(F216/M216,0)</f>
        <v>-0.00146842117115823</v>
      </c>
      <c r="O216" s="28" t="str">
        <f aca="false">IF(-N216&gt;=Summary!$C$7,"BREACH","")</f>
        <v/>
      </c>
      <c r="P216" s="30" t="n">
        <f aca="false">M216+F216</f>
        <v>105971.75</v>
      </c>
      <c r="Q216" s="30" t="n">
        <f aca="false">P216-Summary!$C$5</f>
        <v>5971.75000000004</v>
      </c>
      <c r="R216" s="2" t="str">
        <f aca="false">TEXT(A216,"ddd")</f>
        <v>Fri</v>
      </c>
    </row>
    <row r="217" customFormat="false" ht="15" hidden="false" customHeight="false" outlineLevel="0" collapsed="false">
      <c r="A217" s="42" t="n">
        <v>45369</v>
      </c>
      <c r="B217" s="28" t="n">
        <f aca="false">COUNTIFS(Trades!$D$2:$D$884,$A217)</f>
        <v>1</v>
      </c>
      <c r="C217" s="28" t="n">
        <f aca="false">COUNTIFS(Trades!$D$2:$D$884,$A217,Trades!$Z$2:$Z$884,"Win")</f>
        <v>0</v>
      </c>
      <c r="D217" s="28" t="n">
        <f aca="false">COUNTIFS(Trades!$D$2:$D$884,$A217,Trades!$Z$2:$Z$884,"Loss")</f>
        <v>1</v>
      </c>
      <c r="E217" s="29" t="n">
        <f aca="false">IFERROR(C217/B217,0)</f>
        <v>0</v>
      </c>
      <c r="F217" s="30" t="n">
        <f aca="false">SUMIFS(Trades!$X$2:$X$884,Trades!$D$2:$D$884,$A217)</f>
        <v>-168.95</v>
      </c>
      <c r="G217" s="30" t="n">
        <f aca="false">SUMIFS(Trades!$X$2:$X$884,Trades!$D$2:$D$884,$A217,Trades!$X$2:$X$884,"&gt;0")</f>
        <v>0</v>
      </c>
      <c r="H217" s="30" t="n">
        <f aca="false">SUMIFS(Trades!$X$2:$X$884,Trades!$D$2:$D$884,$A217,Trades!$X$2:$X$884,"&lt;0")</f>
        <v>-168.95</v>
      </c>
      <c r="I217" s="31" t="n">
        <f aca="false">IFERROR(G217/-H217,"no loss")</f>
        <v>0</v>
      </c>
      <c r="J217" s="30" t="n">
        <f aca="false">_xlfn.MAXIFS(Trades!$X$2:$X$884,Trades!$D$2:$D$884,$A217)</f>
        <v>-168.95</v>
      </c>
      <c r="K217" s="30" t="n">
        <f aca="false">_xlfn.MINIFS(Trades!$X$2:$X$884,Trades!$D$2:$D$884,$A217)</f>
        <v>-168.95</v>
      </c>
      <c r="L217" s="32" t="n">
        <f aca="false">SUMIFS(Trades!$Y$2:$Y$884,Trades!$D$2:$D$884,$A217)</f>
        <v>-1.00807895176486</v>
      </c>
      <c r="M217" s="30" t="n">
        <f aca="false">P216</f>
        <v>105971.75</v>
      </c>
      <c r="N217" s="29" t="n">
        <f aca="false">IFERROR(F217/M217,0)</f>
        <v>-0.00159429281860496</v>
      </c>
      <c r="O217" s="28" t="str">
        <f aca="false">IF(-N217&gt;=Summary!$C$7,"BREACH","")</f>
        <v/>
      </c>
      <c r="P217" s="30" t="n">
        <f aca="false">M217+F217</f>
        <v>105802.8</v>
      </c>
      <c r="Q217" s="30" t="n">
        <f aca="false">P217-Summary!$C$5</f>
        <v>5802.80000000005</v>
      </c>
      <c r="R217" s="2" t="str">
        <f aca="false">TEXT(A217,"ddd")</f>
        <v>Mon</v>
      </c>
    </row>
    <row r="218" customFormat="false" ht="15" hidden="false" customHeight="false" outlineLevel="0" collapsed="false">
      <c r="A218" s="42" t="n">
        <v>45370</v>
      </c>
      <c r="B218" s="28" t="n">
        <f aca="false">COUNTIFS(Trades!$D$2:$D$884,$A218)</f>
        <v>1</v>
      </c>
      <c r="C218" s="28" t="n">
        <f aca="false">COUNTIFS(Trades!$D$2:$D$884,$A218,Trades!$Z$2:$Z$884,"Win")</f>
        <v>0</v>
      </c>
      <c r="D218" s="28" t="n">
        <f aca="false">COUNTIFS(Trades!$D$2:$D$884,$A218,Trades!$Z$2:$Z$884,"Loss")</f>
        <v>1</v>
      </c>
      <c r="E218" s="29" t="n">
        <f aca="false">IFERROR(C218/B218,0)</f>
        <v>0</v>
      </c>
      <c r="F218" s="30" t="n">
        <f aca="false">SUMIFS(Trades!$X$2:$X$884,Trades!$D$2:$D$884,$A218)</f>
        <v>-169.52</v>
      </c>
      <c r="G218" s="30" t="n">
        <f aca="false">SUMIFS(Trades!$X$2:$X$884,Trades!$D$2:$D$884,$A218,Trades!$X$2:$X$884,"&gt;0")</f>
        <v>0</v>
      </c>
      <c r="H218" s="30" t="n">
        <f aca="false">SUMIFS(Trades!$X$2:$X$884,Trades!$D$2:$D$884,$A218,Trades!$X$2:$X$884,"&lt;0")</f>
        <v>-169.52</v>
      </c>
      <c r="I218" s="31" t="n">
        <f aca="false">IFERROR(G218/-H218,"no loss")</f>
        <v>0</v>
      </c>
      <c r="J218" s="30" t="n">
        <f aca="false">_xlfn.MAXIFS(Trades!$X$2:$X$884,Trades!$D$2:$D$884,$A218)</f>
        <v>-169.52</v>
      </c>
      <c r="K218" s="30" t="n">
        <f aca="false">_xlfn.MINIFS(Trades!$X$2:$X$884,Trades!$D$2:$D$884,$A218)</f>
        <v>-169.52</v>
      </c>
      <c r="L218" s="32" t="n">
        <f aca="false">SUMIFS(Trades!$Y$2:$Y$884,Trades!$D$2:$D$884,$A218)</f>
        <v>-1.02483495756047</v>
      </c>
      <c r="M218" s="30" t="n">
        <f aca="false">P217</f>
        <v>105802.8</v>
      </c>
      <c r="N218" s="29" t="n">
        <f aca="false">IFERROR(F218/M218,0)</f>
        <v>-0.00160222602804463</v>
      </c>
      <c r="O218" s="28" t="str">
        <f aca="false">IF(-N218&gt;=Summary!$C$7,"BREACH","")</f>
        <v/>
      </c>
      <c r="P218" s="30" t="n">
        <f aca="false">M218+F218</f>
        <v>105633.28</v>
      </c>
      <c r="Q218" s="30" t="n">
        <f aca="false">P218-Summary!$C$5</f>
        <v>5633.28000000004</v>
      </c>
      <c r="R218" s="2" t="str">
        <f aca="false">TEXT(A218,"ddd")</f>
        <v>Tue</v>
      </c>
    </row>
    <row r="219" customFormat="false" ht="15" hidden="false" customHeight="false" outlineLevel="0" collapsed="false">
      <c r="A219" s="42" t="n">
        <v>45371</v>
      </c>
      <c r="B219" s="28" t="n">
        <f aca="false">COUNTIFS(Trades!$D$2:$D$884,$A219)</f>
        <v>1</v>
      </c>
      <c r="C219" s="28" t="n">
        <f aca="false">COUNTIFS(Trades!$D$2:$D$884,$A219,Trades!$Z$2:$Z$884,"Win")</f>
        <v>1</v>
      </c>
      <c r="D219" s="28" t="n">
        <f aca="false">COUNTIFS(Trades!$D$2:$D$884,$A219,Trades!$Z$2:$Z$884,"Loss")</f>
        <v>0</v>
      </c>
      <c r="E219" s="29" t="n">
        <f aca="false">IFERROR(C219/B219,0)</f>
        <v>1</v>
      </c>
      <c r="F219" s="30" t="n">
        <f aca="false">SUMIFS(Trades!$X$2:$X$884,Trades!$D$2:$D$884,$A219)</f>
        <v>82.06</v>
      </c>
      <c r="G219" s="30" t="n">
        <f aca="false">SUMIFS(Trades!$X$2:$X$884,Trades!$D$2:$D$884,$A219,Trades!$X$2:$X$884,"&gt;0")</f>
        <v>82.06</v>
      </c>
      <c r="H219" s="30" t="n">
        <f aca="false">SUMIFS(Trades!$X$2:$X$884,Trades!$D$2:$D$884,$A219,Trades!$X$2:$X$884,"&lt;0")</f>
        <v>0</v>
      </c>
      <c r="I219" s="31" t="str">
        <f aca="false">IFERROR(G219/-H219,"no loss")</f>
        <v>no loss</v>
      </c>
      <c r="J219" s="30" t="n">
        <f aca="false">_xlfn.MAXIFS(Trades!$X$2:$X$884,Trades!$D$2:$D$884,$A219)</f>
        <v>82.06</v>
      </c>
      <c r="K219" s="30" t="n">
        <f aca="false">_xlfn.MINIFS(Trades!$X$2:$X$884,Trades!$D$2:$D$884,$A219)</f>
        <v>82.06</v>
      </c>
      <c r="L219" s="32" t="n">
        <f aca="false">SUMIFS(Trades!$Y$2:$Y$884,Trades!$D$2:$D$884,$A219)</f>
        <v>2.01028907398371</v>
      </c>
      <c r="M219" s="30" t="n">
        <f aca="false">P218</f>
        <v>105633.28</v>
      </c>
      <c r="N219" s="29" t="n">
        <f aca="false">IFERROR(F219/M219,0)</f>
        <v>0.000776838511499406</v>
      </c>
      <c r="O219" s="28" t="str">
        <f aca="false">IF(-N219&gt;=Summary!$C$7,"BREACH","")</f>
        <v/>
      </c>
      <c r="P219" s="30" t="n">
        <f aca="false">M219+F219</f>
        <v>105715.34</v>
      </c>
      <c r="Q219" s="30" t="n">
        <f aca="false">P219-Summary!$C$5</f>
        <v>5715.34000000004</v>
      </c>
      <c r="R219" s="2" t="str">
        <f aca="false">TEXT(A219,"ddd")</f>
        <v>Wed</v>
      </c>
    </row>
    <row r="220" customFormat="false" ht="15" hidden="false" customHeight="false" outlineLevel="0" collapsed="false">
      <c r="A220" s="42" t="n">
        <v>45372</v>
      </c>
      <c r="B220" s="28" t="n">
        <f aca="false">COUNTIFS(Trades!$D$2:$D$884,$A220)</f>
        <v>1</v>
      </c>
      <c r="C220" s="28" t="n">
        <f aca="false">COUNTIFS(Trades!$D$2:$D$884,$A220,Trades!$Z$2:$Z$884,"Win")</f>
        <v>0</v>
      </c>
      <c r="D220" s="28" t="n">
        <f aca="false">COUNTIFS(Trades!$D$2:$D$884,$A220,Trades!$Z$2:$Z$884,"Loss")</f>
        <v>1</v>
      </c>
      <c r="E220" s="29" t="n">
        <f aca="false">IFERROR(C220/B220,0)</f>
        <v>0</v>
      </c>
      <c r="F220" s="30" t="n">
        <f aca="false">SUMIFS(Trades!$X$2:$X$884,Trades!$D$2:$D$884,$A220)</f>
        <v>-4.45</v>
      </c>
      <c r="G220" s="30" t="n">
        <f aca="false">SUMIFS(Trades!$X$2:$X$884,Trades!$D$2:$D$884,$A220,Trades!$X$2:$X$884,"&gt;0")</f>
        <v>0</v>
      </c>
      <c r="H220" s="30" t="n">
        <f aca="false">SUMIFS(Trades!$X$2:$X$884,Trades!$D$2:$D$884,$A220,Trades!$X$2:$X$884,"&lt;0")</f>
        <v>-4.45</v>
      </c>
      <c r="I220" s="31" t="n">
        <f aca="false">IFERROR(G220/-H220,"no loss")</f>
        <v>0</v>
      </c>
      <c r="J220" s="30" t="n">
        <f aca="false">_xlfn.MAXIFS(Trades!$X$2:$X$884,Trades!$D$2:$D$884,$A220)</f>
        <v>-4.45</v>
      </c>
      <c r="K220" s="30" t="n">
        <f aca="false">_xlfn.MINIFS(Trades!$X$2:$X$884,Trades!$D$2:$D$884,$A220)</f>
        <v>-4.45</v>
      </c>
      <c r="L220" s="32" t="n">
        <f aca="false">SUMIFS(Trades!$Y$2:$Y$884,Trades!$D$2:$D$884,$A220)</f>
        <v>-0.0663189269746733</v>
      </c>
      <c r="M220" s="30" t="n">
        <f aca="false">P219</f>
        <v>105715.34</v>
      </c>
      <c r="N220" s="29" t="n">
        <f aca="false">IFERROR(F220/M220,0)</f>
        <v>-4.20941747905271E-005</v>
      </c>
      <c r="O220" s="28" t="str">
        <f aca="false">IF(-N220&gt;=Summary!$C$7,"BREACH","")</f>
        <v/>
      </c>
      <c r="P220" s="30" t="n">
        <f aca="false">M220+F220</f>
        <v>105710.89</v>
      </c>
      <c r="Q220" s="30" t="n">
        <f aca="false">P220-Summary!$C$5</f>
        <v>5710.89000000004</v>
      </c>
      <c r="R220" s="2" t="str">
        <f aca="false">TEXT(A220,"ddd")</f>
        <v>Thu</v>
      </c>
    </row>
    <row r="221" customFormat="false" ht="15" hidden="false" customHeight="false" outlineLevel="0" collapsed="false">
      <c r="A221" s="42" t="n">
        <v>45373</v>
      </c>
      <c r="B221" s="28" t="n">
        <f aca="false">COUNTIFS(Trades!$D$2:$D$884,$A221)</f>
        <v>1</v>
      </c>
      <c r="C221" s="28" t="n">
        <f aca="false">COUNTIFS(Trades!$D$2:$D$884,$A221,Trades!$Z$2:$Z$884,"Win")</f>
        <v>1</v>
      </c>
      <c r="D221" s="28" t="n">
        <f aca="false">COUNTIFS(Trades!$D$2:$D$884,$A221,Trades!$Z$2:$Z$884,"Loss")</f>
        <v>0</v>
      </c>
      <c r="E221" s="29" t="n">
        <f aca="false">IFERROR(C221/B221,0)</f>
        <v>1</v>
      </c>
      <c r="F221" s="30" t="n">
        <f aca="false">SUMIFS(Trades!$X$2:$X$884,Trades!$D$2:$D$884,$A221)</f>
        <v>126.46</v>
      </c>
      <c r="G221" s="30" t="n">
        <f aca="false">SUMIFS(Trades!$X$2:$X$884,Trades!$D$2:$D$884,$A221,Trades!$X$2:$X$884,"&gt;0")</f>
        <v>126.46</v>
      </c>
      <c r="H221" s="30" t="n">
        <f aca="false">SUMIFS(Trades!$X$2:$X$884,Trades!$D$2:$D$884,$A221,Trades!$X$2:$X$884,"&lt;0")</f>
        <v>0</v>
      </c>
      <c r="I221" s="31" t="str">
        <f aca="false">IFERROR(G221/-H221,"no loss")</f>
        <v>no loss</v>
      </c>
      <c r="J221" s="30" t="n">
        <f aca="false">_xlfn.MAXIFS(Trades!$X$2:$X$884,Trades!$D$2:$D$884,$A221)</f>
        <v>126.46</v>
      </c>
      <c r="K221" s="30" t="n">
        <f aca="false">_xlfn.MINIFS(Trades!$X$2:$X$884,Trades!$D$2:$D$884,$A221)</f>
        <v>126.46</v>
      </c>
      <c r="L221" s="32" t="n">
        <f aca="false">SUMIFS(Trades!$Y$2:$Y$884,Trades!$D$2:$D$884,$A221)</f>
        <v>2.05572533974934</v>
      </c>
      <c r="M221" s="30" t="n">
        <f aca="false">P220</f>
        <v>105710.89</v>
      </c>
      <c r="N221" s="29" t="n">
        <f aca="false">IFERROR(F221/M221,0)</f>
        <v>0.00119628166975039</v>
      </c>
      <c r="O221" s="28" t="str">
        <f aca="false">IF(-N221&gt;=Summary!$C$7,"BREACH","")</f>
        <v/>
      </c>
      <c r="P221" s="30" t="n">
        <f aca="false">M221+F221</f>
        <v>105837.35</v>
      </c>
      <c r="Q221" s="30" t="n">
        <f aca="false">P221-Summary!$C$5</f>
        <v>5837.35000000005</v>
      </c>
      <c r="R221" s="2" t="str">
        <f aca="false">TEXT(A221,"ddd")</f>
        <v>Fri</v>
      </c>
    </row>
    <row r="222" customFormat="false" ht="15" hidden="false" customHeight="false" outlineLevel="0" collapsed="false">
      <c r="A222" s="42" t="n">
        <v>45376</v>
      </c>
      <c r="B222" s="28" t="n">
        <f aca="false">COUNTIFS(Trades!$D$2:$D$884,$A222)</f>
        <v>1</v>
      </c>
      <c r="C222" s="28" t="n">
        <f aca="false">COUNTIFS(Trades!$D$2:$D$884,$A222,Trades!$Z$2:$Z$884,"Win")</f>
        <v>1</v>
      </c>
      <c r="D222" s="28" t="n">
        <f aca="false">COUNTIFS(Trades!$D$2:$D$884,$A222,Trades!$Z$2:$Z$884,"Loss")</f>
        <v>0</v>
      </c>
      <c r="E222" s="29" t="n">
        <f aca="false">IFERROR(C222/B222,0)</f>
        <v>1</v>
      </c>
      <c r="F222" s="30" t="n">
        <f aca="false">SUMIFS(Trades!$X$2:$X$884,Trades!$D$2:$D$884,$A222)</f>
        <v>97.03</v>
      </c>
      <c r="G222" s="30" t="n">
        <f aca="false">SUMIFS(Trades!$X$2:$X$884,Trades!$D$2:$D$884,$A222,Trades!$X$2:$X$884,"&gt;0")</f>
        <v>97.03</v>
      </c>
      <c r="H222" s="30" t="n">
        <f aca="false">SUMIFS(Trades!$X$2:$X$884,Trades!$D$2:$D$884,$A222,Trades!$X$2:$X$884,"&lt;0")</f>
        <v>0</v>
      </c>
      <c r="I222" s="31" t="str">
        <f aca="false">IFERROR(G222/-H222,"no loss")</f>
        <v>no loss</v>
      </c>
      <c r="J222" s="30" t="n">
        <f aca="false">_xlfn.MAXIFS(Trades!$X$2:$X$884,Trades!$D$2:$D$884,$A222)</f>
        <v>97.03</v>
      </c>
      <c r="K222" s="30" t="n">
        <f aca="false">_xlfn.MINIFS(Trades!$X$2:$X$884,Trades!$D$2:$D$884,$A222)</f>
        <v>97.03</v>
      </c>
      <c r="L222" s="32" t="n">
        <f aca="false">SUMIFS(Trades!$Y$2:$Y$884,Trades!$D$2:$D$884,$A222)</f>
        <v>2.01725571725572</v>
      </c>
      <c r="M222" s="30" t="n">
        <f aca="false">P221</f>
        <v>105837.35</v>
      </c>
      <c r="N222" s="29" t="n">
        <f aca="false">IFERROR(F222/M222,0)</f>
        <v>0.00091678410315451</v>
      </c>
      <c r="O222" s="28" t="str">
        <f aca="false">IF(-N222&gt;=Summary!$C$7,"BREACH","")</f>
        <v/>
      </c>
      <c r="P222" s="30" t="n">
        <f aca="false">M222+F222</f>
        <v>105934.38</v>
      </c>
      <c r="Q222" s="30" t="n">
        <f aca="false">P222-Summary!$C$5</f>
        <v>5934.38000000005</v>
      </c>
      <c r="R222" s="2" t="str">
        <f aca="false">TEXT(A222,"ddd")</f>
        <v>Mon</v>
      </c>
    </row>
    <row r="223" customFormat="false" ht="15" hidden="false" customHeight="false" outlineLevel="0" collapsed="false">
      <c r="A223" s="42" t="n">
        <v>45377</v>
      </c>
      <c r="B223" s="28" t="n">
        <f aca="false">COUNTIFS(Trades!$D$2:$D$884,$A223)</f>
        <v>1</v>
      </c>
      <c r="C223" s="28" t="n">
        <f aca="false">COUNTIFS(Trades!$D$2:$D$884,$A223,Trades!$Z$2:$Z$884,"Win")</f>
        <v>0</v>
      </c>
      <c r="D223" s="28" t="n">
        <f aca="false">COUNTIFS(Trades!$D$2:$D$884,$A223,Trades!$Z$2:$Z$884,"Loss")</f>
        <v>1</v>
      </c>
      <c r="E223" s="29" t="n">
        <f aca="false">IFERROR(C223/B223,0)</f>
        <v>0</v>
      </c>
      <c r="F223" s="30" t="n">
        <f aca="false">SUMIFS(Trades!$X$2:$X$884,Trades!$D$2:$D$884,$A223)</f>
        <v>-56.9</v>
      </c>
      <c r="G223" s="30" t="n">
        <f aca="false">SUMIFS(Trades!$X$2:$X$884,Trades!$D$2:$D$884,$A223,Trades!$X$2:$X$884,"&gt;0")</f>
        <v>0</v>
      </c>
      <c r="H223" s="30" t="n">
        <f aca="false">SUMIFS(Trades!$X$2:$X$884,Trades!$D$2:$D$884,$A223,Trades!$X$2:$X$884,"&lt;0")</f>
        <v>-56.9</v>
      </c>
      <c r="I223" s="31" t="n">
        <f aca="false">IFERROR(G223/-H223,"no loss")</f>
        <v>0</v>
      </c>
      <c r="J223" s="30" t="n">
        <f aca="false">_xlfn.MAXIFS(Trades!$X$2:$X$884,Trades!$D$2:$D$884,$A223)</f>
        <v>-56.9</v>
      </c>
      <c r="K223" s="30" t="n">
        <f aca="false">_xlfn.MINIFS(Trades!$X$2:$X$884,Trades!$D$2:$D$884,$A223)</f>
        <v>-56.9</v>
      </c>
      <c r="L223" s="32" t="n">
        <f aca="false">SUMIFS(Trades!$Y$2:$Y$884,Trades!$D$2:$D$884,$A223)</f>
        <v>-1.00797165633296</v>
      </c>
      <c r="M223" s="30" t="n">
        <f aca="false">P222</f>
        <v>105934.38</v>
      </c>
      <c r="N223" s="29" t="n">
        <f aca="false">IFERROR(F223/M223,0)</f>
        <v>-0.000537124963585948</v>
      </c>
      <c r="O223" s="28" t="str">
        <f aca="false">IF(-N223&gt;=Summary!$C$7,"BREACH","")</f>
        <v/>
      </c>
      <c r="P223" s="30" t="n">
        <f aca="false">M223+F223</f>
        <v>105877.48</v>
      </c>
      <c r="Q223" s="30" t="n">
        <f aca="false">P223-Summary!$C$5</f>
        <v>5877.48000000005</v>
      </c>
      <c r="R223" s="2" t="str">
        <f aca="false">TEXT(A223,"ddd")</f>
        <v>Tue</v>
      </c>
    </row>
    <row r="224" customFormat="false" ht="15" hidden="false" customHeight="false" outlineLevel="0" collapsed="false">
      <c r="A224" s="42" t="n">
        <v>45378</v>
      </c>
      <c r="B224" s="28" t="n">
        <f aca="false">COUNTIFS(Trades!$D$2:$D$884,$A224)</f>
        <v>1</v>
      </c>
      <c r="C224" s="28" t="n">
        <f aca="false">COUNTIFS(Trades!$D$2:$D$884,$A224,Trades!$Z$2:$Z$884,"Win")</f>
        <v>0</v>
      </c>
      <c r="D224" s="28" t="n">
        <f aca="false">COUNTIFS(Trades!$D$2:$D$884,$A224,Trades!$Z$2:$Z$884,"Loss")</f>
        <v>1</v>
      </c>
      <c r="E224" s="29" t="n">
        <f aca="false">IFERROR(C224/B224,0)</f>
        <v>0</v>
      </c>
      <c r="F224" s="30" t="n">
        <f aca="false">SUMIFS(Trades!$X$2:$X$884,Trades!$D$2:$D$884,$A224)</f>
        <v>-0.21</v>
      </c>
      <c r="G224" s="30" t="n">
        <f aca="false">SUMIFS(Trades!$X$2:$X$884,Trades!$D$2:$D$884,$A224,Trades!$X$2:$X$884,"&gt;0")</f>
        <v>0</v>
      </c>
      <c r="H224" s="30" t="n">
        <f aca="false">SUMIFS(Trades!$X$2:$X$884,Trades!$D$2:$D$884,$A224,Trades!$X$2:$X$884,"&lt;0")</f>
        <v>-0.21</v>
      </c>
      <c r="I224" s="31" t="n">
        <f aca="false">IFERROR(G224/-H224,"no loss")</f>
        <v>0</v>
      </c>
      <c r="J224" s="30" t="n">
        <f aca="false">_xlfn.MAXIFS(Trades!$X$2:$X$884,Trades!$D$2:$D$884,$A224)</f>
        <v>-0.21</v>
      </c>
      <c r="K224" s="30" t="n">
        <f aca="false">_xlfn.MINIFS(Trades!$X$2:$X$884,Trades!$D$2:$D$884,$A224)</f>
        <v>-0.21</v>
      </c>
      <c r="L224" s="32" t="n">
        <f aca="false">SUMIFS(Trades!$Y$2:$Y$884,Trades!$D$2:$D$884,$A224)</f>
        <v>-0.00119516470507885</v>
      </c>
      <c r="M224" s="30" t="n">
        <f aca="false">P223</f>
        <v>105877.48</v>
      </c>
      <c r="N224" s="29" t="n">
        <f aca="false">IFERROR(F224/M224,0)</f>
        <v>-1.98342461494172E-006</v>
      </c>
      <c r="O224" s="28" t="str">
        <f aca="false">IF(-N224&gt;=Summary!$C$7,"BREACH","")</f>
        <v/>
      </c>
      <c r="P224" s="30" t="n">
        <f aca="false">M224+F224</f>
        <v>105877.27</v>
      </c>
      <c r="Q224" s="30" t="n">
        <f aca="false">P224-Summary!$C$5</f>
        <v>5877.27000000005</v>
      </c>
      <c r="R224" s="2" t="str">
        <f aca="false">TEXT(A224,"ddd")</f>
        <v>Wed</v>
      </c>
    </row>
    <row r="225" customFormat="false" ht="15" hidden="false" customHeight="false" outlineLevel="0" collapsed="false">
      <c r="A225" s="42" t="n">
        <v>45383</v>
      </c>
      <c r="B225" s="28" t="n">
        <f aca="false">COUNTIFS(Trades!$D$2:$D$884,$A225)</f>
        <v>2</v>
      </c>
      <c r="C225" s="28" t="n">
        <f aca="false">COUNTIFS(Trades!$D$2:$D$884,$A225,Trades!$Z$2:$Z$884,"Win")</f>
        <v>1</v>
      </c>
      <c r="D225" s="28" t="n">
        <f aca="false">COUNTIFS(Trades!$D$2:$D$884,$A225,Trades!$Z$2:$Z$884,"Loss")</f>
        <v>1</v>
      </c>
      <c r="E225" s="29" t="n">
        <f aca="false">IFERROR(C225/B225,0)</f>
        <v>0.5</v>
      </c>
      <c r="F225" s="30" t="n">
        <f aca="false">SUMIFS(Trades!$X$2:$X$884,Trades!$D$2:$D$884,$A225)</f>
        <v>95.26</v>
      </c>
      <c r="G225" s="30" t="n">
        <f aca="false">SUMIFS(Trades!$X$2:$X$884,Trades!$D$2:$D$884,$A225,Trades!$X$2:$X$884,"&gt;0")</f>
        <v>218.5</v>
      </c>
      <c r="H225" s="30" t="n">
        <f aca="false">SUMIFS(Trades!$X$2:$X$884,Trades!$D$2:$D$884,$A225,Trades!$X$2:$X$884,"&lt;0")</f>
        <v>-123.24</v>
      </c>
      <c r="I225" s="31" t="n">
        <f aca="false">IFERROR(G225/-H225,"no loss")</f>
        <v>1.77296332359624</v>
      </c>
      <c r="J225" s="30" t="n">
        <f aca="false">_xlfn.MAXIFS(Trades!$X$2:$X$884,Trades!$D$2:$D$884,$A225)</f>
        <v>218.5</v>
      </c>
      <c r="K225" s="30" t="n">
        <f aca="false">_xlfn.MINIFS(Trades!$X$2:$X$884,Trades!$D$2:$D$884,$A225)</f>
        <v>-123.24</v>
      </c>
      <c r="L225" s="32" t="n">
        <f aca="false">SUMIFS(Trades!$Y$2:$Y$884,Trades!$D$2:$D$884,$A225)</f>
        <v>1.02206083358798</v>
      </c>
      <c r="M225" s="30" t="n">
        <f aca="false">P224</f>
        <v>105877.27</v>
      </c>
      <c r="N225" s="29" t="n">
        <f aca="false">IFERROR(F225/M225,0)</f>
        <v>0.000899720969382758</v>
      </c>
      <c r="O225" s="28" t="str">
        <f aca="false">IF(-N225&gt;=Summary!$C$7,"BREACH","")</f>
        <v/>
      </c>
      <c r="P225" s="30" t="n">
        <f aca="false">M225+F225</f>
        <v>105972.53</v>
      </c>
      <c r="Q225" s="30" t="n">
        <f aca="false">P225-Summary!$C$5</f>
        <v>5972.53000000004</v>
      </c>
      <c r="R225" s="2" t="str">
        <f aca="false">TEXT(A225,"ddd")</f>
        <v>Mon</v>
      </c>
    </row>
    <row r="226" customFormat="false" ht="15" hidden="false" customHeight="false" outlineLevel="0" collapsed="false">
      <c r="A226" s="42" t="n">
        <v>45384</v>
      </c>
      <c r="B226" s="28" t="n">
        <f aca="false">COUNTIFS(Trades!$D$2:$D$884,$A226)</f>
        <v>1</v>
      </c>
      <c r="C226" s="28" t="n">
        <f aca="false">COUNTIFS(Trades!$D$2:$D$884,$A226,Trades!$Z$2:$Z$884,"Win")</f>
        <v>0</v>
      </c>
      <c r="D226" s="28" t="n">
        <f aca="false">COUNTIFS(Trades!$D$2:$D$884,$A226,Trades!$Z$2:$Z$884,"Loss")</f>
        <v>1</v>
      </c>
      <c r="E226" s="29" t="n">
        <f aca="false">IFERROR(C226/B226,0)</f>
        <v>0</v>
      </c>
      <c r="F226" s="30" t="n">
        <f aca="false">SUMIFS(Trades!$X$2:$X$884,Trades!$D$2:$D$884,$A226)</f>
        <v>-64.12</v>
      </c>
      <c r="G226" s="30" t="n">
        <f aca="false">SUMIFS(Trades!$X$2:$X$884,Trades!$D$2:$D$884,$A226,Trades!$X$2:$X$884,"&gt;0")</f>
        <v>0</v>
      </c>
      <c r="H226" s="30" t="n">
        <f aca="false">SUMIFS(Trades!$X$2:$X$884,Trades!$D$2:$D$884,$A226,Trades!$X$2:$X$884,"&lt;0")</f>
        <v>-64.12</v>
      </c>
      <c r="I226" s="31" t="n">
        <f aca="false">IFERROR(G226/-H226,"no loss")</f>
        <v>0</v>
      </c>
      <c r="J226" s="30" t="n">
        <f aca="false">_xlfn.MAXIFS(Trades!$X$2:$X$884,Trades!$D$2:$D$884,$A226)</f>
        <v>-64.12</v>
      </c>
      <c r="K226" s="30" t="n">
        <f aca="false">_xlfn.MINIFS(Trades!$X$2:$X$884,Trades!$D$2:$D$884,$A226)</f>
        <v>-64.12</v>
      </c>
      <c r="L226" s="32" t="n">
        <f aca="false">SUMIFS(Trades!$Y$2:$Y$884,Trades!$D$2:$D$884,$A226)</f>
        <v>-1.00577236792555</v>
      </c>
      <c r="M226" s="30" t="n">
        <f aca="false">P225</f>
        <v>105972.53</v>
      </c>
      <c r="N226" s="29" t="n">
        <f aca="false">IFERROR(F226/M226,0)</f>
        <v>-0.000605062462885429</v>
      </c>
      <c r="O226" s="28" t="str">
        <f aca="false">IF(-N226&gt;=Summary!$C$7,"BREACH","")</f>
        <v/>
      </c>
      <c r="P226" s="30" t="n">
        <f aca="false">M226+F226</f>
        <v>105908.41</v>
      </c>
      <c r="Q226" s="30" t="n">
        <f aca="false">P226-Summary!$C$5</f>
        <v>5908.41000000005</v>
      </c>
      <c r="R226" s="2" t="str">
        <f aca="false">TEXT(A226,"ddd")</f>
        <v>Tue</v>
      </c>
    </row>
    <row r="227" customFormat="false" ht="15" hidden="false" customHeight="false" outlineLevel="0" collapsed="false">
      <c r="A227" s="42" t="n">
        <v>45386</v>
      </c>
      <c r="B227" s="28" t="n">
        <f aca="false">COUNTIFS(Trades!$D$2:$D$884,$A227)</f>
        <v>2</v>
      </c>
      <c r="C227" s="28" t="n">
        <f aca="false">COUNTIFS(Trades!$D$2:$D$884,$A227,Trades!$Z$2:$Z$884,"Win")</f>
        <v>1</v>
      </c>
      <c r="D227" s="28" t="n">
        <f aca="false">COUNTIFS(Trades!$D$2:$D$884,$A227,Trades!$Z$2:$Z$884,"Loss")</f>
        <v>1</v>
      </c>
      <c r="E227" s="29" t="n">
        <f aca="false">IFERROR(C227/B227,0)</f>
        <v>0.5</v>
      </c>
      <c r="F227" s="30" t="n">
        <f aca="false">SUMIFS(Trades!$X$2:$X$884,Trades!$D$2:$D$884,$A227)</f>
        <v>308.31</v>
      </c>
      <c r="G227" s="30" t="n">
        <f aca="false">SUMIFS(Trades!$X$2:$X$884,Trades!$D$2:$D$884,$A227,Trades!$X$2:$X$884,"&gt;0")</f>
        <v>405.39</v>
      </c>
      <c r="H227" s="30" t="n">
        <f aca="false">SUMIFS(Trades!$X$2:$X$884,Trades!$D$2:$D$884,$A227,Trades!$X$2:$X$884,"&lt;0")</f>
        <v>-97.08</v>
      </c>
      <c r="I227" s="31" t="n">
        <f aca="false">IFERROR(G227/-H227,"no loss")</f>
        <v>4.17583436341162</v>
      </c>
      <c r="J227" s="30" t="n">
        <f aca="false">_xlfn.MAXIFS(Trades!$X$2:$X$884,Trades!$D$2:$D$884,$A227)</f>
        <v>405.39</v>
      </c>
      <c r="K227" s="30" t="n">
        <f aca="false">_xlfn.MINIFS(Trades!$X$2:$X$884,Trades!$D$2:$D$884,$A227)</f>
        <v>-97.08</v>
      </c>
      <c r="L227" s="32" t="n">
        <f aca="false">SUMIFS(Trades!$Y$2:$Y$884,Trades!$D$2:$D$884,$A227)</f>
        <v>1.04514601453438</v>
      </c>
      <c r="M227" s="30" t="n">
        <f aca="false">P226</f>
        <v>105908.41</v>
      </c>
      <c r="N227" s="29" t="n">
        <f aca="false">IFERROR(F227/M227,0)</f>
        <v>0.0029111002610652</v>
      </c>
      <c r="O227" s="28" t="str">
        <f aca="false">IF(-N227&gt;=Summary!$C$7,"BREACH","")</f>
        <v/>
      </c>
      <c r="P227" s="30" t="n">
        <f aca="false">M227+F227</f>
        <v>106216.72</v>
      </c>
      <c r="Q227" s="30" t="n">
        <f aca="false">P227-Summary!$C$5</f>
        <v>6216.72000000005</v>
      </c>
      <c r="R227" s="2" t="str">
        <f aca="false">TEXT(A227,"ddd")</f>
        <v>Thu</v>
      </c>
    </row>
    <row r="228" customFormat="false" ht="15" hidden="false" customHeight="false" outlineLevel="0" collapsed="false">
      <c r="A228" s="42" t="n">
        <v>45387</v>
      </c>
      <c r="B228" s="28" t="n">
        <f aca="false">COUNTIFS(Trades!$D$2:$D$884,$A228)</f>
        <v>1</v>
      </c>
      <c r="C228" s="28" t="n">
        <f aca="false">COUNTIFS(Trades!$D$2:$D$884,$A228,Trades!$Z$2:$Z$884,"Win")</f>
        <v>0</v>
      </c>
      <c r="D228" s="28" t="n">
        <f aca="false">COUNTIFS(Trades!$D$2:$D$884,$A228,Trades!$Z$2:$Z$884,"Loss")</f>
        <v>1</v>
      </c>
      <c r="E228" s="29" t="n">
        <f aca="false">IFERROR(C228/B228,0)</f>
        <v>0</v>
      </c>
      <c r="F228" s="30" t="n">
        <f aca="false">SUMIFS(Trades!$X$2:$X$884,Trades!$D$2:$D$884,$A228)</f>
        <v>-75.71</v>
      </c>
      <c r="G228" s="30" t="n">
        <f aca="false">SUMIFS(Trades!$X$2:$X$884,Trades!$D$2:$D$884,$A228,Trades!$X$2:$X$884,"&gt;0")</f>
        <v>0</v>
      </c>
      <c r="H228" s="30" t="n">
        <f aca="false">SUMIFS(Trades!$X$2:$X$884,Trades!$D$2:$D$884,$A228,Trades!$X$2:$X$884,"&lt;0")</f>
        <v>-75.71</v>
      </c>
      <c r="I228" s="31" t="n">
        <f aca="false">IFERROR(G228/-H228,"no loss")</f>
        <v>0</v>
      </c>
      <c r="J228" s="30" t="n">
        <f aca="false">_xlfn.MAXIFS(Trades!$X$2:$X$884,Trades!$D$2:$D$884,$A228)</f>
        <v>-75.71</v>
      </c>
      <c r="K228" s="30" t="n">
        <f aca="false">_xlfn.MINIFS(Trades!$X$2:$X$884,Trades!$D$2:$D$884,$A228)</f>
        <v>-75.71</v>
      </c>
      <c r="L228" s="32" t="n">
        <f aca="false">SUMIFS(Trades!$Y$2:$Y$884,Trades!$D$2:$D$884,$A228)</f>
        <v>-1.02677118368231</v>
      </c>
      <c r="M228" s="30" t="n">
        <f aca="false">P227</f>
        <v>106216.72</v>
      </c>
      <c r="N228" s="29" t="n">
        <f aca="false">IFERROR(F228/M228,0)</f>
        <v>-0.000712787967845363</v>
      </c>
      <c r="O228" s="28" t="str">
        <f aca="false">IF(-N228&gt;=Summary!$C$7,"BREACH","")</f>
        <v/>
      </c>
      <c r="P228" s="30" t="n">
        <f aca="false">M228+F228</f>
        <v>106141.01</v>
      </c>
      <c r="Q228" s="30" t="n">
        <f aca="false">P228-Summary!$C$5</f>
        <v>6141.01000000004</v>
      </c>
      <c r="R228" s="2" t="str">
        <f aca="false">TEXT(A228,"ddd")</f>
        <v>Fri</v>
      </c>
    </row>
    <row r="229" customFormat="false" ht="15" hidden="false" customHeight="false" outlineLevel="0" collapsed="false">
      <c r="A229" s="42" t="n">
        <v>45391</v>
      </c>
      <c r="B229" s="28" t="n">
        <f aca="false">COUNTIFS(Trades!$D$2:$D$884,$A229)</f>
        <v>2</v>
      </c>
      <c r="C229" s="28" t="n">
        <f aca="false">COUNTIFS(Trades!$D$2:$D$884,$A229,Trades!$Z$2:$Z$884,"Win")</f>
        <v>0</v>
      </c>
      <c r="D229" s="28" t="n">
        <f aca="false">COUNTIFS(Trades!$D$2:$D$884,$A229,Trades!$Z$2:$Z$884,"Loss")</f>
        <v>2</v>
      </c>
      <c r="E229" s="29" t="n">
        <f aca="false">IFERROR(C229/B229,0)</f>
        <v>0</v>
      </c>
      <c r="F229" s="30" t="n">
        <f aca="false">SUMIFS(Trades!$X$2:$X$884,Trades!$D$2:$D$884,$A229)</f>
        <v>-2.45</v>
      </c>
      <c r="G229" s="30" t="n">
        <f aca="false">SUMIFS(Trades!$X$2:$X$884,Trades!$D$2:$D$884,$A229,Trades!$X$2:$X$884,"&gt;0")</f>
        <v>0</v>
      </c>
      <c r="H229" s="30" t="n">
        <f aca="false">SUMIFS(Trades!$X$2:$X$884,Trades!$D$2:$D$884,$A229,Trades!$X$2:$X$884,"&lt;0")</f>
        <v>-2.45</v>
      </c>
      <c r="I229" s="31" t="n">
        <f aca="false">IFERROR(G229/-H229,"no loss")</f>
        <v>0</v>
      </c>
      <c r="J229" s="30" t="n">
        <f aca="false">_xlfn.MAXIFS(Trades!$X$2:$X$884,Trades!$D$2:$D$884,$A229)</f>
        <v>-0.94</v>
      </c>
      <c r="K229" s="30" t="n">
        <f aca="false">_xlfn.MINIFS(Trades!$X$2:$X$884,Trades!$D$2:$D$884,$A229)</f>
        <v>-1.51</v>
      </c>
      <c r="L229" s="32" t="n">
        <f aca="false">SUMIFS(Trades!$Y$2:$Y$884,Trades!$D$2:$D$884,$A229)</f>
        <v>-0.0208753299418298</v>
      </c>
      <c r="M229" s="30" t="n">
        <f aca="false">P228</f>
        <v>106141.01</v>
      </c>
      <c r="N229" s="29" t="n">
        <f aca="false">IFERROR(F229/M229,0)</f>
        <v>-2.30825012876738E-005</v>
      </c>
      <c r="O229" s="28" t="str">
        <f aca="false">IF(-N229&gt;=Summary!$C$7,"BREACH","")</f>
        <v/>
      </c>
      <c r="P229" s="30" t="n">
        <f aca="false">M229+F229</f>
        <v>106138.56</v>
      </c>
      <c r="Q229" s="30" t="n">
        <f aca="false">P229-Summary!$C$5</f>
        <v>6138.56000000004</v>
      </c>
      <c r="R229" s="2" t="str">
        <f aca="false">TEXT(A229,"ddd")</f>
        <v>Tue</v>
      </c>
    </row>
    <row r="230" customFormat="false" ht="15" hidden="false" customHeight="false" outlineLevel="0" collapsed="false">
      <c r="A230" s="42" t="n">
        <v>45392</v>
      </c>
      <c r="B230" s="28" t="n">
        <f aca="false">COUNTIFS(Trades!$D$2:$D$884,$A230)</f>
        <v>2</v>
      </c>
      <c r="C230" s="28" t="n">
        <f aca="false">COUNTIFS(Trades!$D$2:$D$884,$A230,Trades!$Z$2:$Z$884,"Win")</f>
        <v>0</v>
      </c>
      <c r="D230" s="28" t="n">
        <f aca="false">COUNTIFS(Trades!$D$2:$D$884,$A230,Trades!$Z$2:$Z$884,"Loss")</f>
        <v>2</v>
      </c>
      <c r="E230" s="29" t="n">
        <f aca="false">IFERROR(C230/B230,0)</f>
        <v>0</v>
      </c>
      <c r="F230" s="30" t="n">
        <f aca="false">SUMIFS(Trades!$X$2:$X$884,Trades!$D$2:$D$884,$A230)</f>
        <v>-496.23</v>
      </c>
      <c r="G230" s="30" t="n">
        <f aca="false">SUMIFS(Trades!$X$2:$X$884,Trades!$D$2:$D$884,$A230,Trades!$X$2:$X$884,"&gt;0")</f>
        <v>0</v>
      </c>
      <c r="H230" s="30" t="n">
        <f aca="false">SUMIFS(Trades!$X$2:$X$884,Trades!$D$2:$D$884,$A230,Trades!$X$2:$X$884,"&lt;0")</f>
        <v>-496.23</v>
      </c>
      <c r="I230" s="31" t="n">
        <f aca="false">IFERROR(G230/-H230,"no loss")</f>
        <v>0</v>
      </c>
      <c r="J230" s="30" t="n">
        <f aca="false">_xlfn.MAXIFS(Trades!$X$2:$X$884,Trades!$D$2:$D$884,$A230)</f>
        <v>-40.35</v>
      </c>
      <c r="K230" s="30" t="n">
        <f aca="false">_xlfn.MINIFS(Trades!$X$2:$X$884,Trades!$D$2:$D$884,$A230)</f>
        <v>-455.88</v>
      </c>
      <c r="L230" s="32" t="n">
        <f aca="false">SUMIFS(Trades!$Y$2:$Y$884,Trades!$D$2:$D$884,$A230)</f>
        <v>-2.02919235705416</v>
      </c>
      <c r="M230" s="30" t="n">
        <f aca="false">P229</f>
        <v>106138.56</v>
      </c>
      <c r="N230" s="29" t="n">
        <f aca="false">IFERROR(F230/M230,0)</f>
        <v>-0.00467530367851231</v>
      </c>
      <c r="O230" s="28" t="str">
        <f aca="false">IF(-N230&gt;=Summary!$C$7,"BREACH","")</f>
        <v/>
      </c>
      <c r="P230" s="30" t="n">
        <f aca="false">M230+F230</f>
        <v>105642.33</v>
      </c>
      <c r="Q230" s="30" t="n">
        <f aca="false">P230-Summary!$C$5</f>
        <v>5642.33000000005</v>
      </c>
      <c r="R230" s="2" t="str">
        <f aca="false">TEXT(A230,"ddd")</f>
        <v>Wed</v>
      </c>
    </row>
    <row r="231" customFormat="false" ht="15" hidden="false" customHeight="false" outlineLevel="0" collapsed="false">
      <c r="A231" s="42" t="n">
        <v>45393</v>
      </c>
      <c r="B231" s="28" t="n">
        <f aca="false">COUNTIFS(Trades!$D$2:$D$884,$A231)</f>
        <v>1</v>
      </c>
      <c r="C231" s="28" t="n">
        <f aca="false">COUNTIFS(Trades!$D$2:$D$884,$A231,Trades!$Z$2:$Z$884,"Win")</f>
        <v>1</v>
      </c>
      <c r="D231" s="28" t="n">
        <f aca="false">COUNTIFS(Trades!$D$2:$D$884,$A231,Trades!$Z$2:$Z$884,"Loss")</f>
        <v>0</v>
      </c>
      <c r="E231" s="29" t="n">
        <f aca="false">IFERROR(C231/B231,0)</f>
        <v>1</v>
      </c>
      <c r="F231" s="30" t="n">
        <f aca="false">SUMIFS(Trades!$X$2:$X$884,Trades!$D$2:$D$884,$A231)</f>
        <v>190.25</v>
      </c>
      <c r="G231" s="30" t="n">
        <f aca="false">SUMIFS(Trades!$X$2:$X$884,Trades!$D$2:$D$884,$A231,Trades!$X$2:$X$884,"&gt;0")</f>
        <v>190.25</v>
      </c>
      <c r="H231" s="30" t="n">
        <f aca="false">SUMIFS(Trades!$X$2:$X$884,Trades!$D$2:$D$884,$A231,Trades!$X$2:$X$884,"&lt;0")</f>
        <v>0</v>
      </c>
      <c r="I231" s="31" t="str">
        <f aca="false">IFERROR(G231/-H231,"no loss")</f>
        <v>no loss</v>
      </c>
      <c r="J231" s="30" t="n">
        <f aca="false">_xlfn.MAXIFS(Trades!$X$2:$X$884,Trades!$D$2:$D$884,$A231)</f>
        <v>190.25</v>
      </c>
      <c r="K231" s="30" t="n">
        <f aca="false">_xlfn.MINIFS(Trades!$X$2:$X$884,Trades!$D$2:$D$884,$A231)</f>
        <v>190.25</v>
      </c>
      <c r="L231" s="32" t="n">
        <f aca="false">SUMIFS(Trades!$Y$2:$Y$884,Trades!$D$2:$D$884,$A231)</f>
        <v>2.0271710175812</v>
      </c>
      <c r="M231" s="30" t="n">
        <f aca="false">P230</f>
        <v>105642.33</v>
      </c>
      <c r="N231" s="29" t="n">
        <f aca="false">IFERROR(F231/M231,0)</f>
        <v>0.00180088795845377</v>
      </c>
      <c r="O231" s="28" t="str">
        <f aca="false">IF(-N231&gt;=Summary!$C$7,"BREACH","")</f>
        <v/>
      </c>
      <c r="P231" s="30" t="n">
        <f aca="false">M231+F231</f>
        <v>105832.58</v>
      </c>
      <c r="Q231" s="30" t="n">
        <f aca="false">P231-Summary!$C$5</f>
        <v>5832.58000000005</v>
      </c>
      <c r="R231" s="2" t="str">
        <f aca="false">TEXT(A231,"ddd")</f>
        <v>Thu</v>
      </c>
    </row>
    <row r="232" customFormat="false" ht="15" hidden="false" customHeight="false" outlineLevel="0" collapsed="false">
      <c r="A232" s="42" t="n">
        <v>45397</v>
      </c>
      <c r="B232" s="28" t="n">
        <f aca="false">COUNTIFS(Trades!$D$2:$D$884,$A232)</f>
        <v>1</v>
      </c>
      <c r="C232" s="28" t="n">
        <f aca="false">COUNTIFS(Trades!$D$2:$D$884,$A232,Trades!$Z$2:$Z$884,"Win")</f>
        <v>1</v>
      </c>
      <c r="D232" s="28" t="n">
        <f aca="false">COUNTIFS(Trades!$D$2:$D$884,$A232,Trades!$Z$2:$Z$884,"Loss")</f>
        <v>0</v>
      </c>
      <c r="E232" s="29" t="n">
        <f aca="false">IFERROR(C232/B232,0)</f>
        <v>1</v>
      </c>
      <c r="F232" s="30" t="n">
        <f aca="false">SUMIFS(Trades!$X$2:$X$884,Trades!$D$2:$D$884,$A232)</f>
        <v>289.9</v>
      </c>
      <c r="G232" s="30" t="n">
        <f aca="false">SUMIFS(Trades!$X$2:$X$884,Trades!$D$2:$D$884,$A232,Trades!$X$2:$X$884,"&gt;0")</f>
        <v>289.9</v>
      </c>
      <c r="H232" s="30" t="n">
        <f aca="false">SUMIFS(Trades!$X$2:$X$884,Trades!$D$2:$D$884,$A232,Trades!$X$2:$X$884,"&lt;0")</f>
        <v>0</v>
      </c>
      <c r="I232" s="31" t="str">
        <f aca="false">IFERROR(G232/-H232,"no loss")</f>
        <v>no loss</v>
      </c>
      <c r="J232" s="30" t="n">
        <f aca="false">_xlfn.MAXIFS(Trades!$X$2:$X$884,Trades!$D$2:$D$884,$A232)</f>
        <v>289.9</v>
      </c>
      <c r="K232" s="30" t="n">
        <f aca="false">_xlfn.MINIFS(Trades!$X$2:$X$884,Trades!$D$2:$D$884,$A232)</f>
        <v>289.9</v>
      </c>
      <c r="L232" s="32" t="n">
        <f aca="false">SUMIFS(Trades!$Y$2:$Y$884,Trades!$D$2:$D$884,$A232)</f>
        <v>1.91580756013755</v>
      </c>
      <c r="M232" s="30" t="n">
        <f aca="false">P231</f>
        <v>105832.58</v>
      </c>
      <c r="N232" s="29" t="n">
        <f aca="false">IFERROR(F232/M232,0)</f>
        <v>0.00273923209658122</v>
      </c>
      <c r="O232" s="28" t="str">
        <f aca="false">IF(-N232&gt;=Summary!$C$7,"BREACH","")</f>
        <v/>
      </c>
      <c r="P232" s="30" t="n">
        <f aca="false">M232+F232</f>
        <v>106122.48</v>
      </c>
      <c r="Q232" s="30" t="n">
        <f aca="false">P232-Summary!$C$5</f>
        <v>6122.48000000004</v>
      </c>
      <c r="R232" s="2" t="str">
        <f aca="false">TEXT(A232,"ddd")</f>
        <v>Mon</v>
      </c>
    </row>
    <row r="233" customFormat="false" ht="15" hidden="false" customHeight="false" outlineLevel="0" collapsed="false">
      <c r="A233" s="42" t="n">
        <v>45398</v>
      </c>
      <c r="B233" s="28" t="n">
        <f aca="false">COUNTIFS(Trades!$D$2:$D$884,$A233)</f>
        <v>1</v>
      </c>
      <c r="C233" s="28" t="n">
        <f aca="false">COUNTIFS(Trades!$D$2:$D$884,$A233,Trades!$Z$2:$Z$884,"Win")</f>
        <v>0</v>
      </c>
      <c r="D233" s="28" t="n">
        <f aca="false">COUNTIFS(Trades!$D$2:$D$884,$A233,Trades!$Z$2:$Z$884,"Loss")</f>
        <v>1</v>
      </c>
      <c r="E233" s="29" t="n">
        <f aca="false">IFERROR(C233/B233,0)</f>
        <v>0</v>
      </c>
      <c r="F233" s="30" t="n">
        <f aca="false">SUMIFS(Trades!$X$2:$X$884,Trades!$D$2:$D$884,$A233)</f>
        <v>-97.09</v>
      </c>
      <c r="G233" s="30" t="n">
        <f aca="false">SUMIFS(Trades!$X$2:$X$884,Trades!$D$2:$D$884,$A233,Trades!$X$2:$X$884,"&gt;0")</f>
        <v>0</v>
      </c>
      <c r="H233" s="30" t="n">
        <f aca="false">SUMIFS(Trades!$X$2:$X$884,Trades!$D$2:$D$884,$A233,Trades!$X$2:$X$884,"&lt;0")</f>
        <v>-97.09</v>
      </c>
      <c r="I233" s="31" t="n">
        <f aca="false">IFERROR(G233/-H233,"no loss")</f>
        <v>0</v>
      </c>
      <c r="J233" s="30" t="n">
        <f aca="false">_xlfn.MAXIFS(Trades!$X$2:$X$884,Trades!$D$2:$D$884,$A233)</f>
        <v>-97.09</v>
      </c>
      <c r="K233" s="30" t="n">
        <f aca="false">_xlfn.MINIFS(Trades!$X$2:$X$884,Trades!$D$2:$D$884,$A233)</f>
        <v>-97.09</v>
      </c>
      <c r="L233" s="32" t="n">
        <f aca="false">SUMIFS(Trades!$Y$2:$Y$884,Trades!$D$2:$D$884,$A233)</f>
        <v>-1.00053587254471</v>
      </c>
      <c r="M233" s="30" t="n">
        <f aca="false">P232</f>
        <v>106122.48</v>
      </c>
      <c r="N233" s="29" t="n">
        <f aca="false">IFERROR(F233/M233,0)</f>
        <v>-0.000914886271033244</v>
      </c>
      <c r="O233" s="28" t="str">
        <f aca="false">IF(-N233&gt;=Summary!$C$7,"BREACH","")</f>
        <v/>
      </c>
      <c r="P233" s="30" t="n">
        <f aca="false">M233+F233</f>
        <v>106025.39</v>
      </c>
      <c r="Q233" s="30" t="n">
        <f aca="false">P233-Summary!$C$5</f>
        <v>6025.39000000004</v>
      </c>
      <c r="R233" s="2" t="str">
        <f aca="false">TEXT(A233,"ddd")</f>
        <v>Tue</v>
      </c>
    </row>
    <row r="234" customFormat="false" ht="15" hidden="false" customHeight="false" outlineLevel="0" collapsed="false">
      <c r="A234" s="42" t="n">
        <v>45399</v>
      </c>
      <c r="B234" s="28" t="n">
        <f aca="false">COUNTIFS(Trades!$D$2:$D$884,$A234)</f>
        <v>1</v>
      </c>
      <c r="C234" s="28" t="n">
        <f aca="false">COUNTIFS(Trades!$D$2:$D$884,$A234,Trades!$Z$2:$Z$884,"Win")</f>
        <v>0</v>
      </c>
      <c r="D234" s="28" t="n">
        <f aca="false">COUNTIFS(Trades!$D$2:$D$884,$A234,Trades!$Z$2:$Z$884,"Loss")</f>
        <v>1</v>
      </c>
      <c r="E234" s="29" t="n">
        <f aca="false">IFERROR(C234/B234,0)</f>
        <v>0</v>
      </c>
      <c r="F234" s="30" t="n">
        <f aca="false">SUMIFS(Trades!$X$2:$X$884,Trades!$D$2:$D$884,$A234)</f>
        <v>-182.09</v>
      </c>
      <c r="G234" s="30" t="n">
        <f aca="false">SUMIFS(Trades!$X$2:$X$884,Trades!$D$2:$D$884,$A234,Trades!$X$2:$X$884,"&gt;0")</f>
        <v>0</v>
      </c>
      <c r="H234" s="30" t="n">
        <f aca="false">SUMIFS(Trades!$X$2:$X$884,Trades!$D$2:$D$884,$A234,Trades!$X$2:$X$884,"&lt;0")</f>
        <v>-182.09</v>
      </c>
      <c r="I234" s="31" t="n">
        <f aca="false">IFERROR(G234/-H234,"no loss")</f>
        <v>0</v>
      </c>
      <c r="J234" s="30" t="n">
        <f aca="false">_xlfn.MAXIFS(Trades!$X$2:$X$884,Trades!$D$2:$D$884,$A234)</f>
        <v>-182.09</v>
      </c>
      <c r="K234" s="30" t="n">
        <f aca="false">_xlfn.MINIFS(Trades!$X$2:$X$884,Trades!$D$2:$D$884,$A234)</f>
        <v>-182.09</v>
      </c>
      <c r="L234" s="32" t="n">
        <f aca="false">SUMIFS(Trades!$Y$2:$Y$884,Trades!$D$2:$D$884,$A234)</f>
        <v>-1.00597763634755</v>
      </c>
      <c r="M234" s="30" t="n">
        <f aca="false">P233</f>
        <v>106025.39</v>
      </c>
      <c r="N234" s="29" t="n">
        <f aca="false">IFERROR(F234/M234,0)</f>
        <v>-0.00171741881826608</v>
      </c>
      <c r="O234" s="28" t="str">
        <f aca="false">IF(-N234&gt;=Summary!$C$7,"BREACH","")</f>
        <v/>
      </c>
      <c r="P234" s="30" t="n">
        <f aca="false">M234+F234</f>
        <v>105843.3</v>
      </c>
      <c r="Q234" s="30" t="n">
        <f aca="false">P234-Summary!$C$5</f>
        <v>5843.30000000005</v>
      </c>
      <c r="R234" s="2" t="str">
        <f aca="false">TEXT(A234,"ddd")</f>
        <v>Wed</v>
      </c>
    </row>
    <row r="235" customFormat="false" ht="15" hidden="false" customHeight="false" outlineLevel="0" collapsed="false">
      <c r="A235" s="42" t="n">
        <v>45400</v>
      </c>
      <c r="B235" s="28" t="n">
        <f aca="false">COUNTIFS(Trades!$D$2:$D$884,$A235)</f>
        <v>1</v>
      </c>
      <c r="C235" s="28" t="n">
        <f aca="false">COUNTIFS(Trades!$D$2:$D$884,$A235,Trades!$Z$2:$Z$884,"Win")</f>
        <v>0</v>
      </c>
      <c r="D235" s="28" t="n">
        <f aca="false">COUNTIFS(Trades!$D$2:$D$884,$A235,Trades!$Z$2:$Z$884,"Loss")</f>
        <v>1</v>
      </c>
      <c r="E235" s="29" t="n">
        <f aca="false">IFERROR(C235/B235,0)</f>
        <v>0</v>
      </c>
      <c r="F235" s="30" t="n">
        <f aca="false">SUMIFS(Trades!$X$2:$X$884,Trades!$D$2:$D$884,$A235)</f>
        <v>-2.16</v>
      </c>
      <c r="G235" s="30" t="n">
        <f aca="false">SUMIFS(Trades!$X$2:$X$884,Trades!$D$2:$D$884,$A235,Trades!$X$2:$X$884,"&gt;0")</f>
        <v>0</v>
      </c>
      <c r="H235" s="30" t="n">
        <f aca="false">SUMIFS(Trades!$X$2:$X$884,Trades!$D$2:$D$884,$A235,Trades!$X$2:$X$884,"&lt;0")</f>
        <v>-2.16</v>
      </c>
      <c r="I235" s="31" t="n">
        <f aca="false">IFERROR(G235/-H235,"no loss")</f>
        <v>0</v>
      </c>
      <c r="J235" s="30" t="n">
        <f aca="false">_xlfn.MAXIFS(Trades!$X$2:$X$884,Trades!$D$2:$D$884,$A235)</f>
        <v>-2.16</v>
      </c>
      <c r="K235" s="30" t="n">
        <f aca="false">_xlfn.MINIFS(Trades!$X$2:$X$884,Trades!$D$2:$D$884,$A235)</f>
        <v>-2.16</v>
      </c>
      <c r="L235" s="32" t="n">
        <f aca="false">SUMIFS(Trades!$Y$2:$Y$884,Trades!$D$2:$D$884,$A235)</f>
        <v>-0.012771392081737</v>
      </c>
      <c r="M235" s="30" t="n">
        <f aca="false">P234</f>
        <v>105843.3</v>
      </c>
      <c r="N235" s="29" t="n">
        <f aca="false">IFERROR(F235/M235,0)</f>
        <v>-2.04075269761997E-005</v>
      </c>
      <c r="O235" s="28" t="str">
        <f aca="false">IF(-N235&gt;=Summary!$C$7,"BREACH","")</f>
        <v/>
      </c>
      <c r="P235" s="30" t="n">
        <f aca="false">M235+F235</f>
        <v>105841.14</v>
      </c>
      <c r="Q235" s="30" t="n">
        <f aca="false">P235-Summary!$C$5</f>
        <v>5841.14000000004</v>
      </c>
      <c r="R235" s="2" t="str">
        <f aca="false">TEXT(A235,"ddd")</f>
        <v>Thu</v>
      </c>
    </row>
    <row r="236" customFormat="false" ht="15" hidden="false" customHeight="false" outlineLevel="0" collapsed="false">
      <c r="A236" s="42" t="n">
        <v>45401</v>
      </c>
      <c r="B236" s="28" t="n">
        <f aca="false">COUNTIFS(Trades!$D$2:$D$884,$A236)</f>
        <v>1</v>
      </c>
      <c r="C236" s="28" t="n">
        <f aca="false">COUNTIFS(Trades!$D$2:$D$884,$A236,Trades!$Z$2:$Z$884,"Win")</f>
        <v>0</v>
      </c>
      <c r="D236" s="28" t="n">
        <f aca="false">COUNTIFS(Trades!$D$2:$D$884,$A236,Trades!$Z$2:$Z$884,"Loss")</f>
        <v>1</v>
      </c>
      <c r="E236" s="29" t="n">
        <f aca="false">IFERROR(C236/B236,0)</f>
        <v>0</v>
      </c>
      <c r="F236" s="30" t="n">
        <f aca="false">SUMIFS(Trades!$X$2:$X$884,Trades!$D$2:$D$884,$A236)</f>
        <v>-0.81</v>
      </c>
      <c r="G236" s="30" t="n">
        <f aca="false">SUMIFS(Trades!$X$2:$X$884,Trades!$D$2:$D$884,$A236,Trades!$X$2:$X$884,"&gt;0")</f>
        <v>0</v>
      </c>
      <c r="H236" s="30" t="n">
        <f aca="false">SUMIFS(Trades!$X$2:$X$884,Trades!$D$2:$D$884,$A236,Trades!$X$2:$X$884,"&lt;0")</f>
        <v>-0.81</v>
      </c>
      <c r="I236" s="31" t="n">
        <f aca="false">IFERROR(G236/-H236,"no loss")</f>
        <v>0</v>
      </c>
      <c r="J236" s="30" t="n">
        <f aca="false">_xlfn.MAXIFS(Trades!$X$2:$X$884,Trades!$D$2:$D$884,$A236)</f>
        <v>-0.81</v>
      </c>
      <c r="K236" s="30" t="n">
        <f aca="false">_xlfn.MINIFS(Trades!$X$2:$X$884,Trades!$D$2:$D$884,$A236)</f>
        <v>-0.81</v>
      </c>
      <c r="L236" s="32" t="n">
        <f aca="false">SUMIFS(Trades!$Y$2:$Y$884,Trades!$D$2:$D$884,$A236)</f>
        <v>-0.0193798449612454</v>
      </c>
      <c r="M236" s="30" t="n">
        <f aca="false">P235</f>
        <v>105841.14</v>
      </c>
      <c r="N236" s="29" t="n">
        <f aca="false">IFERROR(F236/M236,0)</f>
        <v>-7.65297879444609E-006</v>
      </c>
      <c r="O236" s="28" t="str">
        <f aca="false">IF(-N236&gt;=Summary!$C$7,"BREACH","")</f>
        <v/>
      </c>
      <c r="P236" s="30" t="n">
        <f aca="false">M236+F236</f>
        <v>105840.33</v>
      </c>
      <c r="Q236" s="30" t="n">
        <f aca="false">P236-Summary!$C$5</f>
        <v>5840.33000000005</v>
      </c>
      <c r="R236" s="2" t="str">
        <f aca="false">TEXT(A236,"ddd")</f>
        <v>Fri</v>
      </c>
    </row>
    <row r="237" customFormat="false" ht="15" hidden="false" customHeight="false" outlineLevel="0" collapsed="false">
      <c r="A237" s="42" t="n">
        <v>45405</v>
      </c>
      <c r="B237" s="28" t="n">
        <f aca="false">COUNTIFS(Trades!$D$2:$D$884,$A237)</f>
        <v>1</v>
      </c>
      <c r="C237" s="28" t="n">
        <f aca="false">COUNTIFS(Trades!$D$2:$D$884,$A237,Trades!$Z$2:$Z$884,"Win")</f>
        <v>0</v>
      </c>
      <c r="D237" s="28" t="n">
        <f aca="false">COUNTIFS(Trades!$D$2:$D$884,$A237,Trades!$Z$2:$Z$884,"Loss")</f>
        <v>1</v>
      </c>
      <c r="E237" s="29" t="n">
        <f aca="false">IFERROR(C237/B237,0)</f>
        <v>0</v>
      </c>
      <c r="F237" s="30" t="n">
        <f aca="false">SUMIFS(Trades!$X$2:$X$884,Trades!$D$2:$D$884,$A237)</f>
        <v>-129.65</v>
      </c>
      <c r="G237" s="30" t="n">
        <f aca="false">SUMIFS(Trades!$X$2:$X$884,Trades!$D$2:$D$884,$A237,Trades!$X$2:$X$884,"&gt;0")</f>
        <v>0</v>
      </c>
      <c r="H237" s="30" t="n">
        <f aca="false">SUMIFS(Trades!$X$2:$X$884,Trades!$D$2:$D$884,$A237,Trades!$X$2:$X$884,"&lt;0")</f>
        <v>-129.65</v>
      </c>
      <c r="I237" s="31" t="n">
        <f aca="false">IFERROR(G237/-H237,"no loss")</f>
        <v>0</v>
      </c>
      <c r="J237" s="30" t="n">
        <f aca="false">_xlfn.MAXIFS(Trades!$X$2:$X$884,Trades!$D$2:$D$884,$A237)</f>
        <v>-129.65</v>
      </c>
      <c r="K237" s="30" t="n">
        <f aca="false">_xlfn.MINIFS(Trades!$X$2:$X$884,Trades!$D$2:$D$884,$A237)</f>
        <v>-129.65</v>
      </c>
      <c r="L237" s="32" t="n">
        <f aca="false">SUMIFS(Trades!$Y$2:$Y$884,Trades!$D$2:$D$884,$A237)</f>
        <v>-1.01347654112539</v>
      </c>
      <c r="M237" s="30" t="n">
        <f aca="false">P236</f>
        <v>105840.33</v>
      </c>
      <c r="N237" s="29" t="n">
        <f aca="false">IFERROR(F237/M237,0)</f>
        <v>-0.00122495838779036</v>
      </c>
      <c r="O237" s="28" t="str">
        <f aca="false">IF(-N237&gt;=Summary!$C$7,"BREACH","")</f>
        <v/>
      </c>
      <c r="P237" s="30" t="n">
        <f aca="false">M237+F237</f>
        <v>105710.68</v>
      </c>
      <c r="Q237" s="30" t="n">
        <f aca="false">P237-Summary!$C$5</f>
        <v>5710.68000000005</v>
      </c>
      <c r="R237" s="2" t="str">
        <f aca="false">TEXT(A237,"ddd")</f>
        <v>Tue</v>
      </c>
    </row>
    <row r="238" customFormat="false" ht="15" hidden="false" customHeight="false" outlineLevel="0" collapsed="false">
      <c r="A238" s="42" t="n">
        <v>45406</v>
      </c>
      <c r="B238" s="28" t="n">
        <f aca="false">COUNTIFS(Trades!$D$2:$D$884,$A238)</f>
        <v>1</v>
      </c>
      <c r="C238" s="28" t="n">
        <f aca="false">COUNTIFS(Trades!$D$2:$D$884,$A238,Trades!$Z$2:$Z$884,"Win")</f>
        <v>1</v>
      </c>
      <c r="D238" s="28" t="n">
        <f aca="false">COUNTIFS(Trades!$D$2:$D$884,$A238,Trades!$Z$2:$Z$884,"Loss")</f>
        <v>0</v>
      </c>
      <c r="E238" s="29" t="n">
        <f aca="false">IFERROR(C238/B238,0)</f>
        <v>1</v>
      </c>
      <c r="F238" s="30" t="n">
        <f aca="false">SUMIFS(Trades!$X$2:$X$884,Trades!$D$2:$D$884,$A238)</f>
        <v>271.78</v>
      </c>
      <c r="G238" s="30" t="n">
        <f aca="false">SUMIFS(Trades!$X$2:$X$884,Trades!$D$2:$D$884,$A238,Trades!$X$2:$X$884,"&gt;0")</f>
        <v>271.78</v>
      </c>
      <c r="H238" s="30" t="n">
        <f aca="false">SUMIFS(Trades!$X$2:$X$884,Trades!$D$2:$D$884,$A238,Trades!$X$2:$X$884,"&lt;0")</f>
        <v>0</v>
      </c>
      <c r="I238" s="31" t="str">
        <f aca="false">IFERROR(G238/-H238,"no loss")</f>
        <v>no loss</v>
      </c>
      <c r="J238" s="30" t="n">
        <f aca="false">_xlfn.MAXIFS(Trades!$X$2:$X$884,Trades!$D$2:$D$884,$A238)</f>
        <v>271.78</v>
      </c>
      <c r="K238" s="30" t="n">
        <f aca="false">_xlfn.MINIFS(Trades!$X$2:$X$884,Trades!$D$2:$D$884,$A238)</f>
        <v>271.78</v>
      </c>
      <c r="L238" s="32" t="n">
        <f aca="false">SUMIFS(Trades!$Y$2:$Y$884,Trades!$D$2:$D$884,$A238)</f>
        <v>2.01318518518519</v>
      </c>
      <c r="M238" s="30" t="n">
        <f aca="false">P237</f>
        <v>105710.68</v>
      </c>
      <c r="N238" s="29" t="n">
        <f aca="false">IFERROR(F238/M238,0)</f>
        <v>0.00257097958314146</v>
      </c>
      <c r="O238" s="28" t="str">
        <f aca="false">IF(-N238&gt;=Summary!$C$7,"BREACH","")</f>
        <v/>
      </c>
      <c r="P238" s="30" t="n">
        <f aca="false">M238+F238</f>
        <v>105982.46</v>
      </c>
      <c r="Q238" s="30" t="n">
        <f aca="false">P238-Summary!$C$5</f>
        <v>5982.46000000005</v>
      </c>
      <c r="R238" s="2" t="str">
        <f aca="false">TEXT(A238,"ddd")</f>
        <v>Wed</v>
      </c>
    </row>
    <row r="239" customFormat="false" ht="15" hidden="false" customHeight="false" outlineLevel="0" collapsed="false">
      <c r="A239" s="42" t="n">
        <v>45407</v>
      </c>
      <c r="B239" s="28" t="n">
        <f aca="false">COUNTIFS(Trades!$D$2:$D$884,$A239)</f>
        <v>1</v>
      </c>
      <c r="C239" s="28" t="n">
        <f aca="false">COUNTIFS(Trades!$D$2:$D$884,$A239,Trades!$Z$2:$Z$884,"Win")</f>
        <v>0</v>
      </c>
      <c r="D239" s="28" t="n">
        <f aca="false">COUNTIFS(Trades!$D$2:$D$884,$A239,Trades!$Z$2:$Z$884,"Loss")</f>
        <v>1</v>
      </c>
      <c r="E239" s="29" t="n">
        <f aca="false">IFERROR(C239/B239,0)</f>
        <v>0</v>
      </c>
      <c r="F239" s="30" t="n">
        <f aca="false">SUMIFS(Trades!$X$2:$X$884,Trades!$D$2:$D$884,$A239)</f>
        <v>-0.11</v>
      </c>
      <c r="G239" s="30" t="n">
        <f aca="false">SUMIFS(Trades!$X$2:$X$884,Trades!$D$2:$D$884,$A239,Trades!$X$2:$X$884,"&gt;0")</f>
        <v>0</v>
      </c>
      <c r="H239" s="30" t="n">
        <f aca="false">SUMIFS(Trades!$X$2:$X$884,Trades!$D$2:$D$884,$A239,Trades!$X$2:$X$884,"&lt;0")</f>
        <v>-0.11</v>
      </c>
      <c r="I239" s="31" t="n">
        <f aca="false">IFERROR(G239/-H239,"no loss")</f>
        <v>0</v>
      </c>
      <c r="J239" s="30" t="n">
        <f aca="false">_xlfn.MAXIFS(Trades!$X$2:$X$884,Trades!$D$2:$D$884,$A239)</f>
        <v>-0.11</v>
      </c>
      <c r="K239" s="30" t="n">
        <f aca="false">_xlfn.MINIFS(Trades!$X$2:$X$884,Trades!$D$2:$D$884,$A239)</f>
        <v>-0.11</v>
      </c>
      <c r="L239" s="32" t="n">
        <f aca="false">SUMIFS(Trades!$Y$2:$Y$884,Trades!$D$2:$D$884,$A239)</f>
        <v>-0.000339393041825562</v>
      </c>
      <c r="M239" s="30" t="n">
        <f aca="false">P238</f>
        <v>105982.46</v>
      </c>
      <c r="N239" s="29" t="n">
        <f aca="false">IFERROR(F239/M239,0)</f>
        <v>-1.03790759338857E-006</v>
      </c>
      <c r="O239" s="28" t="str">
        <f aca="false">IF(-N239&gt;=Summary!$C$7,"BREACH","")</f>
        <v/>
      </c>
      <c r="P239" s="30" t="n">
        <f aca="false">M239+F239</f>
        <v>105982.35</v>
      </c>
      <c r="Q239" s="30" t="n">
        <f aca="false">P239-Summary!$C$5</f>
        <v>5982.35000000005</v>
      </c>
      <c r="R239" s="2" t="str">
        <f aca="false">TEXT(A239,"ddd")</f>
        <v>Thu</v>
      </c>
    </row>
    <row r="240" customFormat="false" ht="15" hidden="false" customHeight="false" outlineLevel="0" collapsed="false">
      <c r="A240" s="42" t="n">
        <v>45408</v>
      </c>
      <c r="B240" s="28" t="n">
        <f aca="false">COUNTIFS(Trades!$D$2:$D$884,$A240)</f>
        <v>2</v>
      </c>
      <c r="C240" s="28" t="n">
        <f aca="false">COUNTIFS(Trades!$D$2:$D$884,$A240,Trades!$Z$2:$Z$884,"Win")</f>
        <v>0</v>
      </c>
      <c r="D240" s="28" t="n">
        <f aca="false">COUNTIFS(Trades!$D$2:$D$884,$A240,Trades!$Z$2:$Z$884,"Loss")</f>
        <v>2</v>
      </c>
      <c r="E240" s="29" t="n">
        <f aca="false">IFERROR(C240/B240,0)</f>
        <v>0</v>
      </c>
      <c r="F240" s="30" t="n">
        <f aca="false">SUMIFS(Trades!$X$2:$X$884,Trades!$D$2:$D$884,$A240)</f>
        <v>-605.35</v>
      </c>
      <c r="G240" s="30" t="n">
        <f aca="false">SUMIFS(Trades!$X$2:$X$884,Trades!$D$2:$D$884,$A240,Trades!$X$2:$X$884,"&gt;0")</f>
        <v>0</v>
      </c>
      <c r="H240" s="30" t="n">
        <f aca="false">SUMIFS(Trades!$X$2:$X$884,Trades!$D$2:$D$884,$A240,Trades!$X$2:$X$884,"&lt;0")</f>
        <v>-605.35</v>
      </c>
      <c r="I240" s="31" t="n">
        <f aca="false">IFERROR(G240/-H240,"no loss")</f>
        <v>0</v>
      </c>
      <c r="J240" s="30" t="n">
        <f aca="false">_xlfn.MAXIFS(Trades!$X$2:$X$884,Trades!$D$2:$D$884,$A240)</f>
        <v>-185.69</v>
      </c>
      <c r="K240" s="30" t="n">
        <f aca="false">_xlfn.MINIFS(Trades!$X$2:$X$884,Trades!$D$2:$D$884,$A240)</f>
        <v>-419.66</v>
      </c>
      <c r="L240" s="32" t="n">
        <f aca="false">SUMIFS(Trades!$Y$2:$Y$884,Trades!$D$2:$D$884,$A240)</f>
        <v>-2.06893206349861</v>
      </c>
      <c r="M240" s="30" t="n">
        <f aca="false">P239</f>
        <v>105982.35</v>
      </c>
      <c r="N240" s="29" t="n">
        <f aca="false">IFERROR(F240/M240,0)</f>
        <v>-0.00571180012520953</v>
      </c>
      <c r="O240" s="28" t="str">
        <f aca="false">IF(-N240&gt;=Summary!$C$7,"BREACH","")</f>
        <v/>
      </c>
      <c r="P240" s="30" t="n">
        <f aca="false">M240+F240</f>
        <v>105377</v>
      </c>
      <c r="Q240" s="30" t="n">
        <f aca="false">P240-Summary!$C$5</f>
        <v>5377.00000000004</v>
      </c>
      <c r="R240" s="2" t="str">
        <f aca="false">TEXT(A240,"ddd")</f>
        <v>Fri</v>
      </c>
    </row>
    <row r="241" customFormat="false" ht="15" hidden="false" customHeight="false" outlineLevel="0" collapsed="false">
      <c r="A241" s="42" t="n">
        <v>45411</v>
      </c>
      <c r="B241" s="28" t="n">
        <f aca="false">COUNTIFS(Trades!$D$2:$D$884,$A241)</f>
        <v>1</v>
      </c>
      <c r="C241" s="28" t="n">
        <f aca="false">COUNTIFS(Trades!$D$2:$D$884,$A241,Trades!$Z$2:$Z$884,"Win")</f>
        <v>0</v>
      </c>
      <c r="D241" s="28" t="n">
        <f aca="false">COUNTIFS(Trades!$D$2:$D$884,$A241,Trades!$Z$2:$Z$884,"Loss")</f>
        <v>1</v>
      </c>
      <c r="E241" s="29" t="n">
        <f aca="false">IFERROR(C241/B241,0)</f>
        <v>0</v>
      </c>
      <c r="F241" s="30" t="n">
        <f aca="false">SUMIFS(Trades!$X$2:$X$884,Trades!$D$2:$D$884,$A241)</f>
        <v>-38.58</v>
      </c>
      <c r="G241" s="30" t="n">
        <f aca="false">SUMIFS(Trades!$X$2:$X$884,Trades!$D$2:$D$884,$A241,Trades!$X$2:$X$884,"&gt;0")</f>
        <v>0</v>
      </c>
      <c r="H241" s="30" t="n">
        <f aca="false">SUMIFS(Trades!$X$2:$X$884,Trades!$D$2:$D$884,$A241,Trades!$X$2:$X$884,"&lt;0")</f>
        <v>-38.58</v>
      </c>
      <c r="I241" s="31" t="n">
        <f aca="false">IFERROR(G241/-H241,"no loss")</f>
        <v>0</v>
      </c>
      <c r="J241" s="30" t="n">
        <f aca="false">_xlfn.MAXIFS(Trades!$X$2:$X$884,Trades!$D$2:$D$884,$A241)</f>
        <v>-38.58</v>
      </c>
      <c r="K241" s="30" t="n">
        <f aca="false">_xlfn.MINIFS(Trades!$X$2:$X$884,Trades!$D$2:$D$884,$A241)</f>
        <v>-38.58</v>
      </c>
      <c r="L241" s="32" t="n">
        <f aca="false">SUMIFS(Trades!$Y$2:$Y$884,Trades!$D$2:$D$884,$A241)</f>
        <v>-1.02052692836731</v>
      </c>
      <c r="M241" s="30" t="n">
        <f aca="false">P240</f>
        <v>105377</v>
      </c>
      <c r="N241" s="29" t="n">
        <f aca="false">IFERROR(F241/M241,0)</f>
        <v>-0.000366114047657458</v>
      </c>
      <c r="O241" s="28" t="str">
        <f aca="false">IF(-N241&gt;=Summary!$C$7,"BREACH","")</f>
        <v/>
      </c>
      <c r="P241" s="30" t="n">
        <f aca="false">M241+F241</f>
        <v>105338.42</v>
      </c>
      <c r="Q241" s="30" t="n">
        <f aca="false">P241-Summary!$C$5</f>
        <v>5338.42000000004</v>
      </c>
      <c r="R241" s="2" t="str">
        <f aca="false">TEXT(A241,"ddd")</f>
        <v>Mon</v>
      </c>
    </row>
    <row r="242" customFormat="false" ht="15" hidden="false" customHeight="false" outlineLevel="0" collapsed="false">
      <c r="A242" s="42" t="n">
        <v>45412</v>
      </c>
      <c r="B242" s="28" t="n">
        <f aca="false">COUNTIFS(Trades!$D$2:$D$884,$A242)</f>
        <v>1</v>
      </c>
      <c r="C242" s="28" t="n">
        <f aca="false">COUNTIFS(Trades!$D$2:$D$884,$A242,Trades!$Z$2:$Z$884,"Win")</f>
        <v>0</v>
      </c>
      <c r="D242" s="28" t="n">
        <f aca="false">COUNTIFS(Trades!$D$2:$D$884,$A242,Trades!$Z$2:$Z$884,"Loss")</f>
        <v>1</v>
      </c>
      <c r="E242" s="29" t="n">
        <f aca="false">IFERROR(C242/B242,0)</f>
        <v>0</v>
      </c>
      <c r="F242" s="30" t="n">
        <f aca="false">SUMIFS(Trades!$X$2:$X$884,Trades!$D$2:$D$884,$A242)</f>
        <v>-1.77</v>
      </c>
      <c r="G242" s="30" t="n">
        <f aca="false">SUMIFS(Trades!$X$2:$X$884,Trades!$D$2:$D$884,$A242,Trades!$X$2:$X$884,"&gt;0")</f>
        <v>0</v>
      </c>
      <c r="H242" s="30" t="n">
        <f aca="false">SUMIFS(Trades!$X$2:$X$884,Trades!$D$2:$D$884,$A242,Trades!$X$2:$X$884,"&lt;0")</f>
        <v>-1.77</v>
      </c>
      <c r="I242" s="31" t="n">
        <f aca="false">IFERROR(G242/-H242,"no loss")</f>
        <v>0</v>
      </c>
      <c r="J242" s="30" t="n">
        <f aca="false">_xlfn.MAXIFS(Trades!$X$2:$X$884,Trades!$D$2:$D$884,$A242)</f>
        <v>-1.77</v>
      </c>
      <c r="K242" s="30" t="n">
        <f aca="false">_xlfn.MINIFS(Trades!$X$2:$X$884,Trades!$D$2:$D$884,$A242)</f>
        <v>-1.77</v>
      </c>
      <c r="L242" s="32" t="n">
        <f aca="false">SUMIFS(Trades!$Y$2:$Y$884,Trades!$D$2:$D$884,$A242)</f>
        <v>-0.013379898403484</v>
      </c>
      <c r="M242" s="30" t="n">
        <f aca="false">P241</f>
        <v>105338.42</v>
      </c>
      <c r="N242" s="29" t="n">
        <f aca="false">IFERROR(F242/M242,0)</f>
        <v>-1.68029860330162E-005</v>
      </c>
      <c r="O242" s="28" t="str">
        <f aca="false">IF(-N242&gt;=Summary!$C$7,"BREACH","")</f>
        <v/>
      </c>
      <c r="P242" s="30" t="n">
        <f aca="false">M242+F242</f>
        <v>105336.65</v>
      </c>
      <c r="Q242" s="30" t="n">
        <f aca="false">P242-Summary!$C$5</f>
        <v>5336.65000000004</v>
      </c>
      <c r="R242" s="2" t="str">
        <f aca="false">TEXT(A242,"ddd")</f>
        <v>Tue</v>
      </c>
    </row>
    <row r="243" customFormat="false" ht="15" hidden="false" customHeight="false" outlineLevel="0" collapsed="false">
      <c r="A243" s="42" t="n">
        <v>45413</v>
      </c>
      <c r="B243" s="28" t="n">
        <f aca="false">COUNTIFS(Trades!$D$2:$D$884,$A243)</f>
        <v>1</v>
      </c>
      <c r="C243" s="28" t="n">
        <f aca="false">COUNTIFS(Trades!$D$2:$D$884,$A243,Trades!$Z$2:$Z$884,"Win")</f>
        <v>0</v>
      </c>
      <c r="D243" s="28" t="n">
        <f aca="false">COUNTIFS(Trades!$D$2:$D$884,$A243,Trades!$Z$2:$Z$884,"Loss")</f>
        <v>1</v>
      </c>
      <c r="E243" s="29" t="n">
        <f aca="false">IFERROR(C243/B243,0)</f>
        <v>0</v>
      </c>
      <c r="F243" s="30" t="n">
        <f aca="false">SUMIFS(Trades!$X$2:$X$884,Trades!$D$2:$D$884,$A243)</f>
        <v>-17.17</v>
      </c>
      <c r="G243" s="30" t="n">
        <f aca="false">SUMIFS(Trades!$X$2:$X$884,Trades!$D$2:$D$884,$A243,Trades!$X$2:$X$884,"&gt;0")</f>
        <v>0</v>
      </c>
      <c r="H243" s="30" t="n">
        <f aca="false">SUMIFS(Trades!$X$2:$X$884,Trades!$D$2:$D$884,$A243,Trades!$X$2:$X$884,"&lt;0")</f>
        <v>-17.17</v>
      </c>
      <c r="I243" s="31" t="n">
        <f aca="false">IFERROR(G243/-H243,"no loss")</f>
        <v>0</v>
      </c>
      <c r="J243" s="30" t="n">
        <f aca="false">_xlfn.MAXIFS(Trades!$X$2:$X$884,Trades!$D$2:$D$884,$A243)</f>
        <v>-17.17</v>
      </c>
      <c r="K243" s="30" t="n">
        <f aca="false">_xlfn.MINIFS(Trades!$X$2:$X$884,Trades!$D$2:$D$884,$A243)</f>
        <v>-17.17</v>
      </c>
      <c r="L243" s="32" t="n">
        <f aca="false">SUMIFS(Trades!$Y$2:$Y$884,Trades!$D$2:$D$884,$A243)</f>
        <v>-0.0612409404782307</v>
      </c>
      <c r="M243" s="30" t="n">
        <f aca="false">P242</f>
        <v>105336.65</v>
      </c>
      <c r="N243" s="29" t="n">
        <f aca="false">IFERROR(F243/M243,0)</f>
        <v>-0.000163001196639536</v>
      </c>
      <c r="O243" s="28" t="str">
        <f aca="false">IF(-N243&gt;=Summary!$C$7,"BREACH","")</f>
        <v/>
      </c>
      <c r="P243" s="30" t="n">
        <f aca="false">M243+F243</f>
        <v>105319.48</v>
      </c>
      <c r="Q243" s="30" t="n">
        <f aca="false">P243-Summary!$C$5</f>
        <v>5319.48000000004</v>
      </c>
      <c r="R243" s="2" t="str">
        <f aca="false">TEXT(A243,"ddd")</f>
        <v>Wed</v>
      </c>
    </row>
    <row r="244" customFormat="false" ht="15" hidden="false" customHeight="false" outlineLevel="0" collapsed="false">
      <c r="A244" s="42" t="n">
        <v>45415</v>
      </c>
      <c r="B244" s="28" t="n">
        <f aca="false">COUNTIFS(Trades!$D$2:$D$884,$A244)</f>
        <v>1</v>
      </c>
      <c r="C244" s="28" t="n">
        <f aca="false">COUNTIFS(Trades!$D$2:$D$884,$A244,Trades!$Z$2:$Z$884,"Win")</f>
        <v>1</v>
      </c>
      <c r="D244" s="28" t="n">
        <f aca="false">COUNTIFS(Trades!$D$2:$D$884,$A244,Trades!$Z$2:$Z$884,"Loss")</f>
        <v>0</v>
      </c>
      <c r="E244" s="29" t="n">
        <f aca="false">IFERROR(C244/B244,0)</f>
        <v>1</v>
      </c>
      <c r="F244" s="30" t="n">
        <f aca="false">SUMIFS(Trades!$X$2:$X$884,Trades!$D$2:$D$884,$A244)</f>
        <v>273.99</v>
      </c>
      <c r="G244" s="30" t="n">
        <f aca="false">SUMIFS(Trades!$X$2:$X$884,Trades!$D$2:$D$884,$A244,Trades!$X$2:$X$884,"&gt;0")</f>
        <v>273.99</v>
      </c>
      <c r="H244" s="30" t="n">
        <f aca="false">SUMIFS(Trades!$X$2:$X$884,Trades!$D$2:$D$884,$A244,Trades!$X$2:$X$884,"&lt;0")</f>
        <v>0</v>
      </c>
      <c r="I244" s="31" t="str">
        <f aca="false">IFERROR(G244/-H244,"no loss")</f>
        <v>no loss</v>
      </c>
      <c r="J244" s="30" t="n">
        <f aca="false">_xlfn.MAXIFS(Trades!$X$2:$X$884,Trades!$D$2:$D$884,$A244)</f>
        <v>273.99</v>
      </c>
      <c r="K244" s="30" t="n">
        <f aca="false">_xlfn.MINIFS(Trades!$X$2:$X$884,Trades!$D$2:$D$884,$A244)</f>
        <v>273.99</v>
      </c>
      <c r="L244" s="32" t="n">
        <f aca="false">SUMIFS(Trades!$Y$2:$Y$884,Trades!$D$2:$D$884,$A244)</f>
        <v>2.00878324877566</v>
      </c>
      <c r="M244" s="30" t="n">
        <f aca="false">P243</f>
        <v>105319.48</v>
      </c>
      <c r="N244" s="29" t="n">
        <f aca="false">IFERROR(F244/M244,0)</f>
        <v>0.00260151303443579</v>
      </c>
      <c r="O244" s="28" t="str">
        <f aca="false">IF(-N244&gt;=Summary!$C$7,"BREACH","")</f>
        <v/>
      </c>
      <c r="P244" s="30" t="n">
        <f aca="false">M244+F244</f>
        <v>105593.47</v>
      </c>
      <c r="Q244" s="30" t="n">
        <f aca="false">P244-Summary!$C$5</f>
        <v>5593.47000000005</v>
      </c>
      <c r="R244" s="2" t="str">
        <f aca="false">TEXT(A244,"ddd")</f>
        <v>Fri</v>
      </c>
    </row>
    <row r="245" customFormat="false" ht="15" hidden="false" customHeight="false" outlineLevel="0" collapsed="false">
      <c r="A245" s="42" t="n">
        <v>45418</v>
      </c>
      <c r="B245" s="28" t="n">
        <f aca="false">COUNTIFS(Trades!$D$2:$D$884,$A245)</f>
        <v>1</v>
      </c>
      <c r="C245" s="28" t="n">
        <f aca="false">COUNTIFS(Trades!$D$2:$D$884,$A245,Trades!$Z$2:$Z$884,"Win")</f>
        <v>0</v>
      </c>
      <c r="D245" s="28" t="n">
        <f aca="false">COUNTIFS(Trades!$D$2:$D$884,$A245,Trades!$Z$2:$Z$884,"Loss")</f>
        <v>1</v>
      </c>
      <c r="E245" s="29" t="n">
        <f aca="false">IFERROR(C245/B245,0)</f>
        <v>0</v>
      </c>
      <c r="F245" s="30" t="n">
        <f aca="false">SUMIFS(Trades!$X$2:$X$884,Trades!$D$2:$D$884,$A245)</f>
        <v>-0.26</v>
      </c>
      <c r="G245" s="30" t="n">
        <f aca="false">SUMIFS(Trades!$X$2:$X$884,Trades!$D$2:$D$884,$A245,Trades!$X$2:$X$884,"&gt;0")</f>
        <v>0</v>
      </c>
      <c r="H245" s="30" t="n">
        <f aca="false">SUMIFS(Trades!$X$2:$X$884,Trades!$D$2:$D$884,$A245,Trades!$X$2:$X$884,"&lt;0")</f>
        <v>-0.26</v>
      </c>
      <c r="I245" s="31" t="n">
        <f aca="false">IFERROR(G245/-H245,"no loss")</f>
        <v>0</v>
      </c>
      <c r="J245" s="30" t="n">
        <f aca="false">_xlfn.MAXIFS(Trades!$X$2:$X$884,Trades!$D$2:$D$884,$A245)</f>
        <v>-0.26</v>
      </c>
      <c r="K245" s="30" t="n">
        <f aca="false">_xlfn.MINIFS(Trades!$X$2:$X$884,Trades!$D$2:$D$884,$A245)</f>
        <v>-0.26</v>
      </c>
      <c r="L245" s="32" t="n">
        <f aca="false">SUMIFS(Trades!$Y$2:$Y$884,Trades!$D$2:$D$884,$A245)</f>
        <v>-0.00988142292490573</v>
      </c>
      <c r="M245" s="30" t="n">
        <f aca="false">P244</f>
        <v>105593.47</v>
      </c>
      <c r="N245" s="29" t="n">
        <f aca="false">IFERROR(F245/M245,0)</f>
        <v>-2.46227347202436E-006</v>
      </c>
      <c r="O245" s="28" t="str">
        <f aca="false">IF(-N245&gt;=Summary!$C$7,"BREACH","")</f>
        <v/>
      </c>
      <c r="P245" s="30" t="n">
        <f aca="false">M245+F245</f>
        <v>105593.21</v>
      </c>
      <c r="Q245" s="30" t="n">
        <f aca="false">P245-Summary!$C$5</f>
        <v>5593.21000000005</v>
      </c>
      <c r="R245" s="2" t="str">
        <f aca="false">TEXT(A245,"ddd")</f>
        <v>Mon</v>
      </c>
    </row>
    <row r="246" customFormat="false" ht="15" hidden="false" customHeight="false" outlineLevel="0" collapsed="false">
      <c r="A246" s="42" t="n">
        <v>45419</v>
      </c>
      <c r="B246" s="28" t="n">
        <f aca="false">COUNTIFS(Trades!$D$2:$D$884,$A246)</f>
        <v>1</v>
      </c>
      <c r="C246" s="28" t="n">
        <f aca="false">COUNTIFS(Trades!$D$2:$D$884,$A246,Trades!$Z$2:$Z$884,"Win")</f>
        <v>0</v>
      </c>
      <c r="D246" s="28" t="n">
        <f aca="false">COUNTIFS(Trades!$D$2:$D$884,$A246,Trades!$Z$2:$Z$884,"Loss")</f>
        <v>1</v>
      </c>
      <c r="E246" s="29" t="n">
        <f aca="false">IFERROR(C246/B246,0)</f>
        <v>0</v>
      </c>
      <c r="F246" s="30" t="n">
        <f aca="false">SUMIFS(Trades!$X$2:$X$884,Trades!$D$2:$D$884,$A246)</f>
        <v>-54.03</v>
      </c>
      <c r="G246" s="30" t="n">
        <f aca="false">SUMIFS(Trades!$X$2:$X$884,Trades!$D$2:$D$884,$A246,Trades!$X$2:$X$884,"&gt;0")</f>
        <v>0</v>
      </c>
      <c r="H246" s="30" t="n">
        <f aca="false">SUMIFS(Trades!$X$2:$X$884,Trades!$D$2:$D$884,$A246,Trades!$X$2:$X$884,"&lt;0")</f>
        <v>-54.03</v>
      </c>
      <c r="I246" s="31" t="n">
        <f aca="false">IFERROR(G246/-H246,"no loss")</f>
        <v>0</v>
      </c>
      <c r="J246" s="30" t="n">
        <f aca="false">_xlfn.MAXIFS(Trades!$X$2:$X$884,Trades!$D$2:$D$884,$A246)</f>
        <v>-54.03</v>
      </c>
      <c r="K246" s="30" t="n">
        <f aca="false">_xlfn.MINIFS(Trades!$X$2:$X$884,Trades!$D$2:$D$884,$A246)</f>
        <v>-54.03</v>
      </c>
      <c r="L246" s="32" t="n">
        <f aca="false">SUMIFS(Trades!$Y$2:$Y$884,Trades!$D$2:$D$884,$A246)</f>
        <v>-1.01766744518957</v>
      </c>
      <c r="M246" s="30" t="n">
        <f aca="false">P245</f>
        <v>105593.21</v>
      </c>
      <c r="N246" s="29" t="n">
        <f aca="false">IFERROR(F246/M246,0)</f>
        <v>-0.000511680627949467</v>
      </c>
      <c r="O246" s="28" t="str">
        <f aca="false">IF(-N246&gt;=Summary!$C$7,"BREACH","")</f>
        <v/>
      </c>
      <c r="P246" s="30" t="n">
        <f aca="false">M246+F246</f>
        <v>105539.18</v>
      </c>
      <c r="Q246" s="30" t="n">
        <f aca="false">P246-Summary!$C$5</f>
        <v>5539.18000000005</v>
      </c>
      <c r="R246" s="2" t="str">
        <f aca="false">TEXT(A246,"ddd")</f>
        <v>Tue</v>
      </c>
    </row>
    <row r="247" customFormat="false" ht="15" hidden="false" customHeight="false" outlineLevel="0" collapsed="false">
      <c r="A247" s="42" t="n">
        <v>45420</v>
      </c>
      <c r="B247" s="28" t="n">
        <f aca="false">COUNTIFS(Trades!$D$2:$D$884,$A247)</f>
        <v>1</v>
      </c>
      <c r="C247" s="28" t="n">
        <f aca="false">COUNTIFS(Trades!$D$2:$D$884,$A247,Trades!$Z$2:$Z$884,"Win")</f>
        <v>0</v>
      </c>
      <c r="D247" s="28" t="n">
        <f aca="false">COUNTIFS(Trades!$D$2:$D$884,$A247,Trades!$Z$2:$Z$884,"Loss")</f>
        <v>1</v>
      </c>
      <c r="E247" s="29" t="n">
        <f aca="false">IFERROR(C247/B247,0)</f>
        <v>0</v>
      </c>
      <c r="F247" s="30" t="n">
        <f aca="false">SUMIFS(Trades!$X$2:$X$884,Trades!$D$2:$D$884,$A247)</f>
        <v>-46.85</v>
      </c>
      <c r="G247" s="30" t="n">
        <f aca="false">SUMIFS(Trades!$X$2:$X$884,Trades!$D$2:$D$884,$A247,Trades!$X$2:$X$884,"&gt;0")</f>
        <v>0</v>
      </c>
      <c r="H247" s="30" t="n">
        <f aca="false">SUMIFS(Trades!$X$2:$X$884,Trades!$D$2:$D$884,$A247,Trades!$X$2:$X$884,"&lt;0")</f>
        <v>-46.85</v>
      </c>
      <c r="I247" s="31" t="n">
        <f aca="false">IFERROR(G247/-H247,"no loss")</f>
        <v>0</v>
      </c>
      <c r="J247" s="30" t="n">
        <f aca="false">_xlfn.MAXIFS(Trades!$X$2:$X$884,Trades!$D$2:$D$884,$A247)</f>
        <v>-46.85</v>
      </c>
      <c r="K247" s="30" t="n">
        <f aca="false">_xlfn.MINIFS(Trades!$X$2:$X$884,Trades!$D$2:$D$884,$A247)</f>
        <v>-46.85</v>
      </c>
      <c r="L247" s="32" t="n">
        <f aca="false">SUMIFS(Trades!$Y$2:$Y$884,Trades!$D$2:$D$884,$A247)</f>
        <v>-1.00441643083811</v>
      </c>
      <c r="M247" s="30" t="n">
        <f aca="false">P246</f>
        <v>105539.18</v>
      </c>
      <c r="N247" s="29" t="n">
        <f aca="false">IFERROR(F247/M247,0)</f>
        <v>-0.000443910972209562</v>
      </c>
      <c r="O247" s="28" t="str">
        <f aca="false">IF(-N247&gt;=Summary!$C$7,"BREACH","")</f>
        <v/>
      </c>
      <c r="P247" s="30" t="n">
        <f aca="false">M247+F247</f>
        <v>105492.33</v>
      </c>
      <c r="Q247" s="30" t="n">
        <f aca="false">P247-Summary!$C$5</f>
        <v>5492.33000000005</v>
      </c>
      <c r="R247" s="2" t="str">
        <f aca="false">TEXT(A247,"ddd")</f>
        <v>Wed</v>
      </c>
    </row>
    <row r="248" customFormat="false" ht="15" hidden="false" customHeight="false" outlineLevel="0" collapsed="false">
      <c r="A248" s="42" t="n">
        <v>45422</v>
      </c>
      <c r="B248" s="28" t="n">
        <f aca="false">COUNTIFS(Trades!$D$2:$D$884,$A248)</f>
        <v>1</v>
      </c>
      <c r="C248" s="28" t="n">
        <f aca="false">COUNTIFS(Trades!$D$2:$D$884,$A248,Trades!$Z$2:$Z$884,"Win")</f>
        <v>1</v>
      </c>
      <c r="D248" s="28" t="n">
        <f aca="false">COUNTIFS(Trades!$D$2:$D$884,$A248,Trades!$Z$2:$Z$884,"Loss")</f>
        <v>0</v>
      </c>
      <c r="E248" s="29" t="n">
        <f aca="false">IFERROR(C248/B248,0)</f>
        <v>1</v>
      </c>
      <c r="F248" s="30" t="n">
        <f aca="false">SUMIFS(Trades!$X$2:$X$884,Trades!$D$2:$D$884,$A248)</f>
        <v>36.56</v>
      </c>
      <c r="G248" s="30" t="n">
        <f aca="false">SUMIFS(Trades!$X$2:$X$884,Trades!$D$2:$D$884,$A248,Trades!$X$2:$X$884,"&gt;0")</f>
        <v>36.56</v>
      </c>
      <c r="H248" s="30" t="n">
        <f aca="false">SUMIFS(Trades!$X$2:$X$884,Trades!$D$2:$D$884,$A248,Trades!$X$2:$X$884,"&lt;0")</f>
        <v>0</v>
      </c>
      <c r="I248" s="31" t="str">
        <f aca="false">IFERROR(G248/-H248,"no loss")</f>
        <v>no loss</v>
      </c>
      <c r="J248" s="30" t="n">
        <f aca="false">_xlfn.MAXIFS(Trades!$X$2:$X$884,Trades!$D$2:$D$884,$A248)</f>
        <v>36.56</v>
      </c>
      <c r="K248" s="30" t="n">
        <f aca="false">_xlfn.MINIFS(Trades!$X$2:$X$884,Trades!$D$2:$D$884,$A248)</f>
        <v>36.56</v>
      </c>
      <c r="L248" s="32" t="n">
        <f aca="false">SUMIFS(Trades!$Y$2:$Y$884,Trades!$D$2:$D$884,$A248)</f>
        <v>2.05578047683416</v>
      </c>
      <c r="M248" s="30" t="n">
        <f aca="false">P247</f>
        <v>105492.33</v>
      </c>
      <c r="N248" s="29" t="n">
        <f aca="false">IFERROR(F248/M248,0)</f>
        <v>0.000346565480163344</v>
      </c>
      <c r="O248" s="28" t="str">
        <f aca="false">IF(-N248&gt;=Summary!$C$7,"BREACH","")</f>
        <v/>
      </c>
      <c r="P248" s="30" t="n">
        <f aca="false">M248+F248</f>
        <v>105528.89</v>
      </c>
      <c r="Q248" s="30" t="n">
        <f aca="false">P248-Summary!$C$5</f>
        <v>5528.89000000004</v>
      </c>
      <c r="R248" s="2" t="str">
        <f aca="false">TEXT(A248,"ddd")</f>
        <v>Fri</v>
      </c>
    </row>
    <row r="249" customFormat="false" ht="15" hidden="false" customHeight="false" outlineLevel="0" collapsed="false">
      <c r="A249" s="42" t="n">
        <v>45426</v>
      </c>
      <c r="B249" s="28" t="n">
        <f aca="false">COUNTIFS(Trades!$D$2:$D$884,$A249)</f>
        <v>2</v>
      </c>
      <c r="C249" s="28" t="n">
        <f aca="false">COUNTIFS(Trades!$D$2:$D$884,$A249,Trades!$Z$2:$Z$884,"Win")</f>
        <v>0</v>
      </c>
      <c r="D249" s="28" t="n">
        <f aca="false">COUNTIFS(Trades!$D$2:$D$884,$A249,Trades!$Z$2:$Z$884,"Loss")</f>
        <v>2</v>
      </c>
      <c r="E249" s="29" t="n">
        <f aca="false">IFERROR(C249/B249,0)</f>
        <v>0</v>
      </c>
      <c r="F249" s="30" t="n">
        <f aca="false">SUMIFS(Trades!$X$2:$X$884,Trades!$D$2:$D$884,$A249)</f>
        <v>-303.31</v>
      </c>
      <c r="G249" s="30" t="n">
        <f aca="false">SUMIFS(Trades!$X$2:$X$884,Trades!$D$2:$D$884,$A249,Trades!$X$2:$X$884,"&gt;0")</f>
        <v>0</v>
      </c>
      <c r="H249" s="30" t="n">
        <f aca="false">SUMIFS(Trades!$X$2:$X$884,Trades!$D$2:$D$884,$A249,Trades!$X$2:$X$884,"&lt;0")</f>
        <v>-303.31</v>
      </c>
      <c r="I249" s="31" t="n">
        <f aca="false">IFERROR(G249/-H249,"no loss")</f>
        <v>0</v>
      </c>
      <c r="J249" s="30" t="n">
        <f aca="false">_xlfn.MAXIFS(Trades!$X$2:$X$884,Trades!$D$2:$D$884,$A249)</f>
        <v>-139.3</v>
      </c>
      <c r="K249" s="30" t="n">
        <f aca="false">_xlfn.MINIFS(Trades!$X$2:$X$884,Trades!$D$2:$D$884,$A249)</f>
        <v>-164.01</v>
      </c>
      <c r="L249" s="32" t="n">
        <f aca="false">SUMIFS(Trades!$Y$2:$Y$884,Trades!$D$2:$D$884,$A249)</f>
        <v>-2.00687883710032</v>
      </c>
      <c r="M249" s="30" t="n">
        <f aca="false">P248</f>
        <v>105528.89</v>
      </c>
      <c r="N249" s="29" t="n">
        <f aca="false">IFERROR(F249/M249,0)</f>
        <v>-0.00287418923860565</v>
      </c>
      <c r="O249" s="28" t="str">
        <f aca="false">IF(-N249&gt;=Summary!$C$7,"BREACH","")</f>
        <v/>
      </c>
      <c r="P249" s="30" t="n">
        <f aca="false">M249+F249</f>
        <v>105225.58</v>
      </c>
      <c r="Q249" s="30" t="n">
        <f aca="false">P249-Summary!$C$5</f>
        <v>5225.58000000005</v>
      </c>
      <c r="R249" s="2" t="str">
        <f aca="false">TEXT(A249,"ddd")</f>
        <v>Tue</v>
      </c>
    </row>
    <row r="250" customFormat="false" ht="15" hidden="false" customHeight="false" outlineLevel="0" collapsed="false">
      <c r="A250" s="42" t="n">
        <v>45427</v>
      </c>
      <c r="B250" s="28" t="n">
        <f aca="false">COUNTIFS(Trades!$D$2:$D$884,$A250)</f>
        <v>1</v>
      </c>
      <c r="C250" s="28" t="n">
        <f aca="false">COUNTIFS(Trades!$D$2:$D$884,$A250,Trades!$Z$2:$Z$884,"Win")</f>
        <v>0</v>
      </c>
      <c r="D250" s="28" t="n">
        <f aca="false">COUNTIFS(Trades!$D$2:$D$884,$A250,Trades!$Z$2:$Z$884,"Loss")</f>
        <v>1</v>
      </c>
      <c r="E250" s="29" t="n">
        <f aca="false">IFERROR(C250/B250,0)</f>
        <v>0</v>
      </c>
      <c r="F250" s="30" t="n">
        <f aca="false">SUMIFS(Trades!$X$2:$X$884,Trades!$D$2:$D$884,$A250)</f>
        <v>-28.9</v>
      </c>
      <c r="G250" s="30" t="n">
        <f aca="false">SUMIFS(Trades!$X$2:$X$884,Trades!$D$2:$D$884,$A250,Trades!$X$2:$X$884,"&gt;0")</f>
        <v>0</v>
      </c>
      <c r="H250" s="30" t="n">
        <f aca="false">SUMIFS(Trades!$X$2:$X$884,Trades!$D$2:$D$884,$A250,Trades!$X$2:$X$884,"&lt;0")</f>
        <v>-28.9</v>
      </c>
      <c r="I250" s="31" t="n">
        <f aca="false">IFERROR(G250/-H250,"no loss")</f>
        <v>0</v>
      </c>
      <c r="J250" s="30" t="n">
        <f aca="false">_xlfn.MAXIFS(Trades!$X$2:$X$884,Trades!$D$2:$D$884,$A250)</f>
        <v>-28.9</v>
      </c>
      <c r="K250" s="30" t="n">
        <f aca="false">_xlfn.MINIFS(Trades!$X$2:$X$884,Trades!$D$2:$D$884,$A250)</f>
        <v>-28.9</v>
      </c>
      <c r="L250" s="32" t="n">
        <f aca="false">SUMIFS(Trades!$Y$2:$Y$884,Trades!$D$2:$D$884,$A250)</f>
        <v>-1.03030303030292</v>
      </c>
      <c r="M250" s="30" t="n">
        <f aca="false">P249</f>
        <v>105225.58</v>
      </c>
      <c r="N250" s="29" t="n">
        <f aca="false">IFERROR(F250/M250,0)</f>
        <v>-0.000274648046606158</v>
      </c>
      <c r="O250" s="28" t="str">
        <f aca="false">IF(-N250&gt;=Summary!$C$7,"BREACH","")</f>
        <v/>
      </c>
      <c r="P250" s="30" t="n">
        <f aca="false">M250+F250</f>
        <v>105196.68</v>
      </c>
      <c r="Q250" s="30" t="n">
        <f aca="false">P250-Summary!$C$5</f>
        <v>5196.68000000005</v>
      </c>
      <c r="R250" s="2" t="str">
        <f aca="false">TEXT(A250,"ddd")</f>
        <v>Wed</v>
      </c>
    </row>
    <row r="251" customFormat="false" ht="15" hidden="false" customHeight="false" outlineLevel="0" collapsed="false">
      <c r="A251" s="42" t="n">
        <v>45428</v>
      </c>
      <c r="B251" s="28" t="n">
        <f aca="false">COUNTIFS(Trades!$D$2:$D$884,$A251)</f>
        <v>1</v>
      </c>
      <c r="C251" s="28" t="n">
        <f aca="false">COUNTIFS(Trades!$D$2:$D$884,$A251,Trades!$Z$2:$Z$884,"Win")</f>
        <v>1</v>
      </c>
      <c r="D251" s="28" t="n">
        <f aca="false">COUNTIFS(Trades!$D$2:$D$884,$A251,Trades!$Z$2:$Z$884,"Loss")</f>
        <v>0</v>
      </c>
      <c r="E251" s="29" t="n">
        <f aca="false">IFERROR(C251/B251,0)</f>
        <v>1</v>
      </c>
      <c r="F251" s="30" t="n">
        <f aca="false">SUMIFS(Trades!$X$2:$X$884,Trades!$D$2:$D$884,$A251)</f>
        <v>39.25</v>
      </c>
      <c r="G251" s="30" t="n">
        <f aca="false">SUMIFS(Trades!$X$2:$X$884,Trades!$D$2:$D$884,$A251,Trades!$X$2:$X$884,"&gt;0")</f>
        <v>39.25</v>
      </c>
      <c r="H251" s="30" t="n">
        <f aca="false">SUMIFS(Trades!$X$2:$X$884,Trades!$D$2:$D$884,$A251,Trades!$X$2:$X$884,"&lt;0")</f>
        <v>0</v>
      </c>
      <c r="I251" s="31" t="str">
        <f aca="false">IFERROR(G251/-H251,"no loss")</f>
        <v>no loss</v>
      </c>
      <c r="J251" s="30" t="n">
        <f aca="false">_xlfn.MAXIFS(Trades!$X$2:$X$884,Trades!$D$2:$D$884,$A251)</f>
        <v>39.25</v>
      </c>
      <c r="K251" s="30" t="n">
        <f aca="false">_xlfn.MINIFS(Trades!$X$2:$X$884,Trades!$D$2:$D$884,$A251)</f>
        <v>39.25</v>
      </c>
      <c r="L251" s="32" t="n">
        <f aca="false">SUMIFS(Trades!$Y$2:$Y$884,Trades!$D$2:$D$884,$A251)</f>
        <v>2.25574712643706</v>
      </c>
      <c r="M251" s="30" t="n">
        <f aca="false">P250</f>
        <v>105196.68</v>
      </c>
      <c r="N251" s="29" t="n">
        <f aca="false">IFERROR(F251/M251,0)</f>
        <v>0.000373110634289979</v>
      </c>
      <c r="O251" s="28" t="str">
        <f aca="false">IF(-N251&gt;=Summary!$C$7,"BREACH","")</f>
        <v/>
      </c>
      <c r="P251" s="30" t="n">
        <f aca="false">M251+F251</f>
        <v>105235.93</v>
      </c>
      <c r="Q251" s="30" t="n">
        <f aca="false">P251-Summary!$C$5</f>
        <v>5235.93000000005</v>
      </c>
      <c r="R251" s="2" t="str">
        <f aca="false">TEXT(A251,"ddd")</f>
        <v>Thu</v>
      </c>
    </row>
    <row r="252" customFormat="false" ht="15" hidden="false" customHeight="false" outlineLevel="0" collapsed="false">
      <c r="A252" s="42" t="n">
        <v>45429</v>
      </c>
      <c r="B252" s="28" t="n">
        <f aca="false">COUNTIFS(Trades!$D$2:$D$884,$A252)</f>
        <v>1</v>
      </c>
      <c r="C252" s="28" t="n">
        <f aca="false">COUNTIFS(Trades!$D$2:$D$884,$A252,Trades!$Z$2:$Z$884,"Win")</f>
        <v>0</v>
      </c>
      <c r="D252" s="28" t="n">
        <f aca="false">COUNTIFS(Trades!$D$2:$D$884,$A252,Trades!$Z$2:$Z$884,"Loss")</f>
        <v>1</v>
      </c>
      <c r="E252" s="29" t="n">
        <f aca="false">IFERROR(C252/B252,0)</f>
        <v>0</v>
      </c>
      <c r="F252" s="30" t="n">
        <f aca="false">SUMIFS(Trades!$X$2:$X$884,Trades!$D$2:$D$884,$A252)</f>
        <v>-0.15</v>
      </c>
      <c r="G252" s="30" t="n">
        <f aca="false">SUMIFS(Trades!$X$2:$X$884,Trades!$D$2:$D$884,$A252,Trades!$X$2:$X$884,"&gt;0")</f>
        <v>0</v>
      </c>
      <c r="H252" s="30" t="n">
        <f aca="false">SUMIFS(Trades!$X$2:$X$884,Trades!$D$2:$D$884,$A252,Trades!$X$2:$X$884,"&lt;0")</f>
        <v>-0.15</v>
      </c>
      <c r="I252" s="31" t="n">
        <f aca="false">IFERROR(G252/-H252,"no loss")</f>
        <v>0</v>
      </c>
      <c r="J252" s="30" t="n">
        <f aca="false">_xlfn.MAXIFS(Trades!$X$2:$X$884,Trades!$D$2:$D$884,$A252)</f>
        <v>-0.15</v>
      </c>
      <c r="K252" s="30" t="n">
        <f aca="false">_xlfn.MINIFS(Trades!$X$2:$X$884,Trades!$D$2:$D$884,$A252)</f>
        <v>-0.15</v>
      </c>
      <c r="L252" s="32" t="n">
        <f aca="false">SUMIFS(Trades!$Y$2:$Y$884,Trades!$D$2:$D$884,$A252)</f>
        <v>-0.00345622119815657</v>
      </c>
      <c r="M252" s="30" t="n">
        <f aca="false">P251</f>
        <v>105235.93</v>
      </c>
      <c r="N252" s="29" t="n">
        <f aca="false">IFERROR(F252/M252,0)</f>
        <v>-1.42536869299297E-006</v>
      </c>
      <c r="O252" s="28" t="str">
        <f aca="false">IF(-N252&gt;=Summary!$C$7,"BREACH","")</f>
        <v/>
      </c>
      <c r="P252" s="30" t="n">
        <f aca="false">M252+F252</f>
        <v>105235.78</v>
      </c>
      <c r="Q252" s="30" t="n">
        <f aca="false">P252-Summary!$C$5</f>
        <v>5235.78000000006</v>
      </c>
      <c r="R252" s="2" t="str">
        <f aca="false">TEXT(A252,"ddd")</f>
        <v>Fri</v>
      </c>
    </row>
    <row r="253" customFormat="false" ht="15" hidden="false" customHeight="false" outlineLevel="0" collapsed="false">
      <c r="A253" s="42" t="n">
        <v>45432</v>
      </c>
      <c r="B253" s="28" t="n">
        <f aca="false">COUNTIFS(Trades!$D$2:$D$884,$A253)</f>
        <v>1</v>
      </c>
      <c r="C253" s="28" t="n">
        <f aca="false">COUNTIFS(Trades!$D$2:$D$884,$A253,Trades!$Z$2:$Z$884,"Win")</f>
        <v>0</v>
      </c>
      <c r="D253" s="28" t="n">
        <f aca="false">COUNTIFS(Trades!$D$2:$D$884,$A253,Trades!$Z$2:$Z$884,"Loss")</f>
        <v>1</v>
      </c>
      <c r="E253" s="29" t="n">
        <f aca="false">IFERROR(C253/B253,0)</f>
        <v>0</v>
      </c>
      <c r="F253" s="30" t="n">
        <f aca="false">SUMIFS(Trades!$X$2:$X$884,Trades!$D$2:$D$884,$A253)</f>
        <v>-24.4</v>
      </c>
      <c r="G253" s="30" t="n">
        <f aca="false">SUMIFS(Trades!$X$2:$X$884,Trades!$D$2:$D$884,$A253,Trades!$X$2:$X$884,"&gt;0")</f>
        <v>0</v>
      </c>
      <c r="H253" s="30" t="n">
        <f aca="false">SUMIFS(Trades!$X$2:$X$884,Trades!$D$2:$D$884,$A253,Trades!$X$2:$X$884,"&lt;0")</f>
        <v>-24.4</v>
      </c>
      <c r="I253" s="31" t="n">
        <f aca="false">IFERROR(G253/-H253,"no loss")</f>
        <v>0</v>
      </c>
      <c r="J253" s="30" t="n">
        <f aca="false">_xlfn.MAXIFS(Trades!$X$2:$X$884,Trades!$D$2:$D$884,$A253)</f>
        <v>-24.4</v>
      </c>
      <c r="K253" s="30" t="n">
        <f aca="false">_xlfn.MINIFS(Trades!$X$2:$X$884,Trades!$D$2:$D$884,$A253)</f>
        <v>-24.4</v>
      </c>
      <c r="L253" s="32" t="n">
        <f aca="false">SUMIFS(Trades!$Y$2:$Y$884,Trades!$D$2:$D$884,$A253)</f>
        <v>-1.05856832971787</v>
      </c>
      <c r="M253" s="30" t="n">
        <f aca="false">P252</f>
        <v>105235.78</v>
      </c>
      <c r="N253" s="29" t="n">
        <f aca="false">IFERROR(F253/M253,0)</f>
        <v>-0.000231860304546609</v>
      </c>
      <c r="O253" s="28" t="str">
        <f aca="false">IF(-N253&gt;=Summary!$C$7,"BREACH","")</f>
        <v/>
      </c>
      <c r="P253" s="30" t="n">
        <f aca="false">M253+F253</f>
        <v>105211.38</v>
      </c>
      <c r="Q253" s="30" t="n">
        <f aca="false">P253-Summary!$C$5</f>
        <v>5211.38000000006</v>
      </c>
      <c r="R253" s="2" t="str">
        <f aca="false">TEXT(A253,"ddd")</f>
        <v>Mon</v>
      </c>
    </row>
    <row r="254" customFormat="false" ht="15" hidden="false" customHeight="false" outlineLevel="0" collapsed="false">
      <c r="A254" s="42" t="n">
        <v>45433</v>
      </c>
      <c r="B254" s="28" t="n">
        <f aca="false">COUNTIFS(Trades!$D$2:$D$884,$A254)</f>
        <v>1</v>
      </c>
      <c r="C254" s="28" t="n">
        <f aca="false">COUNTIFS(Trades!$D$2:$D$884,$A254,Trades!$Z$2:$Z$884,"Win")</f>
        <v>0</v>
      </c>
      <c r="D254" s="28" t="n">
        <f aca="false">COUNTIFS(Trades!$D$2:$D$884,$A254,Trades!$Z$2:$Z$884,"Loss")</f>
        <v>1</v>
      </c>
      <c r="E254" s="29" t="n">
        <f aca="false">IFERROR(C254/B254,0)</f>
        <v>0</v>
      </c>
      <c r="F254" s="30" t="n">
        <f aca="false">SUMIFS(Trades!$X$2:$X$884,Trades!$D$2:$D$884,$A254)</f>
        <v>-0.85</v>
      </c>
      <c r="G254" s="30" t="n">
        <f aca="false">SUMIFS(Trades!$X$2:$X$884,Trades!$D$2:$D$884,$A254,Trades!$X$2:$X$884,"&gt;0")</f>
        <v>0</v>
      </c>
      <c r="H254" s="30" t="n">
        <f aca="false">SUMIFS(Trades!$X$2:$X$884,Trades!$D$2:$D$884,$A254,Trades!$X$2:$X$884,"&lt;0")</f>
        <v>-0.85</v>
      </c>
      <c r="I254" s="31" t="n">
        <f aca="false">IFERROR(G254/-H254,"no loss")</f>
        <v>0</v>
      </c>
      <c r="J254" s="30" t="n">
        <f aca="false">_xlfn.MAXIFS(Trades!$X$2:$X$884,Trades!$D$2:$D$884,$A254)</f>
        <v>-0.85</v>
      </c>
      <c r="K254" s="30" t="n">
        <f aca="false">_xlfn.MINIFS(Trades!$X$2:$X$884,Trades!$D$2:$D$884,$A254)</f>
        <v>-0.85</v>
      </c>
      <c r="L254" s="32" t="n">
        <f aca="false">SUMIFS(Trades!$Y$2:$Y$884,Trades!$D$2:$D$884,$A254)</f>
        <v>-0.0191011235955025</v>
      </c>
      <c r="M254" s="30" t="n">
        <f aca="false">P253</f>
        <v>105211.38</v>
      </c>
      <c r="N254" s="29" t="n">
        <f aca="false">IFERROR(F254/M254,0)</f>
        <v>-8.07897396650438E-006</v>
      </c>
      <c r="O254" s="28" t="str">
        <f aca="false">IF(-N254&gt;=Summary!$C$7,"BREACH","")</f>
        <v/>
      </c>
      <c r="P254" s="30" t="n">
        <f aca="false">M254+F254</f>
        <v>105210.53</v>
      </c>
      <c r="Q254" s="30" t="n">
        <f aca="false">P254-Summary!$C$5</f>
        <v>5210.53000000006</v>
      </c>
      <c r="R254" s="2" t="str">
        <f aca="false">TEXT(A254,"ddd")</f>
        <v>Tue</v>
      </c>
    </row>
    <row r="255" customFormat="false" ht="15" hidden="false" customHeight="false" outlineLevel="0" collapsed="false">
      <c r="A255" s="42" t="n">
        <v>45434</v>
      </c>
      <c r="B255" s="28" t="n">
        <f aca="false">COUNTIFS(Trades!$D$2:$D$884,$A255)</f>
        <v>1</v>
      </c>
      <c r="C255" s="28" t="n">
        <f aca="false">COUNTIFS(Trades!$D$2:$D$884,$A255,Trades!$Z$2:$Z$884,"Win")</f>
        <v>0</v>
      </c>
      <c r="D255" s="28" t="n">
        <f aca="false">COUNTIFS(Trades!$D$2:$D$884,$A255,Trades!$Z$2:$Z$884,"Loss")</f>
        <v>1</v>
      </c>
      <c r="E255" s="29" t="n">
        <f aca="false">IFERROR(C255/B255,0)</f>
        <v>0</v>
      </c>
      <c r="F255" s="30" t="n">
        <f aca="false">SUMIFS(Trades!$X$2:$X$884,Trades!$D$2:$D$884,$A255)</f>
        <v>-20</v>
      </c>
      <c r="G255" s="30" t="n">
        <f aca="false">SUMIFS(Trades!$X$2:$X$884,Trades!$D$2:$D$884,$A255,Trades!$X$2:$X$884,"&gt;0")</f>
        <v>0</v>
      </c>
      <c r="H255" s="30" t="n">
        <f aca="false">SUMIFS(Trades!$X$2:$X$884,Trades!$D$2:$D$884,$A255,Trades!$X$2:$X$884,"&lt;0")</f>
        <v>-20</v>
      </c>
      <c r="I255" s="31" t="n">
        <f aca="false">IFERROR(G255/-H255,"no loss")</f>
        <v>0</v>
      </c>
      <c r="J255" s="30" t="n">
        <f aca="false">_xlfn.MAXIFS(Trades!$X$2:$X$884,Trades!$D$2:$D$884,$A255)</f>
        <v>-20</v>
      </c>
      <c r="K255" s="30" t="n">
        <f aca="false">_xlfn.MINIFS(Trades!$X$2:$X$884,Trades!$D$2:$D$884,$A255)</f>
        <v>-20</v>
      </c>
      <c r="L255" s="32" t="n">
        <f aca="false">SUMIFS(Trades!$Y$2:$Y$884,Trades!$D$2:$D$884,$A255)</f>
        <v>-1.37457044673546</v>
      </c>
      <c r="M255" s="30" t="n">
        <f aca="false">P254</f>
        <v>105210.53</v>
      </c>
      <c r="N255" s="29" t="n">
        <f aca="false">IFERROR(F255/M255,0)</f>
        <v>-0.000190095040867107</v>
      </c>
      <c r="O255" s="28" t="str">
        <f aca="false">IF(-N255&gt;=Summary!$C$7,"BREACH","")</f>
        <v/>
      </c>
      <c r="P255" s="30" t="n">
        <f aca="false">M255+F255</f>
        <v>105190.53</v>
      </c>
      <c r="Q255" s="30" t="n">
        <f aca="false">P255-Summary!$C$5</f>
        <v>5190.53000000006</v>
      </c>
      <c r="R255" s="2" t="str">
        <f aca="false">TEXT(A255,"ddd")</f>
        <v>Wed</v>
      </c>
    </row>
    <row r="256" customFormat="false" ht="15" hidden="false" customHeight="false" outlineLevel="0" collapsed="false">
      <c r="A256" s="42" t="n">
        <v>45435</v>
      </c>
      <c r="B256" s="28" t="n">
        <f aca="false">COUNTIFS(Trades!$D$2:$D$884,$A256)</f>
        <v>2</v>
      </c>
      <c r="C256" s="28" t="n">
        <f aca="false">COUNTIFS(Trades!$D$2:$D$884,$A256,Trades!$Z$2:$Z$884,"Win")</f>
        <v>1</v>
      </c>
      <c r="D256" s="28" t="n">
        <f aca="false">COUNTIFS(Trades!$D$2:$D$884,$A256,Trades!$Z$2:$Z$884,"Loss")</f>
        <v>1</v>
      </c>
      <c r="E256" s="29" t="n">
        <f aca="false">IFERROR(C256/B256,0)</f>
        <v>0.5</v>
      </c>
      <c r="F256" s="30" t="n">
        <f aca="false">SUMIFS(Trades!$X$2:$X$884,Trades!$D$2:$D$884,$A256)</f>
        <v>267.6</v>
      </c>
      <c r="G256" s="30" t="n">
        <f aca="false">SUMIFS(Trades!$X$2:$X$884,Trades!$D$2:$D$884,$A256,Trades!$X$2:$X$884,"&gt;0")</f>
        <v>267.75</v>
      </c>
      <c r="H256" s="30" t="n">
        <f aca="false">SUMIFS(Trades!$X$2:$X$884,Trades!$D$2:$D$884,$A256,Trades!$X$2:$X$884,"&lt;0")</f>
        <v>-0.15</v>
      </c>
      <c r="I256" s="31" t="n">
        <f aca="false">IFERROR(G256/-H256,"no loss")</f>
        <v>1785</v>
      </c>
      <c r="J256" s="30" t="n">
        <f aca="false">_xlfn.MAXIFS(Trades!$X$2:$X$884,Trades!$D$2:$D$884,$A256)</f>
        <v>267.75</v>
      </c>
      <c r="K256" s="30" t="n">
        <f aca="false">_xlfn.MINIFS(Trades!$X$2:$X$884,Trades!$D$2:$D$884,$A256)</f>
        <v>-0.15</v>
      </c>
      <c r="L256" s="32" t="n">
        <f aca="false">SUMIFS(Trades!$Y$2:$Y$884,Trades!$D$2:$D$884,$A256)</f>
        <v>2.00315399368136</v>
      </c>
      <c r="M256" s="30" t="n">
        <f aca="false">P255</f>
        <v>105190.53</v>
      </c>
      <c r="N256" s="29" t="n">
        <f aca="false">IFERROR(F256/M256,0)</f>
        <v>0.00254395524007722</v>
      </c>
      <c r="O256" s="28" t="str">
        <f aca="false">IF(-N256&gt;=Summary!$C$7,"BREACH","")</f>
        <v/>
      </c>
      <c r="P256" s="30" t="n">
        <f aca="false">M256+F256</f>
        <v>105458.13</v>
      </c>
      <c r="Q256" s="30" t="n">
        <f aca="false">P256-Summary!$C$5</f>
        <v>5458.13000000006</v>
      </c>
      <c r="R256" s="2" t="str">
        <f aca="false">TEXT(A256,"ddd")</f>
        <v>Thu</v>
      </c>
    </row>
    <row r="257" customFormat="false" ht="15" hidden="false" customHeight="false" outlineLevel="0" collapsed="false">
      <c r="A257" s="42" t="n">
        <v>45439</v>
      </c>
      <c r="B257" s="28" t="n">
        <f aca="false">COUNTIFS(Trades!$D$2:$D$884,$A257)</f>
        <v>1</v>
      </c>
      <c r="C257" s="28" t="n">
        <f aca="false">COUNTIFS(Trades!$D$2:$D$884,$A257,Trades!$Z$2:$Z$884,"Win")</f>
        <v>1</v>
      </c>
      <c r="D257" s="28" t="n">
        <f aca="false">COUNTIFS(Trades!$D$2:$D$884,$A257,Trades!$Z$2:$Z$884,"Loss")</f>
        <v>0</v>
      </c>
      <c r="E257" s="29" t="n">
        <f aca="false">IFERROR(C257/B257,0)</f>
        <v>1</v>
      </c>
      <c r="F257" s="30" t="n">
        <f aca="false">SUMIFS(Trades!$X$2:$X$884,Trades!$D$2:$D$884,$A257)</f>
        <v>53.65</v>
      </c>
      <c r="G257" s="30" t="n">
        <f aca="false">SUMIFS(Trades!$X$2:$X$884,Trades!$D$2:$D$884,$A257,Trades!$X$2:$X$884,"&gt;0")</f>
        <v>53.65</v>
      </c>
      <c r="H257" s="30" t="n">
        <f aca="false">SUMIFS(Trades!$X$2:$X$884,Trades!$D$2:$D$884,$A257,Trades!$X$2:$X$884,"&lt;0")</f>
        <v>0</v>
      </c>
      <c r="I257" s="31" t="str">
        <f aca="false">IFERROR(G257/-H257,"no loss")</f>
        <v>no loss</v>
      </c>
      <c r="J257" s="30" t="n">
        <f aca="false">_xlfn.MAXIFS(Trades!$X$2:$X$884,Trades!$D$2:$D$884,$A257)</f>
        <v>53.65</v>
      </c>
      <c r="K257" s="30" t="n">
        <f aca="false">_xlfn.MINIFS(Trades!$X$2:$X$884,Trades!$D$2:$D$884,$A257)</f>
        <v>53.65</v>
      </c>
      <c r="L257" s="32" t="n">
        <f aca="false">SUMIFS(Trades!$Y$2:$Y$884,Trades!$D$2:$D$884,$A257)</f>
        <v>2.0093632958801</v>
      </c>
      <c r="M257" s="30" t="n">
        <f aca="false">P256</f>
        <v>105458.13</v>
      </c>
      <c r="N257" s="29" t="n">
        <f aca="false">IFERROR(F257/M257,0)</f>
        <v>0.000508732707473572</v>
      </c>
      <c r="O257" s="28" t="str">
        <f aca="false">IF(-N257&gt;=Summary!$C$7,"BREACH","")</f>
        <v/>
      </c>
      <c r="P257" s="30" t="n">
        <f aca="false">M257+F257</f>
        <v>105511.78</v>
      </c>
      <c r="Q257" s="30" t="n">
        <f aca="false">P257-Summary!$C$5</f>
        <v>5511.78000000006</v>
      </c>
      <c r="R257" s="2" t="str">
        <f aca="false">TEXT(A257,"ddd")</f>
        <v>Mon</v>
      </c>
    </row>
    <row r="258" customFormat="false" ht="15" hidden="false" customHeight="false" outlineLevel="0" collapsed="false">
      <c r="A258" s="42" t="n">
        <v>45440</v>
      </c>
      <c r="B258" s="28" t="n">
        <f aca="false">COUNTIFS(Trades!$D$2:$D$884,$A258)</f>
        <v>2</v>
      </c>
      <c r="C258" s="28" t="n">
        <f aca="false">COUNTIFS(Trades!$D$2:$D$884,$A258,Trades!$Z$2:$Z$884,"Win")</f>
        <v>0</v>
      </c>
      <c r="D258" s="28" t="n">
        <f aca="false">COUNTIFS(Trades!$D$2:$D$884,$A258,Trades!$Z$2:$Z$884,"Loss")</f>
        <v>2</v>
      </c>
      <c r="E258" s="29" t="n">
        <f aca="false">IFERROR(C258/B258,0)</f>
        <v>0</v>
      </c>
      <c r="F258" s="30" t="n">
        <f aca="false">SUMIFS(Trades!$X$2:$X$884,Trades!$D$2:$D$884,$A258)</f>
        <v>-128.65</v>
      </c>
      <c r="G258" s="30" t="n">
        <f aca="false">SUMIFS(Trades!$X$2:$X$884,Trades!$D$2:$D$884,$A258,Trades!$X$2:$X$884,"&gt;0")</f>
        <v>0</v>
      </c>
      <c r="H258" s="30" t="n">
        <f aca="false">SUMIFS(Trades!$X$2:$X$884,Trades!$D$2:$D$884,$A258,Trades!$X$2:$X$884,"&lt;0")</f>
        <v>-128.65</v>
      </c>
      <c r="I258" s="31" t="n">
        <f aca="false">IFERROR(G258/-H258,"no loss")</f>
        <v>0</v>
      </c>
      <c r="J258" s="30" t="n">
        <f aca="false">_xlfn.MAXIFS(Trades!$X$2:$X$884,Trades!$D$2:$D$884,$A258)</f>
        <v>-0.7</v>
      </c>
      <c r="K258" s="30" t="n">
        <f aca="false">_xlfn.MINIFS(Trades!$X$2:$X$884,Trades!$D$2:$D$884,$A258)</f>
        <v>-127.95</v>
      </c>
      <c r="L258" s="32" t="n">
        <f aca="false">SUMIFS(Trades!$Y$2:$Y$884,Trades!$D$2:$D$884,$A258)</f>
        <v>-1.03934993274217</v>
      </c>
      <c r="M258" s="30" t="n">
        <f aca="false">P257</f>
        <v>105511.78</v>
      </c>
      <c r="N258" s="29" t="n">
        <f aca="false">IFERROR(F258/M258,0)</f>
        <v>-0.00121929513462857</v>
      </c>
      <c r="O258" s="28" t="str">
        <f aca="false">IF(-N258&gt;=Summary!$C$7,"BREACH","")</f>
        <v/>
      </c>
      <c r="P258" s="30" t="n">
        <f aca="false">M258+F258</f>
        <v>105383.13</v>
      </c>
      <c r="Q258" s="30" t="n">
        <f aca="false">P258-Summary!$C$5</f>
        <v>5383.13000000006</v>
      </c>
      <c r="R258" s="2" t="str">
        <f aca="false">TEXT(A258,"ddd")</f>
        <v>Tue</v>
      </c>
    </row>
    <row r="259" customFormat="false" ht="15" hidden="false" customHeight="false" outlineLevel="0" collapsed="false">
      <c r="A259" s="42" t="n">
        <v>45441</v>
      </c>
      <c r="B259" s="28" t="n">
        <f aca="false">COUNTIFS(Trades!$D$2:$D$884,$A259)</f>
        <v>1</v>
      </c>
      <c r="C259" s="28" t="n">
        <f aca="false">COUNTIFS(Trades!$D$2:$D$884,$A259,Trades!$Z$2:$Z$884,"Win")</f>
        <v>0</v>
      </c>
      <c r="D259" s="28" t="n">
        <f aca="false">COUNTIFS(Trades!$D$2:$D$884,$A259,Trades!$Z$2:$Z$884,"Loss")</f>
        <v>1</v>
      </c>
      <c r="E259" s="29" t="n">
        <f aca="false">IFERROR(C259/B259,0)</f>
        <v>0</v>
      </c>
      <c r="F259" s="30" t="n">
        <f aca="false">SUMIFS(Trades!$X$2:$X$884,Trades!$D$2:$D$884,$A259)</f>
        <v>-60.65</v>
      </c>
      <c r="G259" s="30" t="n">
        <f aca="false">SUMIFS(Trades!$X$2:$X$884,Trades!$D$2:$D$884,$A259,Trades!$X$2:$X$884,"&gt;0")</f>
        <v>0</v>
      </c>
      <c r="H259" s="30" t="n">
        <f aca="false">SUMIFS(Trades!$X$2:$X$884,Trades!$D$2:$D$884,$A259,Trades!$X$2:$X$884,"&lt;0")</f>
        <v>-60.65</v>
      </c>
      <c r="I259" s="31" t="n">
        <f aca="false">IFERROR(G259/-H259,"no loss")</f>
        <v>0</v>
      </c>
      <c r="J259" s="30" t="n">
        <f aca="false">_xlfn.MAXIFS(Trades!$X$2:$X$884,Trades!$D$2:$D$884,$A259)</f>
        <v>-60.65</v>
      </c>
      <c r="K259" s="30" t="n">
        <f aca="false">_xlfn.MINIFS(Trades!$X$2:$X$884,Trades!$D$2:$D$884,$A259)</f>
        <v>-60.65</v>
      </c>
      <c r="L259" s="32" t="n">
        <f aca="false">SUMIFS(Trades!$Y$2:$Y$884,Trades!$D$2:$D$884,$A259)</f>
        <v>-0.999999999999916</v>
      </c>
      <c r="M259" s="30" t="n">
        <f aca="false">P258</f>
        <v>105383.13</v>
      </c>
      <c r="N259" s="29" t="n">
        <f aca="false">IFERROR(F259/M259,0)</f>
        <v>-0.000575519060783258</v>
      </c>
      <c r="O259" s="28" t="str">
        <f aca="false">IF(-N259&gt;=Summary!$C$7,"BREACH","")</f>
        <v/>
      </c>
      <c r="P259" s="30" t="n">
        <f aca="false">M259+F259</f>
        <v>105322.48</v>
      </c>
      <c r="Q259" s="30" t="n">
        <f aca="false">P259-Summary!$C$5</f>
        <v>5322.48000000007</v>
      </c>
      <c r="R259" s="2" t="str">
        <f aca="false">TEXT(A259,"ddd")</f>
        <v>Wed</v>
      </c>
    </row>
    <row r="260" customFormat="false" ht="15" hidden="false" customHeight="false" outlineLevel="0" collapsed="false">
      <c r="A260" s="42" t="n">
        <v>45442</v>
      </c>
      <c r="B260" s="28" t="n">
        <f aca="false">COUNTIFS(Trades!$D$2:$D$884,$A260)</f>
        <v>1</v>
      </c>
      <c r="C260" s="28" t="n">
        <f aca="false">COUNTIFS(Trades!$D$2:$D$884,$A260,Trades!$Z$2:$Z$884,"Win")</f>
        <v>1</v>
      </c>
      <c r="D260" s="28" t="n">
        <f aca="false">COUNTIFS(Trades!$D$2:$D$884,$A260,Trades!$Z$2:$Z$884,"Loss")</f>
        <v>0</v>
      </c>
      <c r="E260" s="29" t="n">
        <f aca="false">IFERROR(C260/B260,0)</f>
        <v>1</v>
      </c>
      <c r="F260" s="30" t="n">
        <f aca="false">SUMIFS(Trades!$X$2:$X$884,Trades!$D$2:$D$884,$A260)</f>
        <v>190.6</v>
      </c>
      <c r="G260" s="30" t="n">
        <f aca="false">SUMIFS(Trades!$X$2:$X$884,Trades!$D$2:$D$884,$A260,Trades!$X$2:$X$884,"&gt;0")</f>
        <v>190.6</v>
      </c>
      <c r="H260" s="30" t="n">
        <f aca="false">SUMIFS(Trades!$X$2:$X$884,Trades!$D$2:$D$884,$A260,Trades!$X$2:$X$884,"&lt;0")</f>
        <v>0</v>
      </c>
      <c r="I260" s="31" t="str">
        <f aca="false">IFERROR(G260/-H260,"no loss")</f>
        <v>no loss</v>
      </c>
      <c r="J260" s="30" t="n">
        <f aca="false">_xlfn.MAXIFS(Trades!$X$2:$X$884,Trades!$D$2:$D$884,$A260)</f>
        <v>190.6</v>
      </c>
      <c r="K260" s="30" t="n">
        <f aca="false">_xlfn.MINIFS(Trades!$X$2:$X$884,Trades!$D$2:$D$884,$A260)</f>
        <v>190.6</v>
      </c>
      <c r="L260" s="32" t="n">
        <f aca="false">SUMIFS(Trades!$Y$2:$Y$884,Trades!$D$2:$D$884,$A260)</f>
        <v>2.12131329994421</v>
      </c>
      <c r="M260" s="30" t="n">
        <f aca="false">P259</f>
        <v>105322.48</v>
      </c>
      <c r="N260" s="29" t="n">
        <f aca="false">IFERROR(F260/M260,0)</f>
        <v>0.00180968013666218</v>
      </c>
      <c r="O260" s="28" t="str">
        <f aca="false">IF(-N260&gt;=Summary!$C$7,"BREACH","")</f>
        <v/>
      </c>
      <c r="P260" s="30" t="n">
        <f aca="false">M260+F260</f>
        <v>105513.08</v>
      </c>
      <c r="Q260" s="30" t="n">
        <f aca="false">P260-Summary!$C$5</f>
        <v>5513.08000000007</v>
      </c>
      <c r="R260" s="2" t="str">
        <f aca="false">TEXT(A260,"ddd")</f>
        <v>Thu</v>
      </c>
    </row>
    <row r="261" customFormat="false" ht="15" hidden="false" customHeight="false" outlineLevel="0" collapsed="false">
      <c r="A261" s="42" t="n">
        <v>45443</v>
      </c>
      <c r="B261" s="28" t="n">
        <f aca="false">COUNTIFS(Trades!$D$2:$D$884,$A261)</f>
        <v>1</v>
      </c>
      <c r="C261" s="28" t="n">
        <f aca="false">COUNTIFS(Trades!$D$2:$D$884,$A261,Trades!$Z$2:$Z$884,"Win")</f>
        <v>1</v>
      </c>
      <c r="D261" s="28" t="n">
        <f aca="false">COUNTIFS(Trades!$D$2:$D$884,$A261,Trades!$Z$2:$Z$884,"Loss")</f>
        <v>0</v>
      </c>
      <c r="E261" s="29" t="n">
        <f aca="false">IFERROR(C261/B261,0)</f>
        <v>1</v>
      </c>
      <c r="F261" s="30" t="n">
        <f aca="false">SUMIFS(Trades!$X$2:$X$884,Trades!$D$2:$D$884,$A261)</f>
        <v>122.35</v>
      </c>
      <c r="G261" s="30" t="n">
        <f aca="false">SUMIFS(Trades!$X$2:$X$884,Trades!$D$2:$D$884,$A261,Trades!$X$2:$X$884,"&gt;0")</f>
        <v>122.35</v>
      </c>
      <c r="H261" s="30" t="n">
        <f aca="false">SUMIFS(Trades!$X$2:$X$884,Trades!$D$2:$D$884,$A261,Trades!$X$2:$X$884,"&lt;0")</f>
        <v>0</v>
      </c>
      <c r="I261" s="31" t="str">
        <f aca="false">IFERROR(G261/-H261,"no loss")</f>
        <v>no loss</v>
      </c>
      <c r="J261" s="30" t="n">
        <f aca="false">_xlfn.MAXIFS(Trades!$X$2:$X$884,Trades!$D$2:$D$884,$A261)</f>
        <v>122.35</v>
      </c>
      <c r="K261" s="30" t="n">
        <f aca="false">_xlfn.MINIFS(Trades!$X$2:$X$884,Trades!$D$2:$D$884,$A261)</f>
        <v>122.35</v>
      </c>
      <c r="L261" s="32" t="n">
        <f aca="false">SUMIFS(Trades!$Y$2:$Y$884,Trades!$D$2:$D$884,$A261)</f>
        <v>2.0024549918165</v>
      </c>
      <c r="M261" s="30" t="n">
        <f aca="false">P260</f>
        <v>105513.08</v>
      </c>
      <c r="N261" s="29" t="n">
        <f aca="false">IFERROR(F261/M261,0)</f>
        <v>0.00115957187488035</v>
      </c>
      <c r="O261" s="28" t="str">
        <f aca="false">IF(-N261&gt;=Summary!$C$7,"BREACH","")</f>
        <v/>
      </c>
      <c r="P261" s="30" t="n">
        <f aca="false">M261+F261</f>
        <v>105635.43</v>
      </c>
      <c r="Q261" s="30" t="n">
        <f aca="false">P261-Summary!$C$5</f>
        <v>5635.43000000008</v>
      </c>
      <c r="R261" s="2" t="str">
        <f aca="false">TEXT(A261,"ddd")</f>
        <v>Fri</v>
      </c>
    </row>
    <row r="262" customFormat="false" ht="15" hidden="false" customHeight="false" outlineLevel="0" collapsed="false">
      <c r="A262" s="42" t="n">
        <v>45446</v>
      </c>
      <c r="B262" s="28" t="n">
        <f aca="false">COUNTIFS(Trades!$D$2:$D$884,$A262)</f>
        <v>1</v>
      </c>
      <c r="C262" s="28" t="n">
        <f aca="false">COUNTIFS(Trades!$D$2:$D$884,$A262,Trades!$Z$2:$Z$884,"Win")</f>
        <v>0</v>
      </c>
      <c r="D262" s="28" t="n">
        <f aca="false">COUNTIFS(Trades!$D$2:$D$884,$A262,Trades!$Z$2:$Z$884,"Loss")</f>
        <v>1</v>
      </c>
      <c r="E262" s="29" t="n">
        <f aca="false">IFERROR(C262/B262,0)</f>
        <v>0</v>
      </c>
      <c r="F262" s="30" t="n">
        <f aca="false">SUMIFS(Trades!$X$2:$X$884,Trades!$D$2:$D$884,$A262)</f>
        <v>-4.95</v>
      </c>
      <c r="G262" s="30" t="n">
        <f aca="false">SUMIFS(Trades!$X$2:$X$884,Trades!$D$2:$D$884,$A262,Trades!$X$2:$X$884,"&gt;0")</f>
        <v>0</v>
      </c>
      <c r="H262" s="30" t="n">
        <f aca="false">SUMIFS(Trades!$X$2:$X$884,Trades!$D$2:$D$884,$A262,Trades!$X$2:$X$884,"&lt;0")</f>
        <v>-4.95</v>
      </c>
      <c r="I262" s="31" t="n">
        <f aca="false">IFERROR(G262/-H262,"no loss")</f>
        <v>0</v>
      </c>
      <c r="J262" s="30" t="n">
        <f aca="false">_xlfn.MAXIFS(Trades!$X$2:$X$884,Trades!$D$2:$D$884,$A262)</f>
        <v>-4.95</v>
      </c>
      <c r="K262" s="30" t="n">
        <f aca="false">_xlfn.MINIFS(Trades!$X$2:$X$884,Trades!$D$2:$D$884,$A262)</f>
        <v>-4.95</v>
      </c>
      <c r="L262" s="32" t="n">
        <f aca="false">SUMIFS(Trades!$Y$2:$Y$884,Trades!$D$2:$D$884,$A262)</f>
        <v>-0.146884272996998</v>
      </c>
      <c r="M262" s="30" t="n">
        <f aca="false">P261</f>
        <v>105635.43</v>
      </c>
      <c r="N262" s="29" t="n">
        <f aca="false">IFERROR(F262/M262,0)</f>
        <v>-4.68592781796789E-005</v>
      </c>
      <c r="O262" s="28" t="str">
        <f aca="false">IF(-N262&gt;=Summary!$C$7,"BREACH","")</f>
        <v/>
      </c>
      <c r="P262" s="30" t="n">
        <f aca="false">M262+F262</f>
        <v>105630.48</v>
      </c>
      <c r="Q262" s="30" t="n">
        <f aca="false">P262-Summary!$C$5</f>
        <v>5630.48000000008</v>
      </c>
      <c r="R262" s="2" t="str">
        <f aca="false">TEXT(A262,"ddd")</f>
        <v>Mon</v>
      </c>
    </row>
    <row r="263" customFormat="false" ht="15" hidden="false" customHeight="false" outlineLevel="0" collapsed="false">
      <c r="A263" s="42" t="n">
        <v>45448</v>
      </c>
      <c r="B263" s="28" t="n">
        <f aca="false">COUNTIFS(Trades!$D$2:$D$884,$A263)</f>
        <v>1</v>
      </c>
      <c r="C263" s="28" t="n">
        <f aca="false">COUNTIFS(Trades!$D$2:$D$884,$A263,Trades!$Z$2:$Z$884,"Win")</f>
        <v>0</v>
      </c>
      <c r="D263" s="28" t="n">
        <f aca="false">COUNTIFS(Trades!$D$2:$D$884,$A263,Trades!$Z$2:$Z$884,"Loss")</f>
        <v>0</v>
      </c>
      <c r="E263" s="29" t="n">
        <f aca="false">IFERROR(C263/B263,0)</f>
        <v>0</v>
      </c>
      <c r="F263" s="30" t="n">
        <f aca="false">SUMIFS(Trades!$X$2:$X$884,Trades!$D$2:$D$884,$A263)</f>
        <v>0</v>
      </c>
      <c r="G263" s="30" t="n">
        <f aca="false">SUMIFS(Trades!$X$2:$X$884,Trades!$D$2:$D$884,$A263,Trades!$X$2:$X$884,"&gt;0")</f>
        <v>0</v>
      </c>
      <c r="H263" s="30" t="n">
        <f aca="false">SUMIFS(Trades!$X$2:$X$884,Trades!$D$2:$D$884,$A263,Trades!$X$2:$X$884,"&lt;0")</f>
        <v>0</v>
      </c>
      <c r="I263" s="31" t="str">
        <f aca="false">IFERROR(G263/-H263,"no loss")</f>
        <v>no loss</v>
      </c>
      <c r="J263" s="30" t="n">
        <f aca="false">_xlfn.MAXIFS(Trades!$X$2:$X$884,Trades!$D$2:$D$884,$A263)</f>
        <v>0</v>
      </c>
      <c r="K263" s="30" t="n">
        <f aca="false">_xlfn.MINIFS(Trades!$X$2:$X$884,Trades!$D$2:$D$884,$A263)</f>
        <v>0</v>
      </c>
      <c r="L263" s="32" t="n">
        <f aca="false">SUMIFS(Trades!$Y$2:$Y$884,Trades!$D$2:$D$884,$A263)</f>
        <v>0</v>
      </c>
      <c r="M263" s="30" t="n">
        <f aca="false">P262</f>
        <v>105630.48</v>
      </c>
      <c r="N263" s="29" t="n">
        <f aca="false">IFERROR(F263/M263,0)</f>
        <v>0</v>
      </c>
      <c r="O263" s="28" t="str">
        <f aca="false">IF(-N263&gt;=Summary!$C$7,"BREACH","")</f>
        <v/>
      </c>
      <c r="P263" s="30" t="n">
        <f aca="false">M263+F263</f>
        <v>105630.48</v>
      </c>
      <c r="Q263" s="30" t="n">
        <f aca="false">P263-Summary!$C$5</f>
        <v>5630.48000000008</v>
      </c>
      <c r="R263" s="2" t="str">
        <f aca="false">TEXT(A263,"ddd")</f>
        <v>Wed</v>
      </c>
    </row>
    <row r="264" customFormat="false" ht="15" hidden="false" customHeight="false" outlineLevel="0" collapsed="false">
      <c r="A264" s="42" t="n">
        <v>45449</v>
      </c>
      <c r="B264" s="28" t="n">
        <f aca="false">COUNTIFS(Trades!$D$2:$D$884,$A264)</f>
        <v>1</v>
      </c>
      <c r="C264" s="28" t="n">
        <f aca="false">COUNTIFS(Trades!$D$2:$D$884,$A264,Trades!$Z$2:$Z$884,"Win")</f>
        <v>1</v>
      </c>
      <c r="D264" s="28" t="n">
        <f aca="false">COUNTIFS(Trades!$D$2:$D$884,$A264,Trades!$Z$2:$Z$884,"Loss")</f>
        <v>0</v>
      </c>
      <c r="E264" s="29" t="n">
        <f aca="false">IFERROR(C264/B264,0)</f>
        <v>1</v>
      </c>
      <c r="F264" s="30" t="n">
        <f aca="false">SUMIFS(Trades!$X$2:$X$884,Trades!$D$2:$D$884,$A264)</f>
        <v>103.92</v>
      </c>
      <c r="G264" s="30" t="n">
        <f aca="false">SUMIFS(Trades!$X$2:$X$884,Trades!$D$2:$D$884,$A264,Trades!$X$2:$X$884,"&gt;0")</f>
        <v>103.92</v>
      </c>
      <c r="H264" s="30" t="n">
        <f aca="false">SUMIFS(Trades!$X$2:$X$884,Trades!$D$2:$D$884,$A264,Trades!$X$2:$X$884,"&lt;0")</f>
        <v>0</v>
      </c>
      <c r="I264" s="31" t="str">
        <f aca="false">IFERROR(G264/-H264,"no loss")</f>
        <v>no loss</v>
      </c>
      <c r="J264" s="30" t="n">
        <f aca="false">_xlfn.MAXIFS(Trades!$X$2:$X$884,Trades!$D$2:$D$884,$A264)</f>
        <v>103.92</v>
      </c>
      <c r="K264" s="30" t="n">
        <f aca="false">_xlfn.MINIFS(Trades!$X$2:$X$884,Trades!$D$2:$D$884,$A264)</f>
        <v>103.92</v>
      </c>
      <c r="L264" s="32" t="n">
        <f aca="false">SUMIFS(Trades!$Y$2:$Y$884,Trades!$D$2:$D$884,$A264)</f>
        <v>2.00648748841504</v>
      </c>
      <c r="M264" s="30" t="n">
        <f aca="false">P263</f>
        <v>105630.48</v>
      </c>
      <c r="N264" s="29" t="n">
        <f aca="false">IFERROR(F264/M264,0)</f>
        <v>0.000983806946631312</v>
      </c>
      <c r="O264" s="28" t="str">
        <f aca="false">IF(-N264&gt;=Summary!$C$7,"BREACH","")</f>
        <v/>
      </c>
      <c r="P264" s="30" t="n">
        <f aca="false">M264+F264</f>
        <v>105734.4</v>
      </c>
      <c r="Q264" s="30" t="n">
        <f aca="false">P264-Summary!$C$5</f>
        <v>5734.40000000008</v>
      </c>
      <c r="R264" s="2" t="str">
        <f aca="false">TEXT(A264,"ddd")</f>
        <v>Thu</v>
      </c>
    </row>
    <row r="265" customFormat="false" ht="15" hidden="false" customHeight="false" outlineLevel="0" collapsed="false">
      <c r="A265" s="42" t="n">
        <v>45450</v>
      </c>
      <c r="B265" s="28" t="n">
        <f aca="false">COUNTIFS(Trades!$D$2:$D$884,$A265)</f>
        <v>2</v>
      </c>
      <c r="C265" s="28" t="n">
        <f aca="false">COUNTIFS(Trades!$D$2:$D$884,$A265,Trades!$Z$2:$Z$884,"Win")</f>
        <v>0</v>
      </c>
      <c r="D265" s="28" t="n">
        <f aca="false">COUNTIFS(Trades!$D$2:$D$884,$A265,Trades!$Z$2:$Z$884,"Loss")</f>
        <v>2</v>
      </c>
      <c r="E265" s="29" t="n">
        <f aca="false">IFERROR(C265/B265,0)</f>
        <v>0</v>
      </c>
      <c r="F265" s="30" t="n">
        <f aca="false">SUMIFS(Trades!$X$2:$X$884,Trades!$D$2:$D$884,$A265)</f>
        <v>-78.86</v>
      </c>
      <c r="G265" s="30" t="n">
        <f aca="false">SUMIFS(Trades!$X$2:$X$884,Trades!$D$2:$D$884,$A265,Trades!$X$2:$X$884,"&gt;0")</f>
        <v>0</v>
      </c>
      <c r="H265" s="30" t="n">
        <f aca="false">SUMIFS(Trades!$X$2:$X$884,Trades!$D$2:$D$884,$A265,Trades!$X$2:$X$884,"&lt;0")</f>
        <v>-78.86</v>
      </c>
      <c r="I265" s="31" t="n">
        <f aca="false">IFERROR(G265/-H265,"no loss")</f>
        <v>0</v>
      </c>
      <c r="J265" s="30" t="n">
        <f aca="false">_xlfn.MAXIFS(Trades!$X$2:$X$884,Trades!$D$2:$D$884,$A265)</f>
        <v>-4.6</v>
      </c>
      <c r="K265" s="30" t="n">
        <f aca="false">_xlfn.MINIFS(Trades!$X$2:$X$884,Trades!$D$2:$D$884,$A265)</f>
        <v>-74.26</v>
      </c>
      <c r="L265" s="32" t="n">
        <f aca="false">SUMIFS(Trades!$Y$2:$Y$884,Trades!$D$2:$D$884,$A265)</f>
        <v>-1.0603443106878</v>
      </c>
      <c r="M265" s="30" t="n">
        <f aca="false">P264</f>
        <v>105734.4</v>
      </c>
      <c r="N265" s="29" t="n">
        <f aca="false">IFERROR(F265/M265,0)</f>
        <v>-0.000745831063494945</v>
      </c>
      <c r="O265" s="28" t="str">
        <f aca="false">IF(-N265&gt;=Summary!$C$7,"BREACH","")</f>
        <v/>
      </c>
      <c r="P265" s="30" t="n">
        <f aca="false">M265+F265</f>
        <v>105655.54</v>
      </c>
      <c r="Q265" s="30" t="n">
        <f aca="false">P265-Summary!$C$5</f>
        <v>5655.54000000008</v>
      </c>
      <c r="R265" s="2" t="str">
        <f aca="false">TEXT(A265,"ddd")</f>
        <v>Fri</v>
      </c>
    </row>
    <row r="266" customFormat="false" ht="15" hidden="false" customHeight="false" outlineLevel="0" collapsed="false">
      <c r="A266" s="42" t="n">
        <v>45454</v>
      </c>
      <c r="B266" s="28" t="n">
        <f aca="false">COUNTIFS(Trades!$D$2:$D$884,$A266)</f>
        <v>1</v>
      </c>
      <c r="C266" s="28" t="n">
        <f aca="false">COUNTIFS(Trades!$D$2:$D$884,$A266,Trades!$Z$2:$Z$884,"Win")</f>
        <v>0</v>
      </c>
      <c r="D266" s="28" t="n">
        <f aca="false">COUNTIFS(Trades!$D$2:$D$884,$A266,Trades!$Z$2:$Z$884,"Loss")</f>
        <v>1</v>
      </c>
      <c r="E266" s="29" t="n">
        <f aca="false">IFERROR(C266/B266,0)</f>
        <v>0</v>
      </c>
      <c r="F266" s="30" t="n">
        <f aca="false">SUMIFS(Trades!$X$2:$X$884,Trades!$D$2:$D$884,$A266)</f>
        <v>-78.29</v>
      </c>
      <c r="G266" s="30" t="n">
        <f aca="false">SUMIFS(Trades!$X$2:$X$884,Trades!$D$2:$D$884,$A266,Trades!$X$2:$X$884,"&gt;0")</f>
        <v>0</v>
      </c>
      <c r="H266" s="30" t="n">
        <f aca="false">SUMIFS(Trades!$X$2:$X$884,Trades!$D$2:$D$884,$A266,Trades!$X$2:$X$884,"&lt;0")</f>
        <v>-78.29</v>
      </c>
      <c r="I266" s="31" t="n">
        <f aca="false">IFERROR(G266/-H266,"no loss")</f>
        <v>0</v>
      </c>
      <c r="J266" s="30" t="n">
        <f aca="false">_xlfn.MAXIFS(Trades!$X$2:$X$884,Trades!$D$2:$D$884,$A266)</f>
        <v>-78.29</v>
      </c>
      <c r="K266" s="30" t="n">
        <f aca="false">_xlfn.MINIFS(Trades!$X$2:$X$884,Trades!$D$2:$D$884,$A266)</f>
        <v>-78.29</v>
      </c>
      <c r="L266" s="32" t="n">
        <f aca="false">SUMIFS(Trades!$Y$2:$Y$884,Trades!$D$2:$D$884,$A266)</f>
        <v>-1.00002554669929</v>
      </c>
      <c r="M266" s="30" t="n">
        <f aca="false">P265</f>
        <v>105655.54</v>
      </c>
      <c r="N266" s="29" t="n">
        <f aca="false">IFERROR(F266/M266,0)</f>
        <v>-0.000740992852812072</v>
      </c>
      <c r="O266" s="28" t="str">
        <f aca="false">IF(-N266&gt;=Summary!$C$7,"BREACH","")</f>
        <v/>
      </c>
      <c r="P266" s="30" t="n">
        <f aca="false">M266+F266</f>
        <v>105577.25</v>
      </c>
      <c r="Q266" s="30" t="n">
        <f aca="false">P266-Summary!$C$5</f>
        <v>5577.25000000009</v>
      </c>
      <c r="R266" s="2" t="str">
        <f aca="false">TEXT(A266,"ddd")</f>
        <v>Tue</v>
      </c>
    </row>
    <row r="267" customFormat="false" ht="15" hidden="false" customHeight="false" outlineLevel="0" collapsed="false">
      <c r="A267" s="42" t="n">
        <v>45455</v>
      </c>
      <c r="B267" s="28" t="n">
        <f aca="false">COUNTIFS(Trades!$D$2:$D$884,$A267)</f>
        <v>1</v>
      </c>
      <c r="C267" s="28" t="n">
        <f aca="false">COUNTIFS(Trades!$D$2:$D$884,$A267,Trades!$Z$2:$Z$884,"Win")</f>
        <v>1</v>
      </c>
      <c r="D267" s="28" t="n">
        <f aca="false">COUNTIFS(Trades!$D$2:$D$884,$A267,Trades!$Z$2:$Z$884,"Loss")</f>
        <v>0</v>
      </c>
      <c r="E267" s="29" t="n">
        <f aca="false">IFERROR(C267/B267,0)</f>
        <v>1</v>
      </c>
      <c r="F267" s="30" t="n">
        <f aca="false">SUMIFS(Trades!$X$2:$X$884,Trades!$D$2:$D$884,$A267)</f>
        <v>37.49</v>
      </c>
      <c r="G267" s="30" t="n">
        <f aca="false">SUMIFS(Trades!$X$2:$X$884,Trades!$D$2:$D$884,$A267,Trades!$X$2:$X$884,"&gt;0")</f>
        <v>37.49</v>
      </c>
      <c r="H267" s="30" t="n">
        <f aca="false">SUMIFS(Trades!$X$2:$X$884,Trades!$D$2:$D$884,$A267,Trades!$X$2:$X$884,"&lt;0")</f>
        <v>0</v>
      </c>
      <c r="I267" s="31" t="str">
        <f aca="false">IFERROR(G267/-H267,"no loss")</f>
        <v>no loss</v>
      </c>
      <c r="J267" s="30" t="n">
        <f aca="false">_xlfn.MAXIFS(Trades!$X$2:$X$884,Trades!$D$2:$D$884,$A267)</f>
        <v>37.49</v>
      </c>
      <c r="K267" s="30" t="n">
        <f aca="false">_xlfn.MINIFS(Trades!$X$2:$X$884,Trades!$D$2:$D$884,$A267)</f>
        <v>37.49</v>
      </c>
      <c r="L267" s="32" t="n">
        <f aca="false">SUMIFS(Trades!$Y$2:$Y$884,Trades!$D$2:$D$884,$A267)</f>
        <v>2.09957437276125</v>
      </c>
      <c r="M267" s="30" t="n">
        <f aca="false">P266</f>
        <v>105577.25</v>
      </c>
      <c r="N267" s="29" t="n">
        <f aca="false">IFERROR(F267/M267,0)</f>
        <v>0.000355095439595178</v>
      </c>
      <c r="O267" s="28" t="str">
        <f aca="false">IF(-N267&gt;=Summary!$C$7,"BREACH","")</f>
        <v/>
      </c>
      <c r="P267" s="30" t="n">
        <f aca="false">M267+F267</f>
        <v>105614.74</v>
      </c>
      <c r="Q267" s="30" t="n">
        <f aca="false">P267-Summary!$C$5</f>
        <v>5614.74000000009</v>
      </c>
      <c r="R267" s="2" t="str">
        <f aca="false">TEXT(A267,"ddd")</f>
        <v>Wed</v>
      </c>
    </row>
    <row r="268" customFormat="false" ht="15" hidden="false" customHeight="false" outlineLevel="0" collapsed="false">
      <c r="A268" s="42" t="n">
        <v>45456</v>
      </c>
      <c r="B268" s="28" t="n">
        <f aca="false">COUNTIFS(Trades!$D$2:$D$884,$A268)</f>
        <v>1</v>
      </c>
      <c r="C268" s="28" t="n">
        <f aca="false">COUNTIFS(Trades!$D$2:$D$884,$A268,Trades!$Z$2:$Z$884,"Win")</f>
        <v>1</v>
      </c>
      <c r="D268" s="28" t="n">
        <f aca="false">COUNTIFS(Trades!$D$2:$D$884,$A268,Trades!$Z$2:$Z$884,"Loss")</f>
        <v>0</v>
      </c>
      <c r="E268" s="29" t="n">
        <f aca="false">IFERROR(C268/B268,0)</f>
        <v>1</v>
      </c>
      <c r="F268" s="30" t="n">
        <f aca="false">SUMIFS(Trades!$X$2:$X$884,Trades!$D$2:$D$884,$A268)</f>
        <v>333.22</v>
      </c>
      <c r="G268" s="30" t="n">
        <f aca="false">SUMIFS(Trades!$X$2:$X$884,Trades!$D$2:$D$884,$A268,Trades!$X$2:$X$884,"&gt;0")</f>
        <v>333.22</v>
      </c>
      <c r="H268" s="30" t="n">
        <f aca="false">SUMIFS(Trades!$X$2:$X$884,Trades!$D$2:$D$884,$A268,Trades!$X$2:$X$884,"&lt;0")</f>
        <v>0</v>
      </c>
      <c r="I268" s="31" t="str">
        <f aca="false">IFERROR(G268/-H268,"no loss")</f>
        <v>no loss</v>
      </c>
      <c r="J268" s="30" t="n">
        <f aca="false">_xlfn.MAXIFS(Trades!$X$2:$X$884,Trades!$D$2:$D$884,$A268)</f>
        <v>333.22</v>
      </c>
      <c r="K268" s="30" t="n">
        <f aca="false">_xlfn.MINIFS(Trades!$X$2:$X$884,Trades!$D$2:$D$884,$A268)</f>
        <v>333.22</v>
      </c>
      <c r="L268" s="32" t="n">
        <f aca="false">SUMIFS(Trades!$Y$2:$Y$884,Trades!$D$2:$D$884,$A268)</f>
        <v>2.01103225183487</v>
      </c>
      <c r="M268" s="30" t="n">
        <f aca="false">P267</f>
        <v>105614.74</v>
      </c>
      <c r="N268" s="29" t="n">
        <f aca="false">IFERROR(F268/M268,0)</f>
        <v>0.00315505203156302</v>
      </c>
      <c r="O268" s="28" t="str">
        <f aca="false">IF(-N268&gt;=Summary!$C$7,"BREACH","")</f>
        <v/>
      </c>
      <c r="P268" s="30" t="n">
        <f aca="false">M268+F268</f>
        <v>105947.96</v>
      </c>
      <c r="Q268" s="30" t="n">
        <f aca="false">P268-Summary!$C$5</f>
        <v>5947.96000000009</v>
      </c>
      <c r="R268" s="2" t="str">
        <f aca="false">TEXT(A268,"ddd")</f>
        <v>Thu</v>
      </c>
    </row>
    <row r="269" customFormat="false" ht="15" hidden="false" customHeight="false" outlineLevel="0" collapsed="false">
      <c r="A269" s="42" t="n">
        <v>45460</v>
      </c>
      <c r="B269" s="28" t="n">
        <f aca="false">COUNTIFS(Trades!$D$2:$D$884,$A269)</f>
        <v>1</v>
      </c>
      <c r="C269" s="28" t="n">
        <f aca="false">COUNTIFS(Trades!$D$2:$D$884,$A269,Trades!$Z$2:$Z$884,"Win")</f>
        <v>1</v>
      </c>
      <c r="D269" s="28" t="n">
        <f aca="false">COUNTIFS(Trades!$D$2:$D$884,$A269,Trades!$Z$2:$Z$884,"Loss")</f>
        <v>0</v>
      </c>
      <c r="E269" s="29" t="n">
        <f aca="false">IFERROR(C269/B269,0)</f>
        <v>1</v>
      </c>
      <c r="F269" s="30" t="n">
        <f aca="false">SUMIFS(Trades!$X$2:$X$884,Trades!$D$2:$D$884,$A269)</f>
        <v>96.9</v>
      </c>
      <c r="G269" s="30" t="n">
        <f aca="false">SUMIFS(Trades!$X$2:$X$884,Trades!$D$2:$D$884,$A269,Trades!$X$2:$X$884,"&gt;0")</f>
        <v>96.9</v>
      </c>
      <c r="H269" s="30" t="n">
        <f aca="false">SUMIFS(Trades!$X$2:$X$884,Trades!$D$2:$D$884,$A269,Trades!$X$2:$X$884,"&lt;0")</f>
        <v>0</v>
      </c>
      <c r="I269" s="31" t="str">
        <f aca="false">IFERROR(G269/-H269,"no loss")</f>
        <v>no loss</v>
      </c>
      <c r="J269" s="30" t="n">
        <f aca="false">_xlfn.MAXIFS(Trades!$X$2:$X$884,Trades!$D$2:$D$884,$A269)</f>
        <v>96.9</v>
      </c>
      <c r="K269" s="30" t="n">
        <f aca="false">_xlfn.MINIFS(Trades!$X$2:$X$884,Trades!$D$2:$D$884,$A269)</f>
        <v>96.9</v>
      </c>
      <c r="L269" s="32" t="n">
        <f aca="false">SUMIFS(Trades!$Y$2:$Y$884,Trades!$D$2:$D$884,$A269)</f>
        <v>1.32812499999994</v>
      </c>
      <c r="M269" s="30" t="n">
        <f aca="false">P268</f>
        <v>105947.96</v>
      </c>
      <c r="N269" s="29" t="n">
        <f aca="false">IFERROR(F269/M269,0)</f>
        <v>0.000914599960206878</v>
      </c>
      <c r="O269" s="28" t="str">
        <f aca="false">IF(-N269&gt;=Summary!$C$7,"BREACH","")</f>
        <v/>
      </c>
      <c r="P269" s="30" t="n">
        <f aca="false">M269+F269</f>
        <v>106044.86</v>
      </c>
      <c r="Q269" s="30" t="n">
        <f aca="false">P269-Summary!$C$5</f>
        <v>6044.86000000009</v>
      </c>
      <c r="R269" s="2" t="str">
        <f aca="false">TEXT(A269,"ddd")</f>
        <v>Mon</v>
      </c>
    </row>
    <row r="270" customFormat="false" ht="15" hidden="false" customHeight="false" outlineLevel="0" collapsed="false">
      <c r="A270" s="42" t="n">
        <v>45463</v>
      </c>
      <c r="B270" s="28" t="n">
        <f aca="false">COUNTIFS(Trades!$D$2:$D$884,$A270)</f>
        <v>2</v>
      </c>
      <c r="C270" s="28" t="n">
        <f aca="false">COUNTIFS(Trades!$D$2:$D$884,$A270,Trades!$Z$2:$Z$884,"Win")</f>
        <v>0</v>
      </c>
      <c r="D270" s="28" t="n">
        <f aca="false">COUNTIFS(Trades!$D$2:$D$884,$A270,Trades!$Z$2:$Z$884,"Loss")</f>
        <v>2</v>
      </c>
      <c r="E270" s="29" t="n">
        <f aca="false">IFERROR(C270/B270,0)</f>
        <v>0</v>
      </c>
      <c r="F270" s="30" t="n">
        <f aca="false">SUMIFS(Trades!$X$2:$X$884,Trades!$D$2:$D$884,$A270)</f>
        <v>-117.85</v>
      </c>
      <c r="G270" s="30" t="n">
        <f aca="false">SUMIFS(Trades!$X$2:$X$884,Trades!$D$2:$D$884,$A270,Trades!$X$2:$X$884,"&gt;0")</f>
        <v>0</v>
      </c>
      <c r="H270" s="30" t="n">
        <f aca="false">SUMIFS(Trades!$X$2:$X$884,Trades!$D$2:$D$884,$A270,Trades!$X$2:$X$884,"&lt;0")</f>
        <v>-117.85</v>
      </c>
      <c r="I270" s="31" t="n">
        <f aca="false">IFERROR(G270/-H270,"no loss")</f>
        <v>0</v>
      </c>
      <c r="J270" s="30" t="n">
        <f aca="false">_xlfn.MAXIFS(Trades!$X$2:$X$884,Trades!$D$2:$D$884,$A270)</f>
        <v>-2.3</v>
      </c>
      <c r="K270" s="30" t="n">
        <f aca="false">_xlfn.MINIFS(Trades!$X$2:$X$884,Trades!$D$2:$D$884,$A270)</f>
        <v>-115.55</v>
      </c>
      <c r="L270" s="32" t="n">
        <f aca="false">SUMIFS(Trades!$Y$2:$Y$884,Trades!$D$2:$D$884,$A270)</f>
        <v>-1.18327547792586</v>
      </c>
      <c r="M270" s="30" t="n">
        <f aca="false">P269</f>
        <v>106044.86</v>
      </c>
      <c r="N270" s="29" t="n">
        <f aca="false">IFERROR(F270/M270,0)</f>
        <v>-0.0011113221329162</v>
      </c>
      <c r="O270" s="28" t="str">
        <f aca="false">IF(-N270&gt;=Summary!$C$7,"BREACH","")</f>
        <v/>
      </c>
      <c r="P270" s="30" t="n">
        <f aca="false">M270+F270</f>
        <v>105927.01</v>
      </c>
      <c r="Q270" s="30" t="n">
        <f aca="false">P270-Summary!$C$5</f>
        <v>5927.01000000008</v>
      </c>
      <c r="R270" s="2" t="str">
        <f aca="false">TEXT(A270,"ddd")</f>
        <v>Thu</v>
      </c>
    </row>
    <row r="271" customFormat="false" ht="15" hidden="false" customHeight="false" outlineLevel="0" collapsed="false">
      <c r="A271" s="42" t="n">
        <v>45464</v>
      </c>
      <c r="B271" s="28" t="n">
        <f aca="false">COUNTIFS(Trades!$D$2:$D$884,$A271)</f>
        <v>1</v>
      </c>
      <c r="C271" s="28" t="n">
        <f aca="false">COUNTIFS(Trades!$D$2:$D$884,$A271,Trades!$Z$2:$Z$884,"Win")</f>
        <v>0</v>
      </c>
      <c r="D271" s="28" t="n">
        <f aca="false">COUNTIFS(Trades!$D$2:$D$884,$A271,Trades!$Z$2:$Z$884,"Loss")</f>
        <v>1</v>
      </c>
      <c r="E271" s="29" t="n">
        <f aca="false">IFERROR(C271/B271,0)</f>
        <v>0</v>
      </c>
      <c r="F271" s="30" t="n">
        <f aca="false">SUMIFS(Trades!$X$2:$X$884,Trades!$D$2:$D$884,$A271)</f>
        <v>-69.84</v>
      </c>
      <c r="G271" s="30" t="n">
        <f aca="false">SUMIFS(Trades!$X$2:$X$884,Trades!$D$2:$D$884,$A271,Trades!$X$2:$X$884,"&gt;0")</f>
        <v>0</v>
      </c>
      <c r="H271" s="30" t="n">
        <f aca="false">SUMIFS(Trades!$X$2:$X$884,Trades!$D$2:$D$884,$A271,Trades!$X$2:$X$884,"&lt;0")</f>
        <v>-69.84</v>
      </c>
      <c r="I271" s="31" t="n">
        <f aca="false">IFERROR(G271/-H271,"no loss")</f>
        <v>0</v>
      </c>
      <c r="J271" s="30" t="n">
        <f aca="false">_xlfn.MAXIFS(Trades!$X$2:$X$884,Trades!$D$2:$D$884,$A271)</f>
        <v>-69.84</v>
      </c>
      <c r="K271" s="30" t="n">
        <f aca="false">_xlfn.MINIFS(Trades!$X$2:$X$884,Trades!$D$2:$D$884,$A271)</f>
        <v>-69.84</v>
      </c>
      <c r="L271" s="32" t="n">
        <f aca="false">SUMIFS(Trades!$Y$2:$Y$884,Trades!$D$2:$D$884,$A271)</f>
        <v>-1.00761772853169</v>
      </c>
      <c r="M271" s="30" t="n">
        <f aca="false">P270</f>
        <v>105927.01</v>
      </c>
      <c r="N271" s="29" t="n">
        <f aca="false">IFERROR(F271/M271,0)</f>
        <v>-0.0006593219236529</v>
      </c>
      <c r="O271" s="28" t="str">
        <f aca="false">IF(-N271&gt;=Summary!$C$7,"BREACH","")</f>
        <v/>
      </c>
      <c r="P271" s="30" t="n">
        <f aca="false">M271+F271</f>
        <v>105857.17</v>
      </c>
      <c r="Q271" s="30" t="n">
        <f aca="false">P271-Summary!$C$5</f>
        <v>5857.17000000009</v>
      </c>
      <c r="R271" s="2" t="str">
        <f aca="false">TEXT(A271,"ddd")</f>
        <v>Fri</v>
      </c>
    </row>
    <row r="272" customFormat="false" ht="15" hidden="false" customHeight="false" outlineLevel="0" collapsed="false">
      <c r="A272" s="42" t="n">
        <v>45467</v>
      </c>
      <c r="B272" s="28" t="n">
        <f aca="false">COUNTIFS(Trades!$D$2:$D$884,$A272)</f>
        <v>1</v>
      </c>
      <c r="C272" s="28" t="n">
        <f aca="false">COUNTIFS(Trades!$D$2:$D$884,$A272,Trades!$Z$2:$Z$884,"Win")</f>
        <v>0</v>
      </c>
      <c r="D272" s="28" t="n">
        <f aca="false">COUNTIFS(Trades!$D$2:$D$884,$A272,Trades!$Z$2:$Z$884,"Loss")</f>
        <v>1</v>
      </c>
      <c r="E272" s="29" t="n">
        <f aca="false">IFERROR(C272/B272,0)</f>
        <v>0</v>
      </c>
      <c r="F272" s="30" t="n">
        <f aca="false">SUMIFS(Trades!$X$2:$X$884,Trades!$D$2:$D$884,$A272)</f>
        <v>-0.1</v>
      </c>
      <c r="G272" s="30" t="n">
        <f aca="false">SUMIFS(Trades!$X$2:$X$884,Trades!$D$2:$D$884,$A272,Trades!$X$2:$X$884,"&gt;0")</f>
        <v>0</v>
      </c>
      <c r="H272" s="30" t="n">
        <f aca="false">SUMIFS(Trades!$X$2:$X$884,Trades!$D$2:$D$884,$A272,Trades!$X$2:$X$884,"&lt;0")</f>
        <v>-0.1</v>
      </c>
      <c r="I272" s="31" t="n">
        <f aca="false">IFERROR(G272/-H272,"no loss")</f>
        <v>0</v>
      </c>
      <c r="J272" s="30" t="n">
        <f aca="false">_xlfn.MAXIFS(Trades!$X$2:$X$884,Trades!$D$2:$D$884,$A272)</f>
        <v>-0.1</v>
      </c>
      <c r="K272" s="30" t="n">
        <f aca="false">_xlfn.MINIFS(Trades!$X$2:$X$884,Trades!$D$2:$D$884,$A272)</f>
        <v>-0.1</v>
      </c>
      <c r="L272" s="32" t="n">
        <f aca="false">SUMIFS(Trades!$Y$2:$Y$884,Trades!$D$2:$D$884,$A272)</f>
        <v>-0.00150096061479336</v>
      </c>
      <c r="M272" s="30" t="n">
        <f aca="false">P271</f>
        <v>105857.17</v>
      </c>
      <c r="N272" s="29" t="n">
        <f aca="false">IFERROR(F272/M272,0)</f>
        <v>-9.44669123499144E-007</v>
      </c>
      <c r="O272" s="28" t="str">
        <f aca="false">IF(-N272&gt;=Summary!$C$7,"BREACH","")</f>
        <v/>
      </c>
      <c r="P272" s="30" t="n">
        <f aca="false">M272+F272</f>
        <v>105857.07</v>
      </c>
      <c r="Q272" s="30" t="n">
        <f aca="false">P272-Summary!$C$5</f>
        <v>5857.07000000008</v>
      </c>
      <c r="R272" s="2" t="str">
        <f aca="false">TEXT(A272,"ddd")</f>
        <v>Mon</v>
      </c>
    </row>
    <row r="273" customFormat="false" ht="15" hidden="false" customHeight="false" outlineLevel="0" collapsed="false">
      <c r="A273" s="42" t="n">
        <v>45469</v>
      </c>
      <c r="B273" s="28" t="n">
        <f aca="false">COUNTIFS(Trades!$D$2:$D$884,$A273)</f>
        <v>1</v>
      </c>
      <c r="C273" s="28" t="n">
        <f aca="false">COUNTIFS(Trades!$D$2:$D$884,$A273,Trades!$Z$2:$Z$884,"Win")</f>
        <v>0</v>
      </c>
      <c r="D273" s="28" t="n">
        <f aca="false">COUNTIFS(Trades!$D$2:$D$884,$A273,Trades!$Z$2:$Z$884,"Loss")</f>
        <v>1</v>
      </c>
      <c r="E273" s="29" t="n">
        <f aca="false">IFERROR(C273/B273,0)</f>
        <v>0</v>
      </c>
      <c r="F273" s="30" t="n">
        <f aca="false">SUMIFS(Trades!$X$2:$X$884,Trades!$D$2:$D$884,$A273)</f>
        <v>-47.04</v>
      </c>
      <c r="G273" s="30" t="n">
        <f aca="false">SUMIFS(Trades!$X$2:$X$884,Trades!$D$2:$D$884,$A273,Trades!$X$2:$X$884,"&gt;0")</f>
        <v>0</v>
      </c>
      <c r="H273" s="30" t="n">
        <f aca="false">SUMIFS(Trades!$X$2:$X$884,Trades!$D$2:$D$884,$A273,Trades!$X$2:$X$884,"&lt;0")</f>
        <v>-47.04</v>
      </c>
      <c r="I273" s="31" t="n">
        <f aca="false">IFERROR(G273/-H273,"no loss")</f>
        <v>0</v>
      </c>
      <c r="J273" s="30" t="n">
        <f aca="false">_xlfn.MAXIFS(Trades!$X$2:$X$884,Trades!$D$2:$D$884,$A273)</f>
        <v>-47.04</v>
      </c>
      <c r="K273" s="30" t="n">
        <f aca="false">_xlfn.MINIFS(Trades!$X$2:$X$884,Trades!$D$2:$D$884,$A273)</f>
        <v>-47.04</v>
      </c>
      <c r="L273" s="32" t="n">
        <f aca="false">SUMIFS(Trades!$Y$2:$Y$884,Trades!$D$2:$D$884,$A273)</f>
        <v>-1.00926879505673</v>
      </c>
      <c r="M273" s="30" t="n">
        <f aca="false">P272</f>
        <v>105857.07</v>
      </c>
      <c r="N273" s="29" t="n">
        <f aca="false">IFERROR(F273/M273,0)</f>
        <v>-0.000444372775479238</v>
      </c>
      <c r="O273" s="28" t="str">
        <f aca="false">IF(-N273&gt;=Summary!$C$7,"BREACH","")</f>
        <v/>
      </c>
      <c r="P273" s="30" t="n">
        <f aca="false">M273+F273</f>
        <v>105810.03</v>
      </c>
      <c r="Q273" s="30" t="n">
        <f aca="false">P273-Summary!$C$5</f>
        <v>5810.03000000009</v>
      </c>
      <c r="R273" s="2" t="str">
        <f aca="false">TEXT(A273,"ddd")</f>
        <v>Wed</v>
      </c>
    </row>
    <row r="274" customFormat="false" ht="15" hidden="false" customHeight="false" outlineLevel="0" collapsed="false">
      <c r="A274" s="42" t="n">
        <v>45470</v>
      </c>
      <c r="B274" s="28" t="n">
        <f aca="false">COUNTIFS(Trades!$D$2:$D$884,$A274)</f>
        <v>2</v>
      </c>
      <c r="C274" s="28" t="n">
        <f aca="false">COUNTIFS(Trades!$D$2:$D$884,$A274,Trades!$Z$2:$Z$884,"Win")</f>
        <v>0</v>
      </c>
      <c r="D274" s="28" t="n">
        <f aca="false">COUNTIFS(Trades!$D$2:$D$884,$A274,Trades!$Z$2:$Z$884,"Loss")</f>
        <v>2</v>
      </c>
      <c r="E274" s="29" t="n">
        <f aca="false">IFERROR(C274/B274,0)</f>
        <v>0</v>
      </c>
      <c r="F274" s="30" t="n">
        <f aca="false">SUMIFS(Trades!$X$2:$X$884,Trades!$D$2:$D$884,$A274)</f>
        <v>-164.78</v>
      </c>
      <c r="G274" s="30" t="n">
        <f aca="false">SUMIFS(Trades!$X$2:$X$884,Trades!$D$2:$D$884,$A274,Trades!$X$2:$X$884,"&gt;0")</f>
        <v>0</v>
      </c>
      <c r="H274" s="30" t="n">
        <f aca="false">SUMIFS(Trades!$X$2:$X$884,Trades!$D$2:$D$884,$A274,Trades!$X$2:$X$884,"&lt;0")</f>
        <v>-164.78</v>
      </c>
      <c r="I274" s="31" t="n">
        <f aca="false">IFERROR(G274/-H274,"no loss")</f>
        <v>0</v>
      </c>
      <c r="J274" s="30" t="n">
        <f aca="false">_xlfn.MAXIFS(Trades!$X$2:$X$884,Trades!$D$2:$D$884,$A274)</f>
        <v>-0.24</v>
      </c>
      <c r="K274" s="30" t="n">
        <f aca="false">_xlfn.MINIFS(Trades!$X$2:$X$884,Trades!$D$2:$D$884,$A274)</f>
        <v>-164.54</v>
      </c>
      <c r="L274" s="32" t="n">
        <f aca="false">SUMIFS(Trades!$Y$2:$Y$884,Trades!$D$2:$D$884,$A274)</f>
        <v>-1.0121036572781</v>
      </c>
      <c r="M274" s="30" t="n">
        <f aca="false">P273</f>
        <v>105810.03</v>
      </c>
      <c r="N274" s="29" t="n">
        <f aca="false">IFERROR(F274/M274,0)</f>
        <v>-0.00155731928249146</v>
      </c>
      <c r="O274" s="28" t="str">
        <f aca="false">IF(-N274&gt;=Summary!$C$7,"BREACH","")</f>
        <v/>
      </c>
      <c r="P274" s="30" t="n">
        <f aca="false">M274+F274</f>
        <v>105645.25</v>
      </c>
      <c r="Q274" s="30" t="n">
        <f aca="false">P274-Summary!$C$5</f>
        <v>5645.25000000009</v>
      </c>
      <c r="R274" s="2" t="str">
        <f aca="false">TEXT(A274,"ddd")</f>
        <v>Thu</v>
      </c>
    </row>
    <row r="275" customFormat="false" ht="15" hidden="false" customHeight="false" outlineLevel="0" collapsed="false">
      <c r="A275" s="42" t="n">
        <v>45471</v>
      </c>
      <c r="B275" s="28" t="n">
        <f aca="false">COUNTIFS(Trades!$D$2:$D$884,$A275)</f>
        <v>1</v>
      </c>
      <c r="C275" s="28" t="n">
        <f aca="false">COUNTIFS(Trades!$D$2:$D$884,$A275,Trades!$Z$2:$Z$884,"Win")</f>
        <v>1</v>
      </c>
      <c r="D275" s="28" t="n">
        <f aca="false">COUNTIFS(Trades!$D$2:$D$884,$A275,Trades!$Z$2:$Z$884,"Loss")</f>
        <v>0</v>
      </c>
      <c r="E275" s="29" t="n">
        <f aca="false">IFERROR(C275/B275,0)</f>
        <v>1</v>
      </c>
      <c r="F275" s="30" t="n">
        <f aca="false">SUMIFS(Trades!$X$2:$X$884,Trades!$D$2:$D$884,$A275)</f>
        <v>70.15</v>
      </c>
      <c r="G275" s="30" t="n">
        <f aca="false">SUMIFS(Trades!$X$2:$X$884,Trades!$D$2:$D$884,$A275,Trades!$X$2:$X$884,"&gt;0")</f>
        <v>70.15</v>
      </c>
      <c r="H275" s="30" t="n">
        <f aca="false">SUMIFS(Trades!$X$2:$X$884,Trades!$D$2:$D$884,$A275,Trades!$X$2:$X$884,"&lt;0")</f>
        <v>0</v>
      </c>
      <c r="I275" s="31" t="str">
        <f aca="false">IFERROR(G275/-H275,"no loss")</f>
        <v>no loss</v>
      </c>
      <c r="J275" s="30" t="n">
        <f aca="false">_xlfn.MAXIFS(Trades!$X$2:$X$884,Trades!$D$2:$D$884,$A275)</f>
        <v>70.15</v>
      </c>
      <c r="K275" s="30" t="n">
        <f aca="false">_xlfn.MINIFS(Trades!$X$2:$X$884,Trades!$D$2:$D$884,$A275)</f>
        <v>70.15</v>
      </c>
      <c r="L275" s="32" t="n">
        <f aca="false">SUMIFS(Trades!$Y$2:$Y$884,Trades!$D$2:$D$884,$A275)</f>
        <v>2.01719576719542</v>
      </c>
      <c r="M275" s="30" t="n">
        <f aca="false">P274</f>
        <v>105645.25</v>
      </c>
      <c r="N275" s="29" t="n">
        <f aca="false">IFERROR(F275/M275,0)</f>
        <v>0.000664014709605969</v>
      </c>
      <c r="O275" s="28" t="str">
        <f aca="false">IF(-N275&gt;=Summary!$C$7,"BREACH","")</f>
        <v/>
      </c>
      <c r="P275" s="30" t="n">
        <f aca="false">M275+F275</f>
        <v>105715.4</v>
      </c>
      <c r="Q275" s="30" t="n">
        <f aca="false">P275-Summary!$C$5</f>
        <v>5715.40000000008</v>
      </c>
      <c r="R275" s="2" t="str">
        <f aca="false">TEXT(A275,"ddd")</f>
        <v>Fri</v>
      </c>
    </row>
    <row r="276" customFormat="false" ht="15" hidden="false" customHeight="false" outlineLevel="0" collapsed="false">
      <c r="A276" s="42" t="n">
        <v>45474</v>
      </c>
      <c r="B276" s="28" t="n">
        <f aca="false">COUNTIFS(Trades!$D$2:$D$884,$A276)</f>
        <v>1</v>
      </c>
      <c r="C276" s="28" t="n">
        <f aca="false">COUNTIFS(Trades!$D$2:$D$884,$A276,Trades!$Z$2:$Z$884,"Win")</f>
        <v>0</v>
      </c>
      <c r="D276" s="28" t="n">
        <f aca="false">COUNTIFS(Trades!$D$2:$D$884,$A276,Trades!$Z$2:$Z$884,"Loss")</f>
        <v>0</v>
      </c>
      <c r="E276" s="29" t="n">
        <f aca="false">IFERROR(C276/B276,0)</f>
        <v>0</v>
      </c>
      <c r="F276" s="30" t="n">
        <f aca="false">SUMIFS(Trades!$X$2:$X$884,Trades!$D$2:$D$884,$A276)</f>
        <v>0</v>
      </c>
      <c r="G276" s="30" t="n">
        <f aca="false">SUMIFS(Trades!$X$2:$X$884,Trades!$D$2:$D$884,$A276,Trades!$X$2:$X$884,"&gt;0")</f>
        <v>0</v>
      </c>
      <c r="H276" s="30" t="n">
        <f aca="false">SUMIFS(Trades!$X$2:$X$884,Trades!$D$2:$D$884,$A276,Trades!$X$2:$X$884,"&lt;0")</f>
        <v>0</v>
      </c>
      <c r="I276" s="31" t="str">
        <f aca="false">IFERROR(G276/-H276,"no loss")</f>
        <v>no loss</v>
      </c>
      <c r="J276" s="30" t="n">
        <f aca="false">_xlfn.MAXIFS(Trades!$X$2:$X$884,Trades!$D$2:$D$884,$A276)</f>
        <v>0</v>
      </c>
      <c r="K276" s="30" t="n">
        <f aca="false">_xlfn.MINIFS(Trades!$X$2:$X$884,Trades!$D$2:$D$884,$A276)</f>
        <v>0</v>
      </c>
      <c r="L276" s="32" t="n">
        <f aca="false">SUMIFS(Trades!$Y$2:$Y$884,Trades!$D$2:$D$884,$A276)</f>
        <v>0</v>
      </c>
      <c r="M276" s="30" t="n">
        <f aca="false">P275</f>
        <v>105715.4</v>
      </c>
      <c r="N276" s="29" t="n">
        <f aca="false">IFERROR(F276/M276,0)</f>
        <v>0</v>
      </c>
      <c r="O276" s="28" t="str">
        <f aca="false">IF(-N276&gt;=Summary!$C$7,"BREACH","")</f>
        <v/>
      </c>
      <c r="P276" s="30" t="n">
        <f aca="false">M276+F276</f>
        <v>105715.4</v>
      </c>
      <c r="Q276" s="30" t="n">
        <f aca="false">P276-Summary!$C$5</f>
        <v>5715.40000000008</v>
      </c>
      <c r="R276" s="2" t="str">
        <f aca="false">TEXT(A276,"ddd")</f>
        <v>Mon</v>
      </c>
    </row>
    <row r="277" customFormat="false" ht="15" hidden="false" customHeight="false" outlineLevel="0" collapsed="false">
      <c r="A277" s="42" t="n">
        <v>45475</v>
      </c>
      <c r="B277" s="28" t="n">
        <f aca="false">COUNTIFS(Trades!$D$2:$D$884,$A277)</f>
        <v>1</v>
      </c>
      <c r="C277" s="28" t="n">
        <f aca="false">COUNTIFS(Trades!$D$2:$D$884,$A277,Trades!$Z$2:$Z$884,"Win")</f>
        <v>0</v>
      </c>
      <c r="D277" s="28" t="n">
        <f aca="false">COUNTIFS(Trades!$D$2:$D$884,$A277,Trades!$Z$2:$Z$884,"Loss")</f>
        <v>1</v>
      </c>
      <c r="E277" s="29" t="n">
        <f aca="false">IFERROR(C277/B277,0)</f>
        <v>0</v>
      </c>
      <c r="F277" s="30" t="n">
        <f aca="false">SUMIFS(Trades!$X$2:$X$884,Trades!$D$2:$D$884,$A277)</f>
        <v>-210.59</v>
      </c>
      <c r="G277" s="30" t="n">
        <f aca="false">SUMIFS(Trades!$X$2:$X$884,Trades!$D$2:$D$884,$A277,Trades!$X$2:$X$884,"&gt;0")</f>
        <v>0</v>
      </c>
      <c r="H277" s="30" t="n">
        <f aca="false">SUMIFS(Trades!$X$2:$X$884,Trades!$D$2:$D$884,$A277,Trades!$X$2:$X$884,"&lt;0")</f>
        <v>-210.59</v>
      </c>
      <c r="I277" s="31" t="n">
        <f aca="false">IFERROR(G277/-H277,"no loss")</f>
        <v>0</v>
      </c>
      <c r="J277" s="30" t="n">
        <f aca="false">_xlfn.MAXIFS(Trades!$X$2:$X$884,Trades!$D$2:$D$884,$A277)</f>
        <v>-210.59</v>
      </c>
      <c r="K277" s="30" t="n">
        <f aca="false">_xlfn.MINIFS(Trades!$X$2:$X$884,Trades!$D$2:$D$884,$A277)</f>
        <v>-210.59</v>
      </c>
      <c r="L277" s="32" t="n">
        <f aca="false">SUMIFS(Trades!$Y$2:$Y$884,Trades!$D$2:$D$884,$A277)</f>
        <v>-1.0466491719847</v>
      </c>
      <c r="M277" s="30" t="n">
        <f aca="false">P276</f>
        <v>105715.4</v>
      </c>
      <c r="N277" s="29" t="n">
        <f aca="false">IFERROR(F277/M277,0)</f>
        <v>-0.00199204657031993</v>
      </c>
      <c r="O277" s="28" t="str">
        <f aca="false">IF(-N277&gt;=Summary!$C$7,"BREACH","")</f>
        <v/>
      </c>
      <c r="P277" s="30" t="n">
        <f aca="false">M277+F277</f>
        <v>105504.81</v>
      </c>
      <c r="Q277" s="30" t="n">
        <f aca="false">P277-Summary!$C$5</f>
        <v>5504.81000000009</v>
      </c>
      <c r="R277" s="2" t="str">
        <f aca="false">TEXT(A277,"ddd")</f>
        <v>Tue</v>
      </c>
    </row>
    <row r="278" customFormat="false" ht="15" hidden="false" customHeight="false" outlineLevel="0" collapsed="false">
      <c r="A278" s="42" t="n">
        <v>45476</v>
      </c>
      <c r="B278" s="28" t="n">
        <f aca="false">COUNTIFS(Trades!$D$2:$D$884,$A278)</f>
        <v>1</v>
      </c>
      <c r="C278" s="28" t="n">
        <f aca="false">COUNTIFS(Trades!$D$2:$D$884,$A278,Trades!$Z$2:$Z$884,"Win")</f>
        <v>0</v>
      </c>
      <c r="D278" s="28" t="n">
        <f aca="false">COUNTIFS(Trades!$D$2:$D$884,$A278,Trades!$Z$2:$Z$884,"Loss")</f>
        <v>1</v>
      </c>
      <c r="E278" s="29" t="n">
        <f aca="false">IFERROR(C278/B278,0)</f>
        <v>0</v>
      </c>
      <c r="F278" s="30" t="n">
        <f aca="false">SUMIFS(Trades!$X$2:$X$884,Trades!$D$2:$D$884,$A278)</f>
        <v>-33.03</v>
      </c>
      <c r="G278" s="30" t="n">
        <f aca="false">SUMIFS(Trades!$X$2:$X$884,Trades!$D$2:$D$884,$A278,Trades!$X$2:$X$884,"&gt;0")</f>
        <v>0</v>
      </c>
      <c r="H278" s="30" t="n">
        <f aca="false">SUMIFS(Trades!$X$2:$X$884,Trades!$D$2:$D$884,$A278,Trades!$X$2:$X$884,"&lt;0")</f>
        <v>-33.03</v>
      </c>
      <c r="I278" s="31" t="n">
        <f aca="false">IFERROR(G278/-H278,"no loss")</f>
        <v>0</v>
      </c>
      <c r="J278" s="30" t="n">
        <f aca="false">_xlfn.MAXIFS(Trades!$X$2:$X$884,Trades!$D$2:$D$884,$A278)</f>
        <v>-33.03</v>
      </c>
      <c r="K278" s="30" t="n">
        <f aca="false">_xlfn.MINIFS(Trades!$X$2:$X$884,Trades!$D$2:$D$884,$A278)</f>
        <v>-33.03</v>
      </c>
      <c r="L278" s="32" t="n">
        <f aca="false">SUMIFS(Trades!$Y$2:$Y$884,Trades!$D$2:$D$884,$A278)</f>
        <v>-1.07170668397133</v>
      </c>
      <c r="M278" s="30" t="n">
        <f aca="false">P277</f>
        <v>105504.81</v>
      </c>
      <c r="N278" s="29" t="n">
        <f aca="false">IFERROR(F278/M278,0)</f>
        <v>-0.000313066295271277</v>
      </c>
      <c r="O278" s="28" t="str">
        <f aca="false">IF(-N278&gt;=Summary!$C$7,"BREACH","")</f>
        <v/>
      </c>
      <c r="P278" s="30" t="n">
        <f aca="false">M278+F278</f>
        <v>105471.78</v>
      </c>
      <c r="Q278" s="30" t="n">
        <f aca="false">P278-Summary!$C$5</f>
        <v>5471.78000000009</v>
      </c>
      <c r="R278" s="2" t="str">
        <f aca="false">TEXT(A278,"ddd")</f>
        <v>Wed</v>
      </c>
    </row>
    <row r="279" customFormat="false" ht="15" hidden="false" customHeight="false" outlineLevel="0" collapsed="false">
      <c r="A279" s="42" t="n">
        <v>45478</v>
      </c>
      <c r="B279" s="28" t="n">
        <f aca="false">COUNTIFS(Trades!$D$2:$D$884,$A279)</f>
        <v>1</v>
      </c>
      <c r="C279" s="28" t="n">
        <f aca="false">COUNTIFS(Trades!$D$2:$D$884,$A279,Trades!$Z$2:$Z$884,"Win")</f>
        <v>1</v>
      </c>
      <c r="D279" s="28" t="n">
        <f aca="false">COUNTIFS(Trades!$D$2:$D$884,$A279,Trades!$Z$2:$Z$884,"Loss")</f>
        <v>0</v>
      </c>
      <c r="E279" s="29" t="n">
        <f aca="false">IFERROR(C279/B279,0)</f>
        <v>1</v>
      </c>
      <c r="F279" s="30" t="n">
        <f aca="false">SUMIFS(Trades!$X$2:$X$884,Trades!$D$2:$D$884,$A279)</f>
        <v>23.09</v>
      </c>
      <c r="G279" s="30" t="n">
        <f aca="false">SUMIFS(Trades!$X$2:$X$884,Trades!$D$2:$D$884,$A279,Trades!$X$2:$X$884,"&gt;0")</f>
        <v>23.09</v>
      </c>
      <c r="H279" s="30" t="n">
        <f aca="false">SUMIFS(Trades!$X$2:$X$884,Trades!$D$2:$D$884,$A279,Trades!$X$2:$X$884,"&lt;0")</f>
        <v>0</v>
      </c>
      <c r="I279" s="31" t="str">
        <f aca="false">IFERROR(G279/-H279,"no loss")</f>
        <v>no loss</v>
      </c>
      <c r="J279" s="30" t="n">
        <f aca="false">_xlfn.MAXIFS(Trades!$X$2:$X$884,Trades!$D$2:$D$884,$A279)</f>
        <v>23.09</v>
      </c>
      <c r="K279" s="30" t="n">
        <f aca="false">_xlfn.MINIFS(Trades!$X$2:$X$884,Trades!$D$2:$D$884,$A279)</f>
        <v>23.09</v>
      </c>
      <c r="L279" s="32" t="n">
        <f aca="false">SUMIFS(Trades!$Y$2:$Y$884,Trades!$D$2:$D$884,$A279)</f>
        <v>2.06566469851469</v>
      </c>
      <c r="M279" s="30" t="n">
        <f aca="false">P278</f>
        <v>105471.78</v>
      </c>
      <c r="N279" s="29" t="n">
        <f aca="false">IFERROR(F279/M279,0)</f>
        <v>0.000218921118046931</v>
      </c>
      <c r="O279" s="28" t="str">
        <f aca="false">IF(-N279&gt;=Summary!$C$7,"BREACH","")</f>
        <v/>
      </c>
      <c r="P279" s="30" t="n">
        <f aca="false">M279+F279</f>
        <v>105494.87</v>
      </c>
      <c r="Q279" s="30" t="n">
        <f aca="false">P279-Summary!$C$5</f>
        <v>5494.87000000008</v>
      </c>
      <c r="R279" s="2" t="str">
        <f aca="false">TEXT(A279,"ddd")</f>
        <v>Fri</v>
      </c>
    </row>
    <row r="280" customFormat="false" ht="15" hidden="false" customHeight="false" outlineLevel="0" collapsed="false">
      <c r="A280" s="42" t="n">
        <v>45481</v>
      </c>
      <c r="B280" s="28" t="n">
        <f aca="false">COUNTIFS(Trades!$D$2:$D$884,$A280)</f>
        <v>1</v>
      </c>
      <c r="C280" s="28" t="n">
        <f aca="false">COUNTIFS(Trades!$D$2:$D$884,$A280,Trades!$Z$2:$Z$884,"Win")</f>
        <v>0</v>
      </c>
      <c r="D280" s="28" t="n">
        <f aca="false">COUNTIFS(Trades!$D$2:$D$884,$A280,Trades!$Z$2:$Z$884,"Loss")</f>
        <v>1</v>
      </c>
      <c r="E280" s="29" t="n">
        <f aca="false">IFERROR(C280/B280,0)</f>
        <v>0</v>
      </c>
      <c r="F280" s="30" t="n">
        <f aca="false">SUMIFS(Trades!$X$2:$X$884,Trades!$D$2:$D$884,$A280)</f>
        <v>-25.62</v>
      </c>
      <c r="G280" s="30" t="n">
        <f aca="false">SUMIFS(Trades!$X$2:$X$884,Trades!$D$2:$D$884,$A280,Trades!$X$2:$X$884,"&gt;0")</f>
        <v>0</v>
      </c>
      <c r="H280" s="30" t="n">
        <f aca="false">SUMIFS(Trades!$X$2:$X$884,Trades!$D$2:$D$884,$A280,Trades!$X$2:$X$884,"&lt;0")</f>
        <v>-25.62</v>
      </c>
      <c r="I280" s="31" t="n">
        <f aca="false">IFERROR(G280/-H280,"no loss")</f>
        <v>0</v>
      </c>
      <c r="J280" s="30" t="n">
        <f aca="false">_xlfn.MAXIFS(Trades!$X$2:$X$884,Trades!$D$2:$D$884,$A280)</f>
        <v>-25.62</v>
      </c>
      <c r="K280" s="30" t="n">
        <f aca="false">_xlfn.MINIFS(Trades!$X$2:$X$884,Trades!$D$2:$D$884,$A280)</f>
        <v>-25.62</v>
      </c>
      <c r="L280" s="32" t="n">
        <f aca="false">SUMIFS(Trades!$Y$2:$Y$884,Trades!$D$2:$D$884,$A280)</f>
        <v>-1.03331451157549</v>
      </c>
      <c r="M280" s="30" t="n">
        <f aca="false">P279</f>
        <v>105494.87</v>
      </c>
      <c r="N280" s="29" t="n">
        <f aca="false">IFERROR(F280/M280,0)</f>
        <v>-0.00024285541088396</v>
      </c>
      <c r="O280" s="28" t="str">
        <f aca="false">IF(-N280&gt;=Summary!$C$7,"BREACH","")</f>
        <v/>
      </c>
      <c r="P280" s="30" t="n">
        <f aca="false">M280+F280</f>
        <v>105469.25</v>
      </c>
      <c r="Q280" s="30" t="n">
        <f aca="false">P280-Summary!$C$5</f>
        <v>5469.25000000009</v>
      </c>
      <c r="R280" s="2" t="str">
        <f aca="false">TEXT(A280,"ddd")</f>
        <v>Mon</v>
      </c>
    </row>
    <row r="281" customFormat="false" ht="15" hidden="false" customHeight="false" outlineLevel="0" collapsed="false">
      <c r="A281" s="42" t="n">
        <v>45482</v>
      </c>
      <c r="B281" s="28" t="n">
        <f aca="false">COUNTIFS(Trades!$D$2:$D$884,$A281)</f>
        <v>1</v>
      </c>
      <c r="C281" s="28" t="n">
        <f aca="false">COUNTIFS(Trades!$D$2:$D$884,$A281,Trades!$Z$2:$Z$884,"Win")</f>
        <v>1</v>
      </c>
      <c r="D281" s="28" t="n">
        <f aca="false">COUNTIFS(Trades!$D$2:$D$884,$A281,Trades!$Z$2:$Z$884,"Loss")</f>
        <v>0</v>
      </c>
      <c r="E281" s="29" t="n">
        <f aca="false">IFERROR(C281/B281,0)</f>
        <v>1</v>
      </c>
      <c r="F281" s="30" t="n">
        <f aca="false">SUMIFS(Trades!$X$2:$X$884,Trades!$D$2:$D$884,$A281)</f>
        <v>69.74</v>
      </c>
      <c r="G281" s="30" t="n">
        <f aca="false">SUMIFS(Trades!$X$2:$X$884,Trades!$D$2:$D$884,$A281,Trades!$X$2:$X$884,"&gt;0")</f>
        <v>69.74</v>
      </c>
      <c r="H281" s="30" t="n">
        <f aca="false">SUMIFS(Trades!$X$2:$X$884,Trades!$D$2:$D$884,$A281,Trades!$X$2:$X$884,"&lt;0")</f>
        <v>0</v>
      </c>
      <c r="I281" s="31" t="str">
        <f aca="false">IFERROR(G281/-H281,"no loss")</f>
        <v>no loss</v>
      </c>
      <c r="J281" s="30" t="n">
        <f aca="false">_xlfn.MAXIFS(Trades!$X$2:$X$884,Trades!$D$2:$D$884,$A281)</f>
        <v>69.74</v>
      </c>
      <c r="K281" s="30" t="n">
        <f aca="false">_xlfn.MINIFS(Trades!$X$2:$X$884,Trades!$D$2:$D$884,$A281)</f>
        <v>69.74</v>
      </c>
      <c r="L281" s="32" t="n">
        <f aca="false">SUMIFS(Trades!$Y$2:$Y$884,Trades!$D$2:$D$884,$A281)</f>
        <v>2.1056763285022</v>
      </c>
      <c r="M281" s="30" t="n">
        <f aca="false">P280</f>
        <v>105469.25</v>
      </c>
      <c r="N281" s="29" t="n">
        <f aca="false">IFERROR(F281/M281,0)</f>
        <v>0.000661235383772995</v>
      </c>
      <c r="O281" s="28" t="str">
        <f aca="false">IF(-N281&gt;=Summary!$C$7,"BREACH","")</f>
        <v/>
      </c>
      <c r="P281" s="30" t="n">
        <f aca="false">M281+F281</f>
        <v>105538.99</v>
      </c>
      <c r="Q281" s="30" t="n">
        <f aca="false">P281-Summary!$C$5</f>
        <v>5538.99000000009</v>
      </c>
      <c r="R281" s="2" t="str">
        <f aca="false">TEXT(A281,"ddd")</f>
        <v>Tue</v>
      </c>
    </row>
    <row r="282" customFormat="false" ht="15" hidden="false" customHeight="false" outlineLevel="0" collapsed="false">
      <c r="A282" s="42" t="n">
        <v>45483</v>
      </c>
      <c r="B282" s="28" t="n">
        <f aca="false">COUNTIFS(Trades!$D$2:$D$884,$A282)</f>
        <v>1</v>
      </c>
      <c r="C282" s="28" t="n">
        <f aca="false">COUNTIFS(Trades!$D$2:$D$884,$A282,Trades!$Z$2:$Z$884,"Win")</f>
        <v>0</v>
      </c>
      <c r="D282" s="28" t="n">
        <f aca="false">COUNTIFS(Trades!$D$2:$D$884,$A282,Trades!$Z$2:$Z$884,"Loss")</f>
        <v>1</v>
      </c>
      <c r="E282" s="29" t="n">
        <f aca="false">IFERROR(C282/B282,0)</f>
        <v>0</v>
      </c>
      <c r="F282" s="30" t="n">
        <f aca="false">SUMIFS(Trades!$X$2:$X$884,Trades!$D$2:$D$884,$A282)</f>
        <v>-96.23</v>
      </c>
      <c r="G282" s="30" t="n">
        <f aca="false">SUMIFS(Trades!$X$2:$X$884,Trades!$D$2:$D$884,$A282,Trades!$X$2:$X$884,"&gt;0")</f>
        <v>0</v>
      </c>
      <c r="H282" s="30" t="n">
        <f aca="false">SUMIFS(Trades!$X$2:$X$884,Trades!$D$2:$D$884,$A282,Trades!$X$2:$X$884,"&lt;0")</f>
        <v>-96.23</v>
      </c>
      <c r="I282" s="31" t="n">
        <f aca="false">IFERROR(G282/-H282,"no loss")</f>
        <v>0</v>
      </c>
      <c r="J282" s="30" t="n">
        <f aca="false">_xlfn.MAXIFS(Trades!$X$2:$X$884,Trades!$D$2:$D$884,$A282)</f>
        <v>-96.23</v>
      </c>
      <c r="K282" s="30" t="n">
        <f aca="false">_xlfn.MINIFS(Trades!$X$2:$X$884,Trades!$D$2:$D$884,$A282)</f>
        <v>-96.23</v>
      </c>
      <c r="L282" s="32" t="n">
        <f aca="false">SUMIFS(Trades!$Y$2:$Y$884,Trades!$D$2:$D$884,$A282)</f>
        <v>-1.0160060814663</v>
      </c>
      <c r="M282" s="30" t="n">
        <f aca="false">P281</f>
        <v>105538.99</v>
      </c>
      <c r="N282" s="29" t="n">
        <f aca="false">IFERROR(F282/M282,0)</f>
        <v>-0.000911795725920818</v>
      </c>
      <c r="O282" s="28" t="str">
        <f aca="false">IF(-N282&gt;=Summary!$C$7,"BREACH","")</f>
        <v/>
      </c>
      <c r="P282" s="30" t="n">
        <f aca="false">M282+F282</f>
        <v>105442.76</v>
      </c>
      <c r="Q282" s="30" t="n">
        <f aca="false">P282-Summary!$C$5</f>
        <v>5442.7600000001</v>
      </c>
      <c r="R282" s="2" t="str">
        <f aca="false">TEXT(A282,"ddd")</f>
        <v>Wed</v>
      </c>
    </row>
    <row r="283" customFormat="false" ht="15" hidden="false" customHeight="false" outlineLevel="0" collapsed="false">
      <c r="A283" s="42" t="n">
        <v>45484</v>
      </c>
      <c r="B283" s="28" t="n">
        <f aca="false">COUNTIFS(Trades!$D$2:$D$884,$A283)</f>
        <v>2</v>
      </c>
      <c r="C283" s="28" t="n">
        <f aca="false">COUNTIFS(Trades!$D$2:$D$884,$A283,Trades!$Z$2:$Z$884,"Win")</f>
        <v>1</v>
      </c>
      <c r="D283" s="28" t="n">
        <f aca="false">COUNTIFS(Trades!$D$2:$D$884,$A283,Trades!$Z$2:$Z$884,"Loss")</f>
        <v>1</v>
      </c>
      <c r="E283" s="29" t="n">
        <f aca="false">IFERROR(C283/B283,0)</f>
        <v>0.5</v>
      </c>
      <c r="F283" s="30" t="n">
        <f aca="false">SUMIFS(Trades!$X$2:$X$884,Trades!$D$2:$D$884,$A283)</f>
        <v>428.47</v>
      </c>
      <c r="G283" s="30" t="n">
        <f aca="false">SUMIFS(Trades!$X$2:$X$884,Trades!$D$2:$D$884,$A283,Trades!$X$2:$X$884,"&gt;0")</f>
        <v>434.98</v>
      </c>
      <c r="H283" s="30" t="n">
        <f aca="false">SUMIFS(Trades!$X$2:$X$884,Trades!$D$2:$D$884,$A283,Trades!$X$2:$X$884,"&lt;0")</f>
        <v>-6.51</v>
      </c>
      <c r="I283" s="31" t="n">
        <f aca="false">IFERROR(G283/-H283,"no loss")</f>
        <v>66.8172043010753</v>
      </c>
      <c r="J283" s="30" t="n">
        <f aca="false">_xlfn.MAXIFS(Trades!$X$2:$X$884,Trades!$D$2:$D$884,$A283)</f>
        <v>434.98</v>
      </c>
      <c r="K283" s="30" t="n">
        <f aca="false">_xlfn.MINIFS(Trades!$X$2:$X$884,Trades!$D$2:$D$884,$A283)</f>
        <v>-6.51</v>
      </c>
      <c r="L283" s="32" t="n">
        <f aca="false">SUMIFS(Trades!$Y$2:$Y$884,Trades!$D$2:$D$884,$A283)</f>
        <v>2.15096103846071</v>
      </c>
      <c r="M283" s="30" t="n">
        <f aca="false">P282</f>
        <v>105442.76</v>
      </c>
      <c r="N283" s="29" t="n">
        <f aca="false">IFERROR(F283/M283,0)</f>
        <v>0.00406353172090715</v>
      </c>
      <c r="O283" s="28" t="str">
        <f aca="false">IF(-N283&gt;=Summary!$C$7,"BREACH","")</f>
        <v/>
      </c>
      <c r="P283" s="30" t="n">
        <f aca="false">M283+F283</f>
        <v>105871.23</v>
      </c>
      <c r="Q283" s="30" t="n">
        <f aca="false">P283-Summary!$C$5</f>
        <v>5871.2300000001</v>
      </c>
      <c r="R283" s="2" t="str">
        <f aca="false">TEXT(A283,"ddd")</f>
        <v>Thu</v>
      </c>
    </row>
    <row r="284" customFormat="false" ht="15" hidden="false" customHeight="false" outlineLevel="0" collapsed="false">
      <c r="A284" s="42" t="n">
        <v>45488</v>
      </c>
      <c r="B284" s="28" t="n">
        <f aca="false">COUNTIFS(Trades!$D$2:$D$884,$A284)</f>
        <v>1</v>
      </c>
      <c r="C284" s="28" t="n">
        <f aca="false">COUNTIFS(Trades!$D$2:$D$884,$A284,Trades!$Z$2:$Z$884,"Win")</f>
        <v>1</v>
      </c>
      <c r="D284" s="28" t="n">
        <f aca="false">COUNTIFS(Trades!$D$2:$D$884,$A284,Trades!$Z$2:$Z$884,"Loss")</f>
        <v>0</v>
      </c>
      <c r="E284" s="29" t="n">
        <f aca="false">IFERROR(C284/B284,0)</f>
        <v>1</v>
      </c>
      <c r="F284" s="30" t="n">
        <f aca="false">SUMIFS(Trades!$X$2:$X$884,Trades!$D$2:$D$884,$A284)</f>
        <v>183.59</v>
      </c>
      <c r="G284" s="30" t="n">
        <f aca="false">SUMIFS(Trades!$X$2:$X$884,Trades!$D$2:$D$884,$A284,Trades!$X$2:$X$884,"&gt;0")</f>
        <v>183.59</v>
      </c>
      <c r="H284" s="30" t="n">
        <f aca="false">SUMIFS(Trades!$X$2:$X$884,Trades!$D$2:$D$884,$A284,Trades!$X$2:$X$884,"&lt;0")</f>
        <v>0</v>
      </c>
      <c r="I284" s="31" t="str">
        <f aca="false">IFERROR(G284/-H284,"no loss")</f>
        <v>no loss</v>
      </c>
      <c r="J284" s="30" t="n">
        <f aca="false">_xlfn.MAXIFS(Trades!$X$2:$X$884,Trades!$D$2:$D$884,$A284)</f>
        <v>183.59</v>
      </c>
      <c r="K284" s="30" t="n">
        <f aca="false">_xlfn.MINIFS(Trades!$X$2:$X$884,Trades!$D$2:$D$884,$A284)</f>
        <v>183.59</v>
      </c>
      <c r="L284" s="32" t="n">
        <f aca="false">SUMIFS(Trades!$Y$2:$Y$884,Trades!$D$2:$D$884,$A284)</f>
        <v>2.00961075353556</v>
      </c>
      <c r="M284" s="30" t="n">
        <f aca="false">P283</f>
        <v>105871.23</v>
      </c>
      <c r="N284" s="29" t="n">
        <f aca="false">IFERROR(F284/M284,0)</f>
        <v>0.00173408772147069</v>
      </c>
      <c r="O284" s="28" t="str">
        <f aca="false">IF(-N284&gt;=Summary!$C$7,"BREACH","")</f>
        <v/>
      </c>
      <c r="P284" s="30" t="n">
        <f aca="false">M284+F284</f>
        <v>106054.82</v>
      </c>
      <c r="Q284" s="30" t="n">
        <f aca="false">P284-Summary!$C$5</f>
        <v>6054.82000000009</v>
      </c>
      <c r="R284" s="2" t="str">
        <f aca="false">TEXT(A284,"ddd")</f>
        <v>Mon</v>
      </c>
    </row>
    <row r="285" customFormat="false" ht="15" hidden="false" customHeight="false" outlineLevel="0" collapsed="false">
      <c r="A285" s="42" t="n">
        <v>45489</v>
      </c>
      <c r="B285" s="28" t="n">
        <f aca="false">COUNTIFS(Trades!$D$2:$D$884,$A285)</f>
        <v>1</v>
      </c>
      <c r="C285" s="28" t="n">
        <f aca="false">COUNTIFS(Trades!$D$2:$D$884,$A285,Trades!$Z$2:$Z$884,"Win")</f>
        <v>0</v>
      </c>
      <c r="D285" s="28" t="n">
        <f aca="false">COUNTIFS(Trades!$D$2:$D$884,$A285,Trades!$Z$2:$Z$884,"Loss")</f>
        <v>1</v>
      </c>
      <c r="E285" s="29" t="n">
        <f aca="false">IFERROR(C285/B285,0)</f>
        <v>0</v>
      </c>
      <c r="F285" s="30" t="n">
        <f aca="false">SUMIFS(Trades!$X$2:$X$884,Trades!$D$2:$D$884,$A285)</f>
        <v>-179.22</v>
      </c>
      <c r="G285" s="30" t="n">
        <f aca="false">SUMIFS(Trades!$X$2:$X$884,Trades!$D$2:$D$884,$A285,Trades!$X$2:$X$884,"&gt;0")</f>
        <v>0</v>
      </c>
      <c r="H285" s="30" t="n">
        <f aca="false">SUMIFS(Trades!$X$2:$X$884,Trades!$D$2:$D$884,$A285,Trades!$X$2:$X$884,"&lt;0")</f>
        <v>-179.22</v>
      </c>
      <c r="I285" s="31" t="n">
        <f aca="false">IFERROR(G285/-H285,"no loss")</f>
        <v>0</v>
      </c>
      <c r="J285" s="30" t="n">
        <f aca="false">_xlfn.MAXIFS(Trades!$X$2:$X$884,Trades!$D$2:$D$884,$A285)</f>
        <v>-179.22</v>
      </c>
      <c r="K285" s="30" t="n">
        <f aca="false">_xlfn.MINIFS(Trades!$X$2:$X$884,Trades!$D$2:$D$884,$A285)</f>
        <v>-179.22</v>
      </c>
      <c r="L285" s="32" t="n">
        <f aca="false">SUMIFS(Trades!$Y$2:$Y$884,Trades!$D$2:$D$884,$A285)</f>
        <v>-1.01592880222204</v>
      </c>
      <c r="M285" s="30" t="n">
        <f aca="false">P284</f>
        <v>106054.82</v>
      </c>
      <c r="N285" s="29" t="n">
        <f aca="false">IFERROR(F285/M285,0)</f>
        <v>-0.00168988076166646</v>
      </c>
      <c r="O285" s="28" t="str">
        <f aca="false">IF(-N285&gt;=Summary!$C$7,"BREACH","")</f>
        <v/>
      </c>
      <c r="P285" s="30" t="n">
        <f aca="false">M285+F285</f>
        <v>105875.6</v>
      </c>
      <c r="Q285" s="30" t="n">
        <f aca="false">P285-Summary!$C$5</f>
        <v>5875.60000000009</v>
      </c>
      <c r="R285" s="2" t="str">
        <f aca="false">TEXT(A285,"ddd")</f>
        <v>Tue</v>
      </c>
    </row>
    <row r="286" customFormat="false" ht="15" hidden="false" customHeight="false" outlineLevel="0" collapsed="false">
      <c r="A286" s="42" t="n">
        <v>45490</v>
      </c>
      <c r="B286" s="28" t="n">
        <f aca="false">COUNTIFS(Trades!$D$2:$D$884,$A286)</f>
        <v>1</v>
      </c>
      <c r="C286" s="28" t="n">
        <f aca="false">COUNTIFS(Trades!$D$2:$D$884,$A286,Trades!$Z$2:$Z$884,"Win")</f>
        <v>1</v>
      </c>
      <c r="D286" s="28" t="n">
        <f aca="false">COUNTIFS(Trades!$D$2:$D$884,$A286,Trades!$Z$2:$Z$884,"Loss")</f>
        <v>0</v>
      </c>
      <c r="E286" s="29" t="n">
        <f aca="false">IFERROR(C286/B286,0)</f>
        <v>1</v>
      </c>
      <c r="F286" s="30" t="n">
        <f aca="false">SUMIFS(Trades!$X$2:$X$884,Trades!$D$2:$D$884,$A286)</f>
        <v>129.4</v>
      </c>
      <c r="G286" s="30" t="n">
        <f aca="false">SUMIFS(Trades!$X$2:$X$884,Trades!$D$2:$D$884,$A286,Trades!$X$2:$X$884,"&gt;0")</f>
        <v>129.4</v>
      </c>
      <c r="H286" s="30" t="n">
        <f aca="false">SUMIFS(Trades!$X$2:$X$884,Trades!$D$2:$D$884,$A286,Trades!$X$2:$X$884,"&lt;0")</f>
        <v>0</v>
      </c>
      <c r="I286" s="31" t="str">
        <f aca="false">IFERROR(G286/-H286,"no loss")</f>
        <v>no loss</v>
      </c>
      <c r="J286" s="30" t="n">
        <f aca="false">_xlfn.MAXIFS(Trades!$X$2:$X$884,Trades!$D$2:$D$884,$A286)</f>
        <v>129.4</v>
      </c>
      <c r="K286" s="30" t="n">
        <f aca="false">_xlfn.MINIFS(Trades!$X$2:$X$884,Trades!$D$2:$D$884,$A286)</f>
        <v>129.4</v>
      </c>
      <c r="L286" s="32" t="n">
        <f aca="false">SUMIFS(Trades!$Y$2:$Y$884,Trades!$D$2:$D$884,$A286)</f>
        <v>2.06537700312855</v>
      </c>
      <c r="M286" s="30" t="n">
        <f aca="false">P285</f>
        <v>105875.6</v>
      </c>
      <c r="N286" s="29" t="n">
        <f aca="false">IFERROR(F286/M286,0)</f>
        <v>0.00122218905961336</v>
      </c>
      <c r="O286" s="28" t="str">
        <f aca="false">IF(-N286&gt;=Summary!$C$7,"BREACH","")</f>
        <v/>
      </c>
      <c r="P286" s="30" t="n">
        <f aca="false">M286+F286</f>
        <v>106005</v>
      </c>
      <c r="Q286" s="30" t="n">
        <f aca="false">P286-Summary!$C$5</f>
        <v>6005.00000000009</v>
      </c>
      <c r="R286" s="2" t="str">
        <f aca="false">TEXT(A286,"ddd")</f>
        <v>Wed</v>
      </c>
    </row>
    <row r="287" customFormat="false" ht="15" hidden="false" customHeight="false" outlineLevel="0" collapsed="false">
      <c r="A287" s="42" t="n">
        <v>45491</v>
      </c>
      <c r="B287" s="28" t="n">
        <f aca="false">COUNTIFS(Trades!$D$2:$D$884,$A287)</f>
        <v>1</v>
      </c>
      <c r="C287" s="28" t="n">
        <f aca="false">COUNTIFS(Trades!$D$2:$D$884,$A287,Trades!$Z$2:$Z$884,"Win")</f>
        <v>0</v>
      </c>
      <c r="D287" s="28" t="n">
        <f aca="false">COUNTIFS(Trades!$D$2:$D$884,$A287,Trades!$Z$2:$Z$884,"Loss")</f>
        <v>1</v>
      </c>
      <c r="E287" s="29" t="n">
        <f aca="false">IFERROR(C287/B287,0)</f>
        <v>0</v>
      </c>
      <c r="F287" s="30" t="n">
        <f aca="false">SUMIFS(Trades!$X$2:$X$884,Trades!$D$2:$D$884,$A287)</f>
        <v>-1.54</v>
      </c>
      <c r="G287" s="30" t="n">
        <f aca="false">SUMIFS(Trades!$X$2:$X$884,Trades!$D$2:$D$884,$A287,Trades!$X$2:$X$884,"&gt;0")</f>
        <v>0</v>
      </c>
      <c r="H287" s="30" t="n">
        <f aca="false">SUMIFS(Trades!$X$2:$X$884,Trades!$D$2:$D$884,$A287,Trades!$X$2:$X$884,"&lt;0")</f>
        <v>-1.54</v>
      </c>
      <c r="I287" s="31" t="n">
        <f aca="false">IFERROR(G287/-H287,"no loss")</f>
        <v>0</v>
      </c>
      <c r="J287" s="30" t="n">
        <f aca="false">_xlfn.MAXIFS(Trades!$X$2:$X$884,Trades!$D$2:$D$884,$A287)</f>
        <v>-1.54</v>
      </c>
      <c r="K287" s="30" t="n">
        <f aca="false">_xlfn.MINIFS(Trades!$X$2:$X$884,Trades!$D$2:$D$884,$A287)</f>
        <v>-1.54</v>
      </c>
      <c r="L287" s="32" t="n">
        <f aca="false">SUMIFS(Trades!$Y$2:$Y$884,Trades!$D$2:$D$884,$A287)</f>
        <v>-0.00795717592592598</v>
      </c>
      <c r="M287" s="30" t="n">
        <f aca="false">P286</f>
        <v>106005</v>
      </c>
      <c r="N287" s="29" t="n">
        <f aca="false">IFERROR(F287/M287,0)</f>
        <v>-1.45276166218574E-005</v>
      </c>
      <c r="O287" s="28" t="str">
        <f aca="false">IF(-N287&gt;=Summary!$C$7,"BREACH","")</f>
        <v/>
      </c>
      <c r="P287" s="30" t="n">
        <f aca="false">M287+F287</f>
        <v>106003.46</v>
      </c>
      <c r="Q287" s="30" t="n">
        <f aca="false">P287-Summary!$C$5</f>
        <v>6003.46000000009</v>
      </c>
      <c r="R287" s="2" t="str">
        <f aca="false">TEXT(A287,"ddd")</f>
        <v>Thu</v>
      </c>
    </row>
    <row r="288" customFormat="false" ht="15" hidden="false" customHeight="false" outlineLevel="0" collapsed="false">
      <c r="A288" s="42" t="n">
        <v>45492</v>
      </c>
      <c r="B288" s="28" t="n">
        <f aca="false">COUNTIFS(Trades!$D$2:$D$884,$A288)</f>
        <v>1</v>
      </c>
      <c r="C288" s="28" t="n">
        <f aca="false">COUNTIFS(Trades!$D$2:$D$884,$A288,Trades!$Z$2:$Z$884,"Win")</f>
        <v>0</v>
      </c>
      <c r="D288" s="28" t="n">
        <f aca="false">COUNTIFS(Trades!$D$2:$D$884,$A288,Trades!$Z$2:$Z$884,"Loss")</f>
        <v>1</v>
      </c>
      <c r="E288" s="29" t="n">
        <f aca="false">IFERROR(C288/B288,0)</f>
        <v>0</v>
      </c>
      <c r="F288" s="30" t="n">
        <f aca="false">SUMIFS(Trades!$X$2:$X$884,Trades!$D$2:$D$884,$A288)</f>
        <v>-1.78</v>
      </c>
      <c r="G288" s="30" t="n">
        <f aca="false">SUMIFS(Trades!$X$2:$X$884,Trades!$D$2:$D$884,$A288,Trades!$X$2:$X$884,"&gt;0")</f>
        <v>0</v>
      </c>
      <c r="H288" s="30" t="n">
        <f aca="false">SUMIFS(Trades!$X$2:$X$884,Trades!$D$2:$D$884,$A288,Trades!$X$2:$X$884,"&lt;0")</f>
        <v>-1.78</v>
      </c>
      <c r="I288" s="31" t="n">
        <f aca="false">IFERROR(G288/-H288,"no loss")</f>
        <v>0</v>
      </c>
      <c r="J288" s="30" t="n">
        <f aca="false">_xlfn.MAXIFS(Trades!$X$2:$X$884,Trades!$D$2:$D$884,$A288)</f>
        <v>-1.78</v>
      </c>
      <c r="K288" s="30" t="n">
        <f aca="false">_xlfn.MINIFS(Trades!$X$2:$X$884,Trades!$D$2:$D$884,$A288)</f>
        <v>-1.78</v>
      </c>
      <c r="L288" s="32" t="n">
        <f aca="false">SUMIFS(Trades!$Y$2:$Y$884,Trades!$D$2:$D$884,$A288)</f>
        <v>-0.0114773547921176</v>
      </c>
      <c r="M288" s="30" t="n">
        <f aca="false">P287</f>
        <v>106003.46</v>
      </c>
      <c r="N288" s="29" t="n">
        <f aca="false">IFERROR(F288/M288,0)</f>
        <v>-1.67919047170724E-005</v>
      </c>
      <c r="O288" s="28" t="str">
        <f aca="false">IF(-N288&gt;=Summary!$C$7,"BREACH","")</f>
        <v/>
      </c>
      <c r="P288" s="30" t="n">
        <f aca="false">M288+F288</f>
        <v>106001.68</v>
      </c>
      <c r="Q288" s="30" t="n">
        <f aca="false">P288-Summary!$C$5</f>
        <v>6001.6800000001</v>
      </c>
      <c r="R288" s="2" t="str">
        <f aca="false">TEXT(A288,"ddd")</f>
        <v>Fri</v>
      </c>
    </row>
    <row r="289" customFormat="false" ht="15" hidden="false" customHeight="false" outlineLevel="0" collapsed="false">
      <c r="A289" s="42" t="n">
        <v>45495</v>
      </c>
      <c r="B289" s="28" t="n">
        <f aca="false">COUNTIFS(Trades!$D$2:$D$884,$A289)</f>
        <v>1</v>
      </c>
      <c r="C289" s="28" t="n">
        <f aca="false">COUNTIFS(Trades!$D$2:$D$884,$A289,Trades!$Z$2:$Z$884,"Win")</f>
        <v>0</v>
      </c>
      <c r="D289" s="28" t="n">
        <f aca="false">COUNTIFS(Trades!$D$2:$D$884,$A289,Trades!$Z$2:$Z$884,"Loss")</f>
        <v>1</v>
      </c>
      <c r="E289" s="29" t="n">
        <f aca="false">IFERROR(C289/B289,0)</f>
        <v>0</v>
      </c>
      <c r="F289" s="30" t="n">
        <f aca="false">SUMIFS(Trades!$X$2:$X$884,Trades!$D$2:$D$884,$A289)</f>
        <v>-2.4</v>
      </c>
      <c r="G289" s="30" t="n">
        <f aca="false">SUMIFS(Trades!$X$2:$X$884,Trades!$D$2:$D$884,$A289,Trades!$X$2:$X$884,"&gt;0")</f>
        <v>0</v>
      </c>
      <c r="H289" s="30" t="n">
        <f aca="false">SUMIFS(Trades!$X$2:$X$884,Trades!$D$2:$D$884,$A289,Trades!$X$2:$X$884,"&lt;0")</f>
        <v>-2.4</v>
      </c>
      <c r="I289" s="31" t="n">
        <f aca="false">IFERROR(G289/-H289,"no loss")</f>
        <v>0</v>
      </c>
      <c r="J289" s="30" t="n">
        <f aca="false">_xlfn.MAXIFS(Trades!$X$2:$X$884,Trades!$D$2:$D$884,$A289)</f>
        <v>-2.4</v>
      </c>
      <c r="K289" s="30" t="n">
        <f aca="false">_xlfn.MINIFS(Trades!$X$2:$X$884,Trades!$D$2:$D$884,$A289)</f>
        <v>-2.4</v>
      </c>
      <c r="L289" s="32" t="n">
        <f aca="false">SUMIFS(Trades!$Y$2:$Y$884,Trades!$D$2:$D$884,$A289)</f>
        <v>-0.0102082482645979</v>
      </c>
      <c r="M289" s="30" t="n">
        <f aca="false">P288</f>
        <v>106001.68</v>
      </c>
      <c r="N289" s="29" t="n">
        <f aca="false">IFERROR(F289/M289,0)</f>
        <v>-2.26411505930849E-005</v>
      </c>
      <c r="O289" s="28" t="str">
        <f aca="false">IF(-N289&gt;=Summary!$C$7,"BREACH","")</f>
        <v/>
      </c>
      <c r="P289" s="30" t="n">
        <f aca="false">M289+F289</f>
        <v>105999.28</v>
      </c>
      <c r="Q289" s="30" t="n">
        <f aca="false">P289-Summary!$C$5</f>
        <v>5999.2800000001</v>
      </c>
      <c r="R289" s="2" t="str">
        <f aca="false">TEXT(A289,"ddd")</f>
        <v>Mon</v>
      </c>
    </row>
    <row r="290" customFormat="false" ht="15" hidden="false" customHeight="false" outlineLevel="0" collapsed="false">
      <c r="A290" s="42" t="n">
        <v>45496</v>
      </c>
      <c r="B290" s="28" t="n">
        <f aca="false">COUNTIFS(Trades!$D$2:$D$884,$A290)</f>
        <v>1</v>
      </c>
      <c r="C290" s="28" t="n">
        <f aca="false">COUNTIFS(Trades!$D$2:$D$884,$A290,Trades!$Z$2:$Z$884,"Win")</f>
        <v>0</v>
      </c>
      <c r="D290" s="28" t="n">
        <f aca="false">COUNTIFS(Trades!$D$2:$D$884,$A290,Trades!$Z$2:$Z$884,"Loss")</f>
        <v>1</v>
      </c>
      <c r="E290" s="29" t="n">
        <f aca="false">IFERROR(C290/B290,0)</f>
        <v>0</v>
      </c>
      <c r="F290" s="30" t="n">
        <f aca="false">SUMIFS(Trades!$X$2:$X$884,Trades!$D$2:$D$884,$A290)</f>
        <v>-162.14</v>
      </c>
      <c r="G290" s="30" t="n">
        <f aca="false">SUMIFS(Trades!$X$2:$X$884,Trades!$D$2:$D$884,$A290,Trades!$X$2:$X$884,"&gt;0")</f>
        <v>0</v>
      </c>
      <c r="H290" s="30" t="n">
        <f aca="false">SUMIFS(Trades!$X$2:$X$884,Trades!$D$2:$D$884,$A290,Trades!$X$2:$X$884,"&lt;0")</f>
        <v>-162.14</v>
      </c>
      <c r="I290" s="31" t="n">
        <f aca="false">IFERROR(G290/-H290,"no loss")</f>
        <v>0</v>
      </c>
      <c r="J290" s="30" t="n">
        <f aca="false">_xlfn.MAXIFS(Trades!$X$2:$X$884,Trades!$D$2:$D$884,$A290)</f>
        <v>-162.14</v>
      </c>
      <c r="K290" s="30" t="n">
        <f aca="false">_xlfn.MINIFS(Trades!$X$2:$X$884,Trades!$D$2:$D$884,$A290)</f>
        <v>-162.14</v>
      </c>
      <c r="L290" s="32" t="n">
        <f aca="false">SUMIFS(Trades!$Y$2:$Y$884,Trades!$D$2:$D$884,$A290)</f>
        <v>-1.00803242813095</v>
      </c>
      <c r="M290" s="30" t="n">
        <f aca="false">P289</f>
        <v>105999.28</v>
      </c>
      <c r="N290" s="29" t="n">
        <f aca="false">IFERROR(F290/M290,0)</f>
        <v>-0.00152963303146965</v>
      </c>
      <c r="O290" s="28" t="str">
        <f aca="false">IF(-N290&gt;=Summary!$C$7,"BREACH","")</f>
        <v/>
      </c>
      <c r="P290" s="30" t="n">
        <f aca="false">M290+F290</f>
        <v>105837.14</v>
      </c>
      <c r="Q290" s="30" t="n">
        <f aca="false">P290-Summary!$C$5</f>
        <v>5837.1400000001</v>
      </c>
      <c r="R290" s="2" t="str">
        <f aca="false">TEXT(A290,"ddd")</f>
        <v>Tue</v>
      </c>
    </row>
    <row r="291" customFormat="false" ht="15" hidden="false" customHeight="false" outlineLevel="0" collapsed="false">
      <c r="A291" s="42" t="n">
        <v>45497</v>
      </c>
      <c r="B291" s="28" t="n">
        <f aca="false">COUNTIFS(Trades!$D$2:$D$884,$A291)</f>
        <v>1</v>
      </c>
      <c r="C291" s="28" t="n">
        <f aca="false">COUNTIFS(Trades!$D$2:$D$884,$A291,Trades!$Z$2:$Z$884,"Win")</f>
        <v>1</v>
      </c>
      <c r="D291" s="28" t="n">
        <f aca="false">COUNTIFS(Trades!$D$2:$D$884,$A291,Trades!$Z$2:$Z$884,"Loss")</f>
        <v>0</v>
      </c>
      <c r="E291" s="29" t="n">
        <f aca="false">IFERROR(C291/B291,0)</f>
        <v>1</v>
      </c>
      <c r="F291" s="30" t="n">
        <f aca="false">SUMIFS(Trades!$X$2:$X$884,Trades!$D$2:$D$884,$A291)</f>
        <v>498.72</v>
      </c>
      <c r="G291" s="30" t="n">
        <f aca="false">SUMIFS(Trades!$X$2:$X$884,Trades!$D$2:$D$884,$A291,Trades!$X$2:$X$884,"&gt;0")</f>
        <v>498.72</v>
      </c>
      <c r="H291" s="30" t="n">
        <f aca="false">SUMIFS(Trades!$X$2:$X$884,Trades!$D$2:$D$884,$A291,Trades!$X$2:$X$884,"&lt;0")</f>
        <v>0</v>
      </c>
      <c r="I291" s="31" t="str">
        <f aca="false">IFERROR(G291/-H291,"no loss")</f>
        <v>no loss</v>
      </c>
      <c r="J291" s="30" t="n">
        <f aca="false">_xlfn.MAXIFS(Trades!$X$2:$X$884,Trades!$D$2:$D$884,$A291)</f>
        <v>498.72</v>
      </c>
      <c r="K291" s="30" t="n">
        <f aca="false">_xlfn.MINIFS(Trades!$X$2:$X$884,Trades!$D$2:$D$884,$A291)</f>
        <v>498.72</v>
      </c>
      <c r="L291" s="32" t="n">
        <f aca="false">SUMIFS(Trades!$Y$2:$Y$884,Trades!$D$2:$D$884,$A291)</f>
        <v>2.01005997291537</v>
      </c>
      <c r="M291" s="30" t="n">
        <f aca="false">P290</f>
        <v>105837.14</v>
      </c>
      <c r="N291" s="29" t="n">
        <f aca="false">IFERROR(F291/M291,0)</f>
        <v>0.00471214547180696</v>
      </c>
      <c r="O291" s="28" t="str">
        <f aca="false">IF(-N291&gt;=Summary!$C$7,"BREACH","")</f>
        <v/>
      </c>
      <c r="P291" s="30" t="n">
        <f aca="false">M291+F291</f>
        <v>106335.86</v>
      </c>
      <c r="Q291" s="30" t="n">
        <f aca="false">P291-Summary!$C$5</f>
        <v>6335.8600000001</v>
      </c>
      <c r="R291" s="2" t="str">
        <f aca="false">TEXT(A291,"ddd")</f>
        <v>Wed</v>
      </c>
    </row>
    <row r="292" customFormat="false" ht="15" hidden="false" customHeight="false" outlineLevel="0" collapsed="false">
      <c r="A292" s="42" t="n">
        <v>45498</v>
      </c>
      <c r="B292" s="28" t="n">
        <f aca="false">COUNTIFS(Trades!$D$2:$D$884,$A292)</f>
        <v>1</v>
      </c>
      <c r="C292" s="28" t="n">
        <f aca="false">COUNTIFS(Trades!$D$2:$D$884,$A292,Trades!$Z$2:$Z$884,"Win")</f>
        <v>0</v>
      </c>
      <c r="D292" s="28" t="n">
        <f aca="false">COUNTIFS(Trades!$D$2:$D$884,$A292,Trades!$Z$2:$Z$884,"Loss")</f>
        <v>1</v>
      </c>
      <c r="E292" s="29" t="n">
        <f aca="false">IFERROR(C292/B292,0)</f>
        <v>0</v>
      </c>
      <c r="F292" s="30" t="n">
        <f aca="false">SUMIFS(Trades!$X$2:$X$884,Trades!$D$2:$D$884,$A292)</f>
        <v>-183.75</v>
      </c>
      <c r="G292" s="30" t="n">
        <f aca="false">SUMIFS(Trades!$X$2:$X$884,Trades!$D$2:$D$884,$A292,Trades!$X$2:$X$884,"&gt;0")</f>
        <v>0</v>
      </c>
      <c r="H292" s="30" t="n">
        <f aca="false">SUMIFS(Trades!$X$2:$X$884,Trades!$D$2:$D$884,$A292,Trades!$X$2:$X$884,"&lt;0")</f>
        <v>-183.75</v>
      </c>
      <c r="I292" s="31" t="n">
        <f aca="false">IFERROR(G292/-H292,"no loss")</f>
        <v>0</v>
      </c>
      <c r="J292" s="30" t="n">
        <f aca="false">_xlfn.MAXIFS(Trades!$X$2:$X$884,Trades!$D$2:$D$884,$A292)</f>
        <v>-183.75</v>
      </c>
      <c r="K292" s="30" t="n">
        <f aca="false">_xlfn.MINIFS(Trades!$X$2:$X$884,Trades!$D$2:$D$884,$A292)</f>
        <v>-183.75</v>
      </c>
      <c r="L292" s="32" t="n">
        <f aca="false">SUMIFS(Trades!$Y$2:$Y$884,Trades!$D$2:$D$884,$A292)</f>
        <v>-1.03201347935982</v>
      </c>
      <c r="M292" s="30" t="n">
        <f aca="false">P291</f>
        <v>106335.86</v>
      </c>
      <c r="N292" s="29" t="n">
        <f aca="false">IFERROR(F292/M292,0)</f>
        <v>-0.00172801536565369</v>
      </c>
      <c r="O292" s="28" t="str">
        <f aca="false">IF(-N292&gt;=Summary!$C$7,"BREACH","")</f>
        <v/>
      </c>
      <c r="P292" s="30" t="n">
        <f aca="false">M292+F292</f>
        <v>106152.11</v>
      </c>
      <c r="Q292" s="30" t="n">
        <f aca="false">P292-Summary!$C$5</f>
        <v>6152.1100000001</v>
      </c>
      <c r="R292" s="2" t="str">
        <f aca="false">TEXT(A292,"ddd")</f>
        <v>Thu</v>
      </c>
    </row>
    <row r="293" customFormat="false" ht="15" hidden="false" customHeight="false" outlineLevel="0" collapsed="false">
      <c r="A293" s="42" t="n">
        <v>45502</v>
      </c>
      <c r="B293" s="28" t="n">
        <f aca="false">COUNTIFS(Trades!$D$2:$D$884,$A293)</f>
        <v>1</v>
      </c>
      <c r="C293" s="28" t="n">
        <f aca="false">COUNTIFS(Trades!$D$2:$D$884,$A293,Trades!$Z$2:$Z$884,"Win")</f>
        <v>1</v>
      </c>
      <c r="D293" s="28" t="n">
        <f aca="false">COUNTIFS(Trades!$D$2:$D$884,$A293,Trades!$Z$2:$Z$884,"Loss")</f>
        <v>0</v>
      </c>
      <c r="E293" s="29" t="n">
        <f aca="false">IFERROR(C293/B293,0)</f>
        <v>1</v>
      </c>
      <c r="F293" s="30" t="n">
        <f aca="false">SUMIFS(Trades!$X$2:$X$884,Trades!$D$2:$D$884,$A293)</f>
        <v>103.06</v>
      </c>
      <c r="G293" s="30" t="n">
        <f aca="false">SUMIFS(Trades!$X$2:$X$884,Trades!$D$2:$D$884,$A293,Trades!$X$2:$X$884,"&gt;0")</f>
        <v>103.06</v>
      </c>
      <c r="H293" s="30" t="n">
        <f aca="false">SUMIFS(Trades!$X$2:$X$884,Trades!$D$2:$D$884,$A293,Trades!$X$2:$X$884,"&lt;0")</f>
        <v>0</v>
      </c>
      <c r="I293" s="31" t="str">
        <f aca="false">IFERROR(G293/-H293,"no loss")</f>
        <v>no loss</v>
      </c>
      <c r="J293" s="30" t="n">
        <f aca="false">_xlfn.MAXIFS(Trades!$X$2:$X$884,Trades!$D$2:$D$884,$A293)</f>
        <v>103.06</v>
      </c>
      <c r="K293" s="30" t="n">
        <f aca="false">_xlfn.MINIFS(Trades!$X$2:$X$884,Trades!$D$2:$D$884,$A293)</f>
        <v>103.06</v>
      </c>
      <c r="L293" s="32" t="n">
        <f aca="false">SUMIFS(Trades!$Y$2:$Y$884,Trades!$D$2:$D$884,$A293)</f>
        <v>2.07247425997414</v>
      </c>
      <c r="M293" s="30" t="n">
        <f aca="false">P292</f>
        <v>106152.11</v>
      </c>
      <c r="N293" s="29" t="n">
        <f aca="false">IFERROR(F293/M293,0)</f>
        <v>0.000970870951128526</v>
      </c>
      <c r="O293" s="28" t="str">
        <f aca="false">IF(-N293&gt;=Summary!$C$7,"BREACH","")</f>
        <v/>
      </c>
      <c r="P293" s="30" t="n">
        <f aca="false">M293+F293</f>
        <v>106255.17</v>
      </c>
      <c r="Q293" s="30" t="n">
        <f aca="false">P293-Summary!$C$5</f>
        <v>6255.1700000001</v>
      </c>
      <c r="R293" s="2" t="str">
        <f aca="false">TEXT(A293,"ddd")</f>
        <v>Mon</v>
      </c>
    </row>
    <row r="294" customFormat="false" ht="15" hidden="false" customHeight="false" outlineLevel="0" collapsed="false">
      <c r="A294" s="42" t="n">
        <v>45503</v>
      </c>
      <c r="B294" s="28" t="n">
        <f aca="false">COUNTIFS(Trades!$D$2:$D$884,$A294)</f>
        <v>1</v>
      </c>
      <c r="C294" s="28" t="n">
        <f aca="false">COUNTIFS(Trades!$D$2:$D$884,$A294,Trades!$Z$2:$Z$884,"Win")</f>
        <v>0</v>
      </c>
      <c r="D294" s="28" t="n">
        <f aca="false">COUNTIFS(Trades!$D$2:$D$884,$A294,Trades!$Z$2:$Z$884,"Loss")</f>
        <v>1</v>
      </c>
      <c r="E294" s="29" t="n">
        <f aca="false">IFERROR(C294/B294,0)</f>
        <v>0</v>
      </c>
      <c r="F294" s="30" t="n">
        <f aca="false">SUMIFS(Trades!$X$2:$X$884,Trades!$D$2:$D$884,$A294)</f>
        <v>-90.1</v>
      </c>
      <c r="G294" s="30" t="n">
        <f aca="false">SUMIFS(Trades!$X$2:$X$884,Trades!$D$2:$D$884,$A294,Trades!$X$2:$X$884,"&gt;0")</f>
        <v>0</v>
      </c>
      <c r="H294" s="30" t="n">
        <f aca="false">SUMIFS(Trades!$X$2:$X$884,Trades!$D$2:$D$884,$A294,Trades!$X$2:$X$884,"&lt;0")</f>
        <v>-90.1</v>
      </c>
      <c r="I294" s="31" t="n">
        <f aca="false">IFERROR(G294/-H294,"no loss")</f>
        <v>0</v>
      </c>
      <c r="J294" s="30" t="n">
        <f aca="false">_xlfn.MAXIFS(Trades!$X$2:$X$884,Trades!$D$2:$D$884,$A294)</f>
        <v>-90.1</v>
      </c>
      <c r="K294" s="30" t="n">
        <f aca="false">_xlfn.MINIFS(Trades!$X$2:$X$884,Trades!$D$2:$D$884,$A294)</f>
        <v>-90.1</v>
      </c>
      <c r="L294" s="32" t="n">
        <f aca="false">SUMIFS(Trades!$Y$2:$Y$884,Trades!$D$2:$D$884,$A294)</f>
        <v>-1.02444570778851</v>
      </c>
      <c r="M294" s="30" t="n">
        <f aca="false">P293</f>
        <v>106255.17</v>
      </c>
      <c r="N294" s="29" t="n">
        <f aca="false">IFERROR(F294/M294,0)</f>
        <v>-0.000847958739325342</v>
      </c>
      <c r="O294" s="28" t="str">
        <f aca="false">IF(-N294&gt;=Summary!$C$7,"BREACH","")</f>
        <v/>
      </c>
      <c r="P294" s="30" t="n">
        <f aca="false">M294+F294</f>
        <v>106165.07</v>
      </c>
      <c r="Q294" s="30" t="n">
        <f aca="false">P294-Summary!$C$5</f>
        <v>6165.07000000009</v>
      </c>
      <c r="R294" s="2" t="str">
        <f aca="false">TEXT(A294,"ddd")</f>
        <v>Tue</v>
      </c>
    </row>
    <row r="295" customFormat="false" ht="15" hidden="false" customHeight="false" outlineLevel="0" collapsed="false">
      <c r="A295" s="42" t="n">
        <v>45504</v>
      </c>
      <c r="B295" s="28" t="n">
        <f aca="false">COUNTIFS(Trades!$D$2:$D$884,$A295)</f>
        <v>1</v>
      </c>
      <c r="C295" s="28" t="n">
        <f aca="false">COUNTIFS(Trades!$D$2:$D$884,$A295,Trades!$Z$2:$Z$884,"Win")</f>
        <v>0</v>
      </c>
      <c r="D295" s="28" t="n">
        <f aca="false">COUNTIFS(Trades!$D$2:$D$884,$A295,Trades!$Z$2:$Z$884,"Loss")</f>
        <v>1</v>
      </c>
      <c r="E295" s="29" t="n">
        <f aca="false">IFERROR(C295/B295,0)</f>
        <v>0</v>
      </c>
      <c r="F295" s="30" t="n">
        <f aca="false">SUMIFS(Trades!$X$2:$X$884,Trades!$D$2:$D$884,$A295)</f>
        <v>-105.12</v>
      </c>
      <c r="G295" s="30" t="n">
        <f aca="false">SUMIFS(Trades!$X$2:$X$884,Trades!$D$2:$D$884,$A295,Trades!$X$2:$X$884,"&gt;0")</f>
        <v>0</v>
      </c>
      <c r="H295" s="30" t="n">
        <f aca="false">SUMIFS(Trades!$X$2:$X$884,Trades!$D$2:$D$884,$A295,Trades!$X$2:$X$884,"&lt;0")</f>
        <v>-105.12</v>
      </c>
      <c r="I295" s="31" t="n">
        <f aca="false">IFERROR(G295/-H295,"no loss")</f>
        <v>0</v>
      </c>
      <c r="J295" s="30" t="n">
        <f aca="false">_xlfn.MAXIFS(Trades!$X$2:$X$884,Trades!$D$2:$D$884,$A295)</f>
        <v>-105.12</v>
      </c>
      <c r="K295" s="30" t="n">
        <f aca="false">_xlfn.MINIFS(Trades!$X$2:$X$884,Trades!$D$2:$D$884,$A295)</f>
        <v>-105.12</v>
      </c>
      <c r="L295" s="32" t="n">
        <f aca="false">SUMIFS(Trades!$Y$2:$Y$884,Trades!$D$2:$D$884,$A295)</f>
        <v>-1.00182982616649</v>
      </c>
      <c r="M295" s="30" t="n">
        <f aca="false">P294</f>
        <v>106165.07</v>
      </c>
      <c r="N295" s="29" t="n">
        <f aca="false">IFERROR(F295/M295,0)</f>
        <v>-0.000990156178486954</v>
      </c>
      <c r="O295" s="28" t="str">
        <f aca="false">IF(-N295&gt;=Summary!$C$7,"BREACH","")</f>
        <v/>
      </c>
      <c r="P295" s="30" t="n">
        <f aca="false">M295+F295</f>
        <v>106059.95</v>
      </c>
      <c r="Q295" s="30" t="n">
        <f aca="false">P295-Summary!$C$5</f>
        <v>6059.9500000001</v>
      </c>
      <c r="R295" s="2" t="str">
        <f aca="false">TEXT(A295,"ddd")</f>
        <v>Wed</v>
      </c>
    </row>
    <row r="296" customFormat="false" ht="15" hidden="false" customHeight="false" outlineLevel="0" collapsed="false">
      <c r="A296" s="42" t="n">
        <v>45505</v>
      </c>
      <c r="B296" s="28" t="n">
        <f aca="false">COUNTIFS(Trades!$D$2:$D$884,$A296)</f>
        <v>1</v>
      </c>
      <c r="C296" s="28" t="n">
        <f aca="false">COUNTIFS(Trades!$D$2:$D$884,$A296,Trades!$Z$2:$Z$884,"Win")</f>
        <v>1</v>
      </c>
      <c r="D296" s="28" t="n">
        <f aca="false">COUNTIFS(Trades!$D$2:$D$884,$A296,Trades!$Z$2:$Z$884,"Loss")</f>
        <v>0</v>
      </c>
      <c r="E296" s="29" t="n">
        <f aca="false">IFERROR(C296/B296,0)</f>
        <v>1</v>
      </c>
      <c r="F296" s="30" t="n">
        <f aca="false">SUMIFS(Trades!$X$2:$X$884,Trades!$D$2:$D$884,$A296)</f>
        <v>116.26</v>
      </c>
      <c r="G296" s="30" t="n">
        <f aca="false">SUMIFS(Trades!$X$2:$X$884,Trades!$D$2:$D$884,$A296,Trades!$X$2:$X$884,"&gt;0")</f>
        <v>116.26</v>
      </c>
      <c r="H296" s="30" t="n">
        <f aca="false">SUMIFS(Trades!$X$2:$X$884,Trades!$D$2:$D$884,$A296,Trades!$X$2:$X$884,"&lt;0")</f>
        <v>0</v>
      </c>
      <c r="I296" s="31" t="str">
        <f aca="false">IFERROR(G296/-H296,"no loss")</f>
        <v>no loss</v>
      </c>
      <c r="J296" s="30" t="n">
        <f aca="false">_xlfn.MAXIFS(Trades!$X$2:$X$884,Trades!$D$2:$D$884,$A296)</f>
        <v>116.26</v>
      </c>
      <c r="K296" s="30" t="n">
        <f aca="false">_xlfn.MINIFS(Trades!$X$2:$X$884,Trades!$D$2:$D$884,$A296)</f>
        <v>116.26</v>
      </c>
      <c r="L296" s="32" t="n">
        <f aca="false">SUMIFS(Trades!$Y$2:$Y$884,Trades!$D$2:$D$884,$A296)</f>
        <v>2.05087496471957</v>
      </c>
      <c r="M296" s="30" t="n">
        <f aca="false">P295</f>
        <v>106059.95</v>
      </c>
      <c r="N296" s="29" t="n">
        <f aca="false">IFERROR(F296/M296,0)</f>
        <v>0.00109617249489557</v>
      </c>
      <c r="O296" s="28" t="str">
        <f aca="false">IF(-N296&gt;=Summary!$C$7,"BREACH","")</f>
        <v/>
      </c>
      <c r="P296" s="30" t="n">
        <f aca="false">M296+F296</f>
        <v>106176.21</v>
      </c>
      <c r="Q296" s="30" t="n">
        <f aca="false">P296-Summary!$C$5</f>
        <v>6176.21000000009</v>
      </c>
      <c r="R296" s="2" t="str">
        <f aca="false">TEXT(A296,"ddd")</f>
        <v>Thu</v>
      </c>
    </row>
    <row r="297" customFormat="false" ht="15" hidden="false" customHeight="false" outlineLevel="0" collapsed="false">
      <c r="A297" s="42" t="n">
        <v>45506</v>
      </c>
      <c r="B297" s="28" t="n">
        <f aca="false">COUNTIFS(Trades!$D$2:$D$884,$A297)</f>
        <v>1</v>
      </c>
      <c r="C297" s="28" t="n">
        <f aca="false">COUNTIFS(Trades!$D$2:$D$884,$A297,Trades!$Z$2:$Z$884,"Win")</f>
        <v>0</v>
      </c>
      <c r="D297" s="28" t="n">
        <f aca="false">COUNTIFS(Trades!$D$2:$D$884,$A297,Trades!$Z$2:$Z$884,"Loss")</f>
        <v>1</v>
      </c>
      <c r="E297" s="29" t="n">
        <f aca="false">IFERROR(C297/B297,0)</f>
        <v>0</v>
      </c>
      <c r="F297" s="30" t="n">
        <f aca="false">SUMIFS(Trades!$X$2:$X$884,Trades!$D$2:$D$884,$A297)</f>
        <v>-1.4</v>
      </c>
      <c r="G297" s="30" t="n">
        <f aca="false">SUMIFS(Trades!$X$2:$X$884,Trades!$D$2:$D$884,$A297,Trades!$X$2:$X$884,"&gt;0")</f>
        <v>0</v>
      </c>
      <c r="H297" s="30" t="n">
        <f aca="false">SUMIFS(Trades!$X$2:$X$884,Trades!$D$2:$D$884,$A297,Trades!$X$2:$X$884,"&lt;0")</f>
        <v>-1.4</v>
      </c>
      <c r="I297" s="31" t="n">
        <f aca="false">IFERROR(G297/-H297,"no loss")</f>
        <v>0</v>
      </c>
      <c r="J297" s="30" t="n">
        <f aca="false">_xlfn.MAXIFS(Trades!$X$2:$X$884,Trades!$D$2:$D$884,$A297)</f>
        <v>-1.4</v>
      </c>
      <c r="K297" s="30" t="n">
        <f aca="false">_xlfn.MINIFS(Trades!$X$2:$X$884,Trades!$D$2:$D$884,$A297)</f>
        <v>-1.4</v>
      </c>
      <c r="L297" s="32" t="n">
        <f aca="false">SUMIFS(Trades!$Y$2:$Y$884,Trades!$D$2:$D$884,$A297)</f>
        <v>-0.0151597184623734</v>
      </c>
      <c r="M297" s="30" t="n">
        <f aca="false">P296</f>
        <v>106176.21</v>
      </c>
      <c r="N297" s="29" t="n">
        <f aca="false">IFERROR(F297/M297,0)</f>
        <v>-1.31856279292696E-005</v>
      </c>
      <c r="O297" s="28" t="str">
        <f aca="false">IF(-N297&gt;=Summary!$C$7,"BREACH","")</f>
        <v/>
      </c>
      <c r="P297" s="30" t="n">
        <f aca="false">M297+F297</f>
        <v>106174.81</v>
      </c>
      <c r="Q297" s="30" t="n">
        <f aca="false">P297-Summary!$C$5</f>
        <v>6174.8100000001</v>
      </c>
      <c r="R297" s="2" t="str">
        <f aca="false">TEXT(A297,"ddd")</f>
        <v>Fri</v>
      </c>
    </row>
    <row r="298" customFormat="false" ht="15" hidden="false" customHeight="false" outlineLevel="0" collapsed="false">
      <c r="A298" s="42" t="n">
        <v>45509</v>
      </c>
      <c r="B298" s="28" t="n">
        <f aca="false">COUNTIFS(Trades!$D$2:$D$884,$A298)</f>
        <v>1</v>
      </c>
      <c r="C298" s="28" t="n">
        <f aca="false">COUNTIFS(Trades!$D$2:$D$884,$A298,Trades!$Z$2:$Z$884,"Win")</f>
        <v>0</v>
      </c>
      <c r="D298" s="28" t="n">
        <f aca="false">COUNTIFS(Trades!$D$2:$D$884,$A298,Trades!$Z$2:$Z$884,"Loss")</f>
        <v>1</v>
      </c>
      <c r="E298" s="29" t="n">
        <f aca="false">IFERROR(C298/B298,0)</f>
        <v>0</v>
      </c>
      <c r="F298" s="30" t="n">
        <f aca="false">SUMIFS(Trades!$X$2:$X$884,Trades!$D$2:$D$884,$A298)</f>
        <v>-364.88</v>
      </c>
      <c r="G298" s="30" t="n">
        <f aca="false">SUMIFS(Trades!$X$2:$X$884,Trades!$D$2:$D$884,$A298,Trades!$X$2:$X$884,"&gt;0")</f>
        <v>0</v>
      </c>
      <c r="H298" s="30" t="n">
        <f aca="false">SUMIFS(Trades!$X$2:$X$884,Trades!$D$2:$D$884,$A298,Trades!$X$2:$X$884,"&lt;0")</f>
        <v>-364.88</v>
      </c>
      <c r="I298" s="31" t="n">
        <f aca="false">IFERROR(G298/-H298,"no loss")</f>
        <v>0</v>
      </c>
      <c r="J298" s="30" t="n">
        <f aca="false">_xlfn.MAXIFS(Trades!$X$2:$X$884,Trades!$D$2:$D$884,$A298)</f>
        <v>-364.88</v>
      </c>
      <c r="K298" s="30" t="n">
        <f aca="false">_xlfn.MINIFS(Trades!$X$2:$X$884,Trades!$D$2:$D$884,$A298)</f>
        <v>-364.88</v>
      </c>
      <c r="L298" s="32" t="n">
        <f aca="false">SUMIFS(Trades!$Y$2:$Y$884,Trades!$D$2:$D$884,$A298)</f>
        <v>-0.999989037611926</v>
      </c>
      <c r="M298" s="30" t="n">
        <f aca="false">P297</f>
        <v>106174.81</v>
      </c>
      <c r="N298" s="29" t="n">
        <f aca="false">IFERROR(F298/M298,0)</f>
        <v>-0.00343659668427944</v>
      </c>
      <c r="O298" s="28" t="str">
        <f aca="false">IF(-N298&gt;=Summary!$C$7,"BREACH","")</f>
        <v/>
      </c>
      <c r="P298" s="30" t="n">
        <f aca="false">M298+F298</f>
        <v>105809.93</v>
      </c>
      <c r="Q298" s="30" t="n">
        <f aca="false">P298-Summary!$C$5</f>
        <v>5809.9300000001</v>
      </c>
      <c r="R298" s="2" t="str">
        <f aca="false">TEXT(A298,"ddd")</f>
        <v>Mon</v>
      </c>
    </row>
    <row r="299" customFormat="false" ht="15" hidden="false" customHeight="false" outlineLevel="0" collapsed="false">
      <c r="A299" s="42" t="n">
        <v>45510</v>
      </c>
      <c r="B299" s="28" t="n">
        <f aca="false">COUNTIFS(Trades!$D$2:$D$884,$A299)</f>
        <v>1</v>
      </c>
      <c r="C299" s="28" t="n">
        <f aca="false">COUNTIFS(Trades!$D$2:$D$884,$A299,Trades!$Z$2:$Z$884,"Win")</f>
        <v>1</v>
      </c>
      <c r="D299" s="28" t="n">
        <f aca="false">COUNTIFS(Trades!$D$2:$D$884,$A299,Trades!$Z$2:$Z$884,"Loss")</f>
        <v>0</v>
      </c>
      <c r="E299" s="29" t="n">
        <f aca="false">IFERROR(C299/B299,0)</f>
        <v>1</v>
      </c>
      <c r="F299" s="30" t="n">
        <f aca="false">SUMIFS(Trades!$X$2:$X$884,Trades!$D$2:$D$884,$A299)</f>
        <v>261.4</v>
      </c>
      <c r="G299" s="30" t="n">
        <f aca="false">SUMIFS(Trades!$X$2:$X$884,Trades!$D$2:$D$884,$A299,Trades!$X$2:$X$884,"&gt;0")</f>
        <v>261.4</v>
      </c>
      <c r="H299" s="30" t="n">
        <f aca="false">SUMIFS(Trades!$X$2:$X$884,Trades!$D$2:$D$884,$A299,Trades!$X$2:$X$884,"&lt;0")</f>
        <v>0</v>
      </c>
      <c r="I299" s="31" t="str">
        <f aca="false">IFERROR(G299/-H299,"no loss")</f>
        <v>no loss</v>
      </c>
      <c r="J299" s="30" t="n">
        <f aca="false">_xlfn.MAXIFS(Trades!$X$2:$X$884,Trades!$D$2:$D$884,$A299)</f>
        <v>261.4</v>
      </c>
      <c r="K299" s="30" t="n">
        <f aca="false">_xlfn.MINIFS(Trades!$X$2:$X$884,Trades!$D$2:$D$884,$A299)</f>
        <v>261.4</v>
      </c>
      <c r="L299" s="32" t="n">
        <f aca="false">SUMIFS(Trades!$Y$2:$Y$884,Trades!$D$2:$D$884,$A299)</f>
        <v>2.01399161735707</v>
      </c>
      <c r="M299" s="30" t="n">
        <f aca="false">P298</f>
        <v>105809.93</v>
      </c>
      <c r="N299" s="29" t="n">
        <f aca="false">IFERROR(F299/M299,0)</f>
        <v>0.00247046756386664</v>
      </c>
      <c r="O299" s="28" t="str">
        <f aca="false">IF(-N299&gt;=Summary!$C$7,"BREACH","")</f>
        <v/>
      </c>
      <c r="P299" s="30" t="n">
        <f aca="false">M299+F299</f>
        <v>106071.33</v>
      </c>
      <c r="Q299" s="30" t="n">
        <f aca="false">P299-Summary!$C$5</f>
        <v>6071.33000000009</v>
      </c>
      <c r="R299" s="2" t="str">
        <f aca="false">TEXT(A299,"ddd")</f>
        <v>Tue</v>
      </c>
    </row>
    <row r="300" customFormat="false" ht="15" hidden="false" customHeight="false" outlineLevel="0" collapsed="false">
      <c r="A300" s="42" t="n">
        <v>45511</v>
      </c>
      <c r="B300" s="28" t="n">
        <f aca="false">COUNTIFS(Trades!$D$2:$D$884,$A300)</f>
        <v>1</v>
      </c>
      <c r="C300" s="28" t="n">
        <f aca="false">COUNTIFS(Trades!$D$2:$D$884,$A300,Trades!$Z$2:$Z$884,"Win")</f>
        <v>0</v>
      </c>
      <c r="D300" s="28" t="n">
        <f aca="false">COUNTIFS(Trades!$D$2:$D$884,$A300,Trades!$Z$2:$Z$884,"Loss")</f>
        <v>1</v>
      </c>
      <c r="E300" s="29" t="n">
        <f aca="false">IFERROR(C300/B300,0)</f>
        <v>0</v>
      </c>
      <c r="F300" s="30" t="n">
        <f aca="false">SUMIFS(Trades!$X$2:$X$884,Trades!$D$2:$D$884,$A300)</f>
        <v>-6.8</v>
      </c>
      <c r="G300" s="30" t="n">
        <f aca="false">SUMIFS(Trades!$X$2:$X$884,Trades!$D$2:$D$884,$A300,Trades!$X$2:$X$884,"&gt;0")</f>
        <v>0</v>
      </c>
      <c r="H300" s="30" t="n">
        <f aca="false">SUMIFS(Trades!$X$2:$X$884,Trades!$D$2:$D$884,$A300,Trades!$X$2:$X$884,"&lt;0")</f>
        <v>-6.8</v>
      </c>
      <c r="I300" s="31" t="n">
        <f aca="false">IFERROR(G300/-H300,"no loss")</f>
        <v>0</v>
      </c>
      <c r="J300" s="30" t="n">
        <f aca="false">_xlfn.MAXIFS(Trades!$X$2:$X$884,Trades!$D$2:$D$884,$A300)</f>
        <v>-6.8</v>
      </c>
      <c r="K300" s="30" t="n">
        <f aca="false">_xlfn.MINIFS(Trades!$X$2:$X$884,Trades!$D$2:$D$884,$A300)</f>
        <v>-6.8</v>
      </c>
      <c r="L300" s="32" t="n">
        <f aca="false">SUMIFS(Trades!$Y$2:$Y$884,Trades!$D$2:$D$884,$A300)</f>
        <v>-0.0471240471240462</v>
      </c>
      <c r="M300" s="30" t="n">
        <f aca="false">P299</f>
        <v>106071.33</v>
      </c>
      <c r="N300" s="29" t="n">
        <f aca="false">IFERROR(F300/M300,0)</f>
        <v>-6.41078036826727E-005</v>
      </c>
      <c r="O300" s="28" t="str">
        <f aca="false">IF(-N300&gt;=Summary!$C$7,"BREACH","")</f>
        <v/>
      </c>
      <c r="P300" s="30" t="n">
        <f aca="false">M300+F300</f>
        <v>106064.53</v>
      </c>
      <c r="Q300" s="30" t="n">
        <f aca="false">P300-Summary!$C$5</f>
        <v>6064.53000000009</v>
      </c>
      <c r="R300" s="2" t="str">
        <f aca="false">TEXT(A300,"ddd")</f>
        <v>Wed</v>
      </c>
    </row>
    <row r="301" customFormat="false" ht="15" hidden="false" customHeight="false" outlineLevel="0" collapsed="false">
      <c r="A301" s="42" t="n">
        <v>45512</v>
      </c>
      <c r="B301" s="28" t="n">
        <f aca="false">COUNTIFS(Trades!$D$2:$D$884,$A301)</f>
        <v>1</v>
      </c>
      <c r="C301" s="28" t="n">
        <f aca="false">COUNTIFS(Trades!$D$2:$D$884,$A301,Trades!$Z$2:$Z$884,"Win")</f>
        <v>0</v>
      </c>
      <c r="D301" s="28" t="n">
        <f aca="false">COUNTIFS(Trades!$D$2:$D$884,$A301,Trades!$Z$2:$Z$884,"Loss")</f>
        <v>1</v>
      </c>
      <c r="E301" s="29" t="n">
        <f aca="false">IFERROR(C301/B301,0)</f>
        <v>0</v>
      </c>
      <c r="F301" s="30" t="n">
        <f aca="false">SUMIFS(Trades!$X$2:$X$884,Trades!$D$2:$D$884,$A301)</f>
        <v>-193.91</v>
      </c>
      <c r="G301" s="30" t="n">
        <f aca="false">SUMIFS(Trades!$X$2:$X$884,Trades!$D$2:$D$884,$A301,Trades!$X$2:$X$884,"&gt;0")</f>
        <v>0</v>
      </c>
      <c r="H301" s="30" t="n">
        <f aca="false">SUMIFS(Trades!$X$2:$X$884,Trades!$D$2:$D$884,$A301,Trades!$X$2:$X$884,"&lt;0")</f>
        <v>-193.91</v>
      </c>
      <c r="I301" s="31" t="n">
        <f aca="false">IFERROR(G301/-H301,"no loss")</f>
        <v>0</v>
      </c>
      <c r="J301" s="30" t="n">
        <f aca="false">_xlfn.MAXIFS(Trades!$X$2:$X$884,Trades!$D$2:$D$884,$A301)</f>
        <v>-193.91</v>
      </c>
      <c r="K301" s="30" t="n">
        <f aca="false">_xlfn.MINIFS(Trades!$X$2:$X$884,Trades!$D$2:$D$884,$A301)</f>
        <v>-193.91</v>
      </c>
      <c r="L301" s="32" t="n">
        <f aca="false">SUMIFS(Trades!$Y$2:$Y$884,Trades!$D$2:$D$884,$A301)</f>
        <v>-1.04660074699375</v>
      </c>
      <c r="M301" s="30" t="n">
        <f aca="false">P300</f>
        <v>106064.53</v>
      </c>
      <c r="N301" s="29" t="n">
        <f aca="false">IFERROR(F301/M301,0)</f>
        <v>-0.00182822664655187</v>
      </c>
      <c r="O301" s="28" t="str">
        <f aca="false">IF(-N301&gt;=Summary!$C$7,"BREACH","")</f>
        <v/>
      </c>
      <c r="P301" s="30" t="n">
        <f aca="false">M301+F301</f>
        <v>105870.62</v>
      </c>
      <c r="Q301" s="30" t="n">
        <f aca="false">P301-Summary!$C$5</f>
        <v>5870.62000000008</v>
      </c>
      <c r="R301" s="2" t="str">
        <f aca="false">TEXT(A301,"ddd")</f>
        <v>Thu</v>
      </c>
    </row>
    <row r="302" customFormat="false" ht="15" hidden="false" customHeight="false" outlineLevel="0" collapsed="false">
      <c r="A302" s="42" t="n">
        <v>45513</v>
      </c>
      <c r="B302" s="28" t="n">
        <f aca="false">COUNTIFS(Trades!$D$2:$D$884,$A302)</f>
        <v>1</v>
      </c>
      <c r="C302" s="28" t="n">
        <f aca="false">COUNTIFS(Trades!$D$2:$D$884,$A302,Trades!$Z$2:$Z$884,"Win")</f>
        <v>0</v>
      </c>
      <c r="D302" s="28" t="n">
        <f aca="false">COUNTIFS(Trades!$D$2:$D$884,$A302,Trades!$Z$2:$Z$884,"Loss")</f>
        <v>1</v>
      </c>
      <c r="E302" s="29" t="n">
        <f aca="false">IFERROR(C302/B302,0)</f>
        <v>0</v>
      </c>
      <c r="F302" s="30" t="n">
        <f aca="false">SUMIFS(Trades!$X$2:$X$884,Trades!$D$2:$D$884,$A302)</f>
        <v>-300.11</v>
      </c>
      <c r="G302" s="30" t="n">
        <f aca="false">SUMIFS(Trades!$X$2:$X$884,Trades!$D$2:$D$884,$A302,Trades!$X$2:$X$884,"&gt;0")</f>
        <v>0</v>
      </c>
      <c r="H302" s="30" t="n">
        <f aca="false">SUMIFS(Trades!$X$2:$X$884,Trades!$D$2:$D$884,$A302,Trades!$X$2:$X$884,"&lt;0")</f>
        <v>-300.11</v>
      </c>
      <c r="I302" s="31" t="n">
        <f aca="false">IFERROR(G302/-H302,"no loss")</f>
        <v>0</v>
      </c>
      <c r="J302" s="30" t="n">
        <f aca="false">_xlfn.MAXIFS(Trades!$X$2:$X$884,Trades!$D$2:$D$884,$A302)</f>
        <v>-300.11</v>
      </c>
      <c r="K302" s="30" t="n">
        <f aca="false">_xlfn.MINIFS(Trades!$X$2:$X$884,Trades!$D$2:$D$884,$A302)</f>
        <v>-300.11</v>
      </c>
      <c r="L302" s="32" t="n">
        <f aca="false">SUMIFS(Trades!$Y$2:$Y$884,Trades!$D$2:$D$884,$A302)</f>
        <v>-1.08089321087703</v>
      </c>
      <c r="M302" s="30" t="n">
        <f aca="false">P301</f>
        <v>105870.62</v>
      </c>
      <c r="N302" s="29" t="n">
        <f aca="false">IFERROR(F302/M302,0)</f>
        <v>-0.00283468633696487</v>
      </c>
      <c r="O302" s="28" t="str">
        <f aca="false">IF(-N302&gt;=Summary!$C$7,"BREACH","")</f>
        <v/>
      </c>
      <c r="P302" s="30" t="n">
        <f aca="false">M302+F302</f>
        <v>105570.51</v>
      </c>
      <c r="Q302" s="30" t="n">
        <f aca="false">P302-Summary!$C$5</f>
        <v>5570.51000000008</v>
      </c>
      <c r="R302" s="2" t="str">
        <f aca="false">TEXT(A302,"ddd")</f>
        <v>Fri</v>
      </c>
    </row>
    <row r="303" customFormat="false" ht="15" hidden="false" customHeight="false" outlineLevel="0" collapsed="false">
      <c r="A303" s="42" t="n">
        <v>45516</v>
      </c>
      <c r="B303" s="28" t="n">
        <f aca="false">COUNTIFS(Trades!$D$2:$D$884,$A303)</f>
        <v>1</v>
      </c>
      <c r="C303" s="28" t="n">
        <f aca="false">COUNTIFS(Trades!$D$2:$D$884,$A303,Trades!$Z$2:$Z$884,"Win")</f>
        <v>0</v>
      </c>
      <c r="D303" s="28" t="n">
        <f aca="false">COUNTIFS(Trades!$D$2:$D$884,$A303,Trades!$Z$2:$Z$884,"Loss")</f>
        <v>1</v>
      </c>
      <c r="E303" s="29" t="n">
        <f aca="false">IFERROR(C303/B303,0)</f>
        <v>0</v>
      </c>
      <c r="F303" s="30" t="n">
        <f aca="false">SUMIFS(Trades!$X$2:$X$884,Trades!$D$2:$D$884,$A303)</f>
        <v>-60.2</v>
      </c>
      <c r="G303" s="30" t="n">
        <f aca="false">SUMIFS(Trades!$X$2:$X$884,Trades!$D$2:$D$884,$A303,Trades!$X$2:$X$884,"&gt;0")</f>
        <v>0</v>
      </c>
      <c r="H303" s="30" t="n">
        <f aca="false">SUMIFS(Trades!$X$2:$X$884,Trades!$D$2:$D$884,$A303,Trades!$X$2:$X$884,"&lt;0")</f>
        <v>-60.2</v>
      </c>
      <c r="I303" s="31" t="n">
        <f aca="false">IFERROR(G303/-H303,"no loss")</f>
        <v>0</v>
      </c>
      <c r="J303" s="30" t="n">
        <f aca="false">_xlfn.MAXIFS(Trades!$X$2:$X$884,Trades!$D$2:$D$884,$A303)</f>
        <v>-60.2</v>
      </c>
      <c r="K303" s="30" t="n">
        <f aca="false">_xlfn.MINIFS(Trades!$X$2:$X$884,Trades!$D$2:$D$884,$A303)</f>
        <v>-60.2</v>
      </c>
      <c r="L303" s="32" t="n">
        <f aca="false">SUMIFS(Trades!$Y$2:$Y$884,Trades!$D$2:$D$884,$A303)</f>
        <v>-1.00166389351078</v>
      </c>
      <c r="M303" s="30" t="n">
        <f aca="false">P302</f>
        <v>105570.51</v>
      </c>
      <c r="N303" s="29" t="n">
        <f aca="false">IFERROR(F303/M303,0)</f>
        <v>-0.000570235002180059</v>
      </c>
      <c r="O303" s="28" t="str">
        <f aca="false">IF(-N303&gt;=Summary!$C$7,"BREACH","")</f>
        <v/>
      </c>
      <c r="P303" s="30" t="n">
        <f aca="false">M303+F303</f>
        <v>105510.31</v>
      </c>
      <c r="Q303" s="30" t="n">
        <f aca="false">P303-Summary!$C$5</f>
        <v>5510.31000000009</v>
      </c>
      <c r="R303" s="2" t="str">
        <f aca="false">TEXT(A303,"ddd")</f>
        <v>Mon</v>
      </c>
    </row>
    <row r="304" customFormat="false" ht="15" hidden="false" customHeight="false" outlineLevel="0" collapsed="false">
      <c r="A304" s="42" t="n">
        <v>45517</v>
      </c>
      <c r="B304" s="28" t="n">
        <f aca="false">COUNTIFS(Trades!$D$2:$D$884,$A304)</f>
        <v>1</v>
      </c>
      <c r="C304" s="28" t="n">
        <f aca="false">COUNTIFS(Trades!$D$2:$D$884,$A304,Trades!$Z$2:$Z$884,"Win")</f>
        <v>1</v>
      </c>
      <c r="D304" s="28" t="n">
        <f aca="false">COUNTIFS(Trades!$D$2:$D$884,$A304,Trades!$Z$2:$Z$884,"Loss")</f>
        <v>0</v>
      </c>
      <c r="E304" s="29" t="n">
        <f aca="false">IFERROR(C304/B304,0)</f>
        <v>1</v>
      </c>
      <c r="F304" s="30" t="n">
        <f aca="false">SUMIFS(Trades!$X$2:$X$884,Trades!$D$2:$D$884,$A304)</f>
        <v>148.25</v>
      </c>
      <c r="G304" s="30" t="n">
        <f aca="false">SUMIFS(Trades!$X$2:$X$884,Trades!$D$2:$D$884,$A304,Trades!$X$2:$X$884,"&gt;0")</f>
        <v>148.25</v>
      </c>
      <c r="H304" s="30" t="n">
        <f aca="false">SUMIFS(Trades!$X$2:$X$884,Trades!$D$2:$D$884,$A304,Trades!$X$2:$X$884,"&lt;0")</f>
        <v>0</v>
      </c>
      <c r="I304" s="31" t="str">
        <f aca="false">IFERROR(G304/-H304,"no loss")</f>
        <v>no loss</v>
      </c>
      <c r="J304" s="30" t="n">
        <f aca="false">_xlfn.MAXIFS(Trades!$X$2:$X$884,Trades!$D$2:$D$884,$A304)</f>
        <v>148.25</v>
      </c>
      <c r="K304" s="30" t="n">
        <f aca="false">_xlfn.MINIFS(Trades!$X$2:$X$884,Trades!$D$2:$D$884,$A304)</f>
        <v>148.25</v>
      </c>
      <c r="L304" s="32" t="n">
        <f aca="false">SUMIFS(Trades!$Y$2:$Y$884,Trades!$D$2:$D$884,$A304)</f>
        <v>2.0006747638327</v>
      </c>
      <c r="M304" s="30" t="n">
        <f aca="false">P303</f>
        <v>105510.31</v>
      </c>
      <c r="N304" s="29" t="n">
        <f aca="false">IFERROR(F304/M304,0)</f>
        <v>0.00140507595892761</v>
      </c>
      <c r="O304" s="28" t="str">
        <f aca="false">IF(-N304&gt;=Summary!$C$7,"BREACH","")</f>
        <v/>
      </c>
      <c r="P304" s="30" t="n">
        <f aca="false">M304+F304</f>
        <v>105658.56</v>
      </c>
      <c r="Q304" s="30" t="n">
        <f aca="false">P304-Summary!$C$5</f>
        <v>5658.56000000009</v>
      </c>
      <c r="R304" s="2" t="str">
        <f aca="false">TEXT(A304,"ddd")</f>
        <v>Tue</v>
      </c>
    </row>
    <row r="305" customFormat="false" ht="15" hidden="false" customHeight="false" outlineLevel="0" collapsed="false">
      <c r="A305" s="42" t="n">
        <v>45518</v>
      </c>
      <c r="B305" s="28" t="n">
        <f aca="false">COUNTIFS(Trades!$D$2:$D$884,$A305)</f>
        <v>1</v>
      </c>
      <c r="C305" s="28" t="n">
        <f aca="false">COUNTIFS(Trades!$D$2:$D$884,$A305,Trades!$Z$2:$Z$884,"Win")</f>
        <v>0</v>
      </c>
      <c r="D305" s="28" t="n">
        <f aca="false">COUNTIFS(Trades!$D$2:$D$884,$A305,Trades!$Z$2:$Z$884,"Loss")</f>
        <v>1</v>
      </c>
      <c r="E305" s="29" t="n">
        <f aca="false">IFERROR(C305/B305,0)</f>
        <v>0</v>
      </c>
      <c r="F305" s="30" t="n">
        <f aca="false">SUMIFS(Trades!$X$2:$X$884,Trades!$D$2:$D$884,$A305)</f>
        <v>-78.62</v>
      </c>
      <c r="G305" s="30" t="n">
        <f aca="false">SUMIFS(Trades!$X$2:$X$884,Trades!$D$2:$D$884,$A305,Trades!$X$2:$X$884,"&gt;0")</f>
        <v>0</v>
      </c>
      <c r="H305" s="30" t="n">
        <f aca="false">SUMIFS(Trades!$X$2:$X$884,Trades!$D$2:$D$884,$A305,Trades!$X$2:$X$884,"&lt;0")</f>
        <v>-78.62</v>
      </c>
      <c r="I305" s="31" t="n">
        <f aca="false">IFERROR(G305/-H305,"no loss")</f>
        <v>0</v>
      </c>
      <c r="J305" s="30" t="n">
        <f aca="false">_xlfn.MAXIFS(Trades!$X$2:$X$884,Trades!$D$2:$D$884,$A305)</f>
        <v>-78.62</v>
      </c>
      <c r="K305" s="30" t="n">
        <f aca="false">_xlfn.MINIFS(Trades!$X$2:$X$884,Trades!$D$2:$D$884,$A305)</f>
        <v>-78.62</v>
      </c>
      <c r="L305" s="32" t="n">
        <f aca="false">SUMIFS(Trades!$Y$2:$Y$884,Trades!$D$2:$D$884,$A305)</f>
        <v>-1.02948879111671</v>
      </c>
      <c r="M305" s="30" t="n">
        <f aca="false">P304</f>
        <v>105658.56</v>
      </c>
      <c r="N305" s="29" t="n">
        <f aca="false">IFERROR(F305/M305,0)</f>
        <v>-0.000744094941290133</v>
      </c>
      <c r="O305" s="28" t="str">
        <f aca="false">IF(-N305&gt;=Summary!$C$7,"BREACH","")</f>
        <v/>
      </c>
      <c r="P305" s="30" t="n">
        <f aca="false">M305+F305</f>
        <v>105579.94</v>
      </c>
      <c r="Q305" s="30" t="n">
        <f aca="false">P305-Summary!$C$5</f>
        <v>5579.94000000009</v>
      </c>
      <c r="R305" s="2" t="str">
        <f aca="false">TEXT(A305,"ddd")</f>
        <v>Wed</v>
      </c>
    </row>
    <row r="306" customFormat="false" ht="15" hidden="false" customHeight="false" outlineLevel="0" collapsed="false">
      <c r="A306" s="42" t="n">
        <v>45519</v>
      </c>
      <c r="B306" s="28" t="n">
        <f aca="false">COUNTIFS(Trades!$D$2:$D$884,$A306)</f>
        <v>1</v>
      </c>
      <c r="C306" s="28" t="n">
        <f aca="false">COUNTIFS(Trades!$D$2:$D$884,$A306,Trades!$Z$2:$Z$884,"Win")</f>
        <v>0</v>
      </c>
      <c r="D306" s="28" t="n">
        <f aca="false">COUNTIFS(Trades!$D$2:$D$884,$A306,Trades!$Z$2:$Z$884,"Loss")</f>
        <v>1</v>
      </c>
      <c r="E306" s="29" t="n">
        <f aca="false">IFERROR(C306/B306,0)</f>
        <v>0</v>
      </c>
      <c r="F306" s="30" t="n">
        <f aca="false">SUMIFS(Trades!$X$2:$X$884,Trades!$D$2:$D$884,$A306)</f>
        <v>-4.7</v>
      </c>
      <c r="G306" s="30" t="n">
        <f aca="false">SUMIFS(Trades!$X$2:$X$884,Trades!$D$2:$D$884,$A306,Trades!$X$2:$X$884,"&gt;0")</f>
        <v>0</v>
      </c>
      <c r="H306" s="30" t="n">
        <f aca="false">SUMIFS(Trades!$X$2:$X$884,Trades!$D$2:$D$884,$A306,Trades!$X$2:$X$884,"&lt;0")</f>
        <v>-4.7</v>
      </c>
      <c r="I306" s="31" t="n">
        <f aca="false">IFERROR(G306/-H306,"no loss")</f>
        <v>0</v>
      </c>
      <c r="J306" s="30" t="n">
        <f aca="false">_xlfn.MAXIFS(Trades!$X$2:$X$884,Trades!$D$2:$D$884,$A306)</f>
        <v>-4.7</v>
      </c>
      <c r="K306" s="30" t="n">
        <f aca="false">_xlfn.MINIFS(Trades!$X$2:$X$884,Trades!$D$2:$D$884,$A306)</f>
        <v>-4.7</v>
      </c>
      <c r="L306" s="32" t="n">
        <f aca="false">SUMIFS(Trades!$Y$2:$Y$884,Trades!$D$2:$D$884,$A306)</f>
        <v>-0.0908317872603379</v>
      </c>
      <c r="M306" s="30" t="n">
        <f aca="false">P305</f>
        <v>105579.94</v>
      </c>
      <c r="N306" s="29" t="n">
        <f aca="false">IFERROR(F306/M306,0)</f>
        <v>-4.45160321174647E-005</v>
      </c>
      <c r="O306" s="28" t="str">
        <f aca="false">IF(-N306&gt;=Summary!$C$7,"BREACH","")</f>
        <v/>
      </c>
      <c r="P306" s="30" t="n">
        <f aca="false">M306+F306</f>
        <v>105575.24</v>
      </c>
      <c r="Q306" s="30" t="n">
        <f aca="false">P306-Summary!$C$5</f>
        <v>5575.24000000009</v>
      </c>
      <c r="R306" s="2" t="str">
        <f aca="false">TEXT(A306,"ddd")</f>
        <v>Thu</v>
      </c>
    </row>
    <row r="307" customFormat="false" ht="15" hidden="false" customHeight="false" outlineLevel="0" collapsed="false">
      <c r="A307" s="42" t="n">
        <v>45520</v>
      </c>
      <c r="B307" s="28" t="n">
        <f aca="false">COUNTIFS(Trades!$D$2:$D$884,$A307)</f>
        <v>1</v>
      </c>
      <c r="C307" s="28" t="n">
        <f aca="false">COUNTIFS(Trades!$D$2:$D$884,$A307,Trades!$Z$2:$Z$884,"Win")</f>
        <v>1</v>
      </c>
      <c r="D307" s="28" t="n">
        <f aca="false">COUNTIFS(Trades!$D$2:$D$884,$A307,Trades!$Z$2:$Z$884,"Loss")</f>
        <v>0</v>
      </c>
      <c r="E307" s="29" t="n">
        <f aca="false">IFERROR(C307/B307,0)</f>
        <v>1</v>
      </c>
      <c r="F307" s="30" t="n">
        <f aca="false">SUMIFS(Trades!$X$2:$X$884,Trades!$D$2:$D$884,$A307)</f>
        <v>136.37</v>
      </c>
      <c r="G307" s="30" t="n">
        <f aca="false">SUMIFS(Trades!$X$2:$X$884,Trades!$D$2:$D$884,$A307,Trades!$X$2:$X$884,"&gt;0")</f>
        <v>136.37</v>
      </c>
      <c r="H307" s="30" t="n">
        <f aca="false">SUMIFS(Trades!$X$2:$X$884,Trades!$D$2:$D$884,$A307,Trades!$X$2:$X$884,"&lt;0")</f>
        <v>0</v>
      </c>
      <c r="I307" s="31" t="str">
        <f aca="false">IFERROR(G307/-H307,"no loss")</f>
        <v>no loss</v>
      </c>
      <c r="J307" s="30" t="n">
        <f aca="false">_xlfn.MAXIFS(Trades!$X$2:$X$884,Trades!$D$2:$D$884,$A307)</f>
        <v>136.37</v>
      </c>
      <c r="K307" s="30" t="n">
        <f aca="false">_xlfn.MINIFS(Trades!$X$2:$X$884,Trades!$D$2:$D$884,$A307)</f>
        <v>136.37</v>
      </c>
      <c r="L307" s="32" t="n">
        <f aca="false">SUMIFS(Trades!$Y$2:$Y$884,Trades!$D$2:$D$884,$A307)</f>
        <v>2.92589255063535</v>
      </c>
      <c r="M307" s="30" t="n">
        <f aca="false">P306</f>
        <v>105575.24</v>
      </c>
      <c r="N307" s="29" t="n">
        <f aca="false">IFERROR(F307/M307,0)</f>
        <v>0.00129168543685053</v>
      </c>
      <c r="O307" s="28" t="str">
        <f aca="false">IF(-N307&gt;=Summary!$C$7,"BREACH","")</f>
        <v/>
      </c>
      <c r="P307" s="30" t="n">
        <f aca="false">M307+F307</f>
        <v>105711.61</v>
      </c>
      <c r="Q307" s="30" t="n">
        <f aca="false">P307-Summary!$C$5</f>
        <v>5711.61000000009</v>
      </c>
      <c r="R307" s="2" t="str">
        <f aca="false">TEXT(A307,"ddd")</f>
        <v>Fri</v>
      </c>
    </row>
    <row r="308" customFormat="false" ht="15" hidden="false" customHeight="false" outlineLevel="0" collapsed="false">
      <c r="A308" s="42" t="n">
        <v>45523</v>
      </c>
      <c r="B308" s="28" t="n">
        <f aca="false">COUNTIFS(Trades!$D$2:$D$884,$A308)</f>
        <v>1</v>
      </c>
      <c r="C308" s="28" t="n">
        <f aca="false">COUNTIFS(Trades!$D$2:$D$884,$A308,Trades!$Z$2:$Z$884,"Win")</f>
        <v>0</v>
      </c>
      <c r="D308" s="28" t="n">
        <f aca="false">COUNTIFS(Trades!$D$2:$D$884,$A308,Trades!$Z$2:$Z$884,"Loss")</f>
        <v>1</v>
      </c>
      <c r="E308" s="29" t="n">
        <f aca="false">IFERROR(C308/B308,0)</f>
        <v>0</v>
      </c>
      <c r="F308" s="30" t="n">
        <f aca="false">SUMIFS(Trades!$X$2:$X$884,Trades!$D$2:$D$884,$A308)</f>
        <v>-78.1</v>
      </c>
      <c r="G308" s="30" t="n">
        <f aca="false">SUMIFS(Trades!$X$2:$X$884,Trades!$D$2:$D$884,$A308,Trades!$X$2:$X$884,"&gt;0")</f>
        <v>0</v>
      </c>
      <c r="H308" s="30" t="n">
        <f aca="false">SUMIFS(Trades!$X$2:$X$884,Trades!$D$2:$D$884,$A308,Trades!$X$2:$X$884,"&lt;0")</f>
        <v>-78.1</v>
      </c>
      <c r="I308" s="31" t="n">
        <f aca="false">IFERROR(G308/-H308,"no loss")</f>
        <v>0</v>
      </c>
      <c r="J308" s="30" t="n">
        <f aca="false">_xlfn.MAXIFS(Trades!$X$2:$X$884,Trades!$D$2:$D$884,$A308)</f>
        <v>-78.1</v>
      </c>
      <c r="K308" s="30" t="n">
        <f aca="false">_xlfn.MINIFS(Trades!$X$2:$X$884,Trades!$D$2:$D$884,$A308)</f>
        <v>-78.1</v>
      </c>
      <c r="L308" s="32" t="n">
        <f aca="false">SUMIFS(Trades!$Y$2:$Y$884,Trades!$D$2:$D$884,$A308)</f>
        <v>-1.05244717550674</v>
      </c>
      <c r="M308" s="30" t="n">
        <f aca="false">P307</f>
        <v>105711.61</v>
      </c>
      <c r="N308" s="29" t="n">
        <f aca="false">IFERROR(F308/M308,0)</f>
        <v>-0.000738802483473669</v>
      </c>
      <c r="O308" s="28" t="str">
        <f aca="false">IF(-N308&gt;=Summary!$C$7,"BREACH","")</f>
        <v/>
      </c>
      <c r="P308" s="30" t="n">
        <f aca="false">M308+F308</f>
        <v>105633.51</v>
      </c>
      <c r="Q308" s="30" t="n">
        <f aca="false">P308-Summary!$C$5</f>
        <v>5633.51000000008</v>
      </c>
      <c r="R308" s="2" t="str">
        <f aca="false">TEXT(A308,"ddd")</f>
        <v>Mon</v>
      </c>
    </row>
    <row r="309" customFormat="false" ht="15" hidden="false" customHeight="false" outlineLevel="0" collapsed="false">
      <c r="A309" s="42" t="n">
        <v>45524</v>
      </c>
      <c r="B309" s="28" t="n">
        <f aca="false">COUNTIFS(Trades!$D$2:$D$884,$A309)</f>
        <v>1</v>
      </c>
      <c r="C309" s="28" t="n">
        <f aca="false">COUNTIFS(Trades!$D$2:$D$884,$A309,Trades!$Z$2:$Z$884,"Win")</f>
        <v>0</v>
      </c>
      <c r="D309" s="28" t="n">
        <f aca="false">COUNTIFS(Trades!$D$2:$D$884,$A309,Trades!$Z$2:$Z$884,"Loss")</f>
        <v>1</v>
      </c>
      <c r="E309" s="29" t="n">
        <f aca="false">IFERROR(C309/B309,0)</f>
        <v>0</v>
      </c>
      <c r="F309" s="30" t="n">
        <f aca="false">SUMIFS(Trades!$X$2:$X$884,Trades!$D$2:$D$884,$A309)</f>
        <v>-68.5</v>
      </c>
      <c r="G309" s="30" t="n">
        <f aca="false">SUMIFS(Trades!$X$2:$X$884,Trades!$D$2:$D$884,$A309,Trades!$X$2:$X$884,"&gt;0")</f>
        <v>0</v>
      </c>
      <c r="H309" s="30" t="n">
        <f aca="false">SUMIFS(Trades!$X$2:$X$884,Trades!$D$2:$D$884,$A309,Trades!$X$2:$X$884,"&lt;0")</f>
        <v>-68.5</v>
      </c>
      <c r="I309" s="31" t="n">
        <f aca="false">IFERROR(G309/-H309,"no loss")</f>
        <v>0</v>
      </c>
      <c r="J309" s="30" t="n">
        <f aca="false">_xlfn.MAXIFS(Trades!$X$2:$X$884,Trades!$D$2:$D$884,$A309)</f>
        <v>-68.5</v>
      </c>
      <c r="K309" s="30" t="n">
        <f aca="false">_xlfn.MINIFS(Trades!$X$2:$X$884,Trades!$D$2:$D$884,$A309)</f>
        <v>-68.5</v>
      </c>
      <c r="L309" s="32" t="n">
        <f aca="false">SUMIFS(Trades!$Y$2:$Y$884,Trades!$D$2:$D$884,$A309)</f>
        <v>-1.08194339145828</v>
      </c>
      <c r="M309" s="30" t="n">
        <f aca="false">P308</f>
        <v>105633.51</v>
      </c>
      <c r="N309" s="29" t="n">
        <f aca="false">IFERROR(F309/M309,0)</f>
        <v>-0.000648468464221249</v>
      </c>
      <c r="O309" s="28" t="str">
        <f aca="false">IF(-N309&gt;=Summary!$C$7,"BREACH","")</f>
        <v/>
      </c>
      <c r="P309" s="30" t="n">
        <f aca="false">M309+F309</f>
        <v>105565.01</v>
      </c>
      <c r="Q309" s="30" t="n">
        <f aca="false">P309-Summary!$C$5</f>
        <v>5565.01000000008</v>
      </c>
      <c r="R309" s="2" t="str">
        <f aca="false">TEXT(A309,"ddd")</f>
        <v>Tue</v>
      </c>
    </row>
    <row r="310" customFormat="false" ht="15" hidden="false" customHeight="false" outlineLevel="0" collapsed="false">
      <c r="A310" s="42" t="n">
        <v>45525</v>
      </c>
      <c r="B310" s="28" t="n">
        <f aca="false">COUNTIFS(Trades!$D$2:$D$884,$A310)</f>
        <v>1</v>
      </c>
      <c r="C310" s="28" t="n">
        <f aca="false">COUNTIFS(Trades!$D$2:$D$884,$A310,Trades!$Z$2:$Z$884,"Win")</f>
        <v>0</v>
      </c>
      <c r="D310" s="28" t="n">
        <f aca="false">COUNTIFS(Trades!$D$2:$D$884,$A310,Trades!$Z$2:$Z$884,"Loss")</f>
        <v>1</v>
      </c>
      <c r="E310" s="29" t="n">
        <f aca="false">IFERROR(C310/B310,0)</f>
        <v>0</v>
      </c>
      <c r="F310" s="30" t="n">
        <f aca="false">SUMIFS(Trades!$X$2:$X$884,Trades!$D$2:$D$884,$A310)</f>
        <v>-2.3</v>
      </c>
      <c r="G310" s="30" t="n">
        <f aca="false">SUMIFS(Trades!$X$2:$X$884,Trades!$D$2:$D$884,$A310,Trades!$X$2:$X$884,"&gt;0")</f>
        <v>0</v>
      </c>
      <c r="H310" s="30" t="n">
        <f aca="false">SUMIFS(Trades!$X$2:$X$884,Trades!$D$2:$D$884,$A310,Trades!$X$2:$X$884,"&lt;0")</f>
        <v>-2.3</v>
      </c>
      <c r="I310" s="31" t="n">
        <f aca="false">IFERROR(G310/-H310,"no loss")</f>
        <v>0</v>
      </c>
      <c r="J310" s="30" t="n">
        <f aca="false">_xlfn.MAXIFS(Trades!$X$2:$X$884,Trades!$D$2:$D$884,$A310)</f>
        <v>-2.3</v>
      </c>
      <c r="K310" s="30" t="n">
        <f aca="false">_xlfn.MINIFS(Trades!$X$2:$X$884,Trades!$D$2:$D$884,$A310)</f>
        <v>-2.3</v>
      </c>
      <c r="L310" s="32" t="n">
        <f aca="false">SUMIFS(Trades!$Y$2:$Y$884,Trades!$D$2:$D$884,$A310)</f>
        <v>-0.0110229276895951</v>
      </c>
      <c r="M310" s="30" t="n">
        <f aca="false">P309</f>
        <v>105565.01</v>
      </c>
      <c r="N310" s="29" t="n">
        <f aca="false">IFERROR(F310/M310,0)</f>
        <v>-2.17875222102475E-005</v>
      </c>
      <c r="O310" s="28" t="str">
        <f aca="false">IF(-N310&gt;=Summary!$C$7,"BREACH","")</f>
        <v/>
      </c>
      <c r="P310" s="30" t="n">
        <f aca="false">M310+F310</f>
        <v>105562.71</v>
      </c>
      <c r="Q310" s="30" t="n">
        <f aca="false">P310-Summary!$C$5</f>
        <v>5562.71000000008</v>
      </c>
      <c r="R310" s="2" t="str">
        <f aca="false">TEXT(A310,"ddd")</f>
        <v>Wed</v>
      </c>
    </row>
    <row r="311" customFormat="false" ht="15" hidden="false" customHeight="false" outlineLevel="0" collapsed="false">
      <c r="A311" s="42" t="n">
        <v>45526</v>
      </c>
      <c r="B311" s="28" t="n">
        <f aca="false">COUNTIFS(Trades!$D$2:$D$884,$A311)</f>
        <v>2</v>
      </c>
      <c r="C311" s="28" t="n">
        <f aca="false">COUNTIFS(Trades!$D$2:$D$884,$A311,Trades!$Z$2:$Z$884,"Win")</f>
        <v>1</v>
      </c>
      <c r="D311" s="28" t="n">
        <f aca="false">COUNTIFS(Trades!$D$2:$D$884,$A311,Trades!$Z$2:$Z$884,"Loss")</f>
        <v>1</v>
      </c>
      <c r="E311" s="29" t="n">
        <f aca="false">IFERROR(C311/B311,0)</f>
        <v>0.5</v>
      </c>
      <c r="F311" s="30" t="n">
        <f aca="false">SUMIFS(Trades!$X$2:$X$884,Trades!$D$2:$D$884,$A311)</f>
        <v>241.64</v>
      </c>
      <c r="G311" s="30" t="n">
        <f aca="false">SUMIFS(Trades!$X$2:$X$884,Trades!$D$2:$D$884,$A311,Trades!$X$2:$X$884,"&gt;0")</f>
        <v>282.72</v>
      </c>
      <c r="H311" s="30" t="n">
        <f aca="false">SUMIFS(Trades!$X$2:$X$884,Trades!$D$2:$D$884,$A311,Trades!$X$2:$X$884,"&lt;0")</f>
        <v>-41.08</v>
      </c>
      <c r="I311" s="31" t="n">
        <f aca="false">IFERROR(G311/-H311,"no loss")</f>
        <v>6.88218111002921</v>
      </c>
      <c r="J311" s="30" t="n">
        <f aca="false">_xlfn.MAXIFS(Trades!$X$2:$X$884,Trades!$D$2:$D$884,$A311)</f>
        <v>282.72</v>
      </c>
      <c r="K311" s="30" t="n">
        <f aca="false">_xlfn.MINIFS(Trades!$X$2:$X$884,Trades!$D$2:$D$884,$A311)</f>
        <v>-41.08</v>
      </c>
      <c r="L311" s="32" t="n">
        <f aca="false">SUMIFS(Trades!$Y$2:$Y$884,Trades!$D$2:$D$884,$A311)</f>
        <v>0.987009111434875</v>
      </c>
      <c r="M311" s="30" t="n">
        <f aca="false">P310</f>
        <v>105562.71</v>
      </c>
      <c r="N311" s="29" t="n">
        <f aca="false">IFERROR(F311/M311,0)</f>
        <v>0.00228906590215427</v>
      </c>
      <c r="O311" s="28" t="str">
        <f aca="false">IF(-N311&gt;=Summary!$C$7,"BREACH","")</f>
        <v/>
      </c>
      <c r="P311" s="30" t="n">
        <f aca="false">M311+F311</f>
        <v>105804.35</v>
      </c>
      <c r="Q311" s="30" t="n">
        <f aca="false">P311-Summary!$C$5</f>
        <v>5804.35000000008</v>
      </c>
      <c r="R311" s="2" t="str">
        <f aca="false">TEXT(A311,"ddd")</f>
        <v>Thu</v>
      </c>
    </row>
    <row r="312" customFormat="false" ht="15" hidden="false" customHeight="false" outlineLevel="0" collapsed="false">
      <c r="A312" s="42" t="n">
        <v>45530</v>
      </c>
      <c r="B312" s="28" t="n">
        <f aca="false">COUNTIFS(Trades!$D$2:$D$884,$A312)</f>
        <v>1</v>
      </c>
      <c r="C312" s="28" t="n">
        <f aca="false">COUNTIFS(Trades!$D$2:$D$884,$A312,Trades!$Z$2:$Z$884,"Win")</f>
        <v>1</v>
      </c>
      <c r="D312" s="28" t="n">
        <f aca="false">COUNTIFS(Trades!$D$2:$D$884,$A312,Trades!$Z$2:$Z$884,"Loss")</f>
        <v>0</v>
      </c>
      <c r="E312" s="29" t="n">
        <f aca="false">IFERROR(C312/B312,0)</f>
        <v>1</v>
      </c>
      <c r="F312" s="30" t="n">
        <f aca="false">SUMIFS(Trades!$X$2:$X$884,Trades!$D$2:$D$884,$A312)</f>
        <v>327.36</v>
      </c>
      <c r="G312" s="30" t="n">
        <f aca="false">SUMIFS(Trades!$X$2:$X$884,Trades!$D$2:$D$884,$A312,Trades!$X$2:$X$884,"&gt;0")</f>
        <v>327.36</v>
      </c>
      <c r="H312" s="30" t="n">
        <f aca="false">SUMIFS(Trades!$X$2:$X$884,Trades!$D$2:$D$884,$A312,Trades!$X$2:$X$884,"&lt;0")</f>
        <v>0</v>
      </c>
      <c r="I312" s="31" t="str">
        <f aca="false">IFERROR(G312/-H312,"no loss")</f>
        <v>no loss</v>
      </c>
      <c r="J312" s="30" t="n">
        <f aca="false">_xlfn.MAXIFS(Trades!$X$2:$X$884,Trades!$D$2:$D$884,$A312)</f>
        <v>327.36</v>
      </c>
      <c r="K312" s="30" t="n">
        <f aca="false">_xlfn.MINIFS(Trades!$X$2:$X$884,Trades!$D$2:$D$884,$A312)</f>
        <v>327.36</v>
      </c>
      <c r="L312" s="32" t="n">
        <f aca="false">SUMIFS(Trades!$Y$2:$Y$884,Trades!$D$2:$D$884,$A312)</f>
        <v>2.01120613388382</v>
      </c>
      <c r="M312" s="30" t="n">
        <f aca="false">P311</f>
        <v>105804.35</v>
      </c>
      <c r="N312" s="29" t="n">
        <f aca="false">IFERROR(F312/M312,0)</f>
        <v>0.00309401267528225</v>
      </c>
      <c r="O312" s="28" t="str">
        <f aca="false">IF(-N312&gt;=Summary!$C$7,"BREACH","")</f>
        <v/>
      </c>
      <c r="P312" s="30" t="n">
        <f aca="false">M312+F312</f>
        <v>106131.71</v>
      </c>
      <c r="Q312" s="30" t="n">
        <f aca="false">P312-Summary!$C$5</f>
        <v>6131.71000000008</v>
      </c>
      <c r="R312" s="2" t="str">
        <f aca="false">TEXT(A312,"ddd")</f>
        <v>Mon</v>
      </c>
    </row>
    <row r="313" customFormat="false" ht="15" hidden="false" customHeight="false" outlineLevel="0" collapsed="false">
      <c r="A313" s="42" t="n">
        <v>45531</v>
      </c>
      <c r="B313" s="28" t="n">
        <f aca="false">COUNTIFS(Trades!$D$2:$D$884,$A313)</f>
        <v>1</v>
      </c>
      <c r="C313" s="28" t="n">
        <f aca="false">COUNTIFS(Trades!$D$2:$D$884,$A313,Trades!$Z$2:$Z$884,"Win")</f>
        <v>0</v>
      </c>
      <c r="D313" s="28" t="n">
        <f aca="false">COUNTIFS(Trades!$D$2:$D$884,$A313,Trades!$Z$2:$Z$884,"Loss")</f>
        <v>1</v>
      </c>
      <c r="E313" s="29" t="n">
        <f aca="false">IFERROR(C313/B313,0)</f>
        <v>0</v>
      </c>
      <c r="F313" s="30" t="n">
        <f aca="false">SUMIFS(Trades!$X$2:$X$884,Trades!$D$2:$D$884,$A313)</f>
        <v>-105.79</v>
      </c>
      <c r="G313" s="30" t="n">
        <f aca="false">SUMIFS(Trades!$X$2:$X$884,Trades!$D$2:$D$884,$A313,Trades!$X$2:$X$884,"&gt;0")</f>
        <v>0</v>
      </c>
      <c r="H313" s="30" t="n">
        <f aca="false">SUMIFS(Trades!$X$2:$X$884,Trades!$D$2:$D$884,$A313,Trades!$X$2:$X$884,"&lt;0")</f>
        <v>-105.79</v>
      </c>
      <c r="I313" s="31" t="n">
        <f aca="false">IFERROR(G313/-H313,"no loss")</f>
        <v>0</v>
      </c>
      <c r="J313" s="30" t="n">
        <f aca="false">_xlfn.MAXIFS(Trades!$X$2:$X$884,Trades!$D$2:$D$884,$A313)</f>
        <v>-105.79</v>
      </c>
      <c r="K313" s="30" t="n">
        <f aca="false">_xlfn.MINIFS(Trades!$X$2:$X$884,Trades!$D$2:$D$884,$A313)</f>
        <v>-105.79</v>
      </c>
      <c r="L313" s="32" t="n">
        <f aca="false">SUMIFS(Trades!$Y$2:$Y$884,Trades!$D$2:$D$884,$A313)</f>
        <v>-1.0004350128613</v>
      </c>
      <c r="M313" s="30" t="n">
        <f aca="false">P312</f>
        <v>106131.71</v>
      </c>
      <c r="N313" s="29" t="n">
        <f aca="false">IFERROR(F313/M313,0)</f>
        <v>-0.000996780321357302</v>
      </c>
      <c r="O313" s="28" t="str">
        <f aca="false">IF(-N313&gt;=Summary!$C$7,"BREACH","")</f>
        <v/>
      </c>
      <c r="P313" s="30" t="n">
        <f aca="false">M313+F313</f>
        <v>106025.92</v>
      </c>
      <c r="Q313" s="30" t="n">
        <f aca="false">P313-Summary!$C$5</f>
        <v>6025.92000000009</v>
      </c>
      <c r="R313" s="2" t="str">
        <f aca="false">TEXT(A313,"ddd")</f>
        <v>Tue</v>
      </c>
    </row>
    <row r="314" customFormat="false" ht="15" hidden="false" customHeight="false" outlineLevel="0" collapsed="false">
      <c r="A314" s="42" t="n">
        <v>45532</v>
      </c>
      <c r="B314" s="28" t="n">
        <f aca="false">COUNTIFS(Trades!$D$2:$D$884,$A314)</f>
        <v>1</v>
      </c>
      <c r="C314" s="28" t="n">
        <f aca="false">COUNTIFS(Trades!$D$2:$D$884,$A314,Trades!$Z$2:$Z$884,"Win")</f>
        <v>1</v>
      </c>
      <c r="D314" s="28" t="n">
        <f aca="false">COUNTIFS(Trades!$D$2:$D$884,$A314,Trades!$Z$2:$Z$884,"Loss")</f>
        <v>0</v>
      </c>
      <c r="E314" s="29" t="n">
        <f aca="false">IFERROR(C314/B314,0)</f>
        <v>1</v>
      </c>
      <c r="F314" s="30" t="n">
        <f aca="false">SUMIFS(Trades!$X$2:$X$884,Trades!$D$2:$D$884,$A314)</f>
        <v>297.22</v>
      </c>
      <c r="G314" s="30" t="n">
        <f aca="false">SUMIFS(Trades!$X$2:$X$884,Trades!$D$2:$D$884,$A314,Trades!$X$2:$X$884,"&gt;0")</f>
        <v>297.22</v>
      </c>
      <c r="H314" s="30" t="n">
        <f aca="false">SUMIFS(Trades!$X$2:$X$884,Trades!$D$2:$D$884,$A314,Trades!$X$2:$X$884,"&lt;0")</f>
        <v>0</v>
      </c>
      <c r="I314" s="31" t="str">
        <f aca="false">IFERROR(G314/-H314,"no loss")</f>
        <v>no loss</v>
      </c>
      <c r="J314" s="30" t="n">
        <f aca="false">_xlfn.MAXIFS(Trades!$X$2:$X$884,Trades!$D$2:$D$884,$A314)</f>
        <v>297.22</v>
      </c>
      <c r="K314" s="30" t="n">
        <f aca="false">_xlfn.MINIFS(Trades!$X$2:$X$884,Trades!$D$2:$D$884,$A314)</f>
        <v>297.22</v>
      </c>
      <c r="L314" s="32" t="n">
        <f aca="false">SUMIFS(Trades!$Y$2:$Y$884,Trades!$D$2:$D$884,$A314)</f>
        <v>2.01368563685637</v>
      </c>
      <c r="M314" s="30" t="n">
        <f aca="false">P313</f>
        <v>106025.92</v>
      </c>
      <c r="N314" s="29" t="n">
        <f aca="false">IFERROR(F314/M314,0)</f>
        <v>0.00280327678363932</v>
      </c>
      <c r="O314" s="28" t="str">
        <f aca="false">IF(-N314&gt;=Summary!$C$7,"BREACH","")</f>
        <v/>
      </c>
      <c r="P314" s="30" t="n">
        <f aca="false">M314+F314</f>
        <v>106323.14</v>
      </c>
      <c r="Q314" s="30" t="n">
        <f aca="false">P314-Summary!$C$5</f>
        <v>6323.14000000009</v>
      </c>
      <c r="R314" s="2" t="str">
        <f aca="false">TEXT(A314,"ddd")</f>
        <v>Wed</v>
      </c>
    </row>
    <row r="315" customFormat="false" ht="15" hidden="false" customHeight="false" outlineLevel="0" collapsed="false">
      <c r="A315" s="42" t="n">
        <v>45533</v>
      </c>
      <c r="B315" s="28" t="n">
        <f aca="false">COUNTIFS(Trades!$D$2:$D$884,$A315)</f>
        <v>2</v>
      </c>
      <c r="C315" s="28" t="n">
        <f aca="false">COUNTIFS(Trades!$D$2:$D$884,$A315,Trades!$Z$2:$Z$884,"Win")</f>
        <v>0</v>
      </c>
      <c r="D315" s="28" t="n">
        <f aca="false">COUNTIFS(Trades!$D$2:$D$884,$A315,Trades!$Z$2:$Z$884,"Loss")</f>
        <v>2</v>
      </c>
      <c r="E315" s="29" t="n">
        <f aca="false">IFERROR(C315/B315,0)</f>
        <v>0</v>
      </c>
      <c r="F315" s="30" t="n">
        <f aca="false">SUMIFS(Trades!$X$2:$X$884,Trades!$D$2:$D$884,$A315)</f>
        <v>-89.61</v>
      </c>
      <c r="G315" s="30" t="n">
        <f aca="false">SUMIFS(Trades!$X$2:$X$884,Trades!$D$2:$D$884,$A315,Trades!$X$2:$X$884,"&gt;0")</f>
        <v>0</v>
      </c>
      <c r="H315" s="30" t="n">
        <f aca="false">SUMIFS(Trades!$X$2:$X$884,Trades!$D$2:$D$884,$A315,Trades!$X$2:$X$884,"&lt;0")</f>
        <v>-89.61</v>
      </c>
      <c r="I315" s="31" t="n">
        <f aca="false">IFERROR(G315/-H315,"no loss")</f>
        <v>0</v>
      </c>
      <c r="J315" s="30" t="n">
        <f aca="false">_xlfn.MAXIFS(Trades!$X$2:$X$884,Trades!$D$2:$D$884,$A315)</f>
        <v>-2.35</v>
      </c>
      <c r="K315" s="30" t="n">
        <f aca="false">_xlfn.MINIFS(Trades!$X$2:$X$884,Trades!$D$2:$D$884,$A315)</f>
        <v>-87.26</v>
      </c>
      <c r="L315" s="32" t="n">
        <f aca="false">SUMIFS(Trades!$Y$2:$Y$884,Trades!$D$2:$D$884,$A315)</f>
        <v>-1.02973532760178</v>
      </c>
      <c r="M315" s="30" t="n">
        <f aca="false">P314</f>
        <v>106323.14</v>
      </c>
      <c r="N315" s="29" t="n">
        <f aca="false">IFERROR(F315/M315,0)</f>
        <v>-0.000842808066052225</v>
      </c>
      <c r="O315" s="28" t="str">
        <f aca="false">IF(-N315&gt;=Summary!$C$7,"BREACH","")</f>
        <v/>
      </c>
      <c r="P315" s="30" t="n">
        <f aca="false">M315+F315</f>
        <v>106233.53</v>
      </c>
      <c r="Q315" s="30" t="n">
        <f aca="false">P315-Summary!$C$5</f>
        <v>6233.53000000009</v>
      </c>
      <c r="R315" s="2" t="str">
        <f aca="false">TEXT(A315,"ddd")</f>
        <v>Thu</v>
      </c>
    </row>
    <row r="316" customFormat="false" ht="15" hidden="false" customHeight="false" outlineLevel="0" collapsed="false">
      <c r="A316" s="42" t="n">
        <v>45537</v>
      </c>
      <c r="B316" s="28" t="n">
        <f aca="false">COUNTIFS(Trades!$D$2:$D$884,$A316)</f>
        <v>1</v>
      </c>
      <c r="C316" s="28" t="n">
        <f aca="false">COUNTIFS(Trades!$D$2:$D$884,$A316,Trades!$Z$2:$Z$884,"Win")</f>
        <v>0</v>
      </c>
      <c r="D316" s="28" t="n">
        <f aca="false">COUNTIFS(Trades!$D$2:$D$884,$A316,Trades!$Z$2:$Z$884,"Loss")</f>
        <v>1</v>
      </c>
      <c r="E316" s="29" t="n">
        <f aca="false">IFERROR(C316/B316,0)</f>
        <v>0</v>
      </c>
      <c r="F316" s="30" t="n">
        <f aca="false">SUMIFS(Trades!$X$2:$X$884,Trades!$D$2:$D$884,$A316)</f>
        <v>-1.01</v>
      </c>
      <c r="G316" s="30" t="n">
        <f aca="false">SUMIFS(Trades!$X$2:$X$884,Trades!$D$2:$D$884,$A316,Trades!$X$2:$X$884,"&gt;0")</f>
        <v>0</v>
      </c>
      <c r="H316" s="30" t="n">
        <f aca="false">SUMIFS(Trades!$X$2:$X$884,Trades!$D$2:$D$884,$A316,Trades!$X$2:$X$884,"&lt;0")</f>
        <v>-1.01</v>
      </c>
      <c r="I316" s="31" t="n">
        <f aca="false">IFERROR(G316/-H316,"no loss")</f>
        <v>0</v>
      </c>
      <c r="J316" s="30" t="n">
        <f aca="false">_xlfn.MAXIFS(Trades!$X$2:$X$884,Trades!$D$2:$D$884,$A316)</f>
        <v>-1.01</v>
      </c>
      <c r="K316" s="30" t="n">
        <f aca="false">_xlfn.MINIFS(Trades!$X$2:$X$884,Trades!$D$2:$D$884,$A316)</f>
        <v>-1.01</v>
      </c>
      <c r="L316" s="32" t="n">
        <f aca="false">SUMIFS(Trades!$Y$2:$Y$884,Trades!$D$2:$D$884,$A316)</f>
        <v>-0.0200779262086522</v>
      </c>
      <c r="M316" s="30" t="n">
        <f aca="false">P315</f>
        <v>106233.53</v>
      </c>
      <c r="N316" s="29" t="n">
        <f aca="false">IFERROR(F316/M316,0)</f>
        <v>-9.50735610498869E-006</v>
      </c>
      <c r="O316" s="28" t="str">
        <f aca="false">IF(-N316&gt;=Summary!$C$7,"BREACH","")</f>
        <v/>
      </c>
      <c r="P316" s="30" t="n">
        <f aca="false">M316+F316</f>
        <v>106232.52</v>
      </c>
      <c r="Q316" s="30" t="n">
        <f aca="false">P316-Summary!$C$5</f>
        <v>6232.52000000009</v>
      </c>
      <c r="R316" s="2" t="str">
        <f aca="false">TEXT(A316,"ddd")</f>
        <v>Mon</v>
      </c>
    </row>
    <row r="317" customFormat="false" ht="15" hidden="false" customHeight="false" outlineLevel="0" collapsed="false">
      <c r="A317" s="42" t="n">
        <v>45538</v>
      </c>
      <c r="B317" s="28" t="n">
        <f aca="false">COUNTIFS(Trades!$D$2:$D$884,$A317)</f>
        <v>2</v>
      </c>
      <c r="C317" s="28" t="n">
        <f aca="false">COUNTIFS(Trades!$D$2:$D$884,$A317,Trades!$Z$2:$Z$884,"Win")</f>
        <v>1</v>
      </c>
      <c r="D317" s="28" t="n">
        <f aca="false">COUNTIFS(Trades!$D$2:$D$884,$A317,Trades!$Z$2:$Z$884,"Loss")</f>
        <v>1</v>
      </c>
      <c r="E317" s="29" t="n">
        <f aca="false">IFERROR(C317/B317,0)</f>
        <v>0.5</v>
      </c>
      <c r="F317" s="30" t="n">
        <f aca="false">SUMIFS(Trades!$X$2:$X$884,Trades!$D$2:$D$884,$A317)</f>
        <v>138.53</v>
      </c>
      <c r="G317" s="30" t="n">
        <f aca="false">SUMIFS(Trades!$X$2:$X$884,Trades!$D$2:$D$884,$A317,Trades!$X$2:$X$884,"&gt;0")</f>
        <v>217.78</v>
      </c>
      <c r="H317" s="30" t="n">
        <f aca="false">SUMIFS(Trades!$X$2:$X$884,Trades!$D$2:$D$884,$A317,Trades!$X$2:$X$884,"&lt;0")</f>
        <v>-79.25</v>
      </c>
      <c r="I317" s="31" t="n">
        <f aca="false">IFERROR(G317/-H317,"no loss")</f>
        <v>2.74801261829653</v>
      </c>
      <c r="J317" s="30" t="n">
        <f aca="false">_xlfn.MAXIFS(Trades!$X$2:$X$884,Trades!$D$2:$D$884,$A317)</f>
        <v>217.78</v>
      </c>
      <c r="K317" s="30" t="n">
        <f aca="false">_xlfn.MINIFS(Trades!$X$2:$X$884,Trades!$D$2:$D$884,$A317)</f>
        <v>-79.25</v>
      </c>
      <c r="L317" s="32" t="n">
        <f aca="false">SUMIFS(Trades!$Y$2:$Y$884,Trades!$D$2:$D$884,$A317)</f>
        <v>0.969221153849556</v>
      </c>
      <c r="M317" s="30" t="n">
        <f aca="false">P316</f>
        <v>106232.52</v>
      </c>
      <c r="N317" s="29" t="n">
        <f aca="false">IFERROR(F317/M317,0)</f>
        <v>0.00130402630004447</v>
      </c>
      <c r="O317" s="28" t="str">
        <f aca="false">IF(-N317&gt;=Summary!$C$7,"BREACH","")</f>
        <v/>
      </c>
      <c r="P317" s="30" t="n">
        <f aca="false">M317+F317</f>
        <v>106371.05</v>
      </c>
      <c r="Q317" s="30" t="n">
        <f aca="false">P317-Summary!$C$5</f>
        <v>6371.05000000009</v>
      </c>
      <c r="R317" s="2" t="str">
        <f aca="false">TEXT(A317,"ddd")</f>
        <v>Tue</v>
      </c>
    </row>
    <row r="318" customFormat="false" ht="15" hidden="false" customHeight="false" outlineLevel="0" collapsed="false">
      <c r="A318" s="42" t="n">
        <v>45539</v>
      </c>
      <c r="B318" s="28" t="n">
        <f aca="false">COUNTIFS(Trades!$D$2:$D$884,$A318)</f>
        <v>1</v>
      </c>
      <c r="C318" s="28" t="n">
        <f aca="false">COUNTIFS(Trades!$D$2:$D$884,$A318,Trades!$Z$2:$Z$884,"Win")</f>
        <v>0</v>
      </c>
      <c r="D318" s="28" t="n">
        <f aca="false">COUNTIFS(Trades!$D$2:$D$884,$A318,Trades!$Z$2:$Z$884,"Loss")</f>
        <v>1</v>
      </c>
      <c r="E318" s="29" t="n">
        <f aca="false">IFERROR(C318/B318,0)</f>
        <v>0</v>
      </c>
      <c r="F318" s="30" t="n">
        <f aca="false">SUMIFS(Trades!$X$2:$X$884,Trades!$D$2:$D$884,$A318)</f>
        <v>-0.6</v>
      </c>
      <c r="G318" s="30" t="n">
        <f aca="false">SUMIFS(Trades!$X$2:$X$884,Trades!$D$2:$D$884,$A318,Trades!$X$2:$X$884,"&gt;0")</f>
        <v>0</v>
      </c>
      <c r="H318" s="30" t="n">
        <f aca="false">SUMIFS(Trades!$X$2:$X$884,Trades!$D$2:$D$884,$A318,Trades!$X$2:$X$884,"&lt;0")</f>
        <v>-0.6</v>
      </c>
      <c r="I318" s="31" t="n">
        <f aca="false">IFERROR(G318/-H318,"no loss")</f>
        <v>0</v>
      </c>
      <c r="J318" s="30" t="n">
        <f aca="false">_xlfn.MAXIFS(Trades!$X$2:$X$884,Trades!$D$2:$D$884,$A318)</f>
        <v>-0.6</v>
      </c>
      <c r="K318" s="30" t="n">
        <f aca="false">_xlfn.MINIFS(Trades!$X$2:$X$884,Trades!$D$2:$D$884,$A318)</f>
        <v>-0.6</v>
      </c>
      <c r="L318" s="32" t="n">
        <f aca="false">SUMIFS(Trades!$Y$2:$Y$884,Trades!$D$2:$D$884,$A318)</f>
        <v>-0.00567375886524784</v>
      </c>
      <c r="M318" s="30" t="n">
        <f aca="false">P317</f>
        <v>106371.05</v>
      </c>
      <c r="N318" s="29" t="n">
        <f aca="false">IFERROR(F318/M318,0)</f>
        <v>-5.64063248412044E-006</v>
      </c>
      <c r="O318" s="28" t="str">
        <f aca="false">IF(-N318&gt;=Summary!$C$7,"BREACH","")</f>
        <v/>
      </c>
      <c r="P318" s="30" t="n">
        <f aca="false">M318+F318</f>
        <v>106370.45</v>
      </c>
      <c r="Q318" s="30" t="n">
        <f aca="false">P318-Summary!$C$5</f>
        <v>6370.45000000008</v>
      </c>
      <c r="R318" s="2" t="str">
        <f aca="false">TEXT(A318,"ddd")</f>
        <v>Wed</v>
      </c>
    </row>
    <row r="319" customFormat="false" ht="15" hidden="false" customHeight="false" outlineLevel="0" collapsed="false">
      <c r="A319" s="42" t="n">
        <v>45540</v>
      </c>
      <c r="B319" s="28" t="n">
        <f aca="false">COUNTIFS(Trades!$D$2:$D$884,$A319)</f>
        <v>1</v>
      </c>
      <c r="C319" s="28" t="n">
        <f aca="false">COUNTIFS(Trades!$D$2:$D$884,$A319,Trades!$Z$2:$Z$884,"Win")</f>
        <v>0</v>
      </c>
      <c r="D319" s="28" t="n">
        <f aca="false">COUNTIFS(Trades!$D$2:$D$884,$A319,Trades!$Z$2:$Z$884,"Loss")</f>
        <v>1</v>
      </c>
      <c r="E319" s="29" t="n">
        <f aca="false">IFERROR(C319/B319,0)</f>
        <v>0</v>
      </c>
      <c r="F319" s="30" t="n">
        <f aca="false">SUMIFS(Trades!$X$2:$X$884,Trades!$D$2:$D$884,$A319)</f>
        <v>-198.2</v>
      </c>
      <c r="G319" s="30" t="n">
        <f aca="false">SUMIFS(Trades!$X$2:$X$884,Trades!$D$2:$D$884,$A319,Trades!$X$2:$X$884,"&gt;0")</f>
        <v>0</v>
      </c>
      <c r="H319" s="30" t="n">
        <f aca="false">SUMIFS(Trades!$X$2:$X$884,Trades!$D$2:$D$884,$A319,Trades!$X$2:$X$884,"&lt;0")</f>
        <v>-198.2</v>
      </c>
      <c r="I319" s="31" t="n">
        <f aca="false">IFERROR(G319/-H319,"no loss")</f>
        <v>0</v>
      </c>
      <c r="J319" s="30" t="n">
        <f aca="false">_xlfn.MAXIFS(Trades!$X$2:$X$884,Trades!$D$2:$D$884,$A319)</f>
        <v>-198.2</v>
      </c>
      <c r="K319" s="30" t="n">
        <f aca="false">_xlfn.MINIFS(Trades!$X$2:$X$884,Trades!$D$2:$D$884,$A319)</f>
        <v>-198.2</v>
      </c>
      <c r="L319" s="32" t="n">
        <f aca="false">SUMIFS(Trades!$Y$2:$Y$884,Trades!$D$2:$D$884,$A319)</f>
        <v>-1.02402479979336</v>
      </c>
      <c r="M319" s="30" t="n">
        <f aca="false">P318</f>
        <v>106370.45</v>
      </c>
      <c r="N319" s="29" t="n">
        <f aca="false">IFERROR(F319/M319,0)</f>
        <v>-0.00186329944077514</v>
      </c>
      <c r="O319" s="28" t="str">
        <f aca="false">IF(-N319&gt;=Summary!$C$7,"BREACH","")</f>
        <v/>
      </c>
      <c r="P319" s="30" t="n">
        <f aca="false">M319+F319</f>
        <v>106172.25</v>
      </c>
      <c r="Q319" s="30" t="n">
        <f aca="false">P319-Summary!$C$5</f>
        <v>6172.25000000009</v>
      </c>
      <c r="R319" s="2" t="str">
        <f aca="false">TEXT(A319,"ddd")</f>
        <v>Thu</v>
      </c>
    </row>
    <row r="320" customFormat="false" ht="15" hidden="false" customHeight="false" outlineLevel="0" collapsed="false">
      <c r="A320" s="42" t="n">
        <v>45541</v>
      </c>
      <c r="B320" s="28" t="n">
        <f aca="false">COUNTIFS(Trades!$D$2:$D$884,$A320)</f>
        <v>1</v>
      </c>
      <c r="C320" s="28" t="n">
        <f aca="false">COUNTIFS(Trades!$D$2:$D$884,$A320,Trades!$Z$2:$Z$884,"Win")</f>
        <v>0</v>
      </c>
      <c r="D320" s="28" t="n">
        <f aca="false">COUNTIFS(Trades!$D$2:$D$884,$A320,Trades!$Z$2:$Z$884,"Loss")</f>
        <v>1</v>
      </c>
      <c r="E320" s="29" t="n">
        <f aca="false">IFERROR(C320/B320,0)</f>
        <v>0</v>
      </c>
      <c r="F320" s="30" t="n">
        <f aca="false">SUMIFS(Trades!$X$2:$X$884,Trades!$D$2:$D$884,$A320)</f>
        <v>-0.05</v>
      </c>
      <c r="G320" s="30" t="n">
        <f aca="false">SUMIFS(Trades!$X$2:$X$884,Trades!$D$2:$D$884,$A320,Trades!$X$2:$X$884,"&gt;0")</f>
        <v>0</v>
      </c>
      <c r="H320" s="30" t="n">
        <f aca="false">SUMIFS(Trades!$X$2:$X$884,Trades!$D$2:$D$884,$A320,Trades!$X$2:$X$884,"&lt;0")</f>
        <v>-0.05</v>
      </c>
      <c r="I320" s="31" t="n">
        <f aca="false">IFERROR(G320/-H320,"no loss")</f>
        <v>0</v>
      </c>
      <c r="J320" s="30" t="n">
        <f aca="false">_xlfn.MAXIFS(Trades!$X$2:$X$884,Trades!$D$2:$D$884,$A320)</f>
        <v>-0.05</v>
      </c>
      <c r="K320" s="30" t="n">
        <f aca="false">_xlfn.MINIFS(Trades!$X$2:$X$884,Trades!$D$2:$D$884,$A320)</f>
        <v>-0.05</v>
      </c>
      <c r="L320" s="32" t="n">
        <f aca="false">SUMIFS(Trades!$Y$2:$Y$884,Trades!$D$2:$D$884,$A320)</f>
        <v>-0.000554323725055517</v>
      </c>
      <c r="M320" s="30" t="n">
        <f aca="false">P319</f>
        <v>106172.25</v>
      </c>
      <c r="N320" s="29" t="n">
        <f aca="false">IFERROR(F320/M320,0)</f>
        <v>-4.70932847330635E-007</v>
      </c>
      <c r="O320" s="28" t="str">
        <f aca="false">IF(-N320&gt;=Summary!$C$7,"BREACH","")</f>
        <v/>
      </c>
      <c r="P320" s="30" t="n">
        <f aca="false">M320+F320</f>
        <v>106172.2</v>
      </c>
      <c r="Q320" s="30" t="n">
        <f aca="false">P320-Summary!$C$5</f>
        <v>6172.20000000008</v>
      </c>
      <c r="R320" s="2" t="str">
        <f aca="false">TEXT(A320,"ddd")</f>
        <v>Fri</v>
      </c>
    </row>
    <row r="321" customFormat="false" ht="15" hidden="false" customHeight="false" outlineLevel="0" collapsed="false">
      <c r="A321" s="42" t="n">
        <v>45544</v>
      </c>
      <c r="B321" s="28" t="n">
        <f aca="false">COUNTIFS(Trades!$D$2:$D$884,$A321)</f>
        <v>1</v>
      </c>
      <c r="C321" s="28" t="n">
        <f aca="false">COUNTIFS(Trades!$D$2:$D$884,$A321,Trades!$Z$2:$Z$884,"Win")</f>
        <v>0</v>
      </c>
      <c r="D321" s="28" t="n">
        <f aca="false">COUNTIFS(Trades!$D$2:$D$884,$A321,Trades!$Z$2:$Z$884,"Loss")</f>
        <v>1</v>
      </c>
      <c r="E321" s="29" t="n">
        <f aca="false">IFERROR(C321/B321,0)</f>
        <v>0</v>
      </c>
      <c r="F321" s="30" t="n">
        <f aca="false">SUMIFS(Trades!$X$2:$X$884,Trades!$D$2:$D$884,$A321)</f>
        <v>-116</v>
      </c>
      <c r="G321" s="30" t="n">
        <f aca="false">SUMIFS(Trades!$X$2:$X$884,Trades!$D$2:$D$884,$A321,Trades!$X$2:$X$884,"&gt;0")</f>
        <v>0</v>
      </c>
      <c r="H321" s="30" t="n">
        <f aca="false">SUMIFS(Trades!$X$2:$X$884,Trades!$D$2:$D$884,$A321,Trades!$X$2:$X$884,"&lt;0")</f>
        <v>-116</v>
      </c>
      <c r="I321" s="31" t="n">
        <f aca="false">IFERROR(G321/-H321,"no loss")</f>
        <v>0</v>
      </c>
      <c r="J321" s="30" t="n">
        <f aca="false">_xlfn.MAXIFS(Trades!$X$2:$X$884,Trades!$D$2:$D$884,$A321)</f>
        <v>-116</v>
      </c>
      <c r="K321" s="30" t="n">
        <f aca="false">_xlfn.MINIFS(Trades!$X$2:$X$884,Trades!$D$2:$D$884,$A321)</f>
        <v>-116</v>
      </c>
      <c r="L321" s="32" t="n">
        <f aca="false">SUMIFS(Trades!$Y$2:$Y$884,Trades!$D$2:$D$884,$A321)</f>
        <v>-1.00000000000013</v>
      </c>
      <c r="M321" s="30" t="n">
        <f aca="false">P320</f>
        <v>106172.2</v>
      </c>
      <c r="N321" s="29" t="n">
        <f aca="false">IFERROR(F321/M321,0)</f>
        <v>-0.00109256472033169</v>
      </c>
      <c r="O321" s="28" t="str">
        <f aca="false">IF(-N321&gt;=Summary!$C$7,"BREACH","")</f>
        <v/>
      </c>
      <c r="P321" s="30" t="n">
        <f aca="false">M321+F321</f>
        <v>106056.2</v>
      </c>
      <c r="Q321" s="30" t="n">
        <f aca="false">P321-Summary!$C$5</f>
        <v>6056.20000000008</v>
      </c>
      <c r="R321" s="2" t="str">
        <f aca="false">TEXT(A321,"ddd")</f>
        <v>Mon</v>
      </c>
    </row>
    <row r="322" customFormat="false" ht="15" hidden="false" customHeight="false" outlineLevel="0" collapsed="false">
      <c r="A322" s="42" t="n">
        <v>45545</v>
      </c>
      <c r="B322" s="28" t="n">
        <f aca="false">COUNTIFS(Trades!$D$2:$D$884,$A322)</f>
        <v>1</v>
      </c>
      <c r="C322" s="28" t="n">
        <f aca="false">COUNTIFS(Trades!$D$2:$D$884,$A322,Trades!$Z$2:$Z$884,"Win")</f>
        <v>0</v>
      </c>
      <c r="D322" s="28" t="n">
        <f aca="false">COUNTIFS(Trades!$D$2:$D$884,$A322,Trades!$Z$2:$Z$884,"Loss")</f>
        <v>1</v>
      </c>
      <c r="E322" s="29" t="n">
        <f aca="false">IFERROR(C322/B322,0)</f>
        <v>0</v>
      </c>
      <c r="F322" s="30" t="n">
        <f aca="false">SUMIFS(Trades!$X$2:$X$884,Trades!$D$2:$D$884,$A322)</f>
        <v>-96.25</v>
      </c>
      <c r="G322" s="30" t="n">
        <f aca="false">SUMIFS(Trades!$X$2:$X$884,Trades!$D$2:$D$884,$A322,Trades!$X$2:$X$884,"&gt;0")</f>
        <v>0</v>
      </c>
      <c r="H322" s="30" t="n">
        <f aca="false">SUMIFS(Trades!$X$2:$X$884,Trades!$D$2:$D$884,$A322,Trades!$X$2:$X$884,"&lt;0")</f>
        <v>-96.25</v>
      </c>
      <c r="I322" s="31" t="n">
        <f aca="false">IFERROR(G322/-H322,"no loss")</f>
        <v>0</v>
      </c>
      <c r="J322" s="30" t="n">
        <f aca="false">_xlfn.MAXIFS(Trades!$X$2:$X$884,Trades!$D$2:$D$884,$A322)</f>
        <v>-96.25</v>
      </c>
      <c r="K322" s="30" t="n">
        <f aca="false">_xlfn.MINIFS(Trades!$X$2:$X$884,Trades!$D$2:$D$884,$A322)</f>
        <v>-96.25</v>
      </c>
      <c r="L322" s="32" t="n">
        <f aca="false">SUMIFS(Trades!$Y$2:$Y$884,Trades!$D$2:$D$884,$A322)</f>
        <v>-1.01262493424522</v>
      </c>
      <c r="M322" s="30" t="n">
        <f aca="false">P321</f>
        <v>106056.2</v>
      </c>
      <c r="N322" s="29" t="n">
        <f aca="false">IFERROR(F322/M322,0)</f>
        <v>-0.000907537701709093</v>
      </c>
      <c r="O322" s="28" t="str">
        <f aca="false">IF(-N322&gt;=Summary!$C$7,"BREACH","")</f>
        <v/>
      </c>
      <c r="P322" s="30" t="n">
        <f aca="false">M322+F322</f>
        <v>105959.95</v>
      </c>
      <c r="Q322" s="30" t="n">
        <f aca="false">P322-Summary!$C$5</f>
        <v>5959.95000000008</v>
      </c>
      <c r="R322" s="2" t="str">
        <f aca="false">TEXT(A322,"ddd")</f>
        <v>Tue</v>
      </c>
    </row>
    <row r="323" customFormat="false" ht="15" hidden="false" customHeight="false" outlineLevel="0" collapsed="false">
      <c r="A323" s="42" t="n">
        <v>45546</v>
      </c>
      <c r="B323" s="28" t="n">
        <f aca="false">COUNTIFS(Trades!$D$2:$D$884,$A323)</f>
        <v>2</v>
      </c>
      <c r="C323" s="28" t="n">
        <f aca="false">COUNTIFS(Trades!$D$2:$D$884,$A323,Trades!$Z$2:$Z$884,"Win")</f>
        <v>0</v>
      </c>
      <c r="D323" s="28" t="n">
        <f aca="false">COUNTIFS(Trades!$D$2:$D$884,$A323,Trades!$Z$2:$Z$884,"Loss")</f>
        <v>2</v>
      </c>
      <c r="E323" s="29" t="n">
        <f aca="false">IFERROR(C323/B323,0)</f>
        <v>0</v>
      </c>
      <c r="F323" s="30" t="n">
        <f aca="false">SUMIFS(Trades!$X$2:$X$884,Trades!$D$2:$D$884,$A323)</f>
        <v>-196</v>
      </c>
      <c r="G323" s="30" t="n">
        <f aca="false">SUMIFS(Trades!$X$2:$X$884,Trades!$D$2:$D$884,$A323,Trades!$X$2:$X$884,"&gt;0")</f>
        <v>0</v>
      </c>
      <c r="H323" s="30" t="n">
        <f aca="false">SUMIFS(Trades!$X$2:$X$884,Trades!$D$2:$D$884,$A323,Trades!$X$2:$X$884,"&lt;0")</f>
        <v>-196</v>
      </c>
      <c r="I323" s="31" t="n">
        <f aca="false">IFERROR(G323/-H323,"no loss")</f>
        <v>0</v>
      </c>
      <c r="J323" s="30" t="n">
        <f aca="false">_xlfn.MAXIFS(Trades!$X$2:$X$884,Trades!$D$2:$D$884,$A323)</f>
        <v>-2.85</v>
      </c>
      <c r="K323" s="30" t="n">
        <f aca="false">_xlfn.MINIFS(Trades!$X$2:$X$884,Trades!$D$2:$D$884,$A323)</f>
        <v>-193.15</v>
      </c>
      <c r="L323" s="32" t="n">
        <f aca="false">SUMIFS(Trades!$Y$2:$Y$884,Trades!$D$2:$D$884,$A323)</f>
        <v>-1.01910813954447</v>
      </c>
      <c r="M323" s="30" t="n">
        <f aca="false">P322</f>
        <v>105959.95</v>
      </c>
      <c r="N323" s="29" t="n">
        <f aca="false">IFERROR(F323/M323,0)</f>
        <v>-0.00184975549724212</v>
      </c>
      <c r="O323" s="28" t="str">
        <f aca="false">IF(-N323&gt;=Summary!$C$7,"BREACH","")</f>
        <v/>
      </c>
      <c r="P323" s="30" t="n">
        <f aca="false">M323+F323</f>
        <v>105763.95</v>
      </c>
      <c r="Q323" s="30" t="n">
        <f aca="false">P323-Summary!$C$5</f>
        <v>5763.95000000008</v>
      </c>
      <c r="R323" s="2" t="str">
        <f aca="false">TEXT(A323,"ddd")</f>
        <v>Wed</v>
      </c>
    </row>
    <row r="324" customFormat="false" ht="15" hidden="false" customHeight="false" outlineLevel="0" collapsed="false">
      <c r="A324" s="42" t="n">
        <v>45547</v>
      </c>
      <c r="B324" s="28" t="n">
        <f aca="false">COUNTIFS(Trades!$D$2:$D$884,$A324)</f>
        <v>1</v>
      </c>
      <c r="C324" s="28" t="n">
        <f aca="false">COUNTIFS(Trades!$D$2:$D$884,$A324,Trades!$Z$2:$Z$884,"Win")</f>
        <v>0</v>
      </c>
      <c r="D324" s="28" t="n">
        <f aca="false">COUNTIFS(Trades!$D$2:$D$884,$A324,Trades!$Z$2:$Z$884,"Loss")</f>
        <v>1</v>
      </c>
      <c r="E324" s="29" t="n">
        <f aca="false">IFERROR(C324/B324,0)</f>
        <v>0</v>
      </c>
      <c r="F324" s="30" t="n">
        <f aca="false">SUMIFS(Trades!$X$2:$X$884,Trades!$D$2:$D$884,$A324)</f>
        <v>-1.2</v>
      </c>
      <c r="G324" s="30" t="n">
        <f aca="false">SUMIFS(Trades!$X$2:$X$884,Trades!$D$2:$D$884,$A324,Trades!$X$2:$X$884,"&gt;0")</f>
        <v>0</v>
      </c>
      <c r="H324" s="30" t="n">
        <f aca="false">SUMIFS(Trades!$X$2:$X$884,Trades!$D$2:$D$884,$A324,Trades!$X$2:$X$884,"&lt;0")</f>
        <v>-1.2</v>
      </c>
      <c r="I324" s="31" t="n">
        <f aca="false">IFERROR(G324/-H324,"no loss")</f>
        <v>0</v>
      </c>
      <c r="J324" s="30" t="n">
        <f aca="false">_xlfn.MAXIFS(Trades!$X$2:$X$884,Trades!$D$2:$D$884,$A324)</f>
        <v>-1.2</v>
      </c>
      <c r="K324" s="30" t="n">
        <f aca="false">_xlfn.MINIFS(Trades!$X$2:$X$884,Trades!$D$2:$D$884,$A324)</f>
        <v>-1.2</v>
      </c>
      <c r="L324" s="32" t="n">
        <f aca="false">SUMIFS(Trades!$Y$2:$Y$884,Trades!$D$2:$D$884,$A324)</f>
        <v>-0.0280583613916952</v>
      </c>
      <c r="M324" s="30" t="n">
        <f aca="false">P323</f>
        <v>105763.95</v>
      </c>
      <c r="N324" s="29" t="n">
        <f aca="false">IFERROR(F324/M324,0)</f>
        <v>-1.13460210213404E-005</v>
      </c>
      <c r="O324" s="28" t="str">
        <f aca="false">IF(-N324&gt;=Summary!$C$7,"BREACH","")</f>
        <v/>
      </c>
      <c r="P324" s="30" t="n">
        <f aca="false">M324+F324</f>
        <v>105762.75</v>
      </c>
      <c r="Q324" s="30" t="n">
        <f aca="false">P324-Summary!$C$5</f>
        <v>5762.75000000009</v>
      </c>
      <c r="R324" s="2" t="str">
        <f aca="false">TEXT(A324,"ddd")</f>
        <v>Thu</v>
      </c>
    </row>
    <row r="325" customFormat="false" ht="15" hidden="false" customHeight="false" outlineLevel="0" collapsed="false">
      <c r="A325" s="42" t="n">
        <v>45548</v>
      </c>
      <c r="B325" s="28" t="n">
        <f aca="false">COUNTIFS(Trades!$D$2:$D$884,$A325)</f>
        <v>1</v>
      </c>
      <c r="C325" s="28" t="n">
        <f aca="false">COUNTIFS(Trades!$D$2:$D$884,$A325,Trades!$Z$2:$Z$884,"Win")</f>
        <v>0</v>
      </c>
      <c r="D325" s="28" t="n">
        <f aca="false">COUNTIFS(Trades!$D$2:$D$884,$A325,Trades!$Z$2:$Z$884,"Loss")</f>
        <v>1</v>
      </c>
      <c r="E325" s="29" t="n">
        <f aca="false">IFERROR(C325/B325,0)</f>
        <v>0</v>
      </c>
      <c r="F325" s="30" t="n">
        <f aca="false">SUMIFS(Trades!$X$2:$X$884,Trades!$D$2:$D$884,$A325)</f>
        <v>-45.31</v>
      </c>
      <c r="G325" s="30" t="n">
        <f aca="false">SUMIFS(Trades!$X$2:$X$884,Trades!$D$2:$D$884,$A325,Trades!$X$2:$X$884,"&gt;0")</f>
        <v>0</v>
      </c>
      <c r="H325" s="30" t="n">
        <f aca="false">SUMIFS(Trades!$X$2:$X$884,Trades!$D$2:$D$884,$A325,Trades!$X$2:$X$884,"&lt;0")</f>
        <v>-45.31</v>
      </c>
      <c r="I325" s="31" t="n">
        <f aca="false">IFERROR(G325/-H325,"no loss")</f>
        <v>0</v>
      </c>
      <c r="J325" s="30" t="n">
        <f aca="false">_xlfn.MAXIFS(Trades!$X$2:$X$884,Trades!$D$2:$D$884,$A325)</f>
        <v>-45.31</v>
      </c>
      <c r="K325" s="30" t="n">
        <f aca="false">_xlfn.MINIFS(Trades!$X$2:$X$884,Trades!$D$2:$D$884,$A325)</f>
        <v>-45.31</v>
      </c>
      <c r="L325" s="32" t="n">
        <f aca="false">SUMIFS(Trades!$Y$2:$Y$884,Trades!$D$2:$D$884,$A325)</f>
        <v>-1.01066202712347</v>
      </c>
      <c r="M325" s="30" t="n">
        <f aca="false">P324</f>
        <v>105762.75</v>
      </c>
      <c r="N325" s="29" t="n">
        <f aca="false">IFERROR(F325/M325,0)</f>
        <v>-0.000428411704498984</v>
      </c>
      <c r="O325" s="28" t="str">
        <f aca="false">IF(-N325&gt;=Summary!$C$7,"BREACH","")</f>
        <v/>
      </c>
      <c r="P325" s="30" t="n">
        <f aca="false">M325+F325</f>
        <v>105717.44</v>
      </c>
      <c r="Q325" s="30" t="n">
        <f aca="false">P325-Summary!$C$5</f>
        <v>5717.44000000009</v>
      </c>
      <c r="R325" s="2" t="str">
        <f aca="false">TEXT(A325,"ddd")</f>
        <v>Fri</v>
      </c>
    </row>
    <row r="326" customFormat="false" ht="15" hidden="false" customHeight="false" outlineLevel="0" collapsed="false">
      <c r="A326" s="42" t="n">
        <v>45551</v>
      </c>
      <c r="B326" s="28" t="n">
        <f aca="false">COUNTIFS(Trades!$D$2:$D$884,$A326)</f>
        <v>1</v>
      </c>
      <c r="C326" s="28" t="n">
        <f aca="false">COUNTIFS(Trades!$D$2:$D$884,$A326,Trades!$Z$2:$Z$884,"Win")</f>
        <v>1</v>
      </c>
      <c r="D326" s="28" t="n">
        <f aca="false">COUNTIFS(Trades!$D$2:$D$884,$A326,Trades!$Z$2:$Z$884,"Loss")</f>
        <v>0</v>
      </c>
      <c r="E326" s="29" t="n">
        <f aca="false">IFERROR(C326/B326,0)</f>
        <v>1</v>
      </c>
      <c r="F326" s="30" t="n">
        <f aca="false">SUMIFS(Trades!$X$2:$X$884,Trades!$D$2:$D$884,$A326)</f>
        <v>260.5</v>
      </c>
      <c r="G326" s="30" t="n">
        <f aca="false">SUMIFS(Trades!$X$2:$X$884,Trades!$D$2:$D$884,$A326,Trades!$X$2:$X$884,"&gt;0")</f>
        <v>260.5</v>
      </c>
      <c r="H326" s="30" t="n">
        <f aca="false">SUMIFS(Trades!$X$2:$X$884,Trades!$D$2:$D$884,$A326,Trades!$X$2:$X$884,"&lt;0")</f>
        <v>0</v>
      </c>
      <c r="I326" s="31" t="str">
        <f aca="false">IFERROR(G326/-H326,"no loss")</f>
        <v>no loss</v>
      </c>
      <c r="J326" s="30" t="n">
        <f aca="false">_xlfn.MAXIFS(Trades!$X$2:$X$884,Trades!$D$2:$D$884,$A326)</f>
        <v>260.5</v>
      </c>
      <c r="K326" s="30" t="n">
        <f aca="false">_xlfn.MINIFS(Trades!$X$2:$X$884,Trades!$D$2:$D$884,$A326)</f>
        <v>260.5</v>
      </c>
      <c r="L326" s="32" t="n">
        <f aca="false">SUMIFS(Trades!$Y$2:$Y$884,Trades!$D$2:$D$884,$A326)</f>
        <v>2.01825337795963</v>
      </c>
      <c r="M326" s="30" t="n">
        <f aca="false">P325</f>
        <v>105717.44</v>
      </c>
      <c r="N326" s="29" t="n">
        <f aca="false">IFERROR(F326/M326,0)</f>
        <v>0.00246411566530555</v>
      </c>
      <c r="O326" s="28" t="str">
        <f aca="false">IF(-N326&gt;=Summary!$C$7,"BREACH","")</f>
        <v/>
      </c>
      <c r="P326" s="30" t="n">
        <f aca="false">M326+F326</f>
        <v>105977.94</v>
      </c>
      <c r="Q326" s="30" t="n">
        <f aca="false">P326-Summary!$C$5</f>
        <v>5977.94000000009</v>
      </c>
      <c r="R326" s="2" t="str">
        <f aca="false">TEXT(A326,"ddd")</f>
        <v>Mon</v>
      </c>
    </row>
    <row r="327" customFormat="false" ht="15" hidden="false" customHeight="false" outlineLevel="0" collapsed="false">
      <c r="A327" s="42" t="n">
        <v>45552</v>
      </c>
      <c r="B327" s="28" t="n">
        <f aca="false">COUNTIFS(Trades!$D$2:$D$884,$A327)</f>
        <v>1</v>
      </c>
      <c r="C327" s="28" t="n">
        <f aca="false">COUNTIFS(Trades!$D$2:$D$884,$A327,Trades!$Z$2:$Z$884,"Win")</f>
        <v>1</v>
      </c>
      <c r="D327" s="28" t="n">
        <f aca="false">COUNTIFS(Trades!$D$2:$D$884,$A327,Trades!$Z$2:$Z$884,"Loss")</f>
        <v>0</v>
      </c>
      <c r="E327" s="29" t="n">
        <f aca="false">IFERROR(C327/B327,0)</f>
        <v>1</v>
      </c>
      <c r="F327" s="30" t="n">
        <f aca="false">SUMIFS(Trades!$X$2:$X$884,Trades!$D$2:$D$884,$A327)</f>
        <v>52.18</v>
      </c>
      <c r="G327" s="30" t="n">
        <f aca="false">SUMIFS(Trades!$X$2:$X$884,Trades!$D$2:$D$884,$A327,Trades!$X$2:$X$884,"&gt;0")</f>
        <v>52.18</v>
      </c>
      <c r="H327" s="30" t="n">
        <f aca="false">SUMIFS(Trades!$X$2:$X$884,Trades!$D$2:$D$884,$A327,Trades!$X$2:$X$884,"&lt;0")</f>
        <v>0</v>
      </c>
      <c r="I327" s="31" t="str">
        <f aca="false">IFERROR(G327/-H327,"no loss")</f>
        <v>no loss</v>
      </c>
      <c r="J327" s="30" t="n">
        <f aca="false">_xlfn.MAXIFS(Trades!$X$2:$X$884,Trades!$D$2:$D$884,$A327)</f>
        <v>52.18</v>
      </c>
      <c r="K327" s="30" t="n">
        <f aca="false">_xlfn.MINIFS(Trades!$X$2:$X$884,Trades!$D$2:$D$884,$A327)</f>
        <v>52.18</v>
      </c>
      <c r="L327" s="32" t="n">
        <f aca="false">SUMIFS(Trades!$Y$2:$Y$884,Trades!$D$2:$D$884,$A327)</f>
        <v>2.03193146417363</v>
      </c>
      <c r="M327" s="30" t="n">
        <f aca="false">P326</f>
        <v>105977.94</v>
      </c>
      <c r="N327" s="29" t="n">
        <f aca="false">IFERROR(F327/M327,0)</f>
        <v>0.000492366618939753</v>
      </c>
      <c r="O327" s="28" t="str">
        <f aca="false">IF(-N327&gt;=Summary!$C$7,"BREACH","")</f>
        <v/>
      </c>
      <c r="P327" s="30" t="n">
        <f aca="false">M327+F327</f>
        <v>106030.12</v>
      </c>
      <c r="Q327" s="30" t="n">
        <f aca="false">P327-Summary!$C$5</f>
        <v>6030.12000000008</v>
      </c>
      <c r="R327" s="2" t="str">
        <f aca="false">TEXT(A327,"ddd")</f>
        <v>Tue</v>
      </c>
    </row>
    <row r="328" customFormat="false" ht="15" hidden="false" customHeight="false" outlineLevel="0" collapsed="false">
      <c r="A328" s="42" t="n">
        <v>45553</v>
      </c>
      <c r="B328" s="28" t="n">
        <f aca="false">COUNTIFS(Trades!$D$2:$D$884,$A328)</f>
        <v>1</v>
      </c>
      <c r="C328" s="28" t="n">
        <f aca="false">COUNTIFS(Trades!$D$2:$D$884,$A328,Trades!$Z$2:$Z$884,"Win")</f>
        <v>0</v>
      </c>
      <c r="D328" s="28" t="n">
        <f aca="false">COUNTIFS(Trades!$D$2:$D$884,$A328,Trades!$Z$2:$Z$884,"Loss")</f>
        <v>1</v>
      </c>
      <c r="E328" s="29" t="n">
        <f aca="false">IFERROR(C328/B328,0)</f>
        <v>0</v>
      </c>
      <c r="F328" s="30" t="n">
        <f aca="false">SUMIFS(Trades!$X$2:$X$884,Trades!$D$2:$D$884,$A328)</f>
        <v>-227.9</v>
      </c>
      <c r="G328" s="30" t="n">
        <f aca="false">SUMIFS(Trades!$X$2:$X$884,Trades!$D$2:$D$884,$A328,Trades!$X$2:$X$884,"&gt;0")</f>
        <v>0</v>
      </c>
      <c r="H328" s="30" t="n">
        <f aca="false">SUMIFS(Trades!$X$2:$X$884,Trades!$D$2:$D$884,$A328,Trades!$X$2:$X$884,"&lt;0")</f>
        <v>-227.9</v>
      </c>
      <c r="I328" s="31" t="n">
        <f aca="false">IFERROR(G328/-H328,"no loss")</f>
        <v>0</v>
      </c>
      <c r="J328" s="30" t="n">
        <f aca="false">_xlfn.MAXIFS(Trades!$X$2:$X$884,Trades!$D$2:$D$884,$A328)</f>
        <v>-227.9</v>
      </c>
      <c r="K328" s="30" t="n">
        <f aca="false">_xlfn.MINIFS(Trades!$X$2:$X$884,Trades!$D$2:$D$884,$A328)</f>
        <v>-227.9</v>
      </c>
      <c r="L328" s="32" t="n">
        <f aca="false">SUMIFS(Trades!$Y$2:$Y$884,Trades!$D$2:$D$884,$A328)</f>
        <v>-1.02657657657658</v>
      </c>
      <c r="M328" s="30" t="n">
        <f aca="false">P327</f>
        <v>106030.12</v>
      </c>
      <c r="N328" s="29" t="n">
        <f aca="false">IFERROR(F328/M328,0)</f>
        <v>-0.00214938924901716</v>
      </c>
      <c r="O328" s="28" t="str">
        <f aca="false">IF(-N328&gt;=Summary!$C$7,"BREACH","")</f>
        <v/>
      </c>
      <c r="P328" s="30" t="n">
        <f aca="false">M328+F328</f>
        <v>105802.22</v>
      </c>
      <c r="Q328" s="30" t="n">
        <f aca="false">P328-Summary!$C$5</f>
        <v>5802.22000000009</v>
      </c>
      <c r="R328" s="2" t="str">
        <f aca="false">TEXT(A328,"ddd")</f>
        <v>Wed</v>
      </c>
    </row>
    <row r="329" customFormat="false" ht="15" hidden="false" customHeight="false" outlineLevel="0" collapsed="false">
      <c r="A329" s="42" t="n">
        <v>45554</v>
      </c>
      <c r="B329" s="28" t="n">
        <f aca="false">COUNTIFS(Trades!$D$2:$D$884,$A329)</f>
        <v>1</v>
      </c>
      <c r="C329" s="28" t="n">
        <f aca="false">COUNTIFS(Trades!$D$2:$D$884,$A329,Trades!$Z$2:$Z$884,"Win")</f>
        <v>0</v>
      </c>
      <c r="D329" s="28" t="n">
        <f aca="false">COUNTIFS(Trades!$D$2:$D$884,$A329,Trades!$Z$2:$Z$884,"Loss")</f>
        <v>1</v>
      </c>
      <c r="E329" s="29" t="n">
        <f aca="false">IFERROR(C329/B329,0)</f>
        <v>0</v>
      </c>
      <c r="F329" s="30" t="n">
        <f aca="false">SUMIFS(Trades!$X$2:$X$884,Trades!$D$2:$D$884,$A329)</f>
        <v>-0.14</v>
      </c>
      <c r="G329" s="30" t="n">
        <f aca="false">SUMIFS(Trades!$X$2:$X$884,Trades!$D$2:$D$884,$A329,Trades!$X$2:$X$884,"&gt;0")</f>
        <v>0</v>
      </c>
      <c r="H329" s="30" t="n">
        <f aca="false">SUMIFS(Trades!$X$2:$X$884,Trades!$D$2:$D$884,$A329,Trades!$X$2:$X$884,"&lt;0")</f>
        <v>-0.14</v>
      </c>
      <c r="I329" s="31" t="n">
        <f aca="false">IFERROR(G329/-H329,"no loss")</f>
        <v>0</v>
      </c>
      <c r="J329" s="30" t="n">
        <f aca="false">_xlfn.MAXIFS(Trades!$X$2:$X$884,Trades!$D$2:$D$884,$A329)</f>
        <v>-0.14</v>
      </c>
      <c r="K329" s="30" t="n">
        <f aca="false">_xlfn.MINIFS(Trades!$X$2:$X$884,Trades!$D$2:$D$884,$A329)</f>
        <v>-0.14</v>
      </c>
      <c r="L329" s="32" t="n">
        <f aca="false">SUMIFS(Trades!$Y$2:$Y$884,Trades!$D$2:$D$884,$A329)</f>
        <v>-0.00182634105614681</v>
      </c>
      <c r="M329" s="30" t="n">
        <f aca="false">P328</f>
        <v>105802.22</v>
      </c>
      <c r="N329" s="29" t="n">
        <f aca="false">IFERROR(F329/M329,0)</f>
        <v>-1.32322365258498E-006</v>
      </c>
      <c r="O329" s="28" t="str">
        <f aca="false">IF(-N329&gt;=Summary!$C$7,"BREACH","")</f>
        <v/>
      </c>
      <c r="P329" s="30" t="n">
        <f aca="false">M329+F329</f>
        <v>105802.08</v>
      </c>
      <c r="Q329" s="30" t="n">
        <f aca="false">P329-Summary!$C$5</f>
        <v>5802.08000000009</v>
      </c>
      <c r="R329" s="2" t="str">
        <f aca="false">TEXT(A329,"ddd")</f>
        <v>Thu</v>
      </c>
    </row>
    <row r="330" customFormat="false" ht="15" hidden="false" customHeight="false" outlineLevel="0" collapsed="false">
      <c r="A330" s="42" t="n">
        <v>45558</v>
      </c>
      <c r="B330" s="28" t="n">
        <f aca="false">COUNTIFS(Trades!$D$2:$D$884,$A330)</f>
        <v>1</v>
      </c>
      <c r="C330" s="28" t="n">
        <f aca="false">COUNTIFS(Trades!$D$2:$D$884,$A330,Trades!$Z$2:$Z$884,"Win")</f>
        <v>1</v>
      </c>
      <c r="D330" s="28" t="n">
        <f aca="false">COUNTIFS(Trades!$D$2:$D$884,$A330,Trades!$Z$2:$Z$884,"Loss")</f>
        <v>0</v>
      </c>
      <c r="E330" s="29" t="n">
        <f aca="false">IFERROR(C330/B330,0)</f>
        <v>1</v>
      </c>
      <c r="F330" s="30" t="n">
        <f aca="false">SUMIFS(Trades!$X$2:$X$884,Trades!$D$2:$D$884,$A330)</f>
        <v>92.87</v>
      </c>
      <c r="G330" s="30" t="n">
        <f aca="false">SUMIFS(Trades!$X$2:$X$884,Trades!$D$2:$D$884,$A330,Trades!$X$2:$X$884,"&gt;0")</f>
        <v>92.87</v>
      </c>
      <c r="H330" s="30" t="n">
        <f aca="false">SUMIFS(Trades!$X$2:$X$884,Trades!$D$2:$D$884,$A330,Trades!$X$2:$X$884,"&lt;0")</f>
        <v>0</v>
      </c>
      <c r="I330" s="31" t="str">
        <f aca="false">IFERROR(G330/-H330,"no loss")</f>
        <v>no loss</v>
      </c>
      <c r="J330" s="30" t="n">
        <f aca="false">_xlfn.MAXIFS(Trades!$X$2:$X$884,Trades!$D$2:$D$884,$A330)</f>
        <v>92.87</v>
      </c>
      <c r="K330" s="30" t="n">
        <f aca="false">_xlfn.MINIFS(Trades!$X$2:$X$884,Trades!$D$2:$D$884,$A330)</f>
        <v>92.87</v>
      </c>
      <c r="L330" s="32" t="n">
        <f aca="false">SUMIFS(Trades!$Y$2:$Y$884,Trades!$D$2:$D$884,$A330)</f>
        <v>2.04136809249583</v>
      </c>
      <c r="M330" s="30" t="n">
        <f aca="false">P329</f>
        <v>105802.08</v>
      </c>
      <c r="N330" s="29" t="n">
        <f aca="false">IFERROR(F330/M330,0)</f>
        <v>0.000877771023027146</v>
      </c>
      <c r="O330" s="28" t="str">
        <f aca="false">IF(-N330&gt;=Summary!$C$7,"BREACH","")</f>
        <v/>
      </c>
      <c r="P330" s="30" t="n">
        <f aca="false">M330+F330</f>
        <v>105894.95</v>
      </c>
      <c r="Q330" s="30" t="n">
        <f aca="false">P330-Summary!$C$5</f>
        <v>5894.95000000008</v>
      </c>
      <c r="R330" s="2" t="str">
        <f aca="false">TEXT(A330,"ddd")</f>
        <v>Mon</v>
      </c>
    </row>
    <row r="331" customFormat="false" ht="15" hidden="false" customHeight="false" outlineLevel="0" collapsed="false">
      <c r="A331" s="42" t="n">
        <v>45559</v>
      </c>
      <c r="B331" s="28" t="n">
        <f aca="false">COUNTIFS(Trades!$D$2:$D$884,$A331)</f>
        <v>1</v>
      </c>
      <c r="C331" s="28" t="n">
        <f aca="false">COUNTIFS(Trades!$D$2:$D$884,$A331,Trades!$Z$2:$Z$884,"Win")</f>
        <v>0</v>
      </c>
      <c r="D331" s="28" t="n">
        <f aca="false">COUNTIFS(Trades!$D$2:$D$884,$A331,Trades!$Z$2:$Z$884,"Loss")</f>
        <v>1</v>
      </c>
      <c r="E331" s="29" t="n">
        <f aca="false">IFERROR(C331/B331,0)</f>
        <v>0</v>
      </c>
      <c r="F331" s="30" t="n">
        <f aca="false">SUMIFS(Trades!$X$2:$X$884,Trades!$D$2:$D$884,$A331)</f>
        <v>-1.98</v>
      </c>
      <c r="G331" s="30" t="n">
        <f aca="false">SUMIFS(Trades!$X$2:$X$884,Trades!$D$2:$D$884,$A331,Trades!$X$2:$X$884,"&gt;0")</f>
        <v>0</v>
      </c>
      <c r="H331" s="30" t="n">
        <f aca="false">SUMIFS(Trades!$X$2:$X$884,Trades!$D$2:$D$884,$A331,Trades!$X$2:$X$884,"&lt;0")</f>
        <v>-1.98</v>
      </c>
      <c r="I331" s="31" t="n">
        <f aca="false">IFERROR(G331/-H331,"no loss")</f>
        <v>0</v>
      </c>
      <c r="J331" s="30" t="n">
        <f aca="false">_xlfn.MAXIFS(Trades!$X$2:$X$884,Trades!$D$2:$D$884,$A331)</f>
        <v>-1.98</v>
      </c>
      <c r="K331" s="30" t="n">
        <f aca="false">_xlfn.MINIFS(Trades!$X$2:$X$884,Trades!$D$2:$D$884,$A331)</f>
        <v>-1.98</v>
      </c>
      <c r="L331" s="32" t="n">
        <f aca="false">SUMIFS(Trades!$Y$2:$Y$884,Trades!$D$2:$D$884,$A331)</f>
        <v>-0.0339995878837739</v>
      </c>
      <c r="M331" s="30" t="n">
        <f aca="false">P330</f>
        <v>105894.95</v>
      </c>
      <c r="N331" s="29" t="n">
        <f aca="false">IFERROR(F331/M331,0)</f>
        <v>-1.86977754841E-005</v>
      </c>
      <c r="O331" s="28" t="str">
        <f aca="false">IF(-N331&gt;=Summary!$C$7,"BREACH","")</f>
        <v/>
      </c>
      <c r="P331" s="30" t="n">
        <f aca="false">M331+F331</f>
        <v>105892.97</v>
      </c>
      <c r="Q331" s="30" t="n">
        <f aca="false">P331-Summary!$C$5</f>
        <v>5892.97000000009</v>
      </c>
      <c r="R331" s="2" t="str">
        <f aca="false">TEXT(A331,"ddd")</f>
        <v>Tue</v>
      </c>
    </row>
    <row r="332" customFormat="false" ht="15" hidden="false" customHeight="false" outlineLevel="0" collapsed="false">
      <c r="A332" s="42" t="n">
        <v>45560</v>
      </c>
      <c r="B332" s="28" t="n">
        <f aca="false">COUNTIFS(Trades!$D$2:$D$884,$A332)</f>
        <v>1</v>
      </c>
      <c r="C332" s="28" t="n">
        <f aca="false">COUNTIFS(Trades!$D$2:$D$884,$A332,Trades!$Z$2:$Z$884,"Win")</f>
        <v>0</v>
      </c>
      <c r="D332" s="28" t="n">
        <f aca="false">COUNTIFS(Trades!$D$2:$D$884,$A332,Trades!$Z$2:$Z$884,"Loss")</f>
        <v>1</v>
      </c>
      <c r="E332" s="29" t="n">
        <f aca="false">IFERROR(C332/B332,0)</f>
        <v>0</v>
      </c>
      <c r="F332" s="30" t="n">
        <f aca="false">SUMIFS(Trades!$X$2:$X$884,Trades!$D$2:$D$884,$A332)</f>
        <v>-1.33</v>
      </c>
      <c r="G332" s="30" t="n">
        <f aca="false">SUMIFS(Trades!$X$2:$X$884,Trades!$D$2:$D$884,$A332,Trades!$X$2:$X$884,"&gt;0")</f>
        <v>0</v>
      </c>
      <c r="H332" s="30" t="n">
        <f aca="false">SUMIFS(Trades!$X$2:$X$884,Trades!$D$2:$D$884,$A332,Trades!$X$2:$X$884,"&lt;0")</f>
        <v>-1.33</v>
      </c>
      <c r="I332" s="31" t="n">
        <f aca="false">IFERROR(G332/-H332,"no loss")</f>
        <v>0</v>
      </c>
      <c r="J332" s="30" t="n">
        <f aca="false">_xlfn.MAXIFS(Trades!$X$2:$X$884,Trades!$D$2:$D$884,$A332)</f>
        <v>-1.33</v>
      </c>
      <c r="K332" s="30" t="n">
        <f aca="false">_xlfn.MINIFS(Trades!$X$2:$X$884,Trades!$D$2:$D$884,$A332)</f>
        <v>-1.33</v>
      </c>
      <c r="L332" s="32" t="n">
        <f aca="false">SUMIFS(Trades!$Y$2:$Y$884,Trades!$D$2:$D$884,$A332)</f>
        <v>-0.0112502114701401</v>
      </c>
      <c r="M332" s="30" t="n">
        <f aca="false">P331</f>
        <v>105892.97</v>
      </c>
      <c r="N332" s="29" t="n">
        <f aca="false">IFERROR(F332/M332,0)</f>
        <v>-1.25598517068697E-005</v>
      </c>
      <c r="O332" s="28" t="str">
        <f aca="false">IF(-N332&gt;=Summary!$C$7,"BREACH","")</f>
        <v/>
      </c>
      <c r="P332" s="30" t="n">
        <f aca="false">M332+F332</f>
        <v>105891.64</v>
      </c>
      <c r="Q332" s="30" t="n">
        <f aca="false">P332-Summary!$C$5</f>
        <v>5891.64000000009</v>
      </c>
      <c r="R332" s="2" t="str">
        <f aca="false">TEXT(A332,"ddd")</f>
        <v>Wed</v>
      </c>
    </row>
    <row r="333" customFormat="false" ht="15" hidden="false" customHeight="false" outlineLevel="0" collapsed="false">
      <c r="A333" s="42" t="n">
        <v>45561</v>
      </c>
      <c r="B333" s="28" t="n">
        <f aca="false">COUNTIFS(Trades!$D$2:$D$884,$A333)</f>
        <v>1</v>
      </c>
      <c r="C333" s="28" t="n">
        <f aca="false">COUNTIFS(Trades!$D$2:$D$884,$A333,Trades!$Z$2:$Z$884,"Win")</f>
        <v>1</v>
      </c>
      <c r="D333" s="28" t="n">
        <f aca="false">COUNTIFS(Trades!$D$2:$D$884,$A333,Trades!$Z$2:$Z$884,"Loss")</f>
        <v>0</v>
      </c>
      <c r="E333" s="29" t="n">
        <f aca="false">IFERROR(C333/B333,0)</f>
        <v>1</v>
      </c>
      <c r="F333" s="30" t="n">
        <f aca="false">SUMIFS(Trades!$X$2:$X$884,Trades!$D$2:$D$884,$A333)</f>
        <v>101.52</v>
      </c>
      <c r="G333" s="30" t="n">
        <f aca="false">SUMIFS(Trades!$X$2:$X$884,Trades!$D$2:$D$884,$A333,Trades!$X$2:$X$884,"&gt;0")</f>
        <v>101.52</v>
      </c>
      <c r="H333" s="30" t="n">
        <f aca="false">SUMIFS(Trades!$X$2:$X$884,Trades!$D$2:$D$884,$A333,Trades!$X$2:$X$884,"&lt;0")</f>
        <v>0</v>
      </c>
      <c r="I333" s="31" t="str">
        <f aca="false">IFERROR(G333/-H333,"no loss")</f>
        <v>no loss</v>
      </c>
      <c r="J333" s="30" t="n">
        <f aca="false">_xlfn.MAXIFS(Trades!$X$2:$X$884,Trades!$D$2:$D$884,$A333)</f>
        <v>101.52</v>
      </c>
      <c r="K333" s="30" t="n">
        <f aca="false">_xlfn.MINIFS(Trades!$X$2:$X$884,Trades!$D$2:$D$884,$A333)</f>
        <v>101.52</v>
      </c>
      <c r="L333" s="32" t="n">
        <f aca="false">SUMIFS(Trades!$Y$2:$Y$884,Trades!$D$2:$D$884,$A333)</f>
        <v>2.05680943312136</v>
      </c>
      <c r="M333" s="30" t="n">
        <f aca="false">P332</f>
        <v>105891.64</v>
      </c>
      <c r="N333" s="29" t="n">
        <f aca="false">IFERROR(F333/M333,0)</f>
        <v>0.000958715909962296</v>
      </c>
      <c r="O333" s="28" t="str">
        <f aca="false">IF(-N333&gt;=Summary!$C$7,"BREACH","")</f>
        <v/>
      </c>
      <c r="P333" s="30" t="n">
        <f aca="false">M333+F333</f>
        <v>105993.16</v>
      </c>
      <c r="Q333" s="30" t="n">
        <f aca="false">P333-Summary!$C$5</f>
        <v>5993.16000000009</v>
      </c>
      <c r="R333" s="2" t="str">
        <f aca="false">TEXT(A333,"ddd")</f>
        <v>Thu</v>
      </c>
    </row>
    <row r="334" customFormat="false" ht="15" hidden="false" customHeight="false" outlineLevel="0" collapsed="false">
      <c r="A334" s="42" t="n">
        <v>45565</v>
      </c>
      <c r="B334" s="28" t="n">
        <f aca="false">COUNTIFS(Trades!$D$2:$D$884,$A334)</f>
        <v>1</v>
      </c>
      <c r="C334" s="28" t="n">
        <f aca="false">COUNTIFS(Trades!$D$2:$D$884,$A334,Trades!$Z$2:$Z$884,"Win")</f>
        <v>0</v>
      </c>
      <c r="D334" s="28" t="n">
        <f aca="false">COUNTIFS(Trades!$D$2:$D$884,$A334,Trades!$Z$2:$Z$884,"Loss")</f>
        <v>1</v>
      </c>
      <c r="E334" s="29" t="n">
        <f aca="false">IFERROR(C334/B334,0)</f>
        <v>0</v>
      </c>
      <c r="F334" s="30" t="n">
        <f aca="false">SUMIFS(Trades!$X$2:$X$884,Trades!$D$2:$D$884,$A334)</f>
        <v>-49.63</v>
      </c>
      <c r="G334" s="30" t="n">
        <f aca="false">SUMIFS(Trades!$X$2:$X$884,Trades!$D$2:$D$884,$A334,Trades!$X$2:$X$884,"&gt;0")</f>
        <v>0</v>
      </c>
      <c r="H334" s="30" t="n">
        <f aca="false">SUMIFS(Trades!$X$2:$X$884,Trades!$D$2:$D$884,$A334,Trades!$X$2:$X$884,"&lt;0")</f>
        <v>-49.63</v>
      </c>
      <c r="I334" s="31" t="n">
        <f aca="false">IFERROR(G334/-H334,"no loss")</f>
        <v>0</v>
      </c>
      <c r="J334" s="30" t="n">
        <f aca="false">_xlfn.MAXIFS(Trades!$X$2:$X$884,Trades!$D$2:$D$884,$A334)</f>
        <v>-49.63</v>
      </c>
      <c r="K334" s="30" t="n">
        <f aca="false">_xlfn.MINIFS(Trades!$X$2:$X$884,Trades!$D$2:$D$884,$A334)</f>
        <v>-49.63</v>
      </c>
      <c r="L334" s="32" t="n">
        <f aca="false">SUMIFS(Trades!$Y$2:$Y$884,Trades!$D$2:$D$884,$A334)</f>
        <v>-1.01211354922915</v>
      </c>
      <c r="M334" s="30" t="n">
        <f aca="false">P333</f>
        <v>105993.16</v>
      </c>
      <c r="N334" s="29" t="n">
        <f aca="false">IFERROR(F334/M334,0)</f>
        <v>-0.000468237761757456</v>
      </c>
      <c r="O334" s="28" t="str">
        <f aca="false">IF(-N334&gt;=Summary!$C$7,"BREACH","")</f>
        <v/>
      </c>
      <c r="P334" s="30" t="n">
        <f aca="false">M334+F334</f>
        <v>105943.53</v>
      </c>
      <c r="Q334" s="30" t="n">
        <f aca="false">P334-Summary!$C$5</f>
        <v>5943.53000000009</v>
      </c>
      <c r="R334" s="2" t="str">
        <f aca="false">TEXT(A334,"ddd")</f>
        <v>Mon</v>
      </c>
    </row>
    <row r="335" customFormat="false" ht="15" hidden="false" customHeight="false" outlineLevel="0" collapsed="false">
      <c r="A335" s="42" t="n">
        <v>45566</v>
      </c>
      <c r="B335" s="28" t="n">
        <f aca="false">COUNTIFS(Trades!$D$2:$D$884,$A335)</f>
        <v>2</v>
      </c>
      <c r="C335" s="28" t="n">
        <f aca="false">COUNTIFS(Trades!$D$2:$D$884,$A335,Trades!$Z$2:$Z$884,"Win")</f>
        <v>1</v>
      </c>
      <c r="D335" s="28" t="n">
        <f aca="false">COUNTIFS(Trades!$D$2:$D$884,$A335,Trades!$Z$2:$Z$884,"Loss")</f>
        <v>1</v>
      </c>
      <c r="E335" s="29" t="n">
        <f aca="false">IFERROR(C335/B335,0)</f>
        <v>0.5</v>
      </c>
      <c r="F335" s="30" t="n">
        <f aca="false">SUMIFS(Trades!$X$2:$X$884,Trades!$D$2:$D$884,$A335)</f>
        <v>78.59</v>
      </c>
      <c r="G335" s="30" t="n">
        <f aca="false">SUMIFS(Trades!$X$2:$X$884,Trades!$D$2:$D$884,$A335,Trades!$X$2:$X$884,"&gt;0")</f>
        <v>79.07</v>
      </c>
      <c r="H335" s="30" t="n">
        <f aca="false">SUMIFS(Trades!$X$2:$X$884,Trades!$D$2:$D$884,$A335,Trades!$X$2:$X$884,"&lt;0")</f>
        <v>-0.48</v>
      </c>
      <c r="I335" s="31" t="n">
        <f aca="false">IFERROR(G335/-H335,"no loss")</f>
        <v>164.729166666667</v>
      </c>
      <c r="J335" s="30" t="n">
        <f aca="false">_xlfn.MAXIFS(Trades!$X$2:$X$884,Trades!$D$2:$D$884,$A335)</f>
        <v>79.07</v>
      </c>
      <c r="K335" s="30" t="n">
        <f aca="false">_xlfn.MINIFS(Trades!$X$2:$X$884,Trades!$D$2:$D$884,$A335)</f>
        <v>-0.48</v>
      </c>
      <c r="L335" s="32" t="n">
        <f aca="false">SUMIFS(Trades!$Y$2:$Y$884,Trades!$D$2:$D$884,$A335)</f>
        <v>2.00619345525186</v>
      </c>
      <c r="M335" s="30" t="n">
        <f aca="false">P334</f>
        <v>105943.53</v>
      </c>
      <c r="N335" s="29" t="n">
        <f aca="false">IFERROR(F335/M335,0)</f>
        <v>0.000741810283270719</v>
      </c>
      <c r="O335" s="28" t="str">
        <f aca="false">IF(-N335&gt;=Summary!$C$7,"BREACH","")</f>
        <v/>
      </c>
      <c r="P335" s="30" t="n">
        <f aca="false">M335+F335</f>
        <v>106022.12</v>
      </c>
      <c r="Q335" s="30" t="n">
        <f aca="false">P335-Summary!$C$5</f>
        <v>6022.12000000008</v>
      </c>
      <c r="R335" s="2" t="str">
        <f aca="false">TEXT(A335,"ddd")</f>
        <v>Tue</v>
      </c>
    </row>
    <row r="336" customFormat="false" ht="15" hidden="false" customHeight="false" outlineLevel="0" collapsed="false">
      <c r="A336" s="42" t="n">
        <v>45568</v>
      </c>
      <c r="B336" s="28" t="n">
        <f aca="false">COUNTIFS(Trades!$D$2:$D$884,$A336)</f>
        <v>1</v>
      </c>
      <c r="C336" s="28" t="n">
        <f aca="false">COUNTIFS(Trades!$D$2:$D$884,$A336,Trades!$Z$2:$Z$884,"Win")</f>
        <v>0</v>
      </c>
      <c r="D336" s="28" t="n">
        <f aca="false">COUNTIFS(Trades!$D$2:$D$884,$A336,Trades!$Z$2:$Z$884,"Loss")</f>
        <v>1</v>
      </c>
      <c r="E336" s="29" t="n">
        <f aca="false">IFERROR(C336/B336,0)</f>
        <v>0</v>
      </c>
      <c r="F336" s="30" t="n">
        <f aca="false">SUMIFS(Trades!$X$2:$X$884,Trades!$D$2:$D$884,$A336)</f>
        <v>-212.61</v>
      </c>
      <c r="G336" s="30" t="n">
        <f aca="false">SUMIFS(Trades!$X$2:$X$884,Trades!$D$2:$D$884,$A336,Trades!$X$2:$X$884,"&gt;0")</f>
        <v>0</v>
      </c>
      <c r="H336" s="30" t="n">
        <f aca="false">SUMIFS(Trades!$X$2:$X$884,Trades!$D$2:$D$884,$A336,Trades!$X$2:$X$884,"&lt;0")</f>
        <v>-212.61</v>
      </c>
      <c r="I336" s="31" t="n">
        <f aca="false">IFERROR(G336/-H336,"no loss")</f>
        <v>0</v>
      </c>
      <c r="J336" s="30" t="n">
        <f aca="false">_xlfn.MAXIFS(Trades!$X$2:$X$884,Trades!$D$2:$D$884,$A336)</f>
        <v>-212.61</v>
      </c>
      <c r="K336" s="30" t="n">
        <f aca="false">_xlfn.MINIFS(Trades!$X$2:$X$884,Trades!$D$2:$D$884,$A336)</f>
        <v>-212.61</v>
      </c>
      <c r="L336" s="32" t="n">
        <f aca="false">SUMIFS(Trades!$Y$2:$Y$884,Trades!$D$2:$D$884,$A336)</f>
        <v>-1.0080603100849</v>
      </c>
      <c r="M336" s="30" t="n">
        <f aca="false">P335</f>
        <v>106022.12</v>
      </c>
      <c r="N336" s="29" t="n">
        <f aca="false">IFERROR(F336/M336,0)</f>
        <v>-0.002005336244927</v>
      </c>
      <c r="O336" s="28" t="str">
        <f aca="false">IF(-N336&gt;=Summary!$C$7,"BREACH","")</f>
        <v/>
      </c>
      <c r="P336" s="30" t="n">
        <f aca="false">M336+F336</f>
        <v>105809.51</v>
      </c>
      <c r="Q336" s="30" t="n">
        <f aca="false">P336-Summary!$C$5</f>
        <v>5809.51000000008</v>
      </c>
      <c r="R336" s="2" t="str">
        <f aca="false">TEXT(A336,"ddd")</f>
        <v>Thu</v>
      </c>
    </row>
    <row r="337" customFormat="false" ht="15" hidden="false" customHeight="false" outlineLevel="0" collapsed="false">
      <c r="A337" s="42" t="n">
        <v>45569</v>
      </c>
      <c r="B337" s="28" t="n">
        <f aca="false">COUNTIFS(Trades!$D$2:$D$884,$A337)</f>
        <v>1</v>
      </c>
      <c r="C337" s="28" t="n">
        <f aca="false">COUNTIFS(Trades!$D$2:$D$884,$A337,Trades!$Z$2:$Z$884,"Win")</f>
        <v>0</v>
      </c>
      <c r="D337" s="28" t="n">
        <f aca="false">COUNTIFS(Trades!$D$2:$D$884,$A337,Trades!$Z$2:$Z$884,"Loss")</f>
        <v>1</v>
      </c>
      <c r="E337" s="29" t="n">
        <f aca="false">IFERROR(C337/B337,0)</f>
        <v>0</v>
      </c>
      <c r="F337" s="30" t="n">
        <f aca="false">SUMIFS(Trades!$X$2:$X$884,Trades!$D$2:$D$884,$A337)</f>
        <v>-139.79</v>
      </c>
      <c r="G337" s="30" t="n">
        <f aca="false">SUMIFS(Trades!$X$2:$X$884,Trades!$D$2:$D$884,$A337,Trades!$X$2:$X$884,"&gt;0")</f>
        <v>0</v>
      </c>
      <c r="H337" s="30" t="n">
        <f aca="false">SUMIFS(Trades!$X$2:$X$884,Trades!$D$2:$D$884,$A337,Trades!$X$2:$X$884,"&lt;0")</f>
        <v>-139.79</v>
      </c>
      <c r="I337" s="31" t="n">
        <f aca="false">IFERROR(G337/-H337,"no loss")</f>
        <v>0</v>
      </c>
      <c r="J337" s="30" t="n">
        <f aca="false">_xlfn.MAXIFS(Trades!$X$2:$X$884,Trades!$D$2:$D$884,$A337)</f>
        <v>-139.79</v>
      </c>
      <c r="K337" s="30" t="n">
        <f aca="false">_xlfn.MINIFS(Trades!$X$2:$X$884,Trades!$D$2:$D$884,$A337)</f>
        <v>-139.79</v>
      </c>
      <c r="L337" s="32" t="n">
        <f aca="false">SUMIFS(Trades!$Y$2:$Y$884,Trades!$D$2:$D$884,$A337)</f>
        <v>-1.00759716295699</v>
      </c>
      <c r="M337" s="30" t="n">
        <f aca="false">P336</f>
        <v>105809.51</v>
      </c>
      <c r="N337" s="29" t="n">
        <f aca="false">IFERROR(F337/M337,0)</f>
        <v>-0.0013211477871885</v>
      </c>
      <c r="O337" s="28" t="str">
        <f aca="false">IF(-N337&gt;=Summary!$C$7,"BREACH","")</f>
        <v/>
      </c>
      <c r="P337" s="30" t="n">
        <f aca="false">M337+F337</f>
        <v>105669.72</v>
      </c>
      <c r="Q337" s="30" t="n">
        <f aca="false">P337-Summary!$C$5</f>
        <v>5669.72000000009</v>
      </c>
      <c r="R337" s="2" t="str">
        <f aca="false">TEXT(A337,"ddd")</f>
        <v>Fri</v>
      </c>
    </row>
    <row r="338" customFormat="false" ht="15" hidden="false" customHeight="false" outlineLevel="0" collapsed="false">
      <c r="A338" s="42" t="n">
        <v>45572</v>
      </c>
      <c r="B338" s="28" t="n">
        <f aca="false">COUNTIFS(Trades!$D$2:$D$884,$A338)</f>
        <v>1</v>
      </c>
      <c r="C338" s="28" t="n">
        <f aca="false">COUNTIFS(Trades!$D$2:$D$884,$A338,Trades!$Z$2:$Z$884,"Win")</f>
        <v>0</v>
      </c>
      <c r="D338" s="28" t="n">
        <f aca="false">COUNTIFS(Trades!$D$2:$D$884,$A338,Trades!$Z$2:$Z$884,"Loss")</f>
        <v>1</v>
      </c>
      <c r="E338" s="29" t="n">
        <f aca="false">IFERROR(C338/B338,0)</f>
        <v>0</v>
      </c>
      <c r="F338" s="30" t="n">
        <f aca="false">SUMIFS(Trades!$X$2:$X$884,Trades!$D$2:$D$884,$A338)</f>
        <v>-43.42</v>
      </c>
      <c r="G338" s="30" t="n">
        <f aca="false">SUMIFS(Trades!$X$2:$X$884,Trades!$D$2:$D$884,$A338,Trades!$X$2:$X$884,"&gt;0")</f>
        <v>0</v>
      </c>
      <c r="H338" s="30" t="n">
        <f aca="false">SUMIFS(Trades!$X$2:$X$884,Trades!$D$2:$D$884,$A338,Trades!$X$2:$X$884,"&lt;0")</f>
        <v>-43.42</v>
      </c>
      <c r="I338" s="31" t="n">
        <f aca="false">IFERROR(G338/-H338,"no loss")</f>
        <v>0</v>
      </c>
      <c r="J338" s="30" t="n">
        <f aca="false">_xlfn.MAXIFS(Trades!$X$2:$X$884,Trades!$D$2:$D$884,$A338)</f>
        <v>-43.42</v>
      </c>
      <c r="K338" s="30" t="n">
        <f aca="false">_xlfn.MINIFS(Trades!$X$2:$X$884,Trades!$D$2:$D$884,$A338)</f>
        <v>-43.42</v>
      </c>
      <c r="L338" s="32" t="n">
        <f aca="false">SUMIFS(Trades!$Y$2:$Y$884,Trades!$D$2:$D$884,$A338)</f>
        <v>-1.01061353691461</v>
      </c>
      <c r="M338" s="30" t="n">
        <f aca="false">P337</f>
        <v>105669.72</v>
      </c>
      <c r="N338" s="29" t="n">
        <f aca="false">IFERROR(F338/M338,0)</f>
        <v>-0.000410902953088169</v>
      </c>
      <c r="O338" s="28" t="str">
        <f aca="false">IF(-N338&gt;=Summary!$C$7,"BREACH","")</f>
        <v/>
      </c>
      <c r="P338" s="30" t="n">
        <f aca="false">M338+F338</f>
        <v>105626.3</v>
      </c>
      <c r="Q338" s="30" t="n">
        <f aca="false">P338-Summary!$C$5</f>
        <v>5626.30000000009</v>
      </c>
      <c r="R338" s="2" t="str">
        <f aca="false">TEXT(A338,"ddd")</f>
        <v>Mon</v>
      </c>
    </row>
    <row r="339" customFormat="false" ht="15" hidden="false" customHeight="false" outlineLevel="0" collapsed="false">
      <c r="A339" s="42" t="n">
        <v>45573</v>
      </c>
      <c r="B339" s="28" t="n">
        <f aca="false">COUNTIFS(Trades!$D$2:$D$884,$A339)</f>
        <v>2</v>
      </c>
      <c r="C339" s="28" t="n">
        <f aca="false">COUNTIFS(Trades!$D$2:$D$884,$A339,Trades!$Z$2:$Z$884,"Win")</f>
        <v>0</v>
      </c>
      <c r="D339" s="28" t="n">
        <f aca="false">COUNTIFS(Trades!$D$2:$D$884,$A339,Trades!$Z$2:$Z$884,"Loss")</f>
        <v>2</v>
      </c>
      <c r="E339" s="29" t="n">
        <f aca="false">IFERROR(C339/B339,0)</f>
        <v>0</v>
      </c>
      <c r="F339" s="30" t="n">
        <f aca="false">SUMIFS(Trades!$X$2:$X$884,Trades!$D$2:$D$884,$A339)</f>
        <v>-342.92</v>
      </c>
      <c r="G339" s="30" t="n">
        <f aca="false">SUMIFS(Trades!$X$2:$X$884,Trades!$D$2:$D$884,$A339,Trades!$X$2:$X$884,"&gt;0")</f>
        <v>0</v>
      </c>
      <c r="H339" s="30" t="n">
        <f aca="false">SUMIFS(Trades!$X$2:$X$884,Trades!$D$2:$D$884,$A339,Trades!$X$2:$X$884,"&lt;0")</f>
        <v>-342.92</v>
      </c>
      <c r="I339" s="31" t="n">
        <f aca="false">IFERROR(G339/-H339,"no loss")</f>
        <v>0</v>
      </c>
      <c r="J339" s="30" t="n">
        <f aca="false">_xlfn.MAXIFS(Trades!$X$2:$X$884,Trades!$D$2:$D$884,$A339)</f>
        <v>-165.37</v>
      </c>
      <c r="K339" s="30" t="n">
        <f aca="false">_xlfn.MINIFS(Trades!$X$2:$X$884,Trades!$D$2:$D$884,$A339)</f>
        <v>-177.55</v>
      </c>
      <c r="L339" s="32" t="n">
        <f aca="false">SUMIFS(Trades!$Y$2:$Y$884,Trades!$D$2:$D$884,$A339)</f>
        <v>-2.0939228726322</v>
      </c>
      <c r="M339" s="30" t="n">
        <f aca="false">P338</f>
        <v>105626.3</v>
      </c>
      <c r="N339" s="29" t="n">
        <f aca="false">IFERROR(F339/M339,0)</f>
        <v>-0.00324653992424235</v>
      </c>
      <c r="O339" s="28" t="str">
        <f aca="false">IF(-N339&gt;=Summary!$C$7,"BREACH","")</f>
        <v/>
      </c>
      <c r="P339" s="30" t="n">
        <f aca="false">M339+F339</f>
        <v>105283.38</v>
      </c>
      <c r="Q339" s="30" t="n">
        <f aca="false">P339-Summary!$C$5</f>
        <v>5283.38000000009</v>
      </c>
      <c r="R339" s="2" t="str">
        <f aca="false">TEXT(A339,"ddd")</f>
        <v>Tue</v>
      </c>
    </row>
    <row r="340" customFormat="false" ht="15" hidden="false" customHeight="false" outlineLevel="0" collapsed="false">
      <c r="A340" s="42" t="n">
        <v>45574</v>
      </c>
      <c r="B340" s="28" t="n">
        <f aca="false">COUNTIFS(Trades!$D$2:$D$884,$A340)</f>
        <v>1</v>
      </c>
      <c r="C340" s="28" t="n">
        <f aca="false">COUNTIFS(Trades!$D$2:$D$884,$A340,Trades!$Z$2:$Z$884,"Win")</f>
        <v>1</v>
      </c>
      <c r="D340" s="28" t="n">
        <f aca="false">COUNTIFS(Trades!$D$2:$D$884,$A340,Trades!$Z$2:$Z$884,"Loss")</f>
        <v>0</v>
      </c>
      <c r="E340" s="29" t="n">
        <f aca="false">IFERROR(C340/B340,0)</f>
        <v>1</v>
      </c>
      <c r="F340" s="30" t="n">
        <f aca="false">SUMIFS(Trades!$X$2:$X$884,Trades!$D$2:$D$884,$A340)</f>
        <v>236.72</v>
      </c>
      <c r="G340" s="30" t="n">
        <f aca="false">SUMIFS(Trades!$X$2:$X$884,Trades!$D$2:$D$884,$A340,Trades!$X$2:$X$884,"&gt;0")</f>
        <v>236.72</v>
      </c>
      <c r="H340" s="30" t="n">
        <f aca="false">SUMIFS(Trades!$X$2:$X$884,Trades!$D$2:$D$884,$A340,Trades!$X$2:$X$884,"&lt;0")</f>
        <v>0</v>
      </c>
      <c r="I340" s="31" t="str">
        <f aca="false">IFERROR(G340/-H340,"no loss")</f>
        <v>no loss</v>
      </c>
      <c r="J340" s="30" t="n">
        <f aca="false">_xlfn.MAXIFS(Trades!$X$2:$X$884,Trades!$D$2:$D$884,$A340)</f>
        <v>236.72</v>
      </c>
      <c r="K340" s="30" t="n">
        <f aca="false">_xlfn.MINIFS(Trades!$X$2:$X$884,Trades!$D$2:$D$884,$A340)</f>
        <v>236.72</v>
      </c>
      <c r="L340" s="32" t="n">
        <f aca="false">SUMIFS(Trades!$Y$2:$Y$884,Trades!$D$2:$D$884,$A340)</f>
        <v>2.01176190638053</v>
      </c>
      <c r="M340" s="30" t="n">
        <f aca="false">P339</f>
        <v>105283.38</v>
      </c>
      <c r="N340" s="29" t="n">
        <f aca="false">IFERROR(F340/M340,0)</f>
        <v>0.00224840805832791</v>
      </c>
      <c r="O340" s="28" t="str">
        <f aca="false">IF(-N340&gt;=Summary!$C$7,"BREACH","")</f>
        <v/>
      </c>
      <c r="P340" s="30" t="n">
        <f aca="false">M340+F340</f>
        <v>105520.1</v>
      </c>
      <c r="Q340" s="30" t="n">
        <f aca="false">P340-Summary!$C$5</f>
        <v>5520.10000000009</v>
      </c>
      <c r="R340" s="2" t="str">
        <f aca="false">TEXT(A340,"ddd")</f>
        <v>Wed</v>
      </c>
    </row>
    <row r="341" customFormat="false" ht="15" hidden="false" customHeight="false" outlineLevel="0" collapsed="false">
      <c r="A341" s="42" t="n">
        <v>45575</v>
      </c>
      <c r="B341" s="28" t="n">
        <f aca="false">COUNTIFS(Trades!$D$2:$D$884,$A341)</f>
        <v>1</v>
      </c>
      <c r="C341" s="28" t="n">
        <f aca="false">COUNTIFS(Trades!$D$2:$D$884,$A341,Trades!$Z$2:$Z$884,"Win")</f>
        <v>0</v>
      </c>
      <c r="D341" s="28" t="n">
        <f aca="false">COUNTIFS(Trades!$D$2:$D$884,$A341,Trades!$Z$2:$Z$884,"Loss")</f>
        <v>1</v>
      </c>
      <c r="E341" s="29" t="n">
        <f aca="false">IFERROR(C341/B341,0)</f>
        <v>0</v>
      </c>
      <c r="F341" s="30" t="n">
        <f aca="false">SUMIFS(Trades!$X$2:$X$884,Trades!$D$2:$D$884,$A341)</f>
        <v>-6.67</v>
      </c>
      <c r="G341" s="30" t="n">
        <f aca="false">SUMIFS(Trades!$X$2:$X$884,Trades!$D$2:$D$884,$A341,Trades!$X$2:$X$884,"&gt;0")</f>
        <v>0</v>
      </c>
      <c r="H341" s="30" t="n">
        <f aca="false">SUMIFS(Trades!$X$2:$X$884,Trades!$D$2:$D$884,$A341,Trades!$X$2:$X$884,"&lt;0")</f>
        <v>-6.67</v>
      </c>
      <c r="I341" s="31" t="n">
        <f aca="false">IFERROR(G341/-H341,"no loss")</f>
        <v>0</v>
      </c>
      <c r="J341" s="30" t="n">
        <f aca="false">_xlfn.MAXIFS(Trades!$X$2:$X$884,Trades!$D$2:$D$884,$A341)</f>
        <v>-6.67</v>
      </c>
      <c r="K341" s="30" t="n">
        <f aca="false">_xlfn.MINIFS(Trades!$X$2:$X$884,Trades!$D$2:$D$884,$A341)</f>
        <v>-6.67</v>
      </c>
      <c r="L341" s="32" t="n">
        <f aca="false">SUMIFS(Trades!$Y$2:$Y$884,Trades!$D$2:$D$884,$A341)</f>
        <v>-0.0924744897959167</v>
      </c>
      <c r="M341" s="30" t="n">
        <f aca="false">P340</f>
        <v>105520.1</v>
      </c>
      <c r="N341" s="29" t="n">
        <f aca="false">IFERROR(F341/M341,0)</f>
        <v>-6.321070582761E-005</v>
      </c>
      <c r="O341" s="28" t="str">
        <f aca="false">IF(-N341&gt;=Summary!$C$7,"BREACH","")</f>
        <v/>
      </c>
      <c r="P341" s="30" t="n">
        <f aca="false">M341+F341</f>
        <v>105513.43</v>
      </c>
      <c r="Q341" s="30" t="n">
        <f aca="false">P341-Summary!$C$5</f>
        <v>5513.4300000001</v>
      </c>
      <c r="R341" s="2" t="str">
        <f aca="false">TEXT(A341,"ddd")</f>
        <v>Thu</v>
      </c>
    </row>
    <row r="342" customFormat="false" ht="15" hidden="false" customHeight="false" outlineLevel="0" collapsed="false">
      <c r="A342" s="42" t="n">
        <v>45579</v>
      </c>
      <c r="B342" s="28" t="n">
        <f aca="false">COUNTIFS(Trades!$D$2:$D$884,$A342)</f>
        <v>1</v>
      </c>
      <c r="C342" s="28" t="n">
        <f aca="false">COUNTIFS(Trades!$D$2:$D$884,$A342,Trades!$Z$2:$Z$884,"Win")</f>
        <v>1</v>
      </c>
      <c r="D342" s="28" t="n">
        <f aca="false">COUNTIFS(Trades!$D$2:$D$884,$A342,Trades!$Z$2:$Z$884,"Loss")</f>
        <v>0</v>
      </c>
      <c r="E342" s="29" t="n">
        <f aca="false">IFERROR(C342/B342,0)</f>
        <v>1</v>
      </c>
      <c r="F342" s="30" t="n">
        <f aca="false">SUMIFS(Trades!$X$2:$X$884,Trades!$D$2:$D$884,$A342)</f>
        <v>64.63</v>
      </c>
      <c r="G342" s="30" t="n">
        <f aca="false">SUMIFS(Trades!$X$2:$X$884,Trades!$D$2:$D$884,$A342,Trades!$X$2:$X$884,"&gt;0")</f>
        <v>64.63</v>
      </c>
      <c r="H342" s="30" t="n">
        <f aca="false">SUMIFS(Trades!$X$2:$X$884,Trades!$D$2:$D$884,$A342,Trades!$X$2:$X$884,"&lt;0")</f>
        <v>0</v>
      </c>
      <c r="I342" s="31" t="str">
        <f aca="false">IFERROR(G342/-H342,"no loss")</f>
        <v>no loss</v>
      </c>
      <c r="J342" s="30" t="n">
        <f aca="false">_xlfn.MAXIFS(Trades!$X$2:$X$884,Trades!$D$2:$D$884,$A342)</f>
        <v>64.63</v>
      </c>
      <c r="K342" s="30" t="n">
        <f aca="false">_xlfn.MINIFS(Trades!$X$2:$X$884,Trades!$D$2:$D$884,$A342)</f>
        <v>64.63</v>
      </c>
      <c r="L342" s="32" t="n">
        <f aca="false">SUMIFS(Trades!$Y$2:$Y$884,Trades!$D$2:$D$884,$A342)</f>
        <v>2.01289398280815</v>
      </c>
      <c r="M342" s="30" t="n">
        <f aca="false">P341</f>
        <v>105513.43</v>
      </c>
      <c r="N342" s="29" t="n">
        <f aca="false">IFERROR(F342/M342,0)</f>
        <v>0.000612528661043432</v>
      </c>
      <c r="O342" s="28" t="str">
        <f aca="false">IF(-N342&gt;=Summary!$C$7,"BREACH","")</f>
        <v/>
      </c>
      <c r="P342" s="30" t="n">
        <f aca="false">M342+F342</f>
        <v>105578.06</v>
      </c>
      <c r="Q342" s="30" t="n">
        <f aca="false">P342-Summary!$C$5</f>
        <v>5578.0600000001</v>
      </c>
      <c r="R342" s="2" t="str">
        <f aca="false">TEXT(A342,"ddd")</f>
        <v>Mon</v>
      </c>
    </row>
    <row r="343" customFormat="false" ht="15" hidden="false" customHeight="false" outlineLevel="0" collapsed="false">
      <c r="A343" s="42" t="n">
        <v>45580</v>
      </c>
      <c r="B343" s="28" t="n">
        <f aca="false">COUNTIFS(Trades!$D$2:$D$884,$A343)</f>
        <v>1</v>
      </c>
      <c r="C343" s="28" t="n">
        <f aca="false">COUNTIFS(Trades!$D$2:$D$884,$A343,Trades!$Z$2:$Z$884,"Win")</f>
        <v>0</v>
      </c>
      <c r="D343" s="28" t="n">
        <f aca="false">COUNTIFS(Trades!$D$2:$D$884,$A343,Trades!$Z$2:$Z$884,"Loss")</f>
        <v>1</v>
      </c>
      <c r="E343" s="29" t="n">
        <f aca="false">IFERROR(C343/B343,0)</f>
        <v>0</v>
      </c>
      <c r="F343" s="30" t="n">
        <f aca="false">SUMIFS(Trades!$X$2:$X$884,Trades!$D$2:$D$884,$A343)</f>
        <v>-303.28</v>
      </c>
      <c r="G343" s="30" t="n">
        <f aca="false">SUMIFS(Trades!$X$2:$X$884,Trades!$D$2:$D$884,$A343,Trades!$X$2:$X$884,"&gt;0")</f>
        <v>0</v>
      </c>
      <c r="H343" s="30" t="n">
        <f aca="false">SUMIFS(Trades!$X$2:$X$884,Trades!$D$2:$D$884,$A343,Trades!$X$2:$X$884,"&lt;0")</f>
        <v>-303.28</v>
      </c>
      <c r="I343" s="31" t="n">
        <f aca="false">IFERROR(G343/-H343,"no loss")</f>
        <v>0</v>
      </c>
      <c r="J343" s="30" t="n">
        <f aca="false">_xlfn.MAXIFS(Trades!$X$2:$X$884,Trades!$D$2:$D$884,$A343)</f>
        <v>-303.28</v>
      </c>
      <c r="K343" s="30" t="n">
        <f aca="false">_xlfn.MINIFS(Trades!$X$2:$X$884,Trades!$D$2:$D$884,$A343)</f>
        <v>-303.28</v>
      </c>
      <c r="L343" s="32" t="n">
        <f aca="false">SUMIFS(Trades!$Y$2:$Y$884,Trades!$D$2:$D$884,$A343)</f>
        <v>-1.00611070933328</v>
      </c>
      <c r="M343" s="30" t="n">
        <f aca="false">P342</f>
        <v>105578.06</v>
      </c>
      <c r="N343" s="29" t="n">
        <f aca="false">IFERROR(F343/M343,0)</f>
        <v>-0.00287256651618717</v>
      </c>
      <c r="O343" s="28" t="str">
        <f aca="false">IF(-N343&gt;=Summary!$C$7,"BREACH","")</f>
        <v/>
      </c>
      <c r="P343" s="30" t="n">
        <f aca="false">M343+F343</f>
        <v>105274.78</v>
      </c>
      <c r="Q343" s="30" t="n">
        <f aca="false">P343-Summary!$C$5</f>
        <v>5274.7800000001</v>
      </c>
      <c r="R343" s="2" t="str">
        <f aca="false">TEXT(A343,"ddd")</f>
        <v>Tue</v>
      </c>
    </row>
    <row r="344" customFormat="false" ht="15" hidden="false" customHeight="false" outlineLevel="0" collapsed="false">
      <c r="A344" s="42" t="n">
        <v>45581</v>
      </c>
      <c r="B344" s="28" t="n">
        <f aca="false">COUNTIFS(Trades!$D$2:$D$884,$A344)</f>
        <v>1</v>
      </c>
      <c r="C344" s="28" t="n">
        <f aca="false">COUNTIFS(Trades!$D$2:$D$884,$A344,Trades!$Z$2:$Z$884,"Win")</f>
        <v>0</v>
      </c>
      <c r="D344" s="28" t="n">
        <f aca="false">COUNTIFS(Trades!$D$2:$D$884,$A344,Trades!$Z$2:$Z$884,"Loss")</f>
        <v>1</v>
      </c>
      <c r="E344" s="29" t="n">
        <f aca="false">IFERROR(C344/B344,0)</f>
        <v>0</v>
      </c>
      <c r="F344" s="30" t="n">
        <f aca="false">SUMIFS(Trades!$X$2:$X$884,Trades!$D$2:$D$884,$A344)</f>
        <v>-3.27</v>
      </c>
      <c r="G344" s="30" t="n">
        <f aca="false">SUMIFS(Trades!$X$2:$X$884,Trades!$D$2:$D$884,$A344,Trades!$X$2:$X$884,"&gt;0")</f>
        <v>0</v>
      </c>
      <c r="H344" s="30" t="n">
        <f aca="false">SUMIFS(Trades!$X$2:$X$884,Trades!$D$2:$D$884,$A344,Trades!$X$2:$X$884,"&lt;0")</f>
        <v>-3.27</v>
      </c>
      <c r="I344" s="31" t="n">
        <f aca="false">IFERROR(G344/-H344,"no loss")</f>
        <v>0</v>
      </c>
      <c r="J344" s="30" t="n">
        <f aca="false">_xlfn.MAXIFS(Trades!$X$2:$X$884,Trades!$D$2:$D$884,$A344)</f>
        <v>-3.27</v>
      </c>
      <c r="K344" s="30" t="n">
        <f aca="false">_xlfn.MINIFS(Trades!$X$2:$X$884,Trades!$D$2:$D$884,$A344)</f>
        <v>-3.27</v>
      </c>
      <c r="L344" s="32" t="n">
        <f aca="false">SUMIFS(Trades!$Y$2:$Y$884,Trades!$D$2:$D$884,$A344)</f>
        <v>-0.0185848252344416</v>
      </c>
      <c r="M344" s="30" t="n">
        <f aca="false">P343</f>
        <v>105274.78</v>
      </c>
      <c r="N344" s="29" t="n">
        <f aca="false">IFERROR(F344/M344,0)</f>
        <v>-3.10615704920019E-005</v>
      </c>
      <c r="O344" s="28" t="str">
        <f aca="false">IF(-N344&gt;=Summary!$C$7,"BREACH","")</f>
        <v/>
      </c>
      <c r="P344" s="30" t="n">
        <f aca="false">M344+F344</f>
        <v>105271.51</v>
      </c>
      <c r="Q344" s="30" t="n">
        <f aca="false">P344-Summary!$C$5</f>
        <v>5271.5100000001</v>
      </c>
      <c r="R344" s="2" t="str">
        <f aca="false">TEXT(A344,"ddd")</f>
        <v>Wed</v>
      </c>
    </row>
    <row r="345" customFormat="false" ht="15" hidden="false" customHeight="false" outlineLevel="0" collapsed="false">
      <c r="A345" s="42" t="n">
        <v>45582</v>
      </c>
      <c r="B345" s="28" t="n">
        <f aca="false">COUNTIFS(Trades!$D$2:$D$884,$A345)</f>
        <v>1</v>
      </c>
      <c r="C345" s="28" t="n">
        <f aca="false">COUNTIFS(Trades!$D$2:$D$884,$A345,Trades!$Z$2:$Z$884,"Win")</f>
        <v>1</v>
      </c>
      <c r="D345" s="28" t="n">
        <f aca="false">COUNTIFS(Trades!$D$2:$D$884,$A345,Trades!$Z$2:$Z$884,"Loss")</f>
        <v>0</v>
      </c>
      <c r="E345" s="29" t="n">
        <f aca="false">IFERROR(C345/B345,0)</f>
        <v>1</v>
      </c>
      <c r="F345" s="30" t="n">
        <f aca="false">SUMIFS(Trades!$X$2:$X$884,Trades!$D$2:$D$884,$A345)</f>
        <v>170.66</v>
      </c>
      <c r="G345" s="30" t="n">
        <f aca="false">SUMIFS(Trades!$X$2:$X$884,Trades!$D$2:$D$884,$A345,Trades!$X$2:$X$884,"&gt;0")</f>
        <v>170.66</v>
      </c>
      <c r="H345" s="30" t="n">
        <f aca="false">SUMIFS(Trades!$X$2:$X$884,Trades!$D$2:$D$884,$A345,Trades!$X$2:$X$884,"&lt;0")</f>
        <v>0</v>
      </c>
      <c r="I345" s="31" t="str">
        <f aca="false">IFERROR(G345/-H345,"no loss")</f>
        <v>no loss</v>
      </c>
      <c r="J345" s="30" t="n">
        <f aca="false">_xlfn.MAXIFS(Trades!$X$2:$X$884,Trades!$D$2:$D$884,$A345)</f>
        <v>170.66</v>
      </c>
      <c r="K345" s="30" t="n">
        <f aca="false">_xlfn.MINIFS(Trades!$X$2:$X$884,Trades!$D$2:$D$884,$A345)</f>
        <v>170.66</v>
      </c>
      <c r="L345" s="32" t="n">
        <f aca="false">SUMIFS(Trades!$Y$2:$Y$884,Trades!$D$2:$D$884,$A345)</f>
        <v>2.09960384833028</v>
      </c>
      <c r="M345" s="30" t="n">
        <f aca="false">P344</f>
        <v>105271.51</v>
      </c>
      <c r="N345" s="29" t="n">
        <f aca="false">IFERROR(F345/M345,0)</f>
        <v>0.00162114137053795</v>
      </c>
      <c r="O345" s="28" t="str">
        <f aca="false">IF(-N345&gt;=Summary!$C$7,"BREACH","")</f>
        <v/>
      </c>
      <c r="P345" s="30" t="n">
        <f aca="false">M345+F345</f>
        <v>105442.17</v>
      </c>
      <c r="Q345" s="30" t="n">
        <f aca="false">P345-Summary!$C$5</f>
        <v>5442.1700000001</v>
      </c>
      <c r="R345" s="2" t="str">
        <f aca="false">TEXT(A345,"ddd")</f>
        <v>Thu</v>
      </c>
    </row>
    <row r="346" customFormat="false" ht="15" hidden="false" customHeight="false" outlineLevel="0" collapsed="false">
      <c r="A346" s="42" t="n">
        <v>45586</v>
      </c>
      <c r="B346" s="28" t="n">
        <f aca="false">COUNTIFS(Trades!$D$2:$D$884,$A346)</f>
        <v>1</v>
      </c>
      <c r="C346" s="28" t="n">
        <f aca="false">COUNTIFS(Trades!$D$2:$D$884,$A346,Trades!$Z$2:$Z$884,"Win")</f>
        <v>0</v>
      </c>
      <c r="D346" s="28" t="n">
        <f aca="false">COUNTIFS(Trades!$D$2:$D$884,$A346,Trades!$Z$2:$Z$884,"Loss")</f>
        <v>1</v>
      </c>
      <c r="E346" s="29" t="n">
        <f aca="false">IFERROR(C346/B346,0)</f>
        <v>0</v>
      </c>
      <c r="F346" s="30" t="n">
        <f aca="false">SUMIFS(Trades!$X$2:$X$884,Trades!$D$2:$D$884,$A346)</f>
        <v>-3.96</v>
      </c>
      <c r="G346" s="30" t="n">
        <f aca="false">SUMIFS(Trades!$X$2:$X$884,Trades!$D$2:$D$884,$A346,Trades!$X$2:$X$884,"&gt;0")</f>
        <v>0</v>
      </c>
      <c r="H346" s="30" t="n">
        <f aca="false">SUMIFS(Trades!$X$2:$X$884,Trades!$D$2:$D$884,$A346,Trades!$X$2:$X$884,"&lt;0")</f>
        <v>-3.96</v>
      </c>
      <c r="I346" s="31" t="n">
        <f aca="false">IFERROR(G346/-H346,"no loss")</f>
        <v>0</v>
      </c>
      <c r="J346" s="30" t="n">
        <f aca="false">_xlfn.MAXIFS(Trades!$X$2:$X$884,Trades!$D$2:$D$884,$A346)</f>
        <v>-3.96</v>
      </c>
      <c r="K346" s="30" t="n">
        <f aca="false">_xlfn.MINIFS(Trades!$X$2:$X$884,Trades!$D$2:$D$884,$A346)</f>
        <v>-3.96</v>
      </c>
      <c r="L346" s="32" t="n">
        <f aca="false">SUMIFS(Trades!$Y$2:$Y$884,Trades!$D$2:$D$884,$A346)</f>
        <v>-0.0342975922397337</v>
      </c>
      <c r="M346" s="30" t="n">
        <f aca="false">P345</f>
        <v>105442.17</v>
      </c>
      <c r="N346" s="29" t="n">
        <f aca="false">IFERROR(F346/M346,0)</f>
        <v>-3.7556131479464E-005</v>
      </c>
      <c r="O346" s="28" t="str">
        <f aca="false">IF(-N346&gt;=Summary!$C$7,"BREACH","")</f>
        <v/>
      </c>
      <c r="P346" s="30" t="n">
        <f aca="false">M346+F346</f>
        <v>105438.21</v>
      </c>
      <c r="Q346" s="30" t="n">
        <f aca="false">P346-Summary!$C$5</f>
        <v>5438.21000000009</v>
      </c>
      <c r="R346" s="2" t="str">
        <f aca="false">TEXT(A346,"ddd")</f>
        <v>Mon</v>
      </c>
    </row>
    <row r="347" customFormat="false" ht="15" hidden="false" customHeight="false" outlineLevel="0" collapsed="false">
      <c r="A347" s="42" t="n">
        <v>45587</v>
      </c>
      <c r="B347" s="28" t="n">
        <f aca="false">COUNTIFS(Trades!$D$2:$D$884,$A347)</f>
        <v>1</v>
      </c>
      <c r="C347" s="28" t="n">
        <f aca="false">COUNTIFS(Trades!$D$2:$D$884,$A347,Trades!$Z$2:$Z$884,"Win")</f>
        <v>0</v>
      </c>
      <c r="D347" s="28" t="n">
        <f aca="false">COUNTIFS(Trades!$D$2:$D$884,$A347,Trades!$Z$2:$Z$884,"Loss")</f>
        <v>1</v>
      </c>
      <c r="E347" s="29" t="n">
        <f aca="false">IFERROR(C347/B347,0)</f>
        <v>0</v>
      </c>
      <c r="F347" s="30" t="n">
        <f aca="false">SUMIFS(Trades!$X$2:$X$884,Trades!$D$2:$D$884,$A347)</f>
        <v>-86.39</v>
      </c>
      <c r="G347" s="30" t="n">
        <f aca="false">SUMIFS(Trades!$X$2:$X$884,Trades!$D$2:$D$884,$A347,Trades!$X$2:$X$884,"&gt;0")</f>
        <v>0</v>
      </c>
      <c r="H347" s="30" t="n">
        <f aca="false">SUMIFS(Trades!$X$2:$X$884,Trades!$D$2:$D$884,$A347,Trades!$X$2:$X$884,"&lt;0")</f>
        <v>-86.39</v>
      </c>
      <c r="I347" s="31" t="n">
        <f aca="false">IFERROR(G347/-H347,"no loss")</f>
        <v>0</v>
      </c>
      <c r="J347" s="30" t="n">
        <f aca="false">_xlfn.MAXIFS(Trades!$X$2:$X$884,Trades!$D$2:$D$884,$A347)</f>
        <v>-86.39</v>
      </c>
      <c r="K347" s="30" t="n">
        <f aca="false">_xlfn.MINIFS(Trades!$X$2:$X$884,Trades!$D$2:$D$884,$A347)</f>
        <v>-86.39</v>
      </c>
      <c r="L347" s="32" t="n">
        <f aca="false">SUMIFS(Trades!$Y$2:$Y$884,Trades!$D$2:$D$884,$A347)</f>
        <v>-1.00108927412635</v>
      </c>
      <c r="M347" s="30" t="n">
        <f aca="false">P346</f>
        <v>105438.21</v>
      </c>
      <c r="N347" s="29" t="n">
        <f aca="false">IFERROR(F347/M347,0)</f>
        <v>-0.000819342437622945</v>
      </c>
      <c r="O347" s="28" t="str">
        <f aca="false">IF(-N347&gt;=Summary!$C$7,"BREACH","")</f>
        <v/>
      </c>
      <c r="P347" s="30" t="n">
        <f aca="false">M347+F347</f>
        <v>105351.82</v>
      </c>
      <c r="Q347" s="30" t="n">
        <f aca="false">P347-Summary!$C$5</f>
        <v>5351.82000000009</v>
      </c>
      <c r="R347" s="2" t="str">
        <f aca="false">TEXT(A347,"ddd")</f>
        <v>Tue</v>
      </c>
    </row>
    <row r="348" customFormat="false" ht="15" hidden="false" customHeight="false" outlineLevel="0" collapsed="false">
      <c r="A348" s="42" t="n">
        <v>45588</v>
      </c>
      <c r="B348" s="28" t="n">
        <f aca="false">COUNTIFS(Trades!$D$2:$D$884,$A348)</f>
        <v>1</v>
      </c>
      <c r="C348" s="28" t="n">
        <f aca="false">COUNTIFS(Trades!$D$2:$D$884,$A348,Trades!$Z$2:$Z$884,"Win")</f>
        <v>0</v>
      </c>
      <c r="D348" s="28" t="n">
        <f aca="false">COUNTIFS(Trades!$D$2:$D$884,$A348,Trades!$Z$2:$Z$884,"Loss")</f>
        <v>1</v>
      </c>
      <c r="E348" s="29" t="n">
        <f aca="false">IFERROR(C348/B348,0)</f>
        <v>0</v>
      </c>
      <c r="F348" s="30" t="n">
        <f aca="false">SUMIFS(Trades!$X$2:$X$884,Trades!$D$2:$D$884,$A348)</f>
        <v>-142.92</v>
      </c>
      <c r="G348" s="30" t="n">
        <f aca="false">SUMIFS(Trades!$X$2:$X$884,Trades!$D$2:$D$884,$A348,Trades!$X$2:$X$884,"&gt;0")</f>
        <v>0</v>
      </c>
      <c r="H348" s="30" t="n">
        <f aca="false">SUMIFS(Trades!$X$2:$X$884,Trades!$D$2:$D$884,$A348,Trades!$X$2:$X$884,"&lt;0")</f>
        <v>-142.92</v>
      </c>
      <c r="I348" s="31" t="n">
        <f aca="false">IFERROR(G348/-H348,"no loss")</f>
        <v>0</v>
      </c>
      <c r="J348" s="30" t="n">
        <f aca="false">_xlfn.MAXIFS(Trades!$X$2:$X$884,Trades!$D$2:$D$884,$A348)</f>
        <v>-142.92</v>
      </c>
      <c r="K348" s="30" t="n">
        <f aca="false">_xlfn.MINIFS(Trades!$X$2:$X$884,Trades!$D$2:$D$884,$A348)</f>
        <v>-142.92</v>
      </c>
      <c r="L348" s="32" t="n">
        <f aca="false">SUMIFS(Trades!$Y$2:$Y$884,Trades!$D$2:$D$884,$A348)</f>
        <v>-1.01236771643508</v>
      </c>
      <c r="M348" s="30" t="n">
        <f aca="false">P347</f>
        <v>105351.82</v>
      </c>
      <c r="N348" s="29" t="n">
        <f aca="false">IFERROR(F348/M348,0)</f>
        <v>-0.00135659735161671</v>
      </c>
      <c r="O348" s="28" t="str">
        <f aca="false">IF(-N348&gt;=Summary!$C$7,"BREACH","")</f>
        <v/>
      </c>
      <c r="P348" s="30" t="n">
        <f aca="false">M348+F348</f>
        <v>105208.9</v>
      </c>
      <c r="Q348" s="30" t="n">
        <f aca="false">P348-Summary!$C$5</f>
        <v>5208.9000000001</v>
      </c>
      <c r="R348" s="2" t="str">
        <f aca="false">TEXT(A348,"ddd")</f>
        <v>Wed</v>
      </c>
    </row>
    <row r="349" customFormat="false" ht="15" hidden="false" customHeight="false" outlineLevel="0" collapsed="false">
      <c r="A349" s="42" t="n">
        <v>45590</v>
      </c>
      <c r="B349" s="28" t="n">
        <f aca="false">COUNTIFS(Trades!$D$2:$D$884,$A349)</f>
        <v>1</v>
      </c>
      <c r="C349" s="28" t="n">
        <f aca="false">COUNTIFS(Trades!$D$2:$D$884,$A349,Trades!$Z$2:$Z$884,"Win")</f>
        <v>0</v>
      </c>
      <c r="D349" s="28" t="n">
        <f aca="false">COUNTIFS(Trades!$D$2:$D$884,$A349,Trades!$Z$2:$Z$884,"Loss")</f>
        <v>1</v>
      </c>
      <c r="E349" s="29" t="n">
        <f aca="false">IFERROR(C349/B349,0)</f>
        <v>0</v>
      </c>
      <c r="F349" s="30" t="n">
        <f aca="false">SUMIFS(Trades!$X$2:$X$884,Trades!$D$2:$D$884,$A349)</f>
        <v>-0.05</v>
      </c>
      <c r="G349" s="30" t="n">
        <f aca="false">SUMIFS(Trades!$X$2:$X$884,Trades!$D$2:$D$884,$A349,Trades!$X$2:$X$884,"&gt;0")</f>
        <v>0</v>
      </c>
      <c r="H349" s="30" t="n">
        <f aca="false">SUMIFS(Trades!$X$2:$X$884,Trades!$D$2:$D$884,$A349,Trades!$X$2:$X$884,"&lt;0")</f>
        <v>-0.05</v>
      </c>
      <c r="I349" s="31" t="n">
        <f aca="false">IFERROR(G349/-H349,"no loss")</f>
        <v>0</v>
      </c>
      <c r="J349" s="30" t="n">
        <f aca="false">_xlfn.MAXIFS(Trades!$X$2:$X$884,Trades!$D$2:$D$884,$A349)</f>
        <v>-0.05</v>
      </c>
      <c r="K349" s="30" t="n">
        <f aca="false">_xlfn.MINIFS(Trades!$X$2:$X$884,Trades!$D$2:$D$884,$A349)</f>
        <v>-0.05</v>
      </c>
      <c r="L349" s="32" t="n">
        <f aca="false">SUMIFS(Trades!$Y$2:$Y$884,Trades!$D$2:$D$884,$A349)</f>
        <v>-0.000811161583387543</v>
      </c>
      <c r="M349" s="30" t="n">
        <f aca="false">P348</f>
        <v>105208.9</v>
      </c>
      <c r="N349" s="29" t="n">
        <f aca="false">IFERROR(F349/M349,0)</f>
        <v>-4.75244965017218E-007</v>
      </c>
      <c r="O349" s="28" t="str">
        <f aca="false">IF(-N349&gt;=Summary!$C$7,"BREACH","")</f>
        <v/>
      </c>
      <c r="P349" s="30" t="n">
        <f aca="false">M349+F349</f>
        <v>105208.85</v>
      </c>
      <c r="Q349" s="30" t="n">
        <f aca="false">P349-Summary!$C$5</f>
        <v>5208.85000000009</v>
      </c>
      <c r="R349" s="2" t="str">
        <f aca="false">TEXT(A349,"ddd")</f>
        <v>Fri</v>
      </c>
    </row>
    <row r="350" customFormat="false" ht="15" hidden="false" customHeight="false" outlineLevel="0" collapsed="false">
      <c r="A350" s="42" t="n">
        <v>45594</v>
      </c>
      <c r="B350" s="28" t="n">
        <f aca="false">COUNTIFS(Trades!$D$2:$D$884,$A350)</f>
        <v>2</v>
      </c>
      <c r="C350" s="28" t="n">
        <f aca="false">COUNTIFS(Trades!$D$2:$D$884,$A350,Trades!$Z$2:$Z$884,"Win")</f>
        <v>0</v>
      </c>
      <c r="D350" s="28" t="n">
        <f aca="false">COUNTIFS(Trades!$D$2:$D$884,$A350,Trades!$Z$2:$Z$884,"Loss")</f>
        <v>2</v>
      </c>
      <c r="E350" s="29" t="n">
        <f aca="false">IFERROR(C350/B350,0)</f>
        <v>0</v>
      </c>
      <c r="F350" s="30" t="n">
        <f aca="false">SUMIFS(Trades!$X$2:$X$884,Trades!$D$2:$D$884,$A350)</f>
        <v>-149.83</v>
      </c>
      <c r="G350" s="30" t="n">
        <f aca="false">SUMIFS(Trades!$X$2:$X$884,Trades!$D$2:$D$884,$A350,Trades!$X$2:$X$884,"&gt;0")</f>
        <v>0</v>
      </c>
      <c r="H350" s="30" t="n">
        <f aca="false">SUMIFS(Trades!$X$2:$X$884,Trades!$D$2:$D$884,$A350,Trades!$X$2:$X$884,"&lt;0")</f>
        <v>-149.83</v>
      </c>
      <c r="I350" s="31" t="n">
        <f aca="false">IFERROR(G350/-H350,"no loss")</f>
        <v>0</v>
      </c>
      <c r="J350" s="30" t="n">
        <f aca="false">_xlfn.MAXIFS(Trades!$X$2:$X$884,Trades!$D$2:$D$884,$A350)</f>
        <v>-60.08</v>
      </c>
      <c r="K350" s="30" t="n">
        <f aca="false">_xlfn.MINIFS(Trades!$X$2:$X$884,Trades!$D$2:$D$884,$A350)</f>
        <v>-89.75</v>
      </c>
      <c r="L350" s="32" t="n">
        <f aca="false">SUMIFS(Trades!$Y$2:$Y$884,Trades!$D$2:$D$884,$A350)</f>
        <v>-2.02156965130367</v>
      </c>
      <c r="M350" s="30" t="n">
        <f aca="false">P349</f>
        <v>105208.85</v>
      </c>
      <c r="N350" s="29" t="n">
        <f aca="false">IFERROR(F350/M350,0)</f>
        <v>-0.00142411973897633</v>
      </c>
      <c r="O350" s="28" t="str">
        <f aca="false">IF(-N350&gt;=Summary!$C$7,"BREACH","")</f>
        <v/>
      </c>
      <c r="P350" s="30" t="n">
        <f aca="false">M350+F350</f>
        <v>105059.02</v>
      </c>
      <c r="Q350" s="30" t="n">
        <f aca="false">P350-Summary!$C$5</f>
        <v>5059.02000000009</v>
      </c>
      <c r="R350" s="2" t="str">
        <f aca="false">TEXT(A350,"ddd")</f>
        <v>Tue</v>
      </c>
    </row>
    <row r="351" customFormat="false" ht="15" hidden="false" customHeight="false" outlineLevel="0" collapsed="false">
      <c r="A351" s="42" t="n">
        <v>45595</v>
      </c>
      <c r="B351" s="28" t="n">
        <f aca="false">COUNTIFS(Trades!$D$2:$D$884,$A351)</f>
        <v>1</v>
      </c>
      <c r="C351" s="28" t="n">
        <f aca="false">COUNTIFS(Trades!$D$2:$D$884,$A351,Trades!$Z$2:$Z$884,"Win")</f>
        <v>0</v>
      </c>
      <c r="D351" s="28" t="n">
        <f aca="false">COUNTIFS(Trades!$D$2:$D$884,$A351,Trades!$Z$2:$Z$884,"Loss")</f>
        <v>1</v>
      </c>
      <c r="E351" s="29" t="n">
        <f aca="false">IFERROR(C351/B351,0)</f>
        <v>0</v>
      </c>
      <c r="F351" s="30" t="n">
        <f aca="false">SUMIFS(Trades!$X$2:$X$884,Trades!$D$2:$D$884,$A351)</f>
        <v>-0.09</v>
      </c>
      <c r="G351" s="30" t="n">
        <f aca="false">SUMIFS(Trades!$X$2:$X$884,Trades!$D$2:$D$884,$A351,Trades!$X$2:$X$884,"&gt;0")</f>
        <v>0</v>
      </c>
      <c r="H351" s="30" t="n">
        <f aca="false">SUMIFS(Trades!$X$2:$X$884,Trades!$D$2:$D$884,$A351,Trades!$X$2:$X$884,"&lt;0")</f>
        <v>-0.09</v>
      </c>
      <c r="I351" s="31" t="n">
        <f aca="false">IFERROR(G351/-H351,"no loss")</f>
        <v>0</v>
      </c>
      <c r="J351" s="30" t="n">
        <f aca="false">_xlfn.MAXIFS(Trades!$X$2:$X$884,Trades!$D$2:$D$884,$A351)</f>
        <v>-0.09</v>
      </c>
      <c r="K351" s="30" t="n">
        <f aca="false">_xlfn.MINIFS(Trades!$X$2:$X$884,Trades!$D$2:$D$884,$A351)</f>
        <v>-0.09</v>
      </c>
      <c r="L351" s="32" t="n">
        <f aca="false">SUMIFS(Trades!$Y$2:$Y$884,Trades!$D$2:$D$884,$A351)</f>
        <v>-0.00291375291375424</v>
      </c>
      <c r="M351" s="30" t="n">
        <f aca="false">P350</f>
        <v>105059.02</v>
      </c>
      <c r="N351" s="29" t="n">
        <f aca="false">IFERROR(F351/M351,0)</f>
        <v>-8.56661331887542E-007</v>
      </c>
      <c r="O351" s="28" t="str">
        <f aca="false">IF(-N351&gt;=Summary!$C$7,"BREACH","")</f>
        <v/>
      </c>
      <c r="P351" s="30" t="n">
        <f aca="false">M351+F351</f>
        <v>105058.93</v>
      </c>
      <c r="Q351" s="30" t="n">
        <f aca="false">P351-Summary!$C$5</f>
        <v>5058.9300000001</v>
      </c>
      <c r="R351" s="2" t="str">
        <f aca="false">TEXT(A351,"ddd")</f>
        <v>Wed</v>
      </c>
    </row>
    <row r="352" customFormat="false" ht="15" hidden="false" customHeight="false" outlineLevel="0" collapsed="false">
      <c r="A352" s="42" t="n">
        <v>45596</v>
      </c>
      <c r="B352" s="28" t="n">
        <f aca="false">COUNTIFS(Trades!$D$2:$D$884,$A352)</f>
        <v>1</v>
      </c>
      <c r="C352" s="28" t="n">
        <f aca="false">COUNTIFS(Trades!$D$2:$D$884,$A352,Trades!$Z$2:$Z$884,"Win")</f>
        <v>1</v>
      </c>
      <c r="D352" s="28" t="n">
        <f aca="false">COUNTIFS(Trades!$D$2:$D$884,$A352,Trades!$Z$2:$Z$884,"Loss")</f>
        <v>0</v>
      </c>
      <c r="E352" s="29" t="n">
        <f aca="false">IFERROR(C352/B352,0)</f>
        <v>1</v>
      </c>
      <c r="F352" s="30" t="n">
        <f aca="false">SUMIFS(Trades!$X$2:$X$884,Trades!$D$2:$D$884,$A352)</f>
        <v>556.6</v>
      </c>
      <c r="G352" s="30" t="n">
        <f aca="false">SUMIFS(Trades!$X$2:$X$884,Trades!$D$2:$D$884,$A352,Trades!$X$2:$X$884,"&gt;0")</f>
        <v>556.6</v>
      </c>
      <c r="H352" s="30" t="n">
        <f aca="false">SUMIFS(Trades!$X$2:$X$884,Trades!$D$2:$D$884,$A352,Trades!$X$2:$X$884,"&lt;0")</f>
        <v>0</v>
      </c>
      <c r="I352" s="31" t="str">
        <f aca="false">IFERROR(G352/-H352,"no loss")</f>
        <v>no loss</v>
      </c>
      <c r="J352" s="30" t="n">
        <f aca="false">_xlfn.MAXIFS(Trades!$X$2:$X$884,Trades!$D$2:$D$884,$A352)</f>
        <v>556.6</v>
      </c>
      <c r="K352" s="30" t="n">
        <f aca="false">_xlfn.MINIFS(Trades!$X$2:$X$884,Trades!$D$2:$D$884,$A352)</f>
        <v>556.6</v>
      </c>
      <c r="L352" s="32" t="n">
        <f aca="false">SUMIFS(Trades!$Y$2:$Y$884,Trades!$D$2:$D$884,$A352)</f>
        <v>2.03054203725457</v>
      </c>
      <c r="M352" s="30" t="n">
        <f aca="false">P351</f>
        <v>105058.93</v>
      </c>
      <c r="N352" s="29" t="n">
        <f aca="false">IFERROR(F352/M352,0)</f>
        <v>0.00529797895333599</v>
      </c>
      <c r="O352" s="28" t="str">
        <f aca="false">IF(-N352&gt;=Summary!$C$7,"BREACH","")</f>
        <v/>
      </c>
      <c r="P352" s="30" t="n">
        <f aca="false">M352+F352</f>
        <v>105615.53</v>
      </c>
      <c r="Q352" s="30" t="n">
        <f aca="false">P352-Summary!$C$5</f>
        <v>5615.5300000001</v>
      </c>
      <c r="R352" s="2" t="str">
        <f aca="false">TEXT(A352,"ddd")</f>
        <v>Thu</v>
      </c>
    </row>
    <row r="353" customFormat="false" ht="15" hidden="false" customHeight="false" outlineLevel="0" collapsed="false">
      <c r="A353" s="42" t="n">
        <v>45601</v>
      </c>
      <c r="B353" s="28" t="n">
        <f aca="false">COUNTIFS(Trades!$D$2:$D$884,$A353)</f>
        <v>1</v>
      </c>
      <c r="C353" s="28" t="n">
        <f aca="false">COUNTIFS(Trades!$D$2:$D$884,$A353,Trades!$Z$2:$Z$884,"Win")</f>
        <v>1</v>
      </c>
      <c r="D353" s="28" t="n">
        <f aca="false">COUNTIFS(Trades!$D$2:$D$884,$A353,Trades!$Z$2:$Z$884,"Loss")</f>
        <v>0</v>
      </c>
      <c r="E353" s="29" t="n">
        <f aca="false">IFERROR(C353/B353,0)</f>
        <v>1</v>
      </c>
      <c r="F353" s="30" t="n">
        <f aca="false">SUMIFS(Trades!$X$2:$X$884,Trades!$D$2:$D$884,$A353)</f>
        <v>319.15</v>
      </c>
      <c r="G353" s="30" t="n">
        <f aca="false">SUMIFS(Trades!$X$2:$X$884,Trades!$D$2:$D$884,$A353,Trades!$X$2:$X$884,"&gt;0")</f>
        <v>319.15</v>
      </c>
      <c r="H353" s="30" t="n">
        <f aca="false">SUMIFS(Trades!$X$2:$X$884,Trades!$D$2:$D$884,$A353,Trades!$X$2:$X$884,"&lt;0")</f>
        <v>0</v>
      </c>
      <c r="I353" s="31" t="str">
        <f aca="false">IFERROR(G353/-H353,"no loss")</f>
        <v>no loss</v>
      </c>
      <c r="J353" s="30" t="n">
        <f aca="false">_xlfn.MAXIFS(Trades!$X$2:$X$884,Trades!$D$2:$D$884,$A353)</f>
        <v>319.15</v>
      </c>
      <c r="K353" s="30" t="n">
        <f aca="false">_xlfn.MINIFS(Trades!$X$2:$X$884,Trades!$D$2:$D$884,$A353)</f>
        <v>319.15</v>
      </c>
      <c r="L353" s="32" t="n">
        <f aca="false">SUMIFS(Trades!$Y$2:$Y$884,Trades!$D$2:$D$884,$A353)</f>
        <v>2.02570612503967</v>
      </c>
      <c r="M353" s="30" t="n">
        <f aca="false">P352</f>
        <v>105615.53</v>
      </c>
      <c r="N353" s="29" t="n">
        <f aca="false">IFERROR(F353/M353,0)</f>
        <v>0.00302180938731264</v>
      </c>
      <c r="O353" s="28" t="str">
        <f aca="false">IF(-N353&gt;=Summary!$C$7,"BREACH","")</f>
        <v/>
      </c>
      <c r="P353" s="30" t="n">
        <f aca="false">M353+F353</f>
        <v>105934.68</v>
      </c>
      <c r="Q353" s="30" t="n">
        <f aca="false">P353-Summary!$C$5</f>
        <v>5934.6800000001</v>
      </c>
      <c r="R353" s="2" t="str">
        <f aca="false">TEXT(A353,"ddd")</f>
        <v>Tue</v>
      </c>
    </row>
    <row r="354" customFormat="false" ht="15" hidden="false" customHeight="false" outlineLevel="0" collapsed="false">
      <c r="A354" s="42" t="n">
        <v>45602</v>
      </c>
      <c r="B354" s="28" t="n">
        <f aca="false">COUNTIFS(Trades!$D$2:$D$884,$A354)</f>
        <v>1</v>
      </c>
      <c r="C354" s="28" t="n">
        <f aca="false">COUNTIFS(Trades!$D$2:$D$884,$A354,Trades!$Z$2:$Z$884,"Win")</f>
        <v>0</v>
      </c>
      <c r="D354" s="28" t="n">
        <f aca="false">COUNTIFS(Trades!$D$2:$D$884,$A354,Trades!$Z$2:$Z$884,"Loss")</f>
        <v>0</v>
      </c>
      <c r="E354" s="29" t="n">
        <f aca="false">IFERROR(C354/B354,0)</f>
        <v>0</v>
      </c>
      <c r="F354" s="30" t="n">
        <f aca="false">SUMIFS(Trades!$X$2:$X$884,Trades!$D$2:$D$884,$A354)</f>
        <v>0</v>
      </c>
      <c r="G354" s="30" t="n">
        <f aca="false">SUMIFS(Trades!$X$2:$X$884,Trades!$D$2:$D$884,$A354,Trades!$X$2:$X$884,"&gt;0")</f>
        <v>0</v>
      </c>
      <c r="H354" s="30" t="n">
        <f aca="false">SUMIFS(Trades!$X$2:$X$884,Trades!$D$2:$D$884,$A354,Trades!$X$2:$X$884,"&lt;0")</f>
        <v>0</v>
      </c>
      <c r="I354" s="31" t="str">
        <f aca="false">IFERROR(G354/-H354,"no loss")</f>
        <v>no loss</v>
      </c>
      <c r="J354" s="30" t="n">
        <f aca="false">_xlfn.MAXIFS(Trades!$X$2:$X$884,Trades!$D$2:$D$884,$A354)</f>
        <v>0</v>
      </c>
      <c r="K354" s="30" t="n">
        <f aca="false">_xlfn.MINIFS(Trades!$X$2:$X$884,Trades!$D$2:$D$884,$A354)</f>
        <v>0</v>
      </c>
      <c r="L354" s="32" t="n">
        <f aca="false">SUMIFS(Trades!$Y$2:$Y$884,Trades!$D$2:$D$884,$A354)</f>
        <v>0</v>
      </c>
      <c r="M354" s="30" t="n">
        <f aca="false">P353</f>
        <v>105934.68</v>
      </c>
      <c r="N354" s="29" t="n">
        <f aca="false">IFERROR(F354/M354,0)</f>
        <v>0</v>
      </c>
      <c r="O354" s="28" t="str">
        <f aca="false">IF(-N354&gt;=Summary!$C$7,"BREACH","")</f>
        <v/>
      </c>
      <c r="P354" s="30" t="n">
        <f aca="false">M354+F354</f>
        <v>105934.68</v>
      </c>
      <c r="Q354" s="30" t="n">
        <f aca="false">P354-Summary!$C$5</f>
        <v>5934.6800000001</v>
      </c>
      <c r="R354" s="2" t="str">
        <f aca="false">TEXT(A354,"ddd")</f>
        <v>Wed</v>
      </c>
    </row>
    <row r="355" customFormat="false" ht="15" hidden="false" customHeight="false" outlineLevel="0" collapsed="false">
      <c r="A355" s="42" t="n">
        <v>45603</v>
      </c>
      <c r="B355" s="28" t="n">
        <f aca="false">COUNTIFS(Trades!$D$2:$D$884,$A355)</f>
        <v>1</v>
      </c>
      <c r="C355" s="28" t="n">
        <f aca="false">COUNTIFS(Trades!$D$2:$D$884,$A355,Trades!$Z$2:$Z$884,"Win")</f>
        <v>0</v>
      </c>
      <c r="D355" s="28" t="n">
        <f aca="false">COUNTIFS(Trades!$D$2:$D$884,$A355,Trades!$Z$2:$Z$884,"Loss")</f>
        <v>1</v>
      </c>
      <c r="E355" s="29" t="n">
        <f aca="false">IFERROR(C355/B355,0)</f>
        <v>0</v>
      </c>
      <c r="F355" s="30" t="n">
        <f aca="false">SUMIFS(Trades!$X$2:$X$884,Trades!$D$2:$D$884,$A355)</f>
        <v>-45.94</v>
      </c>
      <c r="G355" s="30" t="n">
        <f aca="false">SUMIFS(Trades!$X$2:$X$884,Trades!$D$2:$D$884,$A355,Trades!$X$2:$X$884,"&gt;0")</f>
        <v>0</v>
      </c>
      <c r="H355" s="30" t="n">
        <f aca="false">SUMIFS(Trades!$X$2:$X$884,Trades!$D$2:$D$884,$A355,Trades!$X$2:$X$884,"&lt;0")</f>
        <v>-45.94</v>
      </c>
      <c r="I355" s="31" t="n">
        <f aca="false">IFERROR(G355/-H355,"no loss")</f>
        <v>0</v>
      </c>
      <c r="J355" s="30" t="n">
        <f aca="false">_xlfn.MAXIFS(Trades!$X$2:$X$884,Trades!$D$2:$D$884,$A355)</f>
        <v>-45.94</v>
      </c>
      <c r="K355" s="30" t="n">
        <f aca="false">_xlfn.MINIFS(Trades!$X$2:$X$884,Trades!$D$2:$D$884,$A355)</f>
        <v>-45.94</v>
      </c>
      <c r="L355" s="32" t="n">
        <f aca="false">SUMIFS(Trades!$Y$2:$Y$884,Trades!$D$2:$D$884,$A355)</f>
        <v>-1.02764853256981</v>
      </c>
      <c r="M355" s="30" t="n">
        <f aca="false">P354</f>
        <v>105934.68</v>
      </c>
      <c r="N355" s="29" t="n">
        <f aca="false">IFERROR(F355/M355,0)</f>
        <v>-0.000433663461295205</v>
      </c>
      <c r="O355" s="28" t="str">
        <f aca="false">IF(-N355&gt;=Summary!$C$7,"BREACH","")</f>
        <v/>
      </c>
      <c r="P355" s="30" t="n">
        <f aca="false">M355+F355</f>
        <v>105888.74</v>
      </c>
      <c r="Q355" s="30" t="n">
        <f aca="false">P355-Summary!$C$5</f>
        <v>5888.74000000009</v>
      </c>
      <c r="R355" s="2" t="str">
        <f aca="false">TEXT(A355,"ddd")</f>
        <v>Thu</v>
      </c>
    </row>
    <row r="356" customFormat="false" ht="15" hidden="false" customHeight="false" outlineLevel="0" collapsed="false">
      <c r="A356" s="42" t="n">
        <v>45604</v>
      </c>
      <c r="B356" s="28" t="n">
        <f aca="false">COUNTIFS(Trades!$D$2:$D$884,$A356)</f>
        <v>1</v>
      </c>
      <c r="C356" s="28" t="n">
        <f aca="false">COUNTIFS(Trades!$D$2:$D$884,$A356,Trades!$Z$2:$Z$884,"Win")</f>
        <v>0</v>
      </c>
      <c r="D356" s="28" t="n">
        <f aca="false">COUNTIFS(Trades!$D$2:$D$884,$A356,Trades!$Z$2:$Z$884,"Loss")</f>
        <v>1</v>
      </c>
      <c r="E356" s="29" t="n">
        <f aca="false">IFERROR(C356/B356,0)</f>
        <v>0</v>
      </c>
      <c r="F356" s="30" t="n">
        <f aca="false">SUMIFS(Trades!$X$2:$X$884,Trades!$D$2:$D$884,$A356)</f>
        <v>-3.26</v>
      </c>
      <c r="G356" s="30" t="n">
        <f aca="false">SUMIFS(Trades!$X$2:$X$884,Trades!$D$2:$D$884,$A356,Trades!$X$2:$X$884,"&gt;0")</f>
        <v>0</v>
      </c>
      <c r="H356" s="30" t="n">
        <f aca="false">SUMIFS(Trades!$X$2:$X$884,Trades!$D$2:$D$884,$A356,Trades!$X$2:$X$884,"&lt;0")</f>
        <v>-3.26</v>
      </c>
      <c r="I356" s="31" t="n">
        <f aca="false">IFERROR(G356/-H356,"no loss")</f>
        <v>0</v>
      </c>
      <c r="J356" s="30" t="n">
        <f aca="false">_xlfn.MAXIFS(Trades!$X$2:$X$884,Trades!$D$2:$D$884,$A356)</f>
        <v>-3.26</v>
      </c>
      <c r="K356" s="30" t="n">
        <f aca="false">_xlfn.MINIFS(Trades!$X$2:$X$884,Trades!$D$2:$D$884,$A356)</f>
        <v>-3.26</v>
      </c>
      <c r="L356" s="32" t="n">
        <f aca="false">SUMIFS(Trades!$Y$2:$Y$884,Trades!$D$2:$D$884,$A356)</f>
        <v>-0.0885196046486092</v>
      </c>
      <c r="M356" s="30" t="n">
        <f aca="false">P355</f>
        <v>105888.74</v>
      </c>
      <c r="N356" s="29" t="n">
        <f aca="false">IFERROR(F356/M356,0)</f>
        <v>-3.07870317467183E-005</v>
      </c>
      <c r="O356" s="28" t="str">
        <f aca="false">IF(-N356&gt;=Summary!$C$7,"BREACH","")</f>
        <v/>
      </c>
      <c r="P356" s="30" t="n">
        <f aca="false">M356+F356</f>
        <v>105885.48</v>
      </c>
      <c r="Q356" s="30" t="n">
        <f aca="false">P356-Summary!$C$5</f>
        <v>5885.4800000001</v>
      </c>
      <c r="R356" s="2" t="str">
        <f aca="false">TEXT(A356,"ddd")</f>
        <v>Fri</v>
      </c>
    </row>
    <row r="357" customFormat="false" ht="15" hidden="false" customHeight="false" outlineLevel="0" collapsed="false">
      <c r="A357" s="42" t="n">
        <v>45607</v>
      </c>
      <c r="B357" s="28" t="n">
        <f aca="false">COUNTIFS(Trades!$D$2:$D$884,$A357)</f>
        <v>2</v>
      </c>
      <c r="C357" s="28" t="n">
        <f aca="false">COUNTIFS(Trades!$D$2:$D$884,$A357,Trades!$Z$2:$Z$884,"Win")</f>
        <v>1</v>
      </c>
      <c r="D357" s="28" t="n">
        <f aca="false">COUNTIFS(Trades!$D$2:$D$884,$A357,Trades!$Z$2:$Z$884,"Loss")</f>
        <v>1</v>
      </c>
      <c r="E357" s="29" t="n">
        <f aca="false">IFERROR(C357/B357,0)</f>
        <v>0.5</v>
      </c>
      <c r="F357" s="30" t="n">
        <f aca="false">SUMIFS(Trades!$X$2:$X$884,Trades!$D$2:$D$884,$A357)</f>
        <v>49.5</v>
      </c>
      <c r="G357" s="30" t="n">
        <f aca="false">SUMIFS(Trades!$X$2:$X$884,Trades!$D$2:$D$884,$A357,Trades!$X$2:$X$884,"&gt;0")</f>
        <v>151.98</v>
      </c>
      <c r="H357" s="30" t="n">
        <f aca="false">SUMIFS(Trades!$X$2:$X$884,Trades!$D$2:$D$884,$A357,Trades!$X$2:$X$884,"&lt;0")</f>
        <v>-102.48</v>
      </c>
      <c r="I357" s="31" t="n">
        <f aca="false">IFERROR(G357/-H357,"no loss")</f>
        <v>1.48302107728337</v>
      </c>
      <c r="J357" s="30" t="n">
        <f aca="false">_xlfn.MAXIFS(Trades!$X$2:$X$884,Trades!$D$2:$D$884,$A357)</f>
        <v>151.98</v>
      </c>
      <c r="K357" s="30" t="n">
        <f aca="false">_xlfn.MINIFS(Trades!$X$2:$X$884,Trades!$D$2:$D$884,$A357)</f>
        <v>-102.48</v>
      </c>
      <c r="L357" s="32" t="n">
        <f aca="false">SUMIFS(Trades!$Y$2:$Y$884,Trades!$D$2:$D$884,$A357)</f>
        <v>1.01012677300167</v>
      </c>
      <c r="M357" s="30" t="n">
        <f aca="false">P356</f>
        <v>105885.48</v>
      </c>
      <c r="N357" s="29" t="n">
        <f aca="false">IFERROR(F357/M357,0)</f>
        <v>0.000467486193574416</v>
      </c>
      <c r="O357" s="28" t="str">
        <f aca="false">IF(-N357&gt;=Summary!$C$7,"BREACH","")</f>
        <v/>
      </c>
      <c r="P357" s="30" t="n">
        <f aca="false">M357+F357</f>
        <v>105934.98</v>
      </c>
      <c r="Q357" s="30" t="n">
        <f aca="false">P357-Summary!$C$5</f>
        <v>5934.9800000001</v>
      </c>
      <c r="R357" s="2" t="str">
        <f aca="false">TEXT(A357,"ddd")</f>
        <v>Mon</v>
      </c>
    </row>
    <row r="358" customFormat="false" ht="15" hidden="false" customHeight="false" outlineLevel="0" collapsed="false">
      <c r="A358" s="42" t="n">
        <v>45608</v>
      </c>
      <c r="B358" s="28" t="n">
        <f aca="false">COUNTIFS(Trades!$D$2:$D$884,$A358)</f>
        <v>1</v>
      </c>
      <c r="C358" s="28" t="n">
        <f aca="false">COUNTIFS(Trades!$D$2:$D$884,$A358,Trades!$Z$2:$Z$884,"Win")</f>
        <v>0</v>
      </c>
      <c r="D358" s="28" t="n">
        <f aca="false">COUNTIFS(Trades!$D$2:$D$884,$A358,Trades!$Z$2:$Z$884,"Loss")</f>
        <v>1</v>
      </c>
      <c r="E358" s="29" t="n">
        <f aca="false">IFERROR(C358/B358,0)</f>
        <v>0</v>
      </c>
      <c r="F358" s="30" t="n">
        <f aca="false">SUMIFS(Trades!$X$2:$X$884,Trades!$D$2:$D$884,$A358)</f>
        <v>-1.41</v>
      </c>
      <c r="G358" s="30" t="n">
        <f aca="false">SUMIFS(Trades!$X$2:$X$884,Trades!$D$2:$D$884,$A358,Trades!$X$2:$X$884,"&gt;0")</f>
        <v>0</v>
      </c>
      <c r="H358" s="30" t="n">
        <f aca="false">SUMIFS(Trades!$X$2:$X$884,Trades!$D$2:$D$884,$A358,Trades!$X$2:$X$884,"&lt;0")</f>
        <v>-1.41</v>
      </c>
      <c r="I358" s="31" t="n">
        <f aca="false">IFERROR(G358/-H358,"no loss")</f>
        <v>0</v>
      </c>
      <c r="J358" s="30" t="n">
        <f aca="false">_xlfn.MAXIFS(Trades!$X$2:$X$884,Trades!$D$2:$D$884,$A358)</f>
        <v>-1.41</v>
      </c>
      <c r="K358" s="30" t="n">
        <f aca="false">_xlfn.MINIFS(Trades!$X$2:$X$884,Trades!$D$2:$D$884,$A358)</f>
        <v>-1.41</v>
      </c>
      <c r="L358" s="32" t="n">
        <f aca="false">SUMIFS(Trades!$Y$2:$Y$884,Trades!$D$2:$D$884,$A358)</f>
        <v>-0.0143766058974667</v>
      </c>
      <c r="M358" s="30" t="n">
        <f aca="false">P357</f>
        <v>105934.98</v>
      </c>
      <c r="N358" s="29" t="n">
        <f aca="false">IFERROR(F358/M358,0)</f>
        <v>-1.33100511275879E-005</v>
      </c>
      <c r="O358" s="28" t="str">
        <f aca="false">IF(-N358&gt;=Summary!$C$7,"BREACH","")</f>
        <v/>
      </c>
      <c r="P358" s="30" t="n">
        <f aca="false">M358+F358</f>
        <v>105933.57</v>
      </c>
      <c r="Q358" s="30" t="n">
        <f aca="false">P358-Summary!$C$5</f>
        <v>5933.57000000009</v>
      </c>
      <c r="R358" s="2" t="str">
        <f aca="false">TEXT(A358,"ddd")</f>
        <v>Tue</v>
      </c>
    </row>
    <row r="359" customFormat="false" ht="15" hidden="false" customHeight="false" outlineLevel="0" collapsed="false">
      <c r="A359" s="42" t="n">
        <v>45609</v>
      </c>
      <c r="B359" s="28" t="n">
        <f aca="false">COUNTIFS(Trades!$D$2:$D$884,$A359)</f>
        <v>1</v>
      </c>
      <c r="C359" s="28" t="n">
        <f aca="false">COUNTIFS(Trades!$D$2:$D$884,$A359,Trades!$Z$2:$Z$884,"Win")</f>
        <v>0</v>
      </c>
      <c r="D359" s="28" t="n">
        <f aca="false">COUNTIFS(Trades!$D$2:$D$884,$A359,Trades!$Z$2:$Z$884,"Loss")</f>
        <v>1</v>
      </c>
      <c r="E359" s="29" t="n">
        <f aca="false">IFERROR(C359/B359,0)</f>
        <v>0</v>
      </c>
      <c r="F359" s="30" t="n">
        <f aca="false">SUMIFS(Trades!$X$2:$X$884,Trades!$D$2:$D$884,$A359)</f>
        <v>-79.2</v>
      </c>
      <c r="G359" s="30" t="n">
        <f aca="false">SUMIFS(Trades!$X$2:$X$884,Trades!$D$2:$D$884,$A359,Trades!$X$2:$X$884,"&gt;0")</f>
        <v>0</v>
      </c>
      <c r="H359" s="30" t="n">
        <f aca="false">SUMIFS(Trades!$X$2:$X$884,Trades!$D$2:$D$884,$A359,Trades!$X$2:$X$884,"&lt;0")</f>
        <v>-79.2</v>
      </c>
      <c r="I359" s="31" t="n">
        <f aca="false">IFERROR(G359/-H359,"no loss")</f>
        <v>0</v>
      </c>
      <c r="J359" s="30" t="n">
        <f aca="false">_xlfn.MAXIFS(Trades!$X$2:$X$884,Trades!$D$2:$D$884,$A359)</f>
        <v>-79.2</v>
      </c>
      <c r="K359" s="30" t="n">
        <f aca="false">_xlfn.MINIFS(Trades!$X$2:$X$884,Trades!$D$2:$D$884,$A359)</f>
        <v>-79.2</v>
      </c>
      <c r="L359" s="32" t="n">
        <f aca="false">SUMIFS(Trades!$Y$2:$Y$884,Trades!$D$2:$D$884,$A359)</f>
        <v>-1.00896860986546</v>
      </c>
      <c r="M359" s="30" t="n">
        <f aca="false">P358</f>
        <v>105933.57</v>
      </c>
      <c r="N359" s="29" t="n">
        <f aca="false">IFERROR(F359/M359,0)</f>
        <v>-0.000747638354867111</v>
      </c>
      <c r="O359" s="28" t="str">
        <f aca="false">IF(-N359&gt;=Summary!$C$7,"BREACH","")</f>
        <v/>
      </c>
      <c r="P359" s="30" t="n">
        <f aca="false">M359+F359</f>
        <v>105854.37</v>
      </c>
      <c r="Q359" s="30" t="n">
        <f aca="false">P359-Summary!$C$5</f>
        <v>5854.3700000001</v>
      </c>
      <c r="R359" s="2" t="str">
        <f aca="false">TEXT(A359,"ddd")</f>
        <v>Wed</v>
      </c>
    </row>
    <row r="360" customFormat="false" ht="15" hidden="false" customHeight="false" outlineLevel="0" collapsed="false">
      <c r="A360" s="42" t="n">
        <v>45610</v>
      </c>
      <c r="B360" s="28" t="n">
        <f aca="false">COUNTIFS(Trades!$D$2:$D$884,$A360)</f>
        <v>1</v>
      </c>
      <c r="C360" s="28" t="n">
        <f aca="false">COUNTIFS(Trades!$D$2:$D$884,$A360,Trades!$Z$2:$Z$884,"Win")</f>
        <v>0</v>
      </c>
      <c r="D360" s="28" t="n">
        <f aca="false">COUNTIFS(Trades!$D$2:$D$884,$A360,Trades!$Z$2:$Z$884,"Loss")</f>
        <v>1</v>
      </c>
      <c r="E360" s="29" t="n">
        <f aca="false">IFERROR(C360/B360,0)</f>
        <v>0</v>
      </c>
      <c r="F360" s="30" t="n">
        <f aca="false">SUMIFS(Trades!$X$2:$X$884,Trades!$D$2:$D$884,$A360)</f>
        <v>-142.52</v>
      </c>
      <c r="G360" s="30" t="n">
        <f aca="false">SUMIFS(Trades!$X$2:$X$884,Trades!$D$2:$D$884,$A360,Trades!$X$2:$X$884,"&gt;0")</f>
        <v>0</v>
      </c>
      <c r="H360" s="30" t="n">
        <f aca="false">SUMIFS(Trades!$X$2:$X$884,Trades!$D$2:$D$884,$A360,Trades!$X$2:$X$884,"&lt;0")</f>
        <v>-142.52</v>
      </c>
      <c r="I360" s="31" t="n">
        <f aca="false">IFERROR(G360/-H360,"no loss")</f>
        <v>0</v>
      </c>
      <c r="J360" s="30" t="n">
        <f aca="false">_xlfn.MAXIFS(Trades!$X$2:$X$884,Trades!$D$2:$D$884,$A360)</f>
        <v>-142.52</v>
      </c>
      <c r="K360" s="30" t="n">
        <f aca="false">_xlfn.MINIFS(Trades!$X$2:$X$884,Trades!$D$2:$D$884,$A360)</f>
        <v>-142.52</v>
      </c>
      <c r="L360" s="32" t="n">
        <f aca="false">SUMIFS(Trades!$Y$2:$Y$884,Trades!$D$2:$D$884,$A360)</f>
        <v>-1.00126457777147</v>
      </c>
      <c r="M360" s="30" t="n">
        <f aca="false">P359</f>
        <v>105854.37</v>
      </c>
      <c r="N360" s="29" t="n">
        <f aca="false">IFERROR(F360/M360,0)</f>
        <v>-0.00134637804750054</v>
      </c>
      <c r="O360" s="28" t="str">
        <f aca="false">IF(-N360&gt;=Summary!$C$7,"BREACH","")</f>
        <v/>
      </c>
      <c r="P360" s="30" t="n">
        <f aca="false">M360+F360</f>
        <v>105711.85</v>
      </c>
      <c r="Q360" s="30" t="n">
        <f aca="false">P360-Summary!$C$5</f>
        <v>5711.85000000009</v>
      </c>
      <c r="R360" s="2" t="str">
        <f aca="false">TEXT(A360,"ddd")</f>
        <v>Thu</v>
      </c>
    </row>
    <row r="361" customFormat="false" ht="15" hidden="false" customHeight="false" outlineLevel="0" collapsed="false">
      <c r="A361" s="42" t="n">
        <v>45611</v>
      </c>
      <c r="B361" s="28" t="n">
        <f aca="false">COUNTIFS(Trades!$D$2:$D$884,$A361)</f>
        <v>1</v>
      </c>
      <c r="C361" s="28" t="n">
        <f aca="false">COUNTIFS(Trades!$D$2:$D$884,$A361,Trades!$Z$2:$Z$884,"Win")</f>
        <v>0</v>
      </c>
      <c r="D361" s="28" t="n">
        <f aca="false">COUNTIFS(Trades!$D$2:$D$884,$A361,Trades!$Z$2:$Z$884,"Loss")</f>
        <v>1</v>
      </c>
      <c r="E361" s="29" t="n">
        <f aca="false">IFERROR(C361/B361,0)</f>
        <v>0</v>
      </c>
      <c r="F361" s="30" t="n">
        <f aca="false">SUMIFS(Trades!$X$2:$X$884,Trades!$D$2:$D$884,$A361)</f>
        <v>-45.72</v>
      </c>
      <c r="G361" s="30" t="n">
        <f aca="false">SUMIFS(Trades!$X$2:$X$884,Trades!$D$2:$D$884,$A361,Trades!$X$2:$X$884,"&gt;0")</f>
        <v>0</v>
      </c>
      <c r="H361" s="30" t="n">
        <f aca="false">SUMIFS(Trades!$X$2:$X$884,Trades!$D$2:$D$884,$A361,Trades!$X$2:$X$884,"&lt;0")</f>
        <v>-45.72</v>
      </c>
      <c r="I361" s="31" t="n">
        <f aca="false">IFERROR(G361/-H361,"no loss")</f>
        <v>0</v>
      </c>
      <c r="J361" s="30" t="n">
        <f aca="false">_xlfn.MAXIFS(Trades!$X$2:$X$884,Trades!$D$2:$D$884,$A361)</f>
        <v>-45.72</v>
      </c>
      <c r="K361" s="30" t="n">
        <f aca="false">_xlfn.MINIFS(Trades!$X$2:$X$884,Trades!$D$2:$D$884,$A361)</f>
        <v>-45.72</v>
      </c>
      <c r="L361" s="32" t="n">
        <f aca="false">SUMIFS(Trades!$Y$2:$Y$884,Trades!$D$2:$D$884,$A361)</f>
        <v>-1.05921601334431</v>
      </c>
      <c r="M361" s="30" t="n">
        <f aca="false">P360</f>
        <v>105711.85</v>
      </c>
      <c r="N361" s="29" t="n">
        <f aca="false">IFERROR(F361/M361,0)</f>
        <v>-0.000432496451438509</v>
      </c>
      <c r="O361" s="28" t="str">
        <f aca="false">IF(-N361&gt;=Summary!$C$7,"BREACH","")</f>
        <v/>
      </c>
      <c r="P361" s="30" t="n">
        <f aca="false">M361+F361</f>
        <v>105666.13</v>
      </c>
      <c r="Q361" s="30" t="n">
        <f aca="false">P361-Summary!$C$5</f>
        <v>5666.13000000009</v>
      </c>
      <c r="R361" s="2" t="str">
        <f aca="false">TEXT(A361,"ddd")</f>
        <v>Fri</v>
      </c>
    </row>
    <row r="362" customFormat="false" ht="15" hidden="false" customHeight="false" outlineLevel="0" collapsed="false">
      <c r="A362" s="42" t="n">
        <v>45615</v>
      </c>
      <c r="B362" s="28" t="n">
        <f aca="false">COUNTIFS(Trades!$D$2:$D$884,$A362)</f>
        <v>2</v>
      </c>
      <c r="C362" s="28" t="n">
        <f aca="false">COUNTIFS(Trades!$D$2:$D$884,$A362,Trades!$Z$2:$Z$884,"Win")</f>
        <v>2</v>
      </c>
      <c r="D362" s="28" t="n">
        <f aca="false">COUNTIFS(Trades!$D$2:$D$884,$A362,Trades!$Z$2:$Z$884,"Loss")</f>
        <v>0</v>
      </c>
      <c r="E362" s="29" t="n">
        <f aca="false">IFERROR(C362/B362,0)</f>
        <v>1</v>
      </c>
      <c r="F362" s="30" t="n">
        <f aca="false">SUMIFS(Trades!$X$2:$X$884,Trades!$D$2:$D$884,$A362)</f>
        <v>387.74</v>
      </c>
      <c r="G362" s="30" t="n">
        <f aca="false">SUMIFS(Trades!$X$2:$X$884,Trades!$D$2:$D$884,$A362,Trades!$X$2:$X$884,"&gt;0")</f>
        <v>387.74</v>
      </c>
      <c r="H362" s="30" t="n">
        <f aca="false">SUMIFS(Trades!$X$2:$X$884,Trades!$D$2:$D$884,$A362,Trades!$X$2:$X$884,"&lt;0")</f>
        <v>0</v>
      </c>
      <c r="I362" s="31" t="str">
        <f aca="false">IFERROR(G362/-H362,"no loss")</f>
        <v>no loss</v>
      </c>
      <c r="J362" s="30" t="n">
        <f aca="false">_xlfn.MAXIFS(Trades!$X$2:$X$884,Trades!$D$2:$D$884,$A362)</f>
        <v>246.61</v>
      </c>
      <c r="K362" s="30" t="n">
        <f aca="false">_xlfn.MINIFS(Trades!$X$2:$X$884,Trades!$D$2:$D$884,$A362)</f>
        <v>141.13</v>
      </c>
      <c r="L362" s="32" t="n">
        <f aca="false">SUMIFS(Trades!$Y$2:$Y$884,Trades!$D$2:$D$884,$A362)</f>
        <v>4.07639807383932</v>
      </c>
      <c r="M362" s="30" t="n">
        <f aca="false">P361</f>
        <v>105666.13</v>
      </c>
      <c r="N362" s="29" t="n">
        <f aca="false">IFERROR(F362/M362,0)</f>
        <v>0.00366948235920062</v>
      </c>
      <c r="O362" s="28" t="str">
        <f aca="false">IF(-N362&gt;=Summary!$C$7,"BREACH","")</f>
        <v/>
      </c>
      <c r="P362" s="30" t="n">
        <f aca="false">M362+F362</f>
        <v>106053.87</v>
      </c>
      <c r="Q362" s="30" t="n">
        <f aca="false">P362-Summary!$C$5</f>
        <v>6053.8700000001</v>
      </c>
      <c r="R362" s="2" t="str">
        <f aca="false">TEXT(A362,"ddd")</f>
        <v>Tue</v>
      </c>
    </row>
    <row r="363" customFormat="false" ht="15" hidden="false" customHeight="false" outlineLevel="0" collapsed="false">
      <c r="A363" s="42" t="n">
        <v>45616</v>
      </c>
      <c r="B363" s="28" t="n">
        <f aca="false">COUNTIFS(Trades!$D$2:$D$884,$A363)</f>
        <v>1</v>
      </c>
      <c r="C363" s="28" t="n">
        <f aca="false">COUNTIFS(Trades!$D$2:$D$884,$A363,Trades!$Z$2:$Z$884,"Win")</f>
        <v>1</v>
      </c>
      <c r="D363" s="28" t="n">
        <f aca="false">COUNTIFS(Trades!$D$2:$D$884,$A363,Trades!$Z$2:$Z$884,"Loss")</f>
        <v>0</v>
      </c>
      <c r="E363" s="29" t="n">
        <f aca="false">IFERROR(C363/B363,0)</f>
        <v>1</v>
      </c>
      <c r="F363" s="30" t="n">
        <f aca="false">SUMIFS(Trades!$X$2:$X$884,Trades!$D$2:$D$884,$A363)</f>
        <v>87.81</v>
      </c>
      <c r="G363" s="30" t="n">
        <f aca="false">SUMIFS(Trades!$X$2:$X$884,Trades!$D$2:$D$884,$A363,Trades!$X$2:$X$884,"&gt;0")</f>
        <v>87.81</v>
      </c>
      <c r="H363" s="30" t="n">
        <f aca="false">SUMIFS(Trades!$X$2:$X$884,Trades!$D$2:$D$884,$A363,Trades!$X$2:$X$884,"&lt;0")</f>
        <v>0</v>
      </c>
      <c r="I363" s="31" t="str">
        <f aca="false">IFERROR(G363/-H363,"no loss")</f>
        <v>no loss</v>
      </c>
      <c r="J363" s="30" t="n">
        <f aca="false">_xlfn.MAXIFS(Trades!$X$2:$X$884,Trades!$D$2:$D$884,$A363)</f>
        <v>87.81</v>
      </c>
      <c r="K363" s="30" t="n">
        <f aca="false">_xlfn.MINIFS(Trades!$X$2:$X$884,Trades!$D$2:$D$884,$A363)</f>
        <v>87.81</v>
      </c>
      <c r="L363" s="32" t="n">
        <f aca="false">SUMIFS(Trades!$Y$2:$Y$884,Trades!$D$2:$D$884,$A363)</f>
        <v>2.00938215102975</v>
      </c>
      <c r="M363" s="30" t="n">
        <f aca="false">P362</f>
        <v>106053.87</v>
      </c>
      <c r="N363" s="29" t="n">
        <f aca="false">IFERROR(F363/M363,0)</f>
        <v>0.000827975443046066</v>
      </c>
      <c r="O363" s="28" t="str">
        <f aca="false">IF(-N363&gt;=Summary!$C$7,"BREACH","")</f>
        <v/>
      </c>
      <c r="P363" s="30" t="n">
        <f aca="false">M363+F363</f>
        <v>106141.68</v>
      </c>
      <c r="Q363" s="30" t="n">
        <f aca="false">P363-Summary!$C$5</f>
        <v>6141.6800000001</v>
      </c>
      <c r="R363" s="2" t="str">
        <f aca="false">TEXT(A363,"ddd")</f>
        <v>Wed</v>
      </c>
    </row>
    <row r="364" customFormat="false" ht="15" hidden="false" customHeight="false" outlineLevel="0" collapsed="false">
      <c r="A364" s="42" t="n">
        <v>45617</v>
      </c>
      <c r="B364" s="28" t="n">
        <f aca="false">COUNTIFS(Trades!$D$2:$D$884,$A364)</f>
        <v>1</v>
      </c>
      <c r="C364" s="28" t="n">
        <f aca="false">COUNTIFS(Trades!$D$2:$D$884,$A364,Trades!$Z$2:$Z$884,"Win")</f>
        <v>0</v>
      </c>
      <c r="D364" s="28" t="n">
        <f aca="false">COUNTIFS(Trades!$D$2:$D$884,$A364,Trades!$Z$2:$Z$884,"Loss")</f>
        <v>1</v>
      </c>
      <c r="E364" s="29" t="n">
        <f aca="false">IFERROR(C364/B364,0)</f>
        <v>0</v>
      </c>
      <c r="F364" s="30" t="n">
        <f aca="false">SUMIFS(Trades!$X$2:$X$884,Trades!$D$2:$D$884,$A364)</f>
        <v>-1.36</v>
      </c>
      <c r="G364" s="30" t="n">
        <f aca="false">SUMIFS(Trades!$X$2:$X$884,Trades!$D$2:$D$884,$A364,Trades!$X$2:$X$884,"&gt;0")</f>
        <v>0</v>
      </c>
      <c r="H364" s="30" t="n">
        <f aca="false">SUMIFS(Trades!$X$2:$X$884,Trades!$D$2:$D$884,$A364,Trades!$X$2:$X$884,"&lt;0")</f>
        <v>-1.36</v>
      </c>
      <c r="I364" s="31" t="n">
        <f aca="false">IFERROR(G364/-H364,"no loss")</f>
        <v>0</v>
      </c>
      <c r="J364" s="30" t="n">
        <f aca="false">_xlfn.MAXIFS(Trades!$X$2:$X$884,Trades!$D$2:$D$884,$A364)</f>
        <v>-1.36</v>
      </c>
      <c r="K364" s="30" t="n">
        <f aca="false">_xlfn.MINIFS(Trades!$X$2:$X$884,Trades!$D$2:$D$884,$A364)</f>
        <v>-1.36</v>
      </c>
      <c r="L364" s="32" t="n">
        <f aca="false">SUMIFS(Trades!$Y$2:$Y$884,Trades!$D$2:$D$884,$A364)</f>
        <v>-0.0171717171717172</v>
      </c>
      <c r="M364" s="30" t="n">
        <f aca="false">P363</f>
        <v>106141.68</v>
      </c>
      <c r="N364" s="29" t="n">
        <f aca="false">IFERROR(F364/M364,0)</f>
        <v>-1.28130626913009E-005</v>
      </c>
      <c r="O364" s="28" t="str">
        <f aca="false">IF(-N364&gt;=Summary!$C$7,"BREACH","")</f>
        <v/>
      </c>
      <c r="P364" s="30" t="n">
        <f aca="false">M364+F364</f>
        <v>106140.32</v>
      </c>
      <c r="Q364" s="30" t="n">
        <f aca="false">P364-Summary!$C$5</f>
        <v>6140.32000000009</v>
      </c>
      <c r="R364" s="2" t="str">
        <f aca="false">TEXT(A364,"ddd")</f>
        <v>Thu</v>
      </c>
    </row>
    <row r="365" customFormat="false" ht="15" hidden="false" customHeight="false" outlineLevel="0" collapsed="false">
      <c r="A365" s="42" t="n">
        <v>45621</v>
      </c>
      <c r="B365" s="28" t="n">
        <f aca="false">COUNTIFS(Trades!$D$2:$D$884,$A365)</f>
        <v>1</v>
      </c>
      <c r="C365" s="28" t="n">
        <f aca="false">COUNTIFS(Trades!$D$2:$D$884,$A365,Trades!$Z$2:$Z$884,"Win")</f>
        <v>0</v>
      </c>
      <c r="D365" s="28" t="n">
        <f aca="false">COUNTIFS(Trades!$D$2:$D$884,$A365,Trades!$Z$2:$Z$884,"Loss")</f>
        <v>1</v>
      </c>
      <c r="E365" s="29" t="n">
        <f aca="false">IFERROR(C365/B365,0)</f>
        <v>0</v>
      </c>
      <c r="F365" s="30" t="n">
        <f aca="false">SUMIFS(Trades!$X$2:$X$884,Trades!$D$2:$D$884,$A365)</f>
        <v>-0.09</v>
      </c>
      <c r="G365" s="30" t="n">
        <f aca="false">SUMIFS(Trades!$X$2:$X$884,Trades!$D$2:$D$884,$A365,Trades!$X$2:$X$884,"&gt;0")</f>
        <v>0</v>
      </c>
      <c r="H365" s="30" t="n">
        <f aca="false">SUMIFS(Trades!$X$2:$X$884,Trades!$D$2:$D$884,$A365,Trades!$X$2:$X$884,"&lt;0")</f>
        <v>-0.09</v>
      </c>
      <c r="I365" s="31" t="n">
        <f aca="false">IFERROR(G365/-H365,"no loss")</f>
        <v>0</v>
      </c>
      <c r="J365" s="30" t="n">
        <f aca="false">_xlfn.MAXIFS(Trades!$X$2:$X$884,Trades!$D$2:$D$884,$A365)</f>
        <v>-0.09</v>
      </c>
      <c r="K365" s="30" t="n">
        <f aca="false">_xlfn.MINIFS(Trades!$X$2:$X$884,Trades!$D$2:$D$884,$A365)</f>
        <v>-0.09</v>
      </c>
      <c r="L365" s="32" t="n">
        <f aca="false">SUMIFS(Trades!$Y$2:$Y$884,Trades!$D$2:$D$884,$A365)</f>
        <v>-0.000780707841776522</v>
      </c>
      <c r="M365" s="30" t="n">
        <f aca="false">P364</f>
        <v>106140.32</v>
      </c>
      <c r="N365" s="29" t="n">
        <f aca="false">IFERROR(F365/M365,0)</f>
        <v>-8.47934130969267E-007</v>
      </c>
      <c r="O365" s="28" t="str">
        <f aca="false">IF(-N365&gt;=Summary!$C$7,"BREACH","")</f>
        <v/>
      </c>
      <c r="P365" s="30" t="n">
        <f aca="false">M365+F365</f>
        <v>106140.23</v>
      </c>
      <c r="Q365" s="30" t="n">
        <f aca="false">P365-Summary!$C$5</f>
        <v>6140.2300000001</v>
      </c>
      <c r="R365" s="2" t="str">
        <f aca="false">TEXT(A365,"ddd")</f>
        <v>Mon</v>
      </c>
    </row>
    <row r="366" customFormat="false" ht="15" hidden="false" customHeight="false" outlineLevel="0" collapsed="false">
      <c r="A366" s="42" t="n">
        <v>45622</v>
      </c>
      <c r="B366" s="28" t="n">
        <f aca="false">COUNTIFS(Trades!$D$2:$D$884,$A366)</f>
        <v>1</v>
      </c>
      <c r="C366" s="28" t="n">
        <f aca="false">COUNTIFS(Trades!$D$2:$D$884,$A366,Trades!$Z$2:$Z$884,"Win")</f>
        <v>0</v>
      </c>
      <c r="D366" s="28" t="n">
        <f aca="false">COUNTIFS(Trades!$D$2:$D$884,$A366,Trades!$Z$2:$Z$884,"Loss")</f>
        <v>1</v>
      </c>
      <c r="E366" s="29" t="n">
        <f aca="false">IFERROR(C366/B366,0)</f>
        <v>0</v>
      </c>
      <c r="F366" s="30" t="n">
        <f aca="false">SUMIFS(Trades!$X$2:$X$884,Trades!$D$2:$D$884,$A366)</f>
        <v>-110.91</v>
      </c>
      <c r="G366" s="30" t="n">
        <f aca="false">SUMIFS(Trades!$X$2:$X$884,Trades!$D$2:$D$884,$A366,Trades!$X$2:$X$884,"&gt;0")</f>
        <v>0</v>
      </c>
      <c r="H366" s="30" t="n">
        <f aca="false">SUMIFS(Trades!$X$2:$X$884,Trades!$D$2:$D$884,$A366,Trades!$X$2:$X$884,"&lt;0")</f>
        <v>-110.91</v>
      </c>
      <c r="I366" s="31" t="n">
        <f aca="false">IFERROR(G366/-H366,"no loss")</f>
        <v>0</v>
      </c>
      <c r="J366" s="30" t="n">
        <f aca="false">_xlfn.MAXIFS(Trades!$X$2:$X$884,Trades!$D$2:$D$884,$A366)</f>
        <v>-110.91</v>
      </c>
      <c r="K366" s="30" t="n">
        <f aca="false">_xlfn.MINIFS(Trades!$X$2:$X$884,Trades!$D$2:$D$884,$A366)</f>
        <v>-110.91</v>
      </c>
      <c r="L366" s="32" t="n">
        <f aca="false">SUMIFS(Trades!$Y$2:$Y$884,Trades!$D$2:$D$884,$A366)</f>
        <v>-1.01647848082715</v>
      </c>
      <c r="M366" s="30" t="n">
        <f aca="false">P365</f>
        <v>106140.23</v>
      </c>
      <c r="N366" s="29" t="n">
        <f aca="false">IFERROR(F366/M366,0)</f>
        <v>-0.00104493838010338</v>
      </c>
      <c r="O366" s="28" t="str">
        <f aca="false">IF(-N366&gt;=Summary!$C$7,"BREACH","")</f>
        <v/>
      </c>
      <c r="P366" s="30" t="n">
        <f aca="false">M366+F366</f>
        <v>106029.32</v>
      </c>
      <c r="Q366" s="30" t="n">
        <f aca="false">P366-Summary!$C$5</f>
        <v>6029.32000000009</v>
      </c>
      <c r="R366" s="2" t="str">
        <f aca="false">TEXT(A366,"ddd")</f>
        <v>Tue</v>
      </c>
    </row>
    <row r="367" customFormat="false" ht="15" hidden="false" customHeight="false" outlineLevel="0" collapsed="false">
      <c r="A367" s="42" t="n">
        <v>45623</v>
      </c>
      <c r="B367" s="28" t="n">
        <f aca="false">COUNTIFS(Trades!$D$2:$D$884,$A367)</f>
        <v>1</v>
      </c>
      <c r="C367" s="28" t="n">
        <f aca="false">COUNTIFS(Trades!$D$2:$D$884,$A367,Trades!$Z$2:$Z$884,"Win")</f>
        <v>0</v>
      </c>
      <c r="D367" s="28" t="n">
        <f aca="false">COUNTIFS(Trades!$D$2:$D$884,$A367,Trades!$Z$2:$Z$884,"Loss")</f>
        <v>1</v>
      </c>
      <c r="E367" s="29" t="n">
        <f aca="false">IFERROR(C367/B367,0)</f>
        <v>0</v>
      </c>
      <c r="F367" s="30" t="n">
        <f aca="false">SUMIFS(Trades!$X$2:$X$884,Trades!$D$2:$D$884,$A367)</f>
        <v>-131.33</v>
      </c>
      <c r="G367" s="30" t="n">
        <f aca="false">SUMIFS(Trades!$X$2:$X$884,Trades!$D$2:$D$884,$A367,Trades!$X$2:$X$884,"&gt;0")</f>
        <v>0</v>
      </c>
      <c r="H367" s="30" t="n">
        <f aca="false">SUMIFS(Trades!$X$2:$X$884,Trades!$D$2:$D$884,$A367,Trades!$X$2:$X$884,"&lt;0")</f>
        <v>-131.33</v>
      </c>
      <c r="I367" s="31" t="n">
        <f aca="false">IFERROR(G367/-H367,"no loss")</f>
        <v>0</v>
      </c>
      <c r="J367" s="30" t="n">
        <f aca="false">_xlfn.MAXIFS(Trades!$X$2:$X$884,Trades!$D$2:$D$884,$A367)</f>
        <v>-131.33</v>
      </c>
      <c r="K367" s="30" t="n">
        <f aca="false">_xlfn.MINIFS(Trades!$X$2:$X$884,Trades!$D$2:$D$884,$A367)</f>
        <v>-131.33</v>
      </c>
      <c r="L367" s="32" t="n">
        <f aca="false">SUMIFS(Trades!$Y$2:$Y$884,Trades!$D$2:$D$884,$A367)</f>
        <v>-1.03705049037404</v>
      </c>
      <c r="M367" s="30" t="n">
        <f aca="false">P366</f>
        <v>106029.32</v>
      </c>
      <c r="N367" s="29" t="n">
        <f aca="false">IFERROR(F367/M367,0)</f>
        <v>-0.0012386196572797</v>
      </c>
      <c r="O367" s="28" t="str">
        <f aca="false">IF(-N367&gt;=Summary!$C$7,"BREACH","")</f>
        <v/>
      </c>
      <c r="P367" s="30" t="n">
        <f aca="false">M367+F367</f>
        <v>105897.99</v>
      </c>
      <c r="Q367" s="30" t="n">
        <f aca="false">P367-Summary!$C$5</f>
        <v>5897.99000000009</v>
      </c>
      <c r="R367" s="2" t="str">
        <f aca="false">TEXT(A367,"ddd")</f>
        <v>Wed</v>
      </c>
    </row>
    <row r="368" customFormat="false" ht="15" hidden="false" customHeight="false" outlineLevel="0" collapsed="false">
      <c r="A368" s="42" t="n">
        <v>45625</v>
      </c>
      <c r="B368" s="28" t="n">
        <f aca="false">COUNTIFS(Trades!$D$2:$D$884,$A368)</f>
        <v>1</v>
      </c>
      <c r="C368" s="28" t="n">
        <f aca="false">COUNTIFS(Trades!$D$2:$D$884,$A368,Trades!$Z$2:$Z$884,"Win")</f>
        <v>1</v>
      </c>
      <c r="D368" s="28" t="n">
        <f aca="false">COUNTIFS(Trades!$D$2:$D$884,$A368,Trades!$Z$2:$Z$884,"Loss")</f>
        <v>0</v>
      </c>
      <c r="E368" s="29" t="n">
        <f aca="false">IFERROR(C368/B368,0)</f>
        <v>1</v>
      </c>
      <c r="F368" s="30" t="n">
        <f aca="false">SUMIFS(Trades!$X$2:$X$884,Trades!$D$2:$D$884,$A368)</f>
        <v>59</v>
      </c>
      <c r="G368" s="30" t="n">
        <f aca="false">SUMIFS(Trades!$X$2:$X$884,Trades!$D$2:$D$884,$A368,Trades!$X$2:$X$884,"&gt;0")</f>
        <v>59</v>
      </c>
      <c r="H368" s="30" t="n">
        <f aca="false">SUMIFS(Trades!$X$2:$X$884,Trades!$D$2:$D$884,$A368,Trades!$X$2:$X$884,"&lt;0")</f>
        <v>0</v>
      </c>
      <c r="I368" s="31" t="str">
        <f aca="false">IFERROR(G368/-H368,"no loss")</f>
        <v>no loss</v>
      </c>
      <c r="J368" s="30" t="n">
        <f aca="false">_xlfn.MAXIFS(Trades!$X$2:$X$884,Trades!$D$2:$D$884,$A368)</f>
        <v>59</v>
      </c>
      <c r="K368" s="30" t="n">
        <f aca="false">_xlfn.MINIFS(Trades!$X$2:$X$884,Trades!$D$2:$D$884,$A368)</f>
        <v>59</v>
      </c>
      <c r="L368" s="32" t="n">
        <f aca="false">SUMIFS(Trades!$Y$2:$Y$884,Trades!$D$2:$D$884,$A368)</f>
        <v>2.01640464798426</v>
      </c>
      <c r="M368" s="30" t="n">
        <f aca="false">P367</f>
        <v>105897.99</v>
      </c>
      <c r="N368" s="29" t="n">
        <f aca="false">IFERROR(F368/M368,0)</f>
        <v>0.000557139941938463</v>
      </c>
      <c r="O368" s="28" t="str">
        <f aca="false">IF(-N368&gt;=Summary!$C$7,"BREACH","")</f>
        <v/>
      </c>
      <c r="P368" s="30" t="n">
        <f aca="false">M368+F368</f>
        <v>105956.99</v>
      </c>
      <c r="Q368" s="30" t="n">
        <f aca="false">P368-Summary!$C$5</f>
        <v>5956.99000000009</v>
      </c>
      <c r="R368" s="2" t="str">
        <f aca="false">TEXT(A368,"ddd")</f>
        <v>Fri</v>
      </c>
    </row>
    <row r="369" customFormat="false" ht="15" hidden="false" customHeight="false" outlineLevel="0" collapsed="false">
      <c r="A369" s="42" t="n">
        <v>45628</v>
      </c>
      <c r="B369" s="28" t="n">
        <f aca="false">COUNTIFS(Trades!$D$2:$D$884,$A369)</f>
        <v>1</v>
      </c>
      <c r="C369" s="28" t="n">
        <f aca="false">COUNTIFS(Trades!$D$2:$D$884,$A369,Trades!$Z$2:$Z$884,"Win")</f>
        <v>0</v>
      </c>
      <c r="D369" s="28" t="n">
        <f aca="false">COUNTIFS(Trades!$D$2:$D$884,$A369,Trades!$Z$2:$Z$884,"Loss")</f>
        <v>1</v>
      </c>
      <c r="E369" s="29" t="n">
        <f aca="false">IFERROR(C369/B369,0)</f>
        <v>0</v>
      </c>
      <c r="F369" s="30" t="n">
        <f aca="false">SUMIFS(Trades!$X$2:$X$884,Trades!$D$2:$D$884,$A369)</f>
        <v>-0.26</v>
      </c>
      <c r="G369" s="30" t="n">
        <f aca="false">SUMIFS(Trades!$X$2:$X$884,Trades!$D$2:$D$884,$A369,Trades!$X$2:$X$884,"&gt;0")</f>
        <v>0</v>
      </c>
      <c r="H369" s="30" t="n">
        <f aca="false">SUMIFS(Trades!$X$2:$X$884,Trades!$D$2:$D$884,$A369,Trades!$X$2:$X$884,"&lt;0")</f>
        <v>-0.26</v>
      </c>
      <c r="I369" s="31" t="n">
        <f aca="false">IFERROR(G369/-H369,"no loss")</f>
        <v>0</v>
      </c>
      <c r="J369" s="30" t="n">
        <f aca="false">_xlfn.MAXIFS(Trades!$X$2:$X$884,Trades!$D$2:$D$884,$A369)</f>
        <v>-0.26</v>
      </c>
      <c r="K369" s="30" t="n">
        <f aca="false">_xlfn.MINIFS(Trades!$X$2:$X$884,Trades!$D$2:$D$884,$A369)</f>
        <v>-0.26</v>
      </c>
      <c r="L369" s="32" t="n">
        <f aca="false">SUMIFS(Trades!$Y$2:$Y$884,Trades!$D$2:$D$884,$A369)</f>
        <v>-0.0057092665788326</v>
      </c>
      <c r="M369" s="30" t="n">
        <f aca="false">P368</f>
        <v>105956.99</v>
      </c>
      <c r="N369" s="29" t="n">
        <f aca="false">IFERROR(F369/M369,0)</f>
        <v>-2.45382584008851E-006</v>
      </c>
      <c r="O369" s="28" t="str">
        <f aca="false">IF(-N369&gt;=Summary!$C$7,"BREACH","")</f>
        <v/>
      </c>
      <c r="P369" s="30" t="n">
        <f aca="false">M369+F369</f>
        <v>105956.73</v>
      </c>
      <c r="Q369" s="30" t="n">
        <f aca="false">P369-Summary!$C$5</f>
        <v>5956.7300000001</v>
      </c>
      <c r="R369" s="2" t="str">
        <f aca="false">TEXT(A369,"ddd")</f>
        <v>Mon</v>
      </c>
    </row>
    <row r="370" customFormat="false" ht="15" hidden="false" customHeight="false" outlineLevel="0" collapsed="false">
      <c r="A370" s="42" t="n">
        <v>45629</v>
      </c>
      <c r="B370" s="28" t="n">
        <f aca="false">COUNTIFS(Trades!$D$2:$D$884,$A370)</f>
        <v>1</v>
      </c>
      <c r="C370" s="28" t="n">
        <f aca="false">COUNTIFS(Trades!$D$2:$D$884,$A370,Trades!$Z$2:$Z$884,"Win")</f>
        <v>0</v>
      </c>
      <c r="D370" s="28" t="n">
        <f aca="false">COUNTIFS(Trades!$D$2:$D$884,$A370,Trades!$Z$2:$Z$884,"Loss")</f>
        <v>1</v>
      </c>
      <c r="E370" s="29" t="n">
        <f aca="false">IFERROR(C370/B370,0)</f>
        <v>0</v>
      </c>
      <c r="F370" s="30" t="n">
        <f aca="false">SUMIFS(Trades!$X$2:$X$884,Trades!$D$2:$D$884,$A370)</f>
        <v>-72.47</v>
      </c>
      <c r="G370" s="30" t="n">
        <f aca="false">SUMIFS(Trades!$X$2:$X$884,Trades!$D$2:$D$884,$A370,Trades!$X$2:$X$884,"&gt;0")</f>
        <v>0</v>
      </c>
      <c r="H370" s="30" t="n">
        <f aca="false">SUMIFS(Trades!$X$2:$X$884,Trades!$D$2:$D$884,$A370,Trades!$X$2:$X$884,"&lt;0")</f>
        <v>-72.47</v>
      </c>
      <c r="I370" s="31" t="n">
        <f aca="false">IFERROR(G370/-H370,"no loss")</f>
        <v>0</v>
      </c>
      <c r="J370" s="30" t="n">
        <f aca="false">_xlfn.MAXIFS(Trades!$X$2:$X$884,Trades!$D$2:$D$884,$A370)</f>
        <v>-72.47</v>
      </c>
      <c r="K370" s="30" t="n">
        <f aca="false">_xlfn.MINIFS(Trades!$X$2:$X$884,Trades!$D$2:$D$884,$A370)</f>
        <v>-72.47</v>
      </c>
      <c r="L370" s="32" t="n">
        <f aca="false">SUMIFS(Trades!$Y$2:$Y$884,Trades!$D$2:$D$884,$A370)</f>
        <v>-1.00490875811197</v>
      </c>
      <c r="M370" s="30" t="n">
        <f aca="false">P369</f>
        <v>105956.73</v>
      </c>
      <c r="N370" s="29" t="n">
        <f aca="false">IFERROR(F370/M370,0)</f>
        <v>-0.000683958442281108</v>
      </c>
      <c r="O370" s="28" t="str">
        <f aca="false">IF(-N370&gt;=Summary!$C$7,"BREACH","")</f>
        <v/>
      </c>
      <c r="P370" s="30" t="n">
        <f aca="false">M370+F370</f>
        <v>105884.26</v>
      </c>
      <c r="Q370" s="30" t="n">
        <f aca="false">P370-Summary!$C$5</f>
        <v>5884.2600000001</v>
      </c>
      <c r="R370" s="2" t="str">
        <f aca="false">TEXT(A370,"ddd")</f>
        <v>Tue</v>
      </c>
    </row>
    <row r="371" customFormat="false" ht="15" hidden="false" customHeight="false" outlineLevel="0" collapsed="false">
      <c r="A371" s="42" t="n">
        <v>45630</v>
      </c>
      <c r="B371" s="28" t="n">
        <f aca="false">COUNTIFS(Trades!$D$2:$D$884,$A371)</f>
        <v>1</v>
      </c>
      <c r="C371" s="28" t="n">
        <f aca="false">COUNTIFS(Trades!$D$2:$D$884,$A371,Trades!$Z$2:$Z$884,"Win")</f>
        <v>1</v>
      </c>
      <c r="D371" s="28" t="n">
        <f aca="false">COUNTIFS(Trades!$D$2:$D$884,$A371,Trades!$Z$2:$Z$884,"Loss")</f>
        <v>0</v>
      </c>
      <c r="E371" s="29" t="n">
        <f aca="false">IFERROR(C371/B371,0)</f>
        <v>1</v>
      </c>
      <c r="F371" s="30" t="n">
        <f aca="false">SUMIFS(Trades!$X$2:$X$884,Trades!$D$2:$D$884,$A371)</f>
        <v>140.18</v>
      </c>
      <c r="G371" s="30" t="n">
        <f aca="false">SUMIFS(Trades!$X$2:$X$884,Trades!$D$2:$D$884,$A371,Trades!$X$2:$X$884,"&gt;0")</f>
        <v>140.18</v>
      </c>
      <c r="H371" s="30" t="n">
        <f aca="false">SUMIFS(Trades!$X$2:$X$884,Trades!$D$2:$D$884,$A371,Trades!$X$2:$X$884,"&lt;0")</f>
        <v>0</v>
      </c>
      <c r="I371" s="31" t="str">
        <f aca="false">IFERROR(G371/-H371,"no loss")</f>
        <v>no loss</v>
      </c>
      <c r="J371" s="30" t="n">
        <f aca="false">_xlfn.MAXIFS(Trades!$X$2:$X$884,Trades!$D$2:$D$884,$A371)</f>
        <v>140.18</v>
      </c>
      <c r="K371" s="30" t="n">
        <f aca="false">_xlfn.MINIFS(Trades!$X$2:$X$884,Trades!$D$2:$D$884,$A371)</f>
        <v>140.18</v>
      </c>
      <c r="L371" s="32" t="n">
        <f aca="false">SUMIFS(Trades!$Y$2:$Y$884,Trades!$D$2:$D$884,$A371)</f>
        <v>2.19415226646625</v>
      </c>
      <c r="M371" s="30" t="n">
        <f aca="false">P370</f>
        <v>105884.26</v>
      </c>
      <c r="N371" s="29" t="n">
        <f aca="false">IFERROR(F371/M371,0)</f>
        <v>0.00132389837734145</v>
      </c>
      <c r="O371" s="28" t="str">
        <f aca="false">IF(-N371&gt;=Summary!$C$7,"BREACH","")</f>
        <v/>
      </c>
      <c r="P371" s="30" t="n">
        <f aca="false">M371+F371</f>
        <v>106024.44</v>
      </c>
      <c r="Q371" s="30" t="n">
        <f aca="false">P371-Summary!$C$5</f>
        <v>6024.44000000009</v>
      </c>
      <c r="R371" s="2" t="str">
        <f aca="false">TEXT(A371,"ddd")</f>
        <v>Wed</v>
      </c>
    </row>
    <row r="372" customFormat="false" ht="15" hidden="false" customHeight="false" outlineLevel="0" collapsed="false">
      <c r="A372" s="42" t="n">
        <v>45631</v>
      </c>
      <c r="B372" s="28" t="n">
        <f aca="false">COUNTIFS(Trades!$D$2:$D$884,$A372)</f>
        <v>1</v>
      </c>
      <c r="C372" s="28" t="n">
        <f aca="false">COUNTIFS(Trades!$D$2:$D$884,$A372,Trades!$Z$2:$Z$884,"Win")</f>
        <v>0</v>
      </c>
      <c r="D372" s="28" t="n">
        <f aca="false">COUNTIFS(Trades!$D$2:$D$884,$A372,Trades!$Z$2:$Z$884,"Loss")</f>
        <v>0</v>
      </c>
      <c r="E372" s="29" t="n">
        <f aca="false">IFERROR(C372/B372,0)</f>
        <v>0</v>
      </c>
      <c r="F372" s="30" t="n">
        <f aca="false">SUMIFS(Trades!$X$2:$X$884,Trades!$D$2:$D$884,$A372)</f>
        <v>0</v>
      </c>
      <c r="G372" s="30" t="n">
        <f aca="false">SUMIFS(Trades!$X$2:$X$884,Trades!$D$2:$D$884,$A372,Trades!$X$2:$X$884,"&gt;0")</f>
        <v>0</v>
      </c>
      <c r="H372" s="30" t="n">
        <f aca="false">SUMIFS(Trades!$X$2:$X$884,Trades!$D$2:$D$884,$A372,Trades!$X$2:$X$884,"&lt;0")</f>
        <v>0</v>
      </c>
      <c r="I372" s="31" t="str">
        <f aca="false">IFERROR(G372/-H372,"no loss")</f>
        <v>no loss</v>
      </c>
      <c r="J372" s="30" t="n">
        <f aca="false">_xlfn.MAXIFS(Trades!$X$2:$X$884,Trades!$D$2:$D$884,$A372)</f>
        <v>0</v>
      </c>
      <c r="K372" s="30" t="n">
        <f aca="false">_xlfn.MINIFS(Trades!$X$2:$X$884,Trades!$D$2:$D$884,$A372)</f>
        <v>0</v>
      </c>
      <c r="L372" s="32" t="n">
        <f aca="false">SUMIFS(Trades!$Y$2:$Y$884,Trades!$D$2:$D$884,$A372)</f>
        <v>0</v>
      </c>
      <c r="M372" s="30" t="n">
        <f aca="false">P371</f>
        <v>106024.44</v>
      </c>
      <c r="N372" s="29" t="n">
        <f aca="false">IFERROR(F372/M372,0)</f>
        <v>0</v>
      </c>
      <c r="O372" s="28" t="str">
        <f aca="false">IF(-N372&gt;=Summary!$C$7,"BREACH","")</f>
        <v/>
      </c>
      <c r="P372" s="30" t="n">
        <f aca="false">M372+F372</f>
        <v>106024.44</v>
      </c>
      <c r="Q372" s="30" t="n">
        <f aca="false">P372-Summary!$C$5</f>
        <v>6024.44000000009</v>
      </c>
      <c r="R372" s="2" t="str">
        <f aca="false">TEXT(A372,"ddd")</f>
        <v>Thu</v>
      </c>
    </row>
    <row r="373" customFormat="false" ht="15" hidden="false" customHeight="false" outlineLevel="0" collapsed="false">
      <c r="A373" s="42" t="n">
        <v>45632</v>
      </c>
      <c r="B373" s="28" t="n">
        <f aca="false">COUNTIFS(Trades!$D$2:$D$884,$A373)</f>
        <v>2</v>
      </c>
      <c r="C373" s="28" t="n">
        <f aca="false">COUNTIFS(Trades!$D$2:$D$884,$A373,Trades!$Z$2:$Z$884,"Win")</f>
        <v>2</v>
      </c>
      <c r="D373" s="28" t="n">
        <f aca="false">COUNTIFS(Trades!$D$2:$D$884,$A373,Trades!$Z$2:$Z$884,"Loss")</f>
        <v>0</v>
      </c>
      <c r="E373" s="29" t="n">
        <f aca="false">IFERROR(C373/B373,0)</f>
        <v>1</v>
      </c>
      <c r="F373" s="30" t="n">
        <f aca="false">SUMIFS(Trades!$X$2:$X$884,Trades!$D$2:$D$884,$A373)</f>
        <v>303.25</v>
      </c>
      <c r="G373" s="30" t="n">
        <f aca="false">SUMIFS(Trades!$X$2:$X$884,Trades!$D$2:$D$884,$A373,Trades!$X$2:$X$884,"&gt;0")</f>
        <v>303.25</v>
      </c>
      <c r="H373" s="30" t="n">
        <f aca="false">SUMIFS(Trades!$X$2:$X$884,Trades!$D$2:$D$884,$A373,Trades!$X$2:$X$884,"&lt;0")</f>
        <v>0</v>
      </c>
      <c r="I373" s="31" t="str">
        <f aca="false">IFERROR(G373/-H373,"no loss")</f>
        <v>no loss</v>
      </c>
      <c r="J373" s="30" t="n">
        <f aca="false">_xlfn.MAXIFS(Trades!$X$2:$X$884,Trades!$D$2:$D$884,$A373)</f>
        <v>239.89</v>
      </c>
      <c r="K373" s="30" t="n">
        <f aca="false">_xlfn.MINIFS(Trades!$X$2:$X$884,Trades!$D$2:$D$884,$A373)</f>
        <v>63.36</v>
      </c>
      <c r="L373" s="32" t="n">
        <f aca="false">SUMIFS(Trades!$Y$2:$Y$884,Trades!$D$2:$D$884,$A373)</f>
        <v>4.02395702558443</v>
      </c>
      <c r="M373" s="30" t="n">
        <f aca="false">P372</f>
        <v>106024.44</v>
      </c>
      <c r="N373" s="29" t="n">
        <f aca="false">IFERROR(F373/M373,0)</f>
        <v>0.0028601895940219</v>
      </c>
      <c r="O373" s="28" t="str">
        <f aca="false">IF(-N373&gt;=Summary!$C$7,"BREACH","")</f>
        <v/>
      </c>
      <c r="P373" s="30" t="n">
        <f aca="false">M373+F373</f>
        <v>106327.69</v>
      </c>
      <c r="Q373" s="30" t="n">
        <f aca="false">P373-Summary!$C$5</f>
        <v>6327.69000000009</v>
      </c>
      <c r="R373" s="2" t="str">
        <f aca="false">TEXT(A373,"ddd")</f>
        <v>Fri</v>
      </c>
    </row>
    <row r="374" customFormat="false" ht="15" hidden="false" customHeight="false" outlineLevel="0" collapsed="false">
      <c r="A374" s="42" t="n">
        <v>45635</v>
      </c>
      <c r="B374" s="28" t="n">
        <f aca="false">COUNTIFS(Trades!$D$2:$D$884,$A374)</f>
        <v>1</v>
      </c>
      <c r="C374" s="28" t="n">
        <f aca="false">COUNTIFS(Trades!$D$2:$D$884,$A374,Trades!$Z$2:$Z$884,"Win")</f>
        <v>0</v>
      </c>
      <c r="D374" s="28" t="n">
        <f aca="false">COUNTIFS(Trades!$D$2:$D$884,$A374,Trades!$Z$2:$Z$884,"Loss")</f>
        <v>1</v>
      </c>
      <c r="E374" s="29" t="n">
        <f aca="false">IFERROR(C374/B374,0)</f>
        <v>0</v>
      </c>
      <c r="F374" s="30" t="n">
        <f aca="false">SUMIFS(Trades!$X$2:$X$884,Trades!$D$2:$D$884,$A374)</f>
        <v>-37.27</v>
      </c>
      <c r="G374" s="30" t="n">
        <f aca="false">SUMIFS(Trades!$X$2:$X$884,Trades!$D$2:$D$884,$A374,Trades!$X$2:$X$884,"&gt;0")</f>
        <v>0</v>
      </c>
      <c r="H374" s="30" t="n">
        <f aca="false">SUMIFS(Trades!$X$2:$X$884,Trades!$D$2:$D$884,$A374,Trades!$X$2:$X$884,"&lt;0")</f>
        <v>-37.27</v>
      </c>
      <c r="I374" s="31" t="n">
        <f aca="false">IFERROR(G374/-H374,"no loss")</f>
        <v>0</v>
      </c>
      <c r="J374" s="30" t="n">
        <f aca="false">_xlfn.MAXIFS(Trades!$X$2:$X$884,Trades!$D$2:$D$884,$A374)</f>
        <v>-37.27</v>
      </c>
      <c r="K374" s="30" t="n">
        <f aca="false">_xlfn.MINIFS(Trades!$X$2:$X$884,Trades!$D$2:$D$884,$A374)</f>
        <v>-37.27</v>
      </c>
      <c r="L374" s="32" t="n">
        <f aca="false">SUMIFS(Trades!$Y$2:$Y$884,Trades!$D$2:$D$884,$A374)</f>
        <v>-1.1524427952996</v>
      </c>
      <c r="M374" s="30" t="n">
        <f aca="false">P373</f>
        <v>106327.69</v>
      </c>
      <c r="N374" s="29" t="n">
        <f aca="false">IFERROR(F374/M374,0)</f>
        <v>-0.000350520170239756</v>
      </c>
      <c r="O374" s="28" t="str">
        <f aca="false">IF(-N374&gt;=Summary!$C$7,"BREACH","")</f>
        <v/>
      </c>
      <c r="P374" s="30" t="n">
        <f aca="false">M374+F374</f>
        <v>106290.42</v>
      </c>
      <c r="Q374" s="30" t="n">
        <f aca="false">P374-Summary!$C$5</f>
        <v>6290.42000000009</v>
      </c>
      <c r="R374" s="2" t="str">
        <f aca="false">TEXT(A374,"ddd")</f>
        <v>Mon</v>
      </c>
    </row>
    <row r="375" customFormat="false" ht="15" hidden="false" customHeight="false" outlineLevel="0" collapsed="false">
      <c r="A375" s="42" t="n">
        <v>45636</v>
      </c>
      <c r="B375" s="28" t="n">
        <f aca="false">COUNTIFS(Trades!$D$2:$D$884,$A375)</f>
        <v>1</v>
      </c>
      <c r="C375" s="28" t="n">
        <f aca="false">COUNTIFS(Trades!$D$2:$D$884,$A375,Trades!$Z$2:$Z$884,"Win")</f>
        <v>0</v>
      </c>
      <c r="D375" s="28" t="n">
        <f aca="false">COUNTIFS(Trades!$D$2:$D$884,$A375,Trades!$Z$2:$Z$884,"Loss")</f>
        <v>1</v>
      </c>
      <c r="E375" s="29" t="n">
        <f aca="false">IFERROR(C375/B375,0)</f>
        <v>0</v>
      </c>
      <c r="F375" s="30" t="n">
        <f aca="false">SUMIFS(Trades!$X$2:$X$884,Trades!$D$2:$D$884,$A375)</f>
        <v>-52.62</v>
      </c>
      <c r="G375" s="30" t="n">
        <f aca="false">SUMIFS(Trades!$X$2:$X$884,Trades!$D$2:$D$884,$A375,Trades!$X$2:$X$884,"&gt;0")</f>
        <v>0</v>
      </c>
      <c r="H375" s="30" t="n">
        <f aca="false">SUMIFS(Trades!$X$2:$X$884,Trades!$D$2:$D$884,$A375,Trades!$X$2:$X$884,"&lt;0")</f>
        <v>-52.62</v>
      </c>
      <c r="I375" s="31" t="n">
        <f aca="false">IFERROR(G375/-H375,"no loss")</f>
        <v>0</v>
      </c>
      <c r="J375" s="30" t="n">
        <f aca="false">_xlfn.MAXIFS(Trades!$X$2:$X$884,Trades!$D$2:$D$884,$A375)</f>
        <v>-52.62</v>
      </c>
      <c r="K375" s="30" t="n">
        <f aca="false">_xlfn.MINIFS(Trades!$X$2:$X$884,Trades!$D$2:$D$884,$A375)</f>
        <v>-52.62</v>
      </c>
      <c r="L375" s="32" t="n">
        <f aca="false">SUMIFS(Trades!$Y$2:$Y$884,Trades!$D$2:$D$884,$A375)</f>
        <v>-1.01176742039689</v>
      </c>
      <c r="M375" s="30" t="n">
        <f aca="false">P374</f>
        <v>106290.42</v>
      </c>
      <c r="N375" s="29" t="n">
        <f aca="false">IFERROR(F375/M375,0)</f>
        <v>-0.0004950587268354</v>
      </c>
      <c r="O375" s="28" t="str">
        <f aca="false">IF(-N375&gt;=Summary!$C$7,"BREACH","")</f>
        <v/>
      </c>
      <c r="P375" s="30" t="n">
        <f aca="false">M375+F375</f>
        <v>106237.8</v>
      </c>
      <c r="Q375" s="30" t="n">
        <f aca="false">P375-Summary!$C$5</f>
        <v>6237.80000000009</v>
      </c>
      <c r="R375" s="2" t="str">
        <f aca="false">TEXT(A375,"ddd")</f>
        <v>Tue</v>
      </c>
    </row>
    <row r="376" customFormat="false" ht="15" hidden="false" customHeight="false" outlineLevel="0" collapsed="false">
      <c r="A376" s="42" t="n">
        <v>45637</v>
      </c>
      <c r="B376" s="28" t="n">
        <f aca="false">COUNTIFS(Trades!$D$2:$D$884,$A376)</f>
        <v>1</v>
      </c>
      <c r="C376" s="28" t="n">
        <f aca="false">COUNTIFS(Trades!$D$2:$D$884,$A376,Trades!$Z$2:$Z$884,"Win")</f>
        <v>0</v>
      </c>
      <c r="D376" s="28" t="n">
        <f aca="false">COUNTIFS(Trades!$D$2:$D$884,$A376,Trades!$Z$2:$Z$884,"Loss")</f>
        <v>1</v>
      </c>
      <c r="E376" s="29" t="n">
        <f aca="false">IFERROR(C376/B376,0)</f>
        <v>0</v>
      </c>
      <c r="F376" s="30" t="n">
        <f aca="false">SUMIFS(Trades!$X$2:$X$884,Trades!$D$2:$D$884,$A376)</f>
        <v>-110.13</v>
      </c>
      <c r="G376" s="30" t="n">
        <f aca="false">SUMIFS(Trades!$X$2:$X$884,Trades!$D$2:$D$884,$A376,Trades!$X$2:$X$884,"&gt;0")</f>
        <v>0</v>
      </c>
      <c r="H376" s="30" t="n">
        <f aca="false">SUMIFS(Trades!$X$2:$X$884,Trades!$D$2:$D$884,$A376,Trades!$X$2:$X$884,"&lt;0")</f>
        <v>-110.13</v>
      </c>
      <c r="I376" s="31" t="n">
        <f aca="false">IFERROR(G376/-H376,"no loss")</f>
        <v>0</v>
      </c>
      <c r="J376" s="30" t="n">
        <f aca="false">_xlfn.MAXIFS(Trades!$X$2:$X$884,Trades!$D$2:$D$884,$A376)</f>
        <v>-110.13</v>
      </c>
      <c r="K376" s="30" t="n">
        <f aca="false">_xlfn.MINIFS(Trades!$X$2:$X$884,Trades!$D$2:$D$884,$A376)</f>
        <v>-110.13</v>
      </c>
      <c r="L376" s="32" t="n">
        <f aca="false">SUMIFS(Trades!$Y$2:$Y$884,Trades!$D$2:$D$884,$A376)</f>
        <v>-1.01416310593781</v>
      </c>
      <c r="M376" s="30" t="n">
        <f aca="false">P375</f>
        <v>106237.8</v>
      </c>
      <c r="N376" s="29" t="n">
        <f aca="false">IFERROR(F376/M376,0)</f>
        <v>-0.00103663667734083</v>
      </c>
      <c r="O376" s="28" t="str">
        <f aca="false">IF(-N376&gt;=Summary!$C$7,"BREACH","")</f>
        <v/>
      </c>
      <c r="P376" s="30" t="n">
        <f aca="false">M376+F376</f>
        <v>106127.67</v>
      </c>
      <c r="Q376" s="30" t="n">
        <f aca="false">P376-Summary!$C$5</f>
        <v>6127.67000000009</v>
      </c>
      <c r="R376" s="2" t="str">
        <f aca="false">TEXT(A376,"ddd")</f>
        <v>Wed</v>
      </c>
    </row>
    <row r="377" customFormat="false" ht="15" hidden="false" customHeight="false" outlineLevel="0" collapsed="false">
      <c r="A377" s="42" t="n">
        <v>45639</v>
      </c>
      <c r="B377" s="28" t="n">
        <f aca="false">COUNTIFS(Trades!$D$2:$D$884,$A377)</f>
        <v>1</v>
      </c>
      <c r="C377" s="28" t="n">
        <f aca="false">COUNTIFS(Trades!$D$2:$D$884,$A377,Trades!$Z$2:$Z$884,"Win")</f>
        <v>0</v>
      </c>
      <c r="D377" s="28" t="n">
        <f aca="false">COUNTIFS(Trades!$D$2:$D$884,$A377,Trades!$Z$2:$Z$884,"Loss")</f>
        <v>1</v>
      </c>
      <c r="E377" s="29" t="n">
        <f aca="false">IFERROR(C377/B377,0)</f>
        <v>0</v>
      </c>
      <c r="F377" s="30" t="n">
        <f aca="false">SUMIFS(Trades!$X$2:$X$884,Trades!$D$2:$D$884,$A377)</f>
        <v>-24.86</v>
      </c>
      <c r="G377" s="30" t="n">
        <f aca="false">SUMIFS(Trades!$X$2:$X$884,Trades!$D$2:$D$884,$A377,Trades!$X$2:$X$884,"&gt;0")</f>
        <v>0</v>
      </c>
      <c r="H377" s="30" t="n">
        <f aca="false">SUMIFS(Trades!$X$2:$X$884,Trades!$D$2:$D$884,$A377,Trades!$X$2:$X$884,"&lt;0")</f>
        <v>-24.86</v>
      </c>
      <c r="I377" s="31" t="n">
        <f aca="false">IFERROR(G377/-H377,"no loss")</f>
        <v>0</v>
      </c>
      <c r="J377" s="30" t="n">
        <f aca="false">_xlfn.MAXIFS(Trades!$X$2:$X$884,Trades!$D$2:$D$884,$A377)</f>
        <v>-24.86</v>
      </c>
      <c r="K377" s="30" t="n">
        <f aca="false">_xlfn.MINIFS(Trades!$X$2:$X$884,Trades!$D$2:$D$884,$A377)</f>
        <v>-24.86</v>
      </c>
      <c r="L377" s="32" t="n">
        <f aca="false">SUMIFS(Trades!$Y$2:$Y$884,Trades!$D$2:$D$884,$A377)</f>
        <v>-1.05321132011543</v>
      </c>
      <c r="M377" s="30" t="n">
        <f aca="false">P376</f>
        <v>106127.67</v>
      </c>
      <c r="N377" s="29" t="n">
        <f aca="false">IFERROR(F377/M377,0)</f>
        <v>-0.000234246167846707</v>
      </c>
      <c r="O377" s="28" t="str">
        <f aca="false">IF(-N377&gt;=Summary!$C$7,"BREACH","")</f>
        <v/>
      </c>
      <c r="P377" s="30" t="n">
        <f aca="false">M377+F377</f>
        <v>106102.81</v>
      </c>
      <c r="Q377" s="30" t="n">
        <f aca="false">P377-Summary!$C$5</f>
        <v>6102.81000000009</v>
      </c>
      <c r="R377" s="2" t="str">
        <f aca="false">TEXT(A377,"ddd")</f>
        <v>Fri</v>
      </c>
    </row>
    <row r="378" customFormat="false" ht="15" hidden="false" customHeight="false" outlineLevel="0" collapsed="false">
      <c r="A378" s="42" t="n">
        <v>45642</v>
      </c>
      <c r="B378" s="28" t="n">
        <f aca="false">COUNTIFS(Trades!$D$2:$D$884,$A378)</f>
        <v>1</v>
      </c>
      <c r="C378" s="28" t="n">
        <f aca="false">COUNTIFS(Trades!$D$2:$D$884,$A378,Trades!$Z$2:$Z$884,"Win")</f>
        <v>0</v>
      </c>
      <c r="D378" s="28" t="n">
        <f aca="false">COUNTIFS(Trades!$D$2:$D$884,$A378,Trades!$Z$2:$Z$884,"Loss")</f>
        <v>1</v>
      </c>
      <c r="E378" s="29" t="n">
        <f aca="false">IFERROR(C378/B378,0)</f>
        <v>0</v>
      </c>
      <c r="F378" s="30" t="n">
        <f aca="false">SUMIFS(Trades!$X$2:$X$884,Trades!$D$2:$D$884,$A378)</f>
        <v>-39.82</v>
      </c>
      <c r="G378" s="30" t="n">
        <f aca="false">SUMIFS(Trades!$X$2:$X$884,Trades!$D$2:$D$884,$A378,Trades!$X$2:$X$884,"&gt;0")</f>
        <v>0</v>
      </c>
      <c r="H378" s="30" t="n">
        <f aca="false">SUMIFS(Trades!$X$2:$X$884,Trades!$D$2:$D$884,$A378,Trades!$X$2:$X$884,"&lt;0")</f>
        <v>-39.82</v>
      </c>
      <c r="I378" s="31" t="n">
        <f aca="false">IFERROR(G378/-H378,"no loss")</f>
        <v>0</v>
      </c>
      <c r="J378" s="30" t="n">
        <f aca="false">_xlfn.MAXIFS(Trades!$X$2:$X$884,Trades!$D$2:$D$884,$A378)</f>
        <v>-39.82</v>
      </c>
      <c r="K378" s="30" t="n">
        <f aca="false">_xlfn.MINIFS(Trades!$X$2:$X$884,Trades!$D$2:$D$884,$A378)</f>
        <v>-39.82</v>
      </c>
      <c r="L378" s="32" t="n">
        <f aca="false">SUMIFS(Trades!$Y$2:$Y$884,Trades!$D$2:$D$884,$A378)</f>
        <v>-1.0260770975059</v>
      </c>
      <c r="M378" s="30" t="n">
        <f aca="false">P377</f>
        <v>106102.81</v>
      </c>
      <c r="N378" s="29" t="n">
        <f aca="false">IFERROR(F378/M378,0)</f>
        <v>-0.000375296375279787</v>
      </c>
      <c r="O378" s="28" t="str">
        <f aca="false">IF(-N378&gt;=Summary!$C$7,"BREACH","")</f>
        <v/>
      </c>
      <c r="P378" s="30" t="n">
        <f aca="false">M378+F378</f>
        <v>106062.99</v>
      </c>
      <c r="Q378" s="30" t="n">
        <f aca="false">P378-Summary!$C$5</f>
        <v>6062.99000000008</v>
      </c>
      <c r="R378" s="2" t="str">
        <f aca="false">TEXT(A378,"ddd")</f>
        <v>Mon</v>
      </c>
    </row>
    <row r="379" customFormat="false" ht="15" hidden="false" customHeight="false" outlineLevel="0" collapsed="false">
      <c r="A379" s="42" t="n">
        <v>45644</v>
      </c>
      <c r="B379" s="28" t="n">
        <f aca="false">COUNTIFS(Trades!$D$2:$D$884,$A379)</f>
        <v>1</v>
      </c>
      <c r="C379" s="28" t="n">
        <f aca="false">COUNTIFS(Trades!$D$2:$D$884,$A379,Trades!$Z$2:$Z$884,"Win")</f>
        <v>0</v>
      </c>
      <c r="D379" s="28" t="n">
        <f aca="false">COUNTIFS(Trades!$D$2:$D$884,$A379,Trades!$Z$2:$Z$884,"Loss")</f>
        <v>1</v>
      </c>
      <c r="E379" s="29" t="n">
        <f aca="false">IFERROR(C379/B379,0)</f>
        <v>0</v>
      </c>
      <c r="F379" s="30" t="n">
        <f aca="false">SUMIFS(Trades!$X$2:$X$884,Trades!$D$2:$D$884,$A379)</f>
        <v>-0.88</v>
      </c>
      <c r="G379" s="30" t="n">
        <f aca="false">SUMIFS(Trades!$X$2:$X$884,Trades!$D$2:$D$884,$A379,Trades!$X$2:$X$884,"&gt;0")</f>
        <v>0</v>
      </c>
      <c r="H379" s="30" t="n">
        <f aca="false">SUMIFS(Trades!$X$2:$X$884,Trades!$D$2:$D$884,$A379,Trades!$X$2:$X$884,"&lt;0")</f>
        <v>-0.88</v>
      </c>
      <c r="I379" s="31" t="n">
        <f aca="false">IFERROR(G379/-H379,"no loss")</f>
        <v>0</v>
      </c>
      <c r="J379" s="30" t="n">
        <f aca="false">_xlfn.MAXIFS(Trades!$X$2:$X$884,Trades!$D$2:$D$884,$A379)</f>
        <v>-0.88</v>
      </c>
      <c r="K379" s="30" t="n">
        <f aca="false">_xlfn.MINIFS(Trades!$X$2:$X$884,Trades!$D$2:$D$884,$A379)</f>
        <v>-0.88</v>
      </c>
      <c r="L379" s="32" t="n">
        <f aca="false">SUMIFS(Trades!$Y$2:$Y$884,Trades!$D$2:$D$884,$A379)</f>
        <v>-0.00984141895367783</v>
      </c>
      <c r="M379" s="30" t="n">
        <f aca="false">P378</f>
        <v>106062.99</v>
      </c>
      <c r="N379" s="29" t="n">
        <f aca="false">IFERROR(F379/M379,0)</f>
        <v>-8.29695636526935E-006</v>
      </c>
      <c r="O379" s="28" t="str">
        <f aca="false">IF(-N379&gt;=Summary!$C$7,"BREACH","")</f>
        <v/>
      </c>
      <c r="P379" s="30" t="n">
        <f aca="false">M379+F379</f>
        <v>106062.11</v>
      </c>
      <c r="Q379" s="30" t="n">
        <f aca="false">P379-Summary!$C$5</f>
        <v>6062.11000000007</v>
      </c>
      <c r="R379" s="2" t="str">
        <f aca="false">TEXT(A379,"ddd")</f>
        <v>Wed</v>
      </c>
    </row>
    <row r="380" customFormat="false" ht="15" hidden="false" customHeight="false" outlineLevel="0" collapsed="false">
      <c r="A380" s="42" t="n">
        <v>45646</v>
      </c>
      <c r="B380" s="28" t="n">
        <f aca="false">COUNTIFS(Trades!$D$2:$D$884,$A380)</f>
        <v>2</v>
      </c>
      <c r="C380" s="28" t="n">
        <f aca="false">COUNTIFS(Trades!$D$2:$D$884,$A380,Trades!$Z$2:$Z$884,"Win")</f>
        <v>2</v>
      </c>
      <c r="D380" s="28" t="n">
        <f aca="false">COUNTIFS(Trades!$D$2:$D$884,$A380,Trades!$Z$2:$Z$884,"Loss")</f>
        <v>0</v>
      </c>
      <c r="E380" s="29" t="n">
        <f aca="false">IFERROR(C380/B380,0)</f>
        <v>1</v>
      </c>
      <c r="F380" s="30" t="n">
        <f aca="false">SUMIFS(Trades!$X$2:$X$884,Trades!$D$2:$D$884,$A380)</f>
        <v>467.68</v>
      </c>
      <c r="G380" s="30" t="n">
        <f aca="false">SUMIFS(Trades!$X$2:$X$884,Trades!$D$2:$D$884,$A380,Trades!$X$2:$X$884,"&gt;0")</f>
        <v>467.68</v>
      </c>
      <c r="H380" s="30" t="n">
        <f aca="false">SUMIFS(Trades!$X$2:$X$884,Trades!$D$2:$D$884,$A380,Trades!$X$2:$X$884,"&lt;0")</f>
        <v>0</v>
      </c>
      <c r="I380" s="31" t="str">
        <f aca="false">IFERROR(G380/-H380,"no loss")</f>
        <v>no loss</v>
      </c>
      <c r="J380" s="30" t="n">
        <f aca="false">_xlfn.MAXIFS(Trades!$X$2:$X$884,Trades!$D$2:$D$884,$A380)</f>
        <v>296.87</v>
      </c>
      <c r="K380" s="30" t="n">
        <f aca="false">_xlfn.MINIFS(Trades!$X$2:$X$884,Trades!$D$2:$D$884,$A380)</f>
        <v>170.81</v>
      </c>
      <c r="L380" s="32" t="n">
        <f aca="false">SUMIFS(Trades!$Y$2:$Y$884,Trades!$D$2:$D$884,$A380)</f>
        <v>4.10825985673228</v>
      </c>
      <c r="M380" s="30" t="n">
        <f aca="false">P379</f>
        <v>106062.11</v>
      </c>
      <c r="N380" s="29" t="n">
        <f aca="false">IFERROR(F380/M380,0)</f>
        <v>0.00440949175912114</v>
      </c>
      <c r="O380" s="28" t="str">
        <f aca="false">IF(-N380&gt;=Summary!$C$7,"BREACH","")</f>
        <v/>
      </c>
      <c r="P380" s="30" t="n">
        <f aca="false">M380+F380</f>
        <v>106529.79</v>
      </c>
      <c r="Q380" s="30" t="n">
        <f aca="false">P380-Summary!$C$5</f>
        <v>6529.79000000007</v>
      </c>
      <c r="R380" s="2" t="str">
        <f aca="false">TEXT(A380,"ddd")</f>
        <v>Fri</v>
      </c>
    </row>
    <row r="381" customFormat="false" ht="15" hidden="false" customHeight="false" outlineLevel="0" collapsed="false">
      <c r="A381" s="42" t="n">
        <v>45650</v>
      </c>
      <c r="B381" s="28" t="n">
        <f aca="false">COUNTIFS(Trades!$D$2:$D$884,$A381)</f>
        <v>1</v>
      </c>
      <c r="C381" s="28" t="n">
        <f aca="false">COUNTIFS(Trades!$D$2:$D$884,$A381,Trades!$Z$2:$Z$884,"Win")</f>
        <v>0</v>
      </c>
      <c r="D381" s="28" t="n">
        <f aca="false">COUNTIFS(Trades!$D$2:$D$884,$A381,Trades!$Z$2:$Z$884,"Loss")</f>
        <v>1</v>
      </c>
      <c r="E381" s="29" t="n">
        <f aca="false">IFERROR(C381/B381,0)</f>
        <v>0</v>
      </c>
      <c r="F381" s="30" t="n">
        <f aca="false">SUMIFS(Trades!$X$2:$X$884,Trades!$D$2:$D$884,$A381)</f>
        <v>-0.13</v>
      </c>
      <c r="G381" s="30" t="n">
        <f aca="false">SUMIFS(Trades!$X$2:$X$884,Trades!$D$2:$D$884,$A381,Trades!$X$2:$X$884,"&gt;0")</f>
        <v>0</v>
      </c>
      <c r="H381" s="30" t="n">
        <f aca="false">SUMIFS(Trades!$X$2:$X$884,Trades!$D$2:$D$884,$A381,Trades!$X$2:$X$884,"&lt;0")</f>
        <v>-0.13</v>
      </c>
      <c r="I381" s="31" t="n">
        <f aca="false">IFERROR(G381/-H381,"no loss")</f>
        <v>0</v>
      </c>
      <c r="J381" s="30" t="n">
        <f aca="false">_xlfn.MAXIFS(Trades!$X$2:$X$884,Trades!$D$2:$D$884,$A381)</f>
        <v>-0.13</v>
      </c>
      <c r="K381" s="30" t="n">
        <f aca="false">_xlfn.MINIFS(Trades!$X$2:$X$884,Trades!$D$2:$D$884,$A381)</f>
        <v>-0.13</v>
      </c>
      <c r="L381" s="32" t="n">
        <f aca="false">SUMIFS(Trades!$Y$2:$Y$884,Trades!$D$2:$D$884,$A381)</f>
        <v>-0.0048997437057148</v>
      </c>
      <c r="M381" s="30" t="n">
        <f aca="false">P380</f>
        <v>106529.79</v>
      </c>
      <c r="N381" s="29" t="n">
        <f aca="false">IFERROR(F381/M381,0)</f>
        <v>-1.22031593228523E-006</v>
      </c>
      <c r="O381" s="28" t="str">
        <f aca="false">IF(-N381&gt;=Summary!$C$7,"BREACH","")</f>
        <v/>
      </c>
      <c r="P381" s="30" t="n">
        <f aca="false">M381+F381</f>
        <v>106529.66</v>
      </c>
      <c r="Q381" s="30" t="n">
        <f aca="false">P381-Summary!$C$5</f>
        <v>6529.66000000006</v>
      </c>
      <c r="R381" s="2" t="str">
        <f aca="false">TEXT(A381,"ddd")</f>
        <v>Tue</v>
      </c>
    </row>
    <row r="382" customFormat="false" ht="15" hidden="false" customHeight="false" outlineLevel="0" collapsed="false">
      <c r="A382" s="42" t="n">
        <v>45652</v>
      </c>
      <c r="B382" s="28" t="n">
        <f aca="false">COUNTIFS(Trades!$D$2:$D$884,$A382)</f>
        <v>1</v>
      </c>
      <c r="C382" s="28" t="n">
        <f aca="false">COUNTIFS(Trades!$D$2:$D$884,$A382,Trades!$Z$2:$Z$884,"Win")</f>
        <v>0</v>
      </c>
      <c r="D382" s="28" t="n">
        <f aca="false">COUNTIFS(Trades!$D$2:$D$884,$A382,Trades!$Z$2:$Z$884,"Loss")</f>
        <v>1</v>
      </c>
      <c r="E382" s="29" t="n">
        <f aca="false">IFERROR(C382/B382,0)</f>
        <v>0</v>
      </c>
      <c r="F382" s="30" t="n">
        <f aca="false">SUMIFS(Trades!$X$2:$X$884,Trades!$D$2:$D$884,$A382)</f>
        <v>-2.02</v>
      </c>
      <c r="G382" s="30" t="n">
        <f aca="false">SUMIFS(Trades!$X$2:$X$884,Trades!$D$2:$D$884,$A382,Trades!$X$2:$X$884,"&gt;0")</f>
        <v>0</v>
      </c>
      <c r="H382" s="30" t="n">
        <f aca="false">SUMIFS(Trades!$X$2:$X$884,Trades!$D$2:$D$884,$A382,Trades!$X$2:$X$884,"&lt;0")</f>
        <v>-2.02</v>
      </c>
      <c r="I382" s="31" t="n">
        <f aca="false">IFERROR(G382/-H382,"no loss")</f>
        <v>0</v>
      </c>
      <c r="J382" s="30" t="n">
        <f aca="false">_xlfn.MAXIFS(Trades!$X$2:$X$884,Trades!$D$2:$D$884,$A382)</f>
        <v>-2.02</v>
      </c>
      <c r="K382" s="30" t="n">
        <f aca="false">_xlfn.MINIFS(Trades!$X$2:$X$884,Trades!$D$2:$D$884,$A382)</f>
        <v>-2.02</v>
      </c>
      <c r="L382" s="32" t="n">
        <f aca="false">SUMIFS(Trades!$Y$2:$Y$884,Trades!$D$2:$D$884,$A382)</f>
        <v>-0.0303439987982603</v>
      </c>
      <c r="M382" s="30" t="n">
        <f aca="false">P381</f>
        <v>106529.66</v>
      </c>
      <c r="N382" s="29" t="n">
        <f aca="false">IFERROR(F382/M382,0)</f>
        <v>-1.89618553180401E-005</v>
      </c>
      <c r="O382" s="28" t="str">
        <f aca="false">IF(-N382&gt;=Summary!$C$7,"BREACH","")</f>
        <v/>
      </c>
      <c r="P382" s="30" t="n">
        <f aca="false">M382+F382</f>
        <v>106527.64</v>
      </c>
      <c r="Q382" s="30" t="n">
        <f aca="false">P382-Summary!$C$5</f>
        <v>6527.64000000006</v>
      </c>
      <c r="R382" s="2" t="str">
        <f aca="false">TEXT(A382,"ddd")</f>
        <v>Thu</v>
      </c>
    </row>
    <row r="383" customFormat="false" ht="15" hidden="false" customHeight="false" outlineLevel="0" collapsed="false">
      <c r="A383" s="42" t="n">
        <v>45653</v>
      </c>
      <c r="B383" s="28" t="n">
        <f aca="false">COUNTIFS(Trades!$D$2:$D$884,$A383)</f>
        <v>1</v>
      </c>
      <c r="C383" s="28" t="n">
        <f aca="false">COUNTIFS(Trades!$D$2:$D$884,$A383,Trades!$Z$2:$Z$884,"Win")</f>
        <v>0</v>
      </c>
      <c r="D383" s="28" t="n">
        <f aca="false">COUNTIFS(Trades!$D$2:$D$884,$A383,Trades!$Z$2:$Z$884,"Loss")</f>
        <v>1</v>
      </c>
      <c r="E383" s="29" t="n">
        <f aca="false">IFERROR(C383/B383,0)</f>
        <v>0</v>
      </c>
      <c r="F383" s="30" t="n">
        <f aca="false">SUMIFS(Trades!$X$2:$X$884,Trades!$D$2:$D$884,$A383)</f>
        <v>-3.56</v>
      </c>
      <c r="G383" s="30" t="n">
        <f aca="false">SUMIFS(Trades!$X$2:$X$884,Trades!$D$2:$D$884,$A383,Trades!$X$2:$X$884,"&gt;0")</f>
        <v>0</v>
      </c>
      <c r="H383" s="30" t="n">
        <f aca="false">SUMIFS(Trades!$X$2:$X$884,Trades!$D$2:$D$884,$A383,Trades!$X$2:$X$884,"&lt;0")</f>
        <v>-3.56</v>
      </c>
      <c r="I383" s="31" t="n">
        <f aca="false">IFERROR(G383/-H383,"no loss")</f>
        <v>0</v>
      </c>
      <c r="J383" s="30" t="n">
        <f aca="false">_xlfn.MAXIFS(Trades!$X$2:$X$884,Trades!$D$2:$D$884,$A383)</f>
        <v>-3.56</v>
      </c>
      <c r="K383" s="30" t="n">
        <f aca="false">_xlfn.MINIFS(Trades!$X$2:$X$884,Trades!$D$2:$D$884,$A383)</f>
        <v>-3.56</v>
      </c>
      <c r="L383" s="32" t="n">
        <f aca="false">SUMIFS(Trades!$Y$2:$Y$884,Trades!$D$2:$D$884,$A383)</f>
        <v>-0.0565402452194853</v>
      </c>
      <c r="M383" s="30" t="n">
        <f aca="false">P382</f>
        <v>106527.64</v>
      </c>
      <c r="N383" s="29" t="n">
        <f aca="false">IFERROR(F383/M383,0)</f>
        <v>-3.34185569116147E-005</v>
      </c>
      <c r="O383" s="28" t="str">
        <f aca="false">IF(-N383&gt;=Summary!$C$7,"BREACH","")</f>
        <v/>
      </c>
      <c r="P383" s="30" t="n">
        <f aca="false">M383+F383</f>
        <v>106524.08</v>
      </c>
      <c r="Q383" s="30" t="n">
        <f aca="false">P383-Summary!$C$5</f>
        <v>6524.08000000006</v>
      </c>
      <c r="R383" s="2" t="str">
        <f aca="false">TEXT(A383,"ddd")</f>
        <v>Fri</v>
      </c>
    </row>
    <row r="384" customFormat="false" ht="15" hidden="false" customHeight="false" outlineLevel="0" collapsed="false">
      <c r="A384" s="42" t="n">
        <v>45656</v>
      </c>
      <c r="B384" s="28" t="n">
        <f aca="false">COUNTIFS(Trades!$D$2:$D$884,$A384)</f>
        <v>1</v>
      </c>
      <c r="C384" s="28" t="n">
        <f aca="false">COUNTIFS(Trades!$D$2:$D$884,$A384,Trades!$Z$2:$Z$884,"Win")</f>
        <v>1</v>
      </c>
      <c r="D384" s="28" t="n">
        <f aca="false">COUNTIFS(Trades!$D$2:$D$884,$A384,Trades!$Z$2:$Z$884,"Loss")</f>
        <v>0</v>
      </c>
      <c r="E384" s="29" t="n">
        <f aca="false">IFERROR(C384/B384,0)</f>
        <v>1</v>
      </c>
      <c r="F384" s="30" t="n">
        <f aca="false">SUMIFS(Trades!$X$2:$X$884,Trades!$D$2:$D$884,$A384)</f>
        <v>322.21</v>
      </c>
      <c r="G384" s="30" t="n">
        <f aca="false">SUMIFS(Trades!$X$2:$X$884,Trades!$D$2:$D$884,$A384,Trades!$X$2:$X$884,"&gt;0")</f>
        <v>322.21</v>
      </c>
      <c r="H384" s="30" t="n">
        <f aca="false">SUMIFS(Trades!$X$2:$X$884,Trades!$D$2:$D$884,$A384,Trades!$X$2:$X$884,"&lt;0")</f>
        <v>0</v>
      </c>
      <c r="I384" s="31" t="str">
        <f aca="false">IFERROR(G384/-H384,"no loss")</f>
        <v>no loss</v>
      </c>
      <c r="J384" s="30" t="n">
        <f aca="false">_xlfn.MAXIFS(Trades!$X$2:$X$884,Trades!$D$2:$D$884,$A384)</f>
        <v>322.21</v>
      </c>
      <c r="K384" s="30" t="n">
        <f aca="false">_xlfn.MINIFS(Trades!$X$2:$X$884,Trades!$D$2:$D$884,$A384)</f>
        <v>322.21</v>
      </c>
      <c r="L384" s="32" t="n">
        <f aca="false">SUMIFS(Trades!$Y$2:$Y$884,Trades!$D$2:$D$884,$A384)</f>
        <v>2.00244860417114</v>
      </c>
      <c r="M384" s="30" t="n">
        <f aca="false">P383</f>
        <v>106524.08</v>
      </c>
      <c r="N384" s="29" t="n">
        <f aca="false">IFERROR(F384/M384,0)</f>
        <v>0.00302476210073816</v>
      </c>
      <c r="O384" s="28" t="str">
        <f aca="false">IF(-N384&gt;=Summary!$C$7,"BREACH","")</f>
        <v/>
      </c>
      <c r="P384" s="30" t="n">
        <f aca="false">M384+F384</f>
        <v>106846.29</v>
      </c>
      <c r="Q384" s="30" t="n">
        <f aca="false">P384-Summary!$C$5</f>
        <v>6846.29000000007</v>
      </c>
      <c r="R384" s="2" t="str">
        <f aca="false">TEXT(A384,"ddd")</f>
        <v>Mon</v>
      </c>
    </row>
    <row r="385" customFormat="false" ht="15" hidden="false" customHeight="false" outlineLevel="0" collapsed="false">
      <c r="A385" s="42" t="n">
        <v>45657</v>
      </c>
      <c r="B385" s="28" t="n">
        <f aca="false">COUNTIFS(Trades!$D$2:$D$884,$A385)</f>
        <v>1</v>
      </c>
      <c r="C385" s="28" t="n">
        <f aca="false">COUNTIFS(Trades!$D$2:$D$884,$A385,Trades!$Z$2:$Z$884,"Win")</f>
        <v>0</v>
      </c>
      <c r="D385" s="28" t="n">
        <f aca="false">COUNTIFS(Trades!$D$2:$D$884,$A385,Trades!$Z$2:$Z$884,"Loss")</f>
        <v>1</v>
      </c>
      <c r="E385" s="29" t="n">
        <f aca="false">IFERROR(C385/B385,0)</f>
        <v>0</v>
      </c>
      <c r="F385" s="30" t="n">
        <f aca="false">SUMIFS(Trades!$X$2:$X$884,Trades!$D$2:$D$884,$A385)</f>
        <v>-4.62</v>
      </c>
      <c r="G385" s="30" t="n">
        <f aca="false">SUMIFS(Trades!$X$2:$X$884,Trades!$D$2:$D$884,$A385,Trades!$X$2:$X$884,"&gt;0")</f>
        <v>0</v>
      </c>
      <c r="H385" s="30" t="n">
        <f aca="false">SUMIFS(Trades!$X$2:$X$884,Trades!$D$2:$D$884,$A385,Trades!$X$2:$X$884,"&lt;0")</f>
        <v>-4.62</v>
      </c>
      <c r="I385" s="31" t="n">
        <f aca="false">IFERROR(G385/-H385,"no loss")</f>
        <v>0</v>
      </c>
      <c r="J385" s="30" t="n">
        <f aca="false">_xlfn.MAXIFS(Trades!$X$2:$X$884,Trades!$D$2:$D$884,$A385)</f>
        <v>-4.62</v>
      </c>
      <c r="K385" s="30" t="n">
        <f aca="false">_xlfn.MINIFS(Trades!$X$2:$X$884,Trades!$D$2:$D$884,$A385)</f>
        <v>-4.62</v>
      </c>
      <c r="L385" s="32" t="n">
        <f aca="false">SUMIFS(Trades!$Y$2:$Y$884,Trades!$D$2:$D$884,$A385)</f>
        <v>-0.0368291827428946</v>
      </c>
      <c r="M385" s="30" t="n">
        <f aca="false">P384</f>
        <v>106846.29</v>
      </c>
      <c r="N385" s="29" t="n">
        <f aca="false">IFERROR(F385/M385,0)</f>
        <v>-4.32396857204869E-005</v>
      </c>
      <c r="O385" s="28" t="str">
        <f aca="false">IF(-N385&gt;=Summary!$C$7,"BREACH","")</f>
        <v/>
      </c>
      <c r="P385" s="30" t="n">
        <f aca="false">M385+F385</f>
        <v>106841.67</v>
      </c>
      <c r="Q385" s="30" t="n">
        <f aca="false">P385-Summary!$C$5</f>
        <v>6841.67000000007</v>
      </c>
      <c r="R385" s="2" t="str">
        <f aca="false">TEXT(A385,"ddd")</f>
        <v>Tue</v>
      </c>
    </row>
    <row r="386" customFormat="false" ht="15" hidden="false" customHeight="false" outlineLevel="0" collapsed="false">
      <c r="A386" s="42" t="n">
        <v>45659</v>
      </c>
      <c r="B386" s="28" t="n">
        <f aca="false">COUNTIFS(Trades!$D$2:$D$884,$A386)</f>
        <v>1</v>
      </c>
      <c r="C386" s="28" t="n">
        <f aca="false">COUNTIFS(Trades!$D$2:$D$884,$A386,Trades!$Z$2:$Z$884,"Win")</f>
        <v>0</v>
      </c>
      <c r="D386" s="28" t="n">
        <f aca="false">COUNTIFS(Trades!$D$2:$D$884,$A386,Trades!$Z$2:$Z$884,"Loss")</f>
        <v>1</v>
      </c>
      <c r="E386" s="29" t="n">
        <f aca="false">IFERROR(C386/B386,0)</f>
        <v>0</v>
      </c>
      <c r="F386" s="30" t="n">
        <f aca="false">SUMIFS(Trades!$X$2:$X$884,Trades!$D$2:$D$884,$A386)</f>
        <v>-0.04</v>
      </c>
      <c r="G386" s="30" t="n">
        <f aca="false">SUMIFS(Trades!$X$2:$X$884,Trades!$D$2:$D$884,$A386,Trades!$X$2:$X$884,"&gt;0")</f>
        <v>0</v>
      </c>
      <c r="H386" s="30" t="n">
        <f aca="false">SUMIFS(Trades!$X$2:$X$884,Trades!$D$2:$D$884,$A386,Trades!$X$2:$X$884,"&lt;0")</f>
        <v>-0.04</v>
      </c>
      <c r="I386" s="31" t="n">
        <f aca="false">IFERROR(G386/-H386,"no loss")</f>
        <v>0</v>
      </c>
      <c r="J386" s="30" t="n">
        <f aca="false">_xlfn.MAXIFS(Trades!$X$2:$X$884,Trades!$D$2:$D$884,$A386)</f>
        <v>-0.04</v>
      </c>
      <c r="K386" s="30" t="n">
        <f aca="false">_xlfn.MINIFS(Trades!$X$2:$X$884,Trades!$D$2:$D$884,$A386)</f>
        <v>-0.04</v>
      </c>
      <c r="L386" s="32" t="n">
        <f aca="false">SUMIFS(Trades!$Y$2:$Y$884,Trades!$D$2:$D$884,$A386)</f>
        <v>-0.000334593636029019</v>
      </c>
      <c r="M386" s="30" t="n">
        <f aca="false">P385</f>
        <v>106841.67</v>
      </c>
      <c r="N386" s="29" t="n">
        <f aca="false">IFERROR(F386/M386,0)</f>
        <v>-3.74385761660221E-007</v>
      </c>
      <c r="O386" s="28" t="str">
        <f aca="false">IF(-N386&gt;=Summary!$C$7,"BREACH","")</f>
        <v/>
      </c>
      <c r="P386" s="30" t="n">
        <f aca="false">M386+F386</f>
        <v>106841.63</v>
      </c>
      <c r="Q386" s="30" t="n">
        <f aca="false">P386-Summary!$C$5</f>
        <v>6841.63000000008</v>
      </c>
      <c r="R386" s="2" t="str">
        <f aca="false">TEXT(A386,"ddd")</f>
        <v>Thu</v>
      </c>
    </row>
    <row r="387" customFormat="false" ht="15" hidden="false" customHeight="false" outlineLevel="0" collapsed="false">
      <c r="A387" s="42" t="n">
        <v>45660</v>
      </c>
      <c r="B387" s="28" t="n">
        <f aca="false">COUNTIFS(Trades!$D$2:$D$884,$A387)</f>
        <v>1</v>
      </c>
      <c r="C387" s="28" t="n">
        <f aca="false">COUNTIFS(Trades!$D$2:$D$884,$A387,Trades!$Z$2:$Z$884,"Win")</f>
        <v>0</v>
      </c>
      <c r="D387" s="28" t="n">
        <f aca="false">COUNTIFS(Trades!$D$2:$D$884,$A387,Trades!$Z$2:$Z$884,"Loss")</f>
        <v>1</v>
      </c>
      <c r="E387" s="29" t="n">
        <f aca="false">IFERROR(C387/B387,0)</f>
        <v>0</v>
      </c>
      <c r="F387" s="30" t="n">
        <f aca="false">SUMIFS(Trades!$X$2:$X$884,Trades!$D$2:$D$884,$A387)</f>
        <v>-79.46</v>
      </c>
      <c r="G387" s="30" t="n">
        <f aca="false">SUMIFS(Trades!$X$2:$X$884,Trades!$D$2:$D$884,$A387,Trades!$X$2:$X$884,"&gt;0")</f>
        <v>0</v>
      </c>
      <c r="H387" s="30" t="n">
        <f aca="false">SUMIFS(Trades!$X$2:$X$884,Trades!$D$2:$D$884,$A387,Trades!$X$2:$X$884,"&lt;0")</f>
        <v>-79.46</v>
      </c>
      <c r="I387" s="31" t="n">
        <f aca="false">IFERROR(G387/-H387,"no loss")</f>
        <v>0</v>
      </c>
      <c r="J387" s="30" t="n">
        <f aca="false">_xlfn.MAXIFS(Trades!$X$2:$X$884,Trades!$D$2:$D$884,$A387)</f>
        <v>-79.46</v>
      </c>
      <c r="K387" s="30" t="n">
        <f aca="false">_xlfn.MINIFS(Trades!$X$2:$X$884,Trades!$D$2:$D$884,$A387)</f>
        <v>-79.46</v>
      </c>
      <c r="L387" s="32" t="n">
        <f aca="false">SUMIFS(Trades!$Y$2:$Y$884,Trades!$D$2:$D$884,$A387)</f>
        <v>-1.00050365147322</v>
      </c>
      <c r="M387" s="30" t="n">
        <f aca="false">P386</f>
        <v>106841.63</v>
      </c>
      <c r="N387" s="29" t="n">
        <f aca="false">IFERROR(F387/M387,0)</f>
        <v>-0.000743717593975307</v>
      </c>
      <c r="O387" s="28" t="str">
        <f aca="false">IF(-N387&gt;=Summary!$C$7,"BREACH","")</f>
        <v/>
      </c>
      <c r="P387" s="30" t="n">
        <f aca="false">M387+F387</f>
        <v>106762.17</v>
      </c>
      <c r="Q387" s="30" t="n">
        <f aca="false">P387-Summary!$C$5</f>
        <v>6762.17000000007</v>
      </c>
      <c r="R387" s="2" t="str">
        <f aca="false">TEXT(A387,"ddd")</f>
        <v>Fri</v>
      </c>
    </row>
    <row r="388" customFormat="false" ht="15" hidden="false" customHeight="false" outlineLevel="0" collapsed="false">
      <c r="A388" s="42" t="n">
        <v>45663</v>
      </c>
      <c r="B388" s="28" t="n">
        <f aca="false">COUNTIFS(Trades!$D$2:$D$884,$A388)</f>
        <v>1</v>
      </c>
      <c r="C388" s="28" t="n">
        <f aca="false">COUNTIFS(Trades!$D$2:$D$884,$A388,Trades!$Z$2:$Z$884,"Win")</f>
        <v>1</v>
      </c>
      <c r="D388" s="28" t="n">
        <f aca="false">COUNTIFS(Trades!$D$2:$D$884,$A388,Trades!$Z$2:$Z$884,"Loss")</f>
        <v>0</v>
      </c>
      <c r="E388" s="29" t="n">
        <f aca="false">IFERROR(C388/B388,0)</f>
        <v>1</v>
      </c>
      <c r="F388" s="30" t="n">
        <f aca="false">SUMIFS(Trades!$X$2:$X$884,Trades!$D$2:$D$884,$A388)</f>
        <v>86.77</v>
      </c>
      <c r="G388" s="30" t="n">
        <f aca="false">SUMIFS(Trades!$X$2:$X$884,Trades!$D$2:$D$884,$A388,Trades!$X$2:$X$884,"&gt;0")</f>
        <v>86.77</v>
      </c>
      <c r="H388" s="30" t="n">
        <f aca="false">SUMIFS(Trades!$X$2:$X$884,Trades!$D$2:$D$884,$A388,Trades!$X$2:$X$884,"&lt;0")</f>
        <v>0</v>
      </c>
      <c r="I388" s="31" t="str">
        <f aca="false">IFERROR(G388/-H388,"no loss")</f>
        <v>no loss</v>
      </c>
      <c r="J388" s="30" t="n">
        <f aca="false">_xlfn.MAXIFS(Trades!$X$2:$X$884,Trades!$D$2:$D$884,$A388)</f>
        <v>86.77</v>
      </c>
      <c r="K388" s="30" t="n">
        <f aca="false">_xlfn.MINIFS(Trades!$X$2:$X$884,Trades!$D$2:$D$884,$A388)</f>
        <v>86.77</v>
      </c>
      <c r="L388" s="32" t="n">
        <f aca="false">SUMIFS(Trades!$Y$2:$Y$884,Trades!$D$2:$D$884,$A388)</f>
        <v>2.06280905287232</v>
      </c>
      <c r="M388" s="30" t="n">
        <f aca="false">P387</f>
        <v>106762.17</v>
      </c>
      <c r="N388" s="29" t="n">
        <f aca="false">IFERROR(F388/M388,0)</f>
        <v>0.000812741067364966</v>
      </c>
      <c r="O388" s="28" t="str">
        <f aca="false">IF(-N388&gt;=Summary!$C$7,"BREACH","")</f>
        <v/>
      </c>
      <c r="P388" s="30" t="n">
        <f aca="false">M388+F388</f>
        <v>106848.94</v>
      </c>
      <c r="Q388" s="30" t="n">
        <f aca="false">P388-Summary!$C$5</f>
        <v>6848.94000000008</v>
      </c>
      <c r="R388" s="2" t="str">
        <f aca="false">TEXT(A388,"ddd")</f>
        <v>Mon</v>
      </c>
    </row>
    <row r="389" customFormat="false" ht="15" hidden="false" customHeight="false" outlineLevel="0" collapsed="false">
      <c r="A389" s="42" t="n">
        <v>45664</v>
      </c>
      <c r="B389" s="28" t="n">
        <f aca="false">COUNTIFS(Trades!$D$2:$D$884,$A389)</f>
        <v>1</v>
      </c>
      <c r="C389" s="28" t="n">
        <f aca="false">COUNTIFS(Trades!$D$2:$D$884,$A389,Trades!$Z$2:$Z$884,"Win")</f>
        <v>0</v>
      </c>
      <c r="D389" s="28" t="n">
        <f aca="false">COUNTIFS(Trades!$D$2:$D$884,$A389,Trades!$Z$2:$Z$884,"Loss")</f>
        <v>1</v>
      </c>
      <c r="E389" s="29" t="n">
        <f aca="false">IFERROR(C389/B389,0)</f>
        <v>0</v>
      </c>
      <c r="F389" s="30" t="n">
        <f aca="false">SUMIFS(Trades!$X$2:$X$884,Trades!$D$2:$D$884,$A389)</f>
        <v>-287.8</v>
      </c>
      <c r="G389" s="30" t="n">
        <f aca="false">SUMIFS(Trades!$X$2:$X$884,Trades!$D$2:$D$884,$A389,Trades!$X$2:$X$884,"&gt;0")</f>
        <v>0</v>
      </c>
      <c r="H389" s="30" t="n">
        <f aca="false">SUMIFS(Trades!$X$2:$X$884,Trades!$D$2:$D$884,$A389,Trades!$X$2:$X$884,"&lt;0")</f>
        <v>-287.8</v>
      </c>
      <c r="I389" s="31" t="n">
        <f aca="false">IFERROR(G389/-H389,"no loss")</f>
        <v>0</v>
      </c>
      <c r="J389" s="30" t="n">
        <f aca="false">_xlfn.MAXIFS(Trades!$X$2:$X$884,Trades!$D$2:$D$884,$A389)</f>
        <v>-287.8</v>
      </c>
      <c r="K389" s="30" t="n">
        <f aca="false">_xlfn.MINIFS(Trades!$X$2:$X$884,Trades!$D$2:$D$884,$A389)</f>
        <v>-287.8</v>
      </c>
      <c r="L389" s="32" t="n">
        <f aca="false">SUMIFS(Trades!$Y$2:$Y$884,Trades!$D$2:$D$884,$A389)</f>
        <v>-1.00121063690631</v>
      </c>
      <c r="M389" s="30" t="n">
        <f aca="false">P388</f>
        <v>106848.94</v>
      </c>
      <c r="N389" s="29" t="n">
        <f aca="false">IFERROR(F389/M389,0)</f>
        <v>-0.00269352227546665</v>
      </c>
      <c r="O389" s="28" t="str">
        <f aca="false">IF(-N389&gt;=Summary!$C$7,"BREACH","")</f>
        <v/>
      </c>
      <c r="P389" s="30" t="n">
        <f aca="false">M389+F389</f>
        <v>106561.14</v>
      </c>
      <c r="Q389" s="30" t="n">
        <f aca="false">P389-Summary!$C$5</f>
        <v>6561.14000000007</v>
      </c>
      <c r="R389" s="2" t="str">
        <f aca="false">TEXT(A389,"ddd")</f>
        <v>Tue</v>
      </c>
    </row>
    <row r="390" customFormat="false" ht="15" hidden="false" customHeight="false" outlineLevel="0" collapsed="false">
      <c r="A390" s="42" t="n">
        <v>45665</v>
      </c>
      <c r="B390" s="28" t="n">
        <f aca="false">COUNTIFS(Trades!$D$2:$D$884,$A390)</f>
        <v>1</v>
      </c>
      <c r="C390" s="28" t="n">
        <f aca="false">COUNTIFS(Trades!$D$2:$D$884,$A390,Trades!$Z$2:$Z$884,"Win")</f>
        <v>0</v>
      </c>
      <c r="D390" s="28" t="n">
        <f aca="false">COUNTIFS(Trades!$D$2:$D$884,$A390,Trades!$Z$2:$Z$884,"Loss")</f>
        <v>1</v>
      </c>
      <c r="E390" s="29" t="n">
        <f aca="false">IFERROR(C390/B390,0)</f>
        <v>0</v>
      </c>
      <c r="F390" s="30" t="n">
        <f aca="false">SUMIFS(Trades!$X$2:$X$884,Trades!$D$2:$D$884,$A390)</f>
        <v>-2.29</v>
      </c>
      <c r="G390" s="30" t="n">
        <f aca="false">SUMIFS(Trades!$X$2:$X$884,Trades!$D$2:$D$884,$A390,Trades!$X$2:$X$884,"&gt;0")</f>
        <v>0</v>
      </c>
      <c r="H390" s="30" t="n">
        <f aca="false">SUMIFS(Trades!$X$2:$X$884,Trades!$D$2:$D$884,$A390,Trades!$X$2:$X$884,"&lt;0")</f>
        <v>-2.29</v>
      </c>
      <c r="I390" s="31" t="n">
        <f aca="false">IFERROR(G390/-H390,"no loss")</f>
        <v>0</v>
      </c>
      <c r="J390" s="30" t="n">
        <f aca="false">_xlfn.MAXIFS(Trades!$X$2:$X$884,Trades!$D$2:$D$884,$A390)</f>
        <v>-2.29</v>
      </c>
      <c r="K390" s="30" t="n">
        <f aca="false">_xlfn.MINIFS(Trades!$X$2:$X$884,Trades!$D$2:$D$884,$A390)</f>
        <v>-2.29</v>
      </c>
      <c r="L390" s="32" t="n">
        <f aca="false">SUMIFS(Trades!$Y$2:$Y$884,Trades!$D$2:$D$884,$A390)</f>
        <v>-0.0180088078011967</v>
      </c>
      <c r="M390" s="30" t="n">
        <f aca="false">P389</f>
        <v>106561.14</v>
      </c>
      <c r="N390" s="29" t="n">
        <f aca="false">IFERROR(F390/M390,0)</f>
        <v>-2.14900103358504E-005</v>
      </c>
      <c r="O390" s="28" t="str">
        <f aca="false">IF(-N390&gt;=Summary!$C$7,"BREACH","")</f>
        <v/>
      </c>
      <c r="P390" s="30" t="n">
        <f aca="false">M390+F390</f>
        <v>106558.85</v>
      </c>
      <c r="Q390" s="30" t="n">
        <f aca="false">P390-Summary!$C$5</f>
        <v>6558.85000000008</v>
      </c>
      <c r="R390" s="2" t="str">
        <f aca="false">TEXT(A390,"ddd")</f>
        <v>Wed</v>
      </c>
    </row>
    <row r="391" customFormat="false" ht="15" hidden="false" customHeight="false" outlineLevel="0" collapsed="false">
      <c r="A391" s="42" t="n">
        <v>45667</v>
      </c>
      <c r="B391" s="28" t="n">
        <f aca="false">COUNTIFS(Trades!$D$2:$D$884,$A391)</f>
        <v>2</v>
      </c>
      <c r="C391" s="28" t="n">
        <f aca="false">COUNTIFS(Trades!$D$2:$D$884,$A391,Trades!$Z$2:$Z$884,"Win")</f>
        <v>1</v>
      </c>
      <c r="D391" s="28" t="n">
        <f aca="false">COUNTIFS(Trades!$D$2:$D$884,$A391,Trades!$Z$2:$Z$884,"Loss")</f>
        <v>1</v>
      </c>
      <c r="E391" s="29" t="n">
        <f aca="false">IFERROR(C391/B391,0)</f>
        <v>0.5</v>
      </c>
      <c r="F391" s="30" t="n">
        <f aca="false">SUMIFS(Trades!$X$2:$X$884,Trades!$D$2:$D$884,$A391)</f>
        <v>96.84</v>
      </c>
      <c r="G391" s="30" t="n">
        <f aca="false">SUMIFS(Trades!$X$2:$X$884,Trades!$D$2:$D$884,$A391,Trades!$X$2:$X$884,"&gt;0")</f>
        <v>104.85</v>
      </c>
      <c r="H391" s="30" t="n">
        <f aca="false">SUMIFS(Trades!$X$2:$X$884,Trades!$D$2:$D$884,$A391,Trades!$X$2:$X$884,"&lt;0")</f>
        <v>-8.01</v>
      </c>
      <c r="I391" s="31" t="n">
        <f aca="false">IFERROR(G391/-H391,"no loss")</f>
        <v>13.0898876404494</v>
      </c>
      <c r="J391" s="30" t="n">
        <f aca="false">_xlfn.MAXIFS(Trades!$X$2:$X$884,Trades!$D$2:$D$884,$A391)</f>
        <v>104.85</v>
      </c>
      <c r="K391" s="30" t="n">
        <f aca="false">_xlfn.MINIFS(Trades!$X$2:$X$884,Trades!$D$2:$D$884,$A391)</f>
        <v>-8.01</v>
      </c>
      <c r="L391" s="32" t="n">
        <f aca="false">SUMIFS(Trades!$Y$2:$Y$884,Trades!$D$2:$D$884,$A391)</f>
        <v>1.95503739104596</v>
      </c>
      <c r="M391" s="30" t="n">
        <f aca="false">P390</f>
        <v>106558.85</v>
      </c>
      <c r="N391" s="29" t="n">
        <f aca="false">IFERROR(F391/M391,0)</f>
        <v>0.00090879359152243</v>
      </c>
      <c r="O391" s="28" t="str">
        <f aca="false">IF(-N391&gt;=Summary!$C$7,"BREACH","")</f>
        <v/>
      </c>
      <c r="P391" s="30" t="n">
        <f aca="false">M391+F391</f>
        <v>106655.69</v>
      </c>
      <c r="Q391" s="30" t="n">
        <f aca="false">P391-Summary!$C$5</f>
        <v>6655.69000000008</v>
      </c>
      <c r="R391" s="2" t="str">
        <f aca="false">TEXT(A391,"ddd")</f>
        <v>Fri</v>
      </c>
    </row>
    <row r="392" customFormat="false" ht="15" hidden="false" customHeight="false" outlineLevel="0" collapsed="false">
      <c r="A392" s="42" t="n">
        <v>45670</v>
      </c>
      <c r="B392" s="28" t="n">
        <f aca="false">COUNTIFS(Trades!$D$2:$D$884,$A392)</f>
        <v>1</v>
      </c>
      <c r="C392" s="28" t="n">
        <f aca="false">COUNTIFS(Trades!$D$2:$D$884,$A392,Trades!$Z$2:$Z$884,"Win")</f>
        <v>0</v>
      </c>
      <c r="D392" s="28" t="n">
        <f aca="false">COUNTIFS(Trades!$D$2:$D$884,$A392,Trades!$Z$2:$Z$884,"Loss")</f>
        <v>1</v>
      </c>
      <c r="E392" s="29" t="n">
        <f aca="false">IFERROR(C392/B392,0)</f>
        <v>0</v>
      </c>
      <c r="F392" s="30" t="n">
        <f aca="false">SUMIFS(Trades!$X$2:$X$884,Trades!$D$2:$D$884,$A392)</f>
        <v>-112.56</v>
      </c>
      <c r="G392" s="30" t="n">
        <f aca="false">SUMIFS(Trades!$X$2:$X$884,Trades!$D$2:$D$884,$A392,Trades!$X$2:$X$884,"&gt;0")</f>
        <v>0</v>
      </c>
      <c r="H392" s="30" t="n">
        <f aca="false">SUMIFS(Trades!$X$2:$X$884,Trades!$D$2:$D$884,$A392,Trades!$X$2:$X$884,"&lt;0")</f>
        <v>-112.56</v>
      </c>
      <c r="I392" s="31" t="n">
        <f aca="false">IFERROR(G392/-H392,"no loss")</f>
        <v>0</v>
      </c>
      <c r="J392" s="30" t="n">
        <f aca="false">_xlfn.MAXIFS(Trades!$X$2:$X$884,Trades!$D$2:$D$884,$A392)</f>
        <v>-112.56</v>
      </c>
      <c r="K392" s="30" t="n">
        <f aca="false">_xlfn.MINIFS(Trades!$X$2:$X$884,Trades!$D$2:$D$884,$A392)</f>
        <v>-112.56</v>
      </c>
      <c r="L392" s="32" t="n">
        <f aca="false">SUMIFS(Trades!$Y$2:$Y$884,Trades!$D$2:$D$884,$A392)</f>
        <v>-1.01030409650676</v>
      </c>
      <c r="M392" s="30" t="n">
        <f aca="false">P391</f>
        <v>106655.69</v>
      </c>
      <c r="N392" s="29" t="n">
        <f aca="false">IFERROR(F392/M392,0)</f>
        <v>-0.00105535860299624</v>
      </c>
      <c r="O392" s="28" t="str">
        <f aca="false">IF(-N392&gt;=Summary!$C$7,"BREACH","")</f>
        <v/>
      </c>
      <c r="P392" s="30" t="n">
        <f aca="false">M392+F392</f>
        <v>106543.13</v>
      </c>
      <c r="Q392" s="30" t="n">
        <f aca="false">P392-Summary!$C$5</f>
        <v>6543.13000000008</v>
      </c>
      <c r="R392" s="2" t="str">
        <f aca="false">TEXT(A392,"ddd")</f>
        <v>Mon</v>
      </c>
    </row>
    <row r="393" customFormat="false" ht="15" hidden="false" customHeight="false" outlineLevel="0" collapsed="false">
      <c r="A393" s="42" t="n">
        <v>45671</v>
      </c>
      <c r="B393" s="28" t="n">
        <f aca="false">COUNTIFS(Trades!$D$2:$D$884,$A393)</f>
        <v>1</v>
      </c>
      <c r="C393" s="28" t="n">
        <f aca="false">COUNTIFS(Trades!$D$2:$D$884,$A393,Trades!$Z$2:$Z$884,"Win")</f>
        <v>0</v>
      </c>
      <c r="D393" s="28" t="n">
        <f aca="false">COUNTIFS(Trades!$D$2:$D$884,$A393,Trades!$Z$2:$Z$884,"Loss")</f>
        <v>1</v>
      </c>
      <c r="E393" s="29" t="n">
        <f aca="false">IFERROR(C393/B393,0)</f>
        <v>0</v>
      </c>
      <c r="F393" s="30" t="n">
        <f aca="false">SUMIFS(Trades!$X$2:$X$884,Trades!$D$2:$D$884,$A393)</f>
        <v>-7.35</v>
      </c>
      <c r="G393" s="30" t="n">
        <f aca="false">SUMIFS(Trades!$X$2:$X$884,Trades!$D$2:$D$884,$A393,Trades!$X$2:$X$884,"&gt;0")</f>
        <v>0</v>
      </c>
      <c r="H393" s="30" t="n">
        <f aca="false">SUMIFS(Trades!$X$2:$X$884,Trades!$D$2:$D$884,$A393,Trades!$X$2:$X$884,"&lt;0")</f>
        <v>-7.35</v>
      </c>
      <c r="I393" s="31" t="n">
        <f aca="false">IFERROR(G393/-H393,"no loss")</f>
        <v>0</v>
      </c>
      <c r="J393" s="30" t="n">
        <f aca="false">_xlfn.MAXIFS(Trades!$X$2:$X$884,Trades!$D$2:$D$884,$A393)</f>
        <v>-7.35</v>
      </c>
      <c r="K393" s="30" t="n">
        <f aca="false">_xlfn.MINIFS(Trades!$X$2:$X$884,Trades!$D$2:$D$884,$A393)</f>
        <v>-7.35</v>
      </c>
      <c r="L393" s="32" t="n">
        <f aca="false">SUMIFS(Trades!$Y$2:$Y$884,Trades!$D$2:$D$884,$A393)</f>
        <v>-0.060987752663548</v>
      </c>
      <c r="M393" s="30" t="n">
        <f aca="false">P392</f>
        <v>106543.13</v>
      </c>
      <c r="N393" s="29" t="n">
        <f aca="false">IFERROR(F393/M393,0)</f>
        <v>-6.89861467370068E-005</v>
      </c>
      <c r="O393" s="28" t="str">
        <f aca="false">IF(-N393&gt;=Summary!$C$7,"BREACH","")</f>
        <v/>
      </c>
      <c r="P393" s="30" t="n">
        <f aca="false">M393+F393</f>
        <v>106535.78</v>
      </c>
      <c r="Q393" s="30" t="n">
        <f aca="false">P393-Summary!$C$5</f>
        <v>6535.78000000007</v>
      </c>
      <c r="R393" s="2" t="str">
        <f aca="false">TEXT(A393,"ddd")</f>
        <v>Tue</v>
      </c>
    </row>
    <row r="394" customFormat="false" ht="15" hidden="false" customHeight="false" outlineLevel="0" collapsed="false">
      <c r="A394" s="42" t="n">
        <v>45672</v>
      </c>
      <c r="B394" s="28" t="n">
        <f aca="false">COUNTIFS(Trades!$D$2:$D$884,$A394)</f>
        <v>1</v>
      </c>
      <c r="C394" s="28" t="n">
        <f aca="false">COUNTIFS(Trades!$D$2:$D$884,$A394,Trades!$Z$2:$Z$884,"Win")</f>
        <v>1</v>
      </c>
      <c r="D394" s="28" t="n">
        <f aca="false">COUNTIFS(Trades!$D$2:$D$884,$A394,Trades!$Z$2:$Z$884,"Loss")</f>
        <v>0</v>
      </c>
      <c r="E394" s="29" t="n">
        <f aca="false">IFERROR(C394/B394,0)</f>
        <v>1</v>
      </c>
      <c r="F394" s="30" t="n">
        <f aca="false">SUMIFS(Trades!$X$2:$X$884,Trades!$D$2:$D$884,$A394)</f>
        <v>518.63</v>
      </c>
      <c r="G394" s="30" t="n">
        <f aca="false">SUMIFS(Trades!$X$2:$X$884,Trades!$D$2:$D$884,$A394,Trades!$X$2:$X$884,"&gt;0")</f>
        <v>518.63</v>
      </c>
      <c r="H394" s="30" t="n">
        <f aca="false">SUMIFS(Trades!$X$2:$X$884,Trades!$D$2:$D$884,$A394,Trades!$X$2:$X$884,"&lt;0")</f>
        <v>0</v>
      </c>
      <c r="I394" s="31" t="str">
        <f aca="false">IFERROR(G394/-H394,"no loss")</f>
        <v>no loss</v>
      </c>
      <c r="J394" s="30" t="n">
        <f aca="false">_xlfn.MAXIFS(Trades!$X$2:$X$884,Trades!$D$2:$D$884,$A394)</f>
        <v>518.63</v>
      </c>
      <c r="K394" s="30" t="n">
        <f aca="false">_xlfn.MINIFS(Trades!$X$2:$X$884,Trades!$D$2:$D$884,$A394)</f>
        <v>518.63</v>
      </c>
      <c r="L394" s="32" t="n">
        <f aca="false">SUMIFS(Trades!$Y$2:$Y$884,Trades!$D$2:$D$884,$A394)</f>
        <v>2.01591336660611</v>
      </c>
      <c r="M394" s="30" t="n">
        <f aca="false">P393</f>
        <v>106535.78</v>
      </c>
      <c r="N394" s="29" t="n">
        <f aca="false">IFERROR(F394/M394,0)</f>
        <v>0.0048681297494607</v>
      </c>
      <c r="O394" s="28" t="str">
        <f aca="false">IF(-N394&gt;=Summary!$C$7,"BREACH","")</f>
        <v/>
      </c>
      <c r="P394" s="30" t="n">
        <f aca="false">M394+F394</f>
        <v>107054.41</v>
      </c>
      <c r="Q394" s="30" t="n">
        <f aca="false">P394-Summary!$C$5</f>
        <v>7054.41000000008</v>
      </c>
      <c r="R394" s="2" t="str">
        <f aca="false">TEXT(A394,"ddd")</f>
        <v>Wed</v>
      </c>
    </row>
    <row r="395" customFormat="false" ht="15" hidden="false" customHeight="false" outlineLevel="0" collapsed="false">
      <c r="A395" s="42" t="n">
        <v>45673</v>
      </c>
      <c r="B395" s="28" t="n">
        <f aca="false">COUNTIFS(Trades!$D$2:$D$884,$A395)</f>
        <v>1</v>
      </c>
      <c r="C395" s="28" t="n">
        <f aca="false">COUNTIFS(Trades!$D$2:$D$884,$A395,Trades!$Z$2:$Z$884,"Win")</f>
        <v>1</v>
      </c>
      <c r="D395" s="28" t="n">
        <f aca="false">COUNTIFS(Trades!$D$2:$D$884,$A395,Trades!$Z$2:$Z$884,"Loss")</f>
        <v>0</v>
      </c>
      <c r="E395" s="29" t="n">
        <f aca="false">IFERROR(C395/B395,0)</f>
        <v>1</v>
      </c>
      <c r="F395" s="30" t="n">
        <f aca="false">SUMIFS(Trades!$X$2:$X$884,Trades!$D$2:$D$884,$A395)</f>
        <v>130.77</v>
      </c>
      <c r="G395" s="30" t="n">
        <f aca="false">SUMIFS(Trades!$X$2:$X$884,Trades!$D$2:$D$884,$A395,Trades!$X$2:$X$884,"&gt;0")</f>
        <v>130.77</v>
      </c>
      <c r="H395" s="30" t="n">
        <f aca="false">SUMIFS(Trades!$X$2:$X$884,Trades!$D$2:$D$884,$A395,Trades!$X$2:$X$884,"&lt;0")</f>
        <v>0</v>
      </c>
      <c r="I395" s="31" t="str">
        <f aca="false">IFERROR(G395/-H395,"no loss")</f>
        <v>no loss</v>
      </c>
      <c r="J395" s="30" t="n">
        <f aca="false">_xlfn.MAXIFS(Trades!$X$2:$X$884,Trades!$D$2:$D$884,$A395)</f>
        <v>130.77</v>
      </c>
      <c r="K395" s="30" t="n">
        <f aca="false">_xlfn.MINIFS(Trades!$X$2:$X$884,Trades!$D$2:$D$884,$A395)</f>
        <v>130.77</v>
      </c>
      <c r="L395" s="32" t="n">
        <f aca="false">SUMIFS(Trades!$Y$2:$Y$884,Trades!$D$2:$D$884,$A395)</f>
        <v>2.03425424677983</v>
      </c>
      <c r="M395" s="30" t="n">
        <f aca="false">P394</f>
        <v>107054.41</v>
      </c>
      <c r="N395" s="29" t="n">
        <f aca="false">IFERROR(F395/M395,0)</f>
        <v>0.00122152837982106</v>
      </c>
      <c r="O395" s="28" t="str">
        <f aca="false">IF(-N395&gt;=Summary!$C$7,"BREACH","")</f>
        <v/>
      </c>
      <c r="P395" s="30" t="n">
        <f aca="false">M395+F395</f>
        <v>107185.18</v>
      </c>
      <c r="Q395" s="30" t="n">
        <f aca="false">P395-Summary!$C$5</f>
        <v>7185.18000000008</v>
      </c>
      <c r="R395" s="2" t="str">
        <f aca="false">TEXT(A395,"ddd")</f>
        <v>Thu</v>
      </c>
    </row>
    <row r="396" customFormat="false" ht="15" hidden="false" customHeight="false" outlineLevel="0" collapsed="false">
      <c r="A396" s="42" t="n">
        <v>45674</v>
      </c>
      <c r="B396" s="28" t="n">
        <f aca="false">COUNTIFS(Trades!$D$2:$D$884,$A396)</f>
        <v>1</v>
      </c>
      <c r="C396" s="28" t="n">
        <f aca="false">COUNTIFS(Trades!$D$2:$D$884,$A396,Trades!$Z$2:$Z$884,"Win")</f>
        <v>1</v>
      </c>
      <c r="D396" s="28" t="n">
        <f aca="false">COUNTIFS(Trades!$D$2:$D$884,$A396,Trades!$Z$2:$Z$884,"Loss")</f>
        <v>0</v>
      </c>
      <c r="E396" s="29" t="n">
        <f aca="false">IFERROR(C396/B396,0)</f>
        <v>1</v>
      </c>
      <c r="F396" s="30" t="n">
        <f aca="false">SUMIFS(Trades!$X$2:$X$884,Trades!$D$2:$D$884,$A396)</f>
        <v>209.22</v>
      </c>
      <c r="G396" s="30" t="n">
        <f aca="false">SUMIFS(Trades!$X$2:$X$884,Trades!$D$2:$D$884,$A396,Trades!$X$2:$X$884,"&gt;0")</f>
        <v>209.22</v>
      </c>
      <c r="H396" s="30" t="n">
        <f aca="false">SUMIFS(Trades!$X$2:$X$884,Trades!$D$2:$D$884,$A396,Trades!$X$2:$X$884,"&lt;0")</f>
        <v>0</v>
      </c>
      <c r="I396" s="31" t="str">
        <f aca="false">IFERROR(G396/-H396,"no loss")</f>
        <v>no loss</v>
      </c>
      <c r="J396" s="30" t="n">
        <f aca="false">_xlfn.MAXIFS(Trades!$X$2:$X$884,Trades!$D$2:$D$884,$A396)</f>
        <v>209.22</v>
      </c>
      <c r="K396" s="30" t="n">
        <f aca="false">_xlfn.MINIFS(Trades!$X$2:$X$884,Trades!$D$2:$D$884,$A396)</f>
        <v>209.22</v>
      </c>
      <c r="L396" s="32" t="n">
        <f aca="false">SUMIFS(Trades!$Y$2:$Y$884,Trades!$D$2:$D$884,$A396)</f>
        <v>2.06111833550068</v>
      </c>
      <c r="M396" s="30" t="n">
        <f aca="false">P395</f>
        <v>107185.18</v>
      </c>
      <c r="N396" s="29" t="n">
        <f aca="false">IFERROR(F396/M396,0)</f>
        <v>0.00195194895413713</v>
      </c>
      <c r="O396" s="28" t="str">
        <f aca="false">IF(-N396&gt;=Summary!$C$7,"BREACH","")</f>
        <v/>
      </c>
      <c r="P396" s="30" t="n">
        <f aca="false">M396+F396</f>
        <v>107394.4</v>
      </c>
      <c r="Q396" s="30" t="n">
        <f aca="false">P396-Summary!$C$5</f>
        <v>7394.40000000008</v>
      </c>
      <c r="R396" s="2" t="str">
        <f aca="false">TEXT(A396,"ddd")</f>
        <v>Fri</v>
      </c>
    </row>
    <row r="397" customFormat="false" ht="15" hidden="false" customHeight="false" outlineLevel="0" collapsed="false">
      <c r="A397" s="42" t="n">
        <v>45677</v>
      </c>
      <c r="B397" s="28" t="n">
        <f aca="false">COUNTIFS(Trades!$D$2:$D$884,$A397)</f>
        <v>1</v>
      </c>
      <c r="C397" s="28" t="n">
        <f aca="false">COUNTIFS(Trades!$D$2:$D$884,$A397,Trades!$Z$2:$Z$884,"Win")</f>
        <v>0</v>
      </c>
      <c r="D397" s="28" t="n">
        <f aca="false">COUNTIFS(Trades!$D$2:$D$884,$A397,Trades!$Z$2:$Z$884,"Loss")</f>
        <v>1</v>
      </c>
      <c r="E397" s="29" t="n">
        <f aca="false">IFERROR(C397/B397,0)</f>
        <v>0</v>
      </c>
      <c r="F397" s="30" t="n">
        <f aca="false">SUMIFS(Trades!$X$2:$X$884,Trades!$D$2:$D$884,$A397)</f>
        <v>-0.31</v>
      </c>
      <c r="G397" s="30" t="n">
        <f aca="false">SUMIFS(Trades!$X$2:$X$884,Trades!$D$2:$D$884,$A397,Trades!$X$2:$X$884,"&gt;0")</f>
        <v>0</v>
      </c>
      <c r="H397" s="30" t="n">
        <f aca="false">SUMIFS(Trades!$X$2:$X$884,Trades!$D$2:$D$884,$A397,Trades!$X$2:$X$884,"&lt;0")</f>
        <v>-0.31</v>
      </c>
      <c r="I397" s="31" t="n">
        <f aca="false">IFERROR(G397/-H397,"no loss")</f>
        <v>0</v>
      </c>
      <c r="J397" s="30" t="n">
        <f aca="false">_xlfn.MAXIFS(Trades!$X$2:$X$884,Trades!$D$2:$D$884,$A397)</f>
        <v>-0.31</v>
      </c>
      <c r="K397" s="30" t="n">
        <f aca="false">_xlfn.MINIFS(Trades!$X$2:$X$884,Trades!$D$2:$D$884,$A397)</f>
        <v>-0.31</v>
      </c>
      <c r="L397" s="32" t="n">
        <f aca="false">SUMIFS(Trades!$Y$2:$Y$884,Trades!$D$2:$D$884,$A397)</f>
        <v>-0.00374359965220757</v>
      </c>
      <c r="M397" s="30" t="n">
        <f aca="false">P396</f>
        <v>107394.4</v>
      </c>
      <c r="N397" s="29" t="n">
        <f aca="false">IFERROR(F397/M397,0)</f>
        <v>-2.8865564684937E-006</v>
      </c>
      <c r="O397" s="28" t="str">
        <f aca="false">IF(-N397&gt;=Summary!$C$7,"BREACH","")</f>
        <v/>
      </c>
      <c r="P397" s="30" t="n">
        <f aca="false">M397+F397</f>
        <v>107394.09</v>
      </c>
      <c r="Q397" s="30" t="n">
        <f aca="false">P397-Summary!$C$5</f>
        <v>7394.09000000008</v>
      </c>
      <c r="R397" s="2" t="str">
        <f aca="false">TEXT(A397,"ddd")</f>
        <v>Mon</v>
      </c>
    </row>
    <row r="398" customFormat="false" ht="15" hidden="false" customHeight="false" outlineLevel="0" collapsed="false">
      <c r="A398" s="42" t="n">
        <v>45678</v>
      </c>
      <c r="B398" s="28" t="n">
        <f aca="false">COUNTIFS(Trades!$D$2:$D$884,$A398)</f>
        <v>1</v>
      </c>
      <c r="C398" s="28" t="n">
        <f aca="false">COUNTIFS(Trades!$D$2:$D$884,$A398,Trades!$Z$2:$Z$884,"Win")</f>
        <v>0</v>
      </c>
      <c r="D398" s="28" t="n">
        <f aca="false">COUNTIFS(Trades!$D$2:$D$884,$A398,Trades!$Z$2:$Z$884,"Loss")</f>
        <v>1</v>
      </c>
      <c r="E398" s="29" t="n">
        <f aca="false">IFERROR(C398/B398,0)</f>
        <v>0</v>
      </c>
      <c r="F398" s="30" t="n">
        <f aca="false">SUMIFS(Trades!$X$2:$X$884,Trades!$D$2:$D$884,$A398)</f>
        <v>-3.96</v>
      </c>
      <c r="G398" s="30" t="n">
        <f aca="false">SUMIFS(Trades!$X$2:$X$884,Trades!$D$2:$D$884,$A398,Trades!$X$2:$X$884,"&gt;0")</f>
        <v>0</v>
      </c>
      <c r="H398" s="30" t="n">
        <f aca="false">SUMIFS(Trades!$X$2:$X$884,Trades!$D$2:$D$884,$A398,Trades!$X$2:$X$884,"&lt;0")</f>
        <v>-3.96</v>
      </c>
      <c r="I398" s="31" t="n">
        <f aca="false">IFERROR(G398/-H398,"no loss")</f>
        <v>0</v>
      </c>
      <c r="J398" s="30" t="n">
        <f aca="false">_xlfn.MAXIFS(Trades!$X$2:$X$884,Trades!$D$2:$D$884,$A398)</f>
        <v>-3.96</v>
      </c>
      <c r="K398" s="30" t="n">
        <f aca="false">_xlfn.MINIFS(Trades!$X$2:$X$884,Trades!$D$2:$D$884,$A398)</f>
        <v>-3.96</v>
      </c>
      <c r="L398" s="32" t="n">
        <f aca="false">SUMIFS(Trades!$Y$2:$Y$884,Trades!$D$2:$D$884,$A398)</f>
        <v>-0.00994804907704198</v>
      </c>
      <c r="M398" s="30" t="n">
        <f aca="false">P397</f>
        <v>107394.09</v>
      </c>
      <c r="N398" s="29" t="n">
        <f aca="false">IFERROR(F398/M398,0)</f>
        <v>-3.68735374544353E-005</v>
      </c>
      <c r="O398" s="28" t="str">
        <f aca="false">IF(-N398&gt;=Summary!$C$7,"BREACH","")</f>
        <v/>
      </c>
      <c r="P398" s="30" t="n">
        <f aca="false">M398+F398</f>
        <v>107390.13</v>
      </c>
      <c r="Q398" s="30" t="n">
        <f aca="false">P398-Summary!$C$5</f>
        <v>7390.13000000008</v>
      </c>
      <c r="R398" s="2" t="str">
        <f aca="false">TEXT(A398,"ddd")</f>
        <v>Tue</v>
      </c>
    </row>
    <row r="399" customFormat="false" ht="15" hidden="false" customHeight="false" outlineLevel="0" collapsed="false">
      <c r="A399" s="42" t="n">
        <v>45679</v>
      </c>
      <c r="B399" s="28" t="n">
        <f aca="false">COUNTIFS(Trades!$D$2:$D$884,$A399)</f>
        <v>1</v>
      </c>
      <c r="C399" s="28" t="n">
        <f aca="false">COUNTIFS(Trades!$D$2:$D$884,$A399,Trades!$Z$2:$Z$884,"Win")</f>
        <v>0</v>
      </c>
      <c r="D399" s="28" t="n">
        <f aca="false">COUNTIFS(Trades!$D$2:$D$884,$A399,Trades!$Z$2:$Z$884,"Loss")</f>
        <v>1</v>
      </c>
      <c r="E399" s="29" t="n">
        <f aca="false">IFERROR(C399/B399,0)</f>
        <v>0</v>
      </c>
      <c r="F399" s="30" t="n">
        <f aca="false">SUMIFS(Trades!$X$2:$X$884,Trades!$D$2:$D$884,$A399)</f>
        <v>-5.94</v>
      </c>
      <c r="G399" s="30" t="n">
        <f aca="false">SUMIFS(Trades!$X$2:$X$884,Trades!$D$2:$D$884,$A399,Trades!$X$2:$X$884,"&gt;0")</f>
        <v>0</v>
      </c>
      <c r="H399" s="30" t="n">
        <f aca="false">SUMIFS(Trades!$X$2:$X$884,Trades!$D$2:$D$884,$A399,Trades!$X$2:$X$884,"&lt;0")</f>
        <v>-5.94</v>
      </c>
      <c r="I399" s="31" t="n">
        <f aca="false">IFERROR(G399/-H399,"no loss")</f>
        <v>0</v>
      </c>
      <c r="J399" s="30" t="n">
        <f aca="false">_xlfn.MAXIFS(Trades!$X$2:$X$884,Trades!$D$2:$D$884,$A399)</f>
        <v>-5.94</v>
      </c>
      <c r="K399" s="30" t="n">
        <f aca="false">_xlfn.MINIFS(Trades!$X$2:$X$884,Trades!$D$2:$D$884,$A399)</f>
        <v>-5.94</v>
      </c>
      <c r="L399" s="32" t="n">
        <f aca="false">SUMIFS(Trades!$Y$2:$Y$884,Trades!$D$2:$D$884,$A399)</f>
        <v>-0.0544354838709693</v>
      </c>
      <c r="M399" s="30" t="n">
        <f aca="false">P398</f>
        <v>107390.13</v>
      </c>
      <c r="N399" s="29" t="n">
        <f aca="false">IFERROR(F399/M399,0)</f>
        <v>-5.53123457435054E-005</v>
      </c>
      <c r="O399" s="28" t="str">
        <f aca="false">IF(-N399&gt;=Summary!$C$7,"BREACH","")</f>
        <v/>
      </c>
      <c r="P399" s="30" t="n">
        <f aca="false">M399+F399</f>
        <v>107384.19</v>
      </c>
      <c r="Q399" s="30" t="n">
        <f aca="false">P399-Summary!$C$5</f>
        <v>7384.19000000008</v>
      </c>
      <c r="R399" s="2" t="str">
        <f aca="false">TEXT(A399,"ddd")</f>
        <v>Wed</v>
      </c>
    </row>
    <row r="400" customFormat="false" ht="15" hidden="false" customHeight="false" outlineLevel="0" collapsed="false">
      <c r="A400" s="42" t="n">
        <v>45681</v>
      </c>
      <c r="B400" s="28" t="n">
        <f aca="false">COUNTIFS(Trades!$D$2:$D$884,$A400)</f>
        <v>1</v>
      </c>
      <c r="C400" s="28" t="n">
        <f aca="false">COUNTIFS(Trades!$D$2:$D$884,$A400,Trades!$Z$2:$Z$884,"Win")</f>
        <v>0</v>
      </c>
      <c r="D400" s="28" t="n">
        <f aca="false">COUNTIFS(Trades!$D$2:$D$884,$A400,Trades!$Z$2:$Z$884,"Loss")</f>
        <v>1</v>
      </c>
      <c r="E400" s="29" t="n">
        <f aca="false">IFERROR(C400/B400,0)</f>
        <v>0</v>
      </c>
      <c r="F400" s="30" t="n">
        <f aca="false">SUMIFS(Trades!$X$2:$X$884,Trades!$D$2:$D$884,$A400)</f>
        <v>-1.14</v>
      </c>
      <c r="G400" s="30" t="n">
        <f aca="false">SUMIFS(Trades!$X$2:$X$884,Trades!$D$2:$D$884,$A400,Trades!$X$2:$X$884,"&gt;0")</f>
        <v>0</v>
      </c>
      <c r="H400" s="30" t="n">
        <f aca="false">SUMIFS(Trades!$X$2:$X$884,Trades!$D$2:$D$884,$A400,Trades!$X$2:$X$884,"&lt;0")</f>
        <v>-1.14</v>
      </c>
      <c r="I400" s="31" t="n">
        <f aca="false">IFERROR(G400/-H400,"no loss")</f>
        <v>0</v>
      </c>
      <c r="J400" s="30" t="n">
        <f aca="false">_xlfn.MAXIFS(Trades!$X$2:$X$884,Trades!$D$2:$D$884,$A400)</f>
        <v>-1.14</v>
      </c>
      <c r="K400" s="30" t="n">
        <f aca="false">_xlfn.MINIFS(Trades!$X$2:$X$884,Trades!$D$2:$D$884,$A400)</f>
        <v>-1.14</v>
      </c>
      <c r="L400" s="32" t="n">
        <f aca="false">SUMIFS(Trades!$Y$2:$Y$884,Trades!$D$2:$D$884,$A400)</f>
        <v>-0.0222204896304384</v>
      </c>
      <c r="M400" s="30" t="n">
        <f aca="false">P399</f>
        <v>107384.19</v>
      </c>
      <c r="N400" s="29" t="n">
        <f aca="false">IFERROR(F400/M400,0)</f>
        <v>-1.06160878989728E-005</v>
      </c>
      <c r="O400" s="28" t="str">
        <f aca="false">IF(-N400&gt;=Summary!$C$7,"BREACH","")</f>
        <v/>
      </c>
      <c r="P400" s="30" t="n">
        <f aca="false">M400+F400</f>
        <v>107383.05</v>
      </c>
      <c r="Q400" s="30" t="n">
        <f aca="false">P400-Summary!$C$5</f>
        <v>7383.05000000008</v>
      </c>
      <c r="R400" s="2" t="str">
        <f aca="false">TEXT(A400,"ddd")</f>
        <v>Fri</v>
      </c>
    </row>
    <row r="401" customFormat="false" ht="15" hidden="false" customHeight="false" outlineLevel="0" collapsed="false">
      <c r="A401" s="42" t="n">
        <v>45684</v>
      </c>
      <c r="B401" s="28" t="n">
        <f aca="false">COUNTIFS(Trades!$D$2:$D$884,$A401)</f>
        <v>1</v>
      </c>
      <c r="C401" s="28" t="n">
        <f aca="false">COUNTIFS(Trades!$D$2:$D$884,$A401,Trades!$Z$2:$Z$884,"Win")</f>
        <v>1</v>
      </c>
      <c r="D401" s="28" t="n">
        <f aca="false">COUNTIFS(Trades!$D$2:$D$884,$A401,Trades!$Z$2:$Z$884,"Loss")</f>
        <v>0</v>
      </c>
      <c r="E401" s="29" t="n">
        <f aca="false">IFERROR(C401/B401,0)</f>
        <v>1</v>
      </c>
      <c r="F401" s="30" t="n">
        <f aca="false">SUMIFS(Trades!$X$2:$X$884,Trades!$D$2:$D$884,$A401)</f>
        <v>456.94</v>
      </c>
      <c r="G401" s="30" t="n">
        <f aca="false">SUMIFS(Trades!$X$2:$X$884,Trades!$D$2:$D$884,$A401,Trades!$X$2:$X$884,"&gt;0")</f>
        <v>456.94</v>
      </c>
      <c r="H401" s="30" t="n">
        <f aca="false">SUMIFS(Trades!$X$2:$X$884,Trades!$D$2:$D$884,$A401,Trades!$X$2:$X$884,"&lt;0")</f>
        <v>0</v>
      </c>
      <c r="I401" s="31" t="str">
        <f aca="false">IFERROR(G401/-H401,"no loss")</f>
        <v>no loss</v>
      </c>
      <c r="J401" s="30" t="n">
        <f aca="false">_xlfn.MAXIFS(Trades!$X$2:$X$884,Trades!$D$2:$D$884,$A401)</f>
        <v>456.94</v>
      </c>
      <c r="K401" s="30" t="n">
        <f aca="false">_xlfn.MINIFS(Trades!$X$2:$X$884,Trades!$D$2:$D$884,$A401)</f>
        <v>456.94</v>
      </c>
      <c r="L401" s="32" t="n">
        <f aca="false">SUMIFS(Trades!$Y$2:$Y$884,Trades!$D$2:$D$884,$A401)</f>
        <v>2.01846452866858</v>
      </c>
      <c r="M401" s="30" t="n">
        <f aca="false">P400</f>
        <v>107383.05</v>
      </c>
      <c r="N401" s="29" t="n">
        <f aca="false">IFERROR(F401/M401,0)</f>
        <v>0.00425523394986452</v>
      </c>
      <c r="O401" s="28" t="str">
        <f aca="false">IF(-N401&gt;=Summary!$C$7,"BREACH","")</f>
        <v/>
      </c>
      <c r="P401" s="30" t="n">
        <f aca="false">M401+F401</f>
        <v>107839.99</v>
      </c>
      <c r="Q401" s="30" t="n">
        <f aca="false">P401-Summary!$C$5</f>
        <v>7839.99000000008</v>
      </c>
      <c r="R401" s="2" t="str">
        <f aca="false">TEXT(A401,"ddd")</f>
        <v>Mon</v>
      </c>
    </row>
    <row r="402" customFormat="false" ht="15" hidden="false" customHeight="false" outlineLevel="0" collapsed="false">
      <c r="A402" s="42" t="n">
        <v>45686</v>
      </c>
      <c r="B402" s="28" t="n">
        <f aca="false">COUNTIFS(Trades!$D$2:$D$884,$A402)</f>
        <v>1</v>
      </c>
      <c r="C402" s="28" t="n">
        <f aca="false">COUNTIFS(Trades!$D$2:$D$884,$A402,Trades!$Z$2:$Z$884,"Win")</f>
        <v>0</v>
      </c>
      <c r="D402" s="28" t="n">
        <f aca="false">COUNTIFS(Trades!$D$2:$D$884,$A402,Trades!$Z$2:$Z$884,"Loss")</f>
        <v>1</v>
      </c>
      <c r="E402" s="29" t="n">
        <f aca="false">IFERROR(C402/B402,0)</f>
        <v>0</v>
      </c>
      <c r="F402" s="30" t="n">
        <f aca="false">SUMIFS(Trades!$X$2:$X$884,Trades!$D$2:$D$884,$A402)</f>
        <v>-1.32</v>
      </c>
      <c r="G402" s="30" t="n">
        <f aca="false">SUMIFS(Trades!$X$2:$X$884,Trades!$D$2:$D$884,$A402,Trades!$X$2:$X$884,"&gt;0")</f>
        <v>0</v>
      </c>
      <c r="H402" s="30" t="n">
        <f aca="false">SUMIFS(Trades!$X$2:$X$884,Trades!$D$2:$D$884,$A402,Trades!$X$2:$X$884,"&lt;0")</f>
        <v>-1.32</v>
      </c>
      <c r="I402" s="31" t="n">
        <f aca="false">IFERROR(G402/-H402,"no loss")</f>
        <v>0</v>
      </c>
      <c r="J402" s="30" t="n">
        <f aca="false">_xlfn.MAXIFS(Trades!$X$2:$X$884,Trades!$D$2:$D$884,$A402)</f>
        <v>-1.32</v>
      </c>
      <c r="K402" s="30" t="n">
        <f aca="false">_xlfn.MINIFS(Trades!$X$2:$X$884,Trades!$D$2:$D$884,$A402)</f>
        <v>-1.32</v>
      </c>
      <c r="L402" s="32" t="n">
        <f aca="false">SUMIFS(Trades!$Y$2:$Y$884,Trades!$D$2:$D$884,$A402)</f>
        <v>-0.0165289256198334</v>
      </c>
      <c r="M402" s="30" t="n">
        <f aca="false">P401</f>
        <v>107839.99</v>
      </c>
      <c r="N402" s="29" t="n">
        <f aca="false">IFERROR(F402/M402,0)</f>
        <v>-1.2240357218134E-005</v>
      </c>
      <c r="O402" s="28" t="str">
        <f aca="false">IF(-N402&gt;=Summary!$C$7,"BREACH","")</f>
        <v/>
      </c>
      <c r="P402" s="30" t="n">
        <f aca="false">M402+F402</f>
        <v>107838.67</v>
      </c>
      <c r="Q402" s="30" t="n">
        <f aca="false">P402-Summary!$C$5</f>
        <v>7838.67000000007</v>
      </c>
      <c r="R402" s="2" t="str">
        <f aca="false">TEXT(A402,"ddd")</f>
        <v>Wed</v>
      </c>
    </row>
    <row r="403" customFormat="false" ht="15" hidden="false" customHeight="false" outlineLevel="0" collapsed="false">
      <c r="A403" s="42" t="n">
        <v>45687</v>
      </c>
      <c r="B403" s="28" t="n">
        <f aca="false">COUNTIFS(Trades!$D$2:$D$884,$A403)</f>
        <v>1</v>
      </c>
      <c r="C403" s="28" t="n">
        <f aca="false">COUNTIFS(Trades!$D$2:$D$884,$A403,Trades!$Z$2:$Z$884,"Win")</f>
        <v>0</v>
      </c>
      <c r="D403" s="28" t="n">
        <f aca="false">COUNTIFS(Trades!$D$2:$D$884,$A403,Trades!$Z$2:$Z$884,"Loss")</f>
        <v>1</v>
      </c>
      <c r="E403" s="29" t="n">
        <f aca="false">IFERROR(C403/B403,0)</f>
        <v>0</v>
      </c>
      <c r="F403" s="30" t="n">
        <f aca="false">SUMIFS(Trades!$X$2:$X$884,Trades!$D$2:$D$884,$A403)</f>
        <v>-55.22</v>
      </c>
      <c r="G403" s="30" t="n">
        <f aca="false">SUMIFS(Trades!$X$2:$X$884,Trades!$D$2:$D$884,$A403,Trades!$X$2:$X$884,"&gt;0")</f>
        <v>0</v>
      </c>
      <c r="H403" s="30" t="n">
        <f aca="false">SUMIFS(Trades!$X$2:$X$884,Trades!$D$2:$D$884,$A403,Trades!$X$2:$X$884,"&lt;0")</f>
        <v>-55.22</v>
      </c>
      <c r="I403" s="31" t="n">
        <f aca="false">IFERROR(G403/-H403,"no loss")</f>
        <v>0</v>
      </c>
      <c r="J403" s="30" t="n">
        <f aca="false">_xlfn.MAXIFS(Trades!$X$2:$X$884,Trades!$D$2:$D$884,$A403)</f>
        <v>-55.22</v>
      </c>
      <c r="K403" s="30" t="n">
        <f aca="false">_xlfn.MINIFS(Trades!$X$2:$X$884,Trades!$D$2:$D$884,$A403)</f>
        <v>-55.22</v>
      </c>
      <c r="L403" s="32" t="n">
        <f aca="false">SUMIFS(Trades!$Y$2:$Y$884,Trades!$D$2:$D$884,$A403)</f>
        <v>-1.00884244373001</v>
      </c>
      <c r="M403" s="30" t="n">
        <f aca="false">P402</f>
        <v>107838.67</v>
      </c>
      <c r="N403" s="29" t="n">
        <f aca="false">IFERROR(F403/M403,0)</f>
        <v>-0.000512061211437418</v>
      </c>
      <c r="O403" s="28" t="str">
        <f aca="false">IF(-N403&gt;=Summary!$C$7,"BREACH","")</f>
        <v/>
      </c>
      <c r="P403" s="30" t="n">
        <f aca="false">M403+F403</f>
        <v>107783.45</v>
      </c>
      <c r="Q403" s="30" t="n">
        <f aca="false">P403-Summary!$C$5</f>
        <v>7783.45000000007</v>
      </c>
      <c r="R403" s="2" t="str">
        <f aca="false">TEXT(A403,"ddd")</f>
        <v>Thu</v>
      </c>
    </row>
    <row r="404" customFormat="false" ht="15" hidden="false" customHeight="false" outlineLevel="0" collapsed="false">
      <c r="A404" s="42" t="n">
        <v>45688</v>
      </c>
      <c r="B404" s="28" t="n">
        <f aca="false">COUNTIFS(Trades!$D$2:$D$884,$A404)</f>
        <v>1</v>
      </c>
      <c r="C404" s="28" t="n">
        <f aca="false">COUNTIFS(Trades!$D$2:$D$884,$A404,Trades!$Z$2:$Z$884,"Win")</f>
        <v>1</v>
      </c>
      <c r="D404" s="28" t="n">
        <f aca="false">COUNTIFS(Trades!$D$2:$D$884,$A404,Trades!$Z$2:$Z$884,"Loss")</f>
        <v>0</v>
      </c>
      <c r="E404" s="29" t="n">
        <f aca="false">IFERROR(C404/B404,0)</f>
        <v>1</v>
      </c>
      <c r="F404" s="30" t="n">
        <f aca="false">SUMIFS(Trades!$X$2:$X$884,Trades!$D$2:$D$884,$A404)</f>
        <v>100.85</v>
      </c>
      <c r="G404" s="30" t="n">
        <f aca="false">SUMIFS(Trades!$X$2:$X$884,Trades!$D$2:$D$884,$A404,Trades!$X$2:$X$884,"&gt;0")</f>
        <v>100.85</v>
      </c>
      <c r="H404" s="30" t="n">
        <f aca="false">SUMIFS(Trades!$X$2:$X$884,Trades!$D$2:$D$884,$A404,Trades!$X$2:$X$884,"&lt;0")</f>
        <v>0</v>
      </c>
      <c r="I404" s="31" t="str">
        <f aca="false">IFERROR(G404/-H404,"no loss")</f>
        <v>no loss</v>
      </c>
      <c r="J404" s="30" t="n">
        <f aca="false">_xlfn.MAXIFS(Trades!$X$2:$X$884,Trades!$D$2:$D$884,$A404)</f>
        <v>100.85</v>
      </c>
      <c r="K404" s="30" t="n">
        <f aca="false">_xlfn.MINIFS(Trades!$X$2:$X$884,Trades!$D$2:$D$884,$A404)</f>
        <v>100.85</v>
      </c>
      <c r="L404" s="32" t="n">
        <f aca="false">SUMIFS(Trades!$Y$2:$Y$884,Trades!$D$2:$D$884,$A404)</f>
        <v>2.03375816729846</v>
      </c>
      <c r="M404" s="30" t="n">
        <f aca="false">P403</f>
        <v>107783.45</v>
      </c>
      <c r="N404" s="29" t="n">
        <f aca="false">IFERROR(F404/M404,0)</f>
        <v>0.000935672406106874</v>
      </c>
      <c r="O404" s="28" t="str">
        <f aca="false">IF(-N404&gt;=Summary!$C$7,"BREACH","")</f>
        <v/>
      </c>
      <c r="P404" s="30" t="n">
        <f aca="false">M404+F404</f>
        <v>107884.3</v>
      </c>
      <c r="Q404" s="30" t="n">
        <f aca="false">P404-Summary!$C$5</f>
        <v>7884.30000000008</v>
      </c>
      <c r="R404" s="2" t="str">
        <f aca="false">TEXT(A404,"ddd")</f>
        <v>Fri</v>
      </c>
    </row>
    <row r="405" customFormat="false" ht="15" hidden="false" customHeight="false" outlineLevel="0" collapsed="false">
      <c r="A405" s="42" t="n">
        <v>45691</v>
      </c>
      <c r="B405" s="28" t="n">
        <f aca="false">COUNTIFS(Trades!$D$2:$D$884,$A405)</f>
        <v>1</v>
      </c>
      <c r="C405" s="28" t="n">
        <f aca="false">COUNTIFS(Trades!$D$2:$D$884,$A405,Trades!$Z$2:$Z$884,"Win")</f>
        <v>0</v>
      </c>
      <c r="D405" s="28" t="n">
        <f aca="false">COUNTIFS(Trades!$D$2:$D$884,$A405,Trades!$Z$2:$Z$884,"Loss")</f>
        <v>1</v>
      </c>
      <c r="E405" s="29" t="n">
        <f aca="false">IFERROR(C405/B405,0)</f>
        <v>0</v>
      </c>
      <c r="F405" s="30" t="n">
        <f aca="false">SUMIFS(Trades!$X$2:$X$884,Trades!$D$2:$D$884,$A405)</f>
        <v>-537.23</v>
      </c>
      <c r="G405" s="30" t="n">
        <f aca="false">SUMIFS(Trades!$X$2:$X$884,Trades!$D$2:$D$884,$A405,Trades!$X$2:$X$884,"&gt;0")</f>
        <v>0</v>
      </c>
      <c r="H405" s="30" t="n">
        <f aca="false">SUMIFS(Trades!$X$2:$X$884,Trades!$D$2:$D$884,$A405,Trades!$X$2:$X$884,"&lt;0")</f>
        <v>-537.23</v>
      </c>
      <c r="I405" s="31" t="n">
        <f aca="false">IFERROR(G405/-H405,"no loss")</f>
        <v>0</v>
      </c>
      <c r="J405" s="30" t="n">
        <f aca="false">_xlfn.MAXIFS(Trades!$X$2:$X$884,Trades!$D$2:$D$884,$A405)</f>
        <v>-537.23</v>
      </c>
      <c r="K405" s="30" t="n">
        <f aca="false">_xlfn.MINIFS(Trades!$X$2:$X$884,Trades!$D$2:$D$884,$A405)</f>
        <v>-537.23</v>
      </c>
      <c r="L405" s="32" t="n">
        <f aca="false">SUMIFS(Trades!$Y$2:$Y$884,Trades!$D$2:$D$884,$A405)</f>
        <v>-1.00240324512726</v>
      </c>
      <c r="M405" s="30" t="n">
        <f aca="false">P404</f>
        <v>107884.3</v>
      </c>
      <c r="N405" s="29" t="n">
        <f aca="false">IFERROR(F405/M405,0)</f>
        <v>-0.00497968657163276</v>
      </c>
      <c r="O405" s="28" t="str">
        <f aca="false">IF(-N405&gt;=Summary!$C$7,"BREACH","")</f>
        <v/>
      </c>
      <c r="P405" s="30" t="n">
        <f aca="false">M405+F405</f>
        <v>107347.07</v>
      </c>
      <c r="Q405" s="30" t="n">
        <f aca="false">P405-Summary!$C$5</f>
        <v>7347.07000000008</v>
      </c>
      <c r="R405" s="2" t="str">
        <f aca="false">TEXT(A405,"ddd")</f>
        <v>Mon</v>
      </c>
    </row>
    <row r="406" customFormat="false" ht="15" hidden="false" customHeight="false" outlineLevel="0" collapsed="false">
      <c r="A406" s="42" t="n">
        <v>45692</v>
      </c>
      <c r="B406" s="28" t="n">
        <f aca="false">COUNTIFS(Trades!$D$2:$D$884,$A406)</f>
        <v>1</v>
      </c>
      <c r="C406" s="28" t="n">
        <f aca="false">COUNTIFS(Trades!$D$2:$D$884,$A406,Trades!$Z$2:$Z$884,"Win")</f>
        <v>0</v>
      </c>
      <c r="D406" s="28" t="n">
        <f aca="false">COUNTIFS(Trades!$D$2:$D$884,$A406,Trades!$Z$2:$Z$884,"Loss")</f>
        <v>1</v>
      </c>
      <c r="E406" s="29" t="n">
        <f aca="false">IFERROR(C406/B406,0)</f>
        <v>0</v>
      </c>
      <c r="F406" s="30" t="n">
        <f aca="false">SUMIFS(Trades!$X$2:$X$884,Trades!$D$2:$D$884,$A406)</f>
        <v>-219.65</v>
      </c>
      <c r="G406" s="30" t="n">
        <f aca="false">SUMIFS(Trades!$X$2:$X$884,Trades!$D$2:$D$884,$A406,Trades!$X$2:$X$884,"&gt;0")</f>
        <v>0</v>
      </c>
      <c r="H406" s="30" t="n">
        <f aca="false">SUMIFS(Trades!$X$2:$X$884,Trades!$D$2:$D$884,$A406,Trades!$X$2:$X$884,"&lt;0")</f>
        <v>-219.65</v>
      </c>
      <c r="I406" s="31" t="n">
        <f aca="false">IFERROR(G406/-H406,"no loss")</f>
        <v>0</v>
      </c>
      <c r="J406" s="30" t="n">
        <f aca="false">_xlfn.MAXIFS(Trades!$X$2:$X$884,Trades!$D$2:$D$884,$A406)</f>
        <v>-219.65</v>
      </c>
      <c r="K406" s="30" t="n">
        <f aca="false">_xlfn.MINIFS(Trades!$X$2:$X$884,Trades!$D$2:$D$884,$A406)</f>
        <v>-219.65</v>
      </c>
      <c r="L406" s="32" t="n">
        <f aca="false">SUMIFS(Trades!$Y$2:$Y$884,Trades!$D$2:$D$884,$A406)</f>
        <v>-1.00262009530937</v>
      </c>
      <c r="M406" s="30" t="n">
        <f aca="false">P405</f>
        <v>107347.07</v>
      </c>
      <c r="N406" s="29" t="n">
        <f aca="false">IFERROR(F406/M406,0)</f>
        <v>-0.00204616670021827</v>
      </c>
      <c r="O406" s="28" t="str">
        <f aca="false">IF(-N406&gt;=Summary!$C$7,"BREACH","")</f>
        <v/>
      </c>
      <c r="P406" s="30" t="n">
        <f aca="false">M406+F406</f>
        <v>107127.42</v>
      </c>
      <c r="Q406" s="30" t="n">
        <f aca="false">P406-Summary!$C$5</f>
        <v>7127.42000000009</v>
      </c>
      <c r="R406" s="2" t="str">
        <f aca="false">TEXT(A406,"ddd")</f>
        <v>Tue</v>
      </c>
    </row>
    <row r="407" customFormat="false" ht="15" hidden="false" customHeight="false" outlineLevel="0" collapsed="false">
      <c r="A407" s="42" t="n">
        <v>45693</v>
      </c>
      <c r="B407" s="28" t="n">
        <f aca="false">COUNTIFS(Trades!$D$2:$D$884,$A407)</f>
        <v>1</v>
      </c>
      <c r="C407" s="28" t="n">
        <f aca="false">COUNTIFS(Trades!$D$2:$D$884,$A407,Trades!$Z$2:$Z$884,"Win")</f>
        <v>1</v>
      </c>
      <c r="D407" s="28" t="n">
        <f aca="false">COUNTIFS(Trades!$D$2:$D$884,$A407,Trades!$Z$2:$Z$884,"Loss")</f>
        <v>0</v>
      </c>
      <c r="E407" s="29" t="n">
        <f aca="false">IFERROR(C407/B407,0)</f>
        <v>1</v>
      </c>
      <c r="F407" s="30" t="n">
        <f aca="false">SUMIFS(Trades!$X$2:$X$884,Trades!$D$2:$D$884,$A407)</f>
        <v>167.51</v>
      </c>
      <c r="G407" s="30" t="n">
        <f aca="false">SUMIFS(Trades!$X$2:$X$884,Trades!$D$2:$D$884,$A407,Trades!$X$2:$X$884,"&gt;0")</f>
        <v>167.51</v>
      </c>
      <c r="H407" s="30" t="n">
        <f aca="false">SUMIFS(Trades!$X$2:$X$884,Trades!$D$2:$D$884,$A407,Trades!$X$2:$X$884,"&lt;0")</f>
        <v>0</v>
      </c>
      <c r="I407" s="31" t="str">
        <f aca="false">IFERROR(G407/-H407,"no loss")</f>
        <v>no loss</v>
      </c>
      <c r="J407" s="30" t="n">
        <f aca="false">_xlfn.MAXIFS(Trades!$X$2:$X$884,Trades!$D$2:$D$884,$A407)</f>
        <v>167.51</v>
      </c>
      <c r="K407" s="30" t="n">
        <f aca="false">_xlfn.MINIFS(Trades!$X$2:$X$884,Trades!$D$2:$D$884,$A407)</f>
        <v>167.51</v>
      </c>
      <c r="L407" s="32" t="n">
        <f aca="false">SUMIFS(Trades!$Y$2:$Y$884,Trades!$D$2:$D$884,$A407)</f>
        <v>2.01537610087113</v>
      </c>
      <c r="M407" s="30" t="n">
        <f aca="false">P406</f>
        <v>107127.42</v>
      </c>
      <c r="N407" s="29" t="n">
        <f aca="false">IFERROR(F407/M407,0)</f>
        <v>0.00156365195764072</v>
      </c>
      <c r="O407" s="28" t="str">
        <f aca="false">IF(-N407&gt;=Summary!$C$7,"BREACH","")</f>
        <v/>
      </c>
      <c r="P407" s="30" t="n">
        <f aca="false">M407+F407</f>
        <v>107294.93</v>
      </c>
      <c r="Q407" s="30" t="n">
        <f aca="false">P407-Summary!$C$5</f>
        <v>7294.93000000008</v>
      </c>
      <c r="R407" s="2" t="str">
        <f aca="false">TEXT(A407,"ddd")</f>
        <v>Wed</v>
      </c>
    </row>
    <row r="408" customFormat="false" ht="15" hidden="false" customHeight="false" outlineLevel="0" collapsed="false">
      <c r="A408" s="42" t="n">
        <v>45694</v>
      </c>
      <c r="B408" s="28" t="n">
        <f aca="false">COUNTIFS(Trades!$D$2:$D$884,$A408)</f>
        <v>1</v>
      </c>
      <c r="C408" s="28" t="n">
        <f aca="false">COUNTIFS(Trades!$D$2:$D$884,$A408,Trades!$Z$2:$Z$884,"Win")</f>
        <v>0</v>
      </c>
      <c r="D408" s="28" t="n">
        <f aca="false">COUNTIFS(Trades!$D$2:$D$884,$A408,Trades!$Z$2:$Z$884,"Loss")</f>
        <v>1</v>
      </c>
      <c r="E408" s="29" t="n">
        <f aca="false">IFERROR(C408/B408,0)</f>
        <v>0</v>
      </c>
      <c r="F408" s="30" t="n">
        <f aca="false">SUMIFS(Trades!$X$2:$X$884,Trades!$D$2:$D$884,$A408)</f>
        <v>-0.4</v>
      </c>
      <c r="G408" s="30" t="n">
        <f aca="false">SUMIFS(Trades!$X$2:$X$884,Trades!$D$2:$D$884,$A408,Trades!$X$2:$X$884,"&gt;0")</f>
        <v>0</v>
      </c>
      <c r="H408" s="30" t="n">
        <f aca="false">SUMIFS(Trades!$X$2:$X$884,Trades!$D$2:$D$884,$A408,Trades!$X$2:$X$884,"&lt;0")</f>
        <v>-0.4</v>
      </c>
      <c r="I408" s="31" t="n">
        <f aca="false">IFERROR(G408/-H408,"no loss")</f>
        <v>0</v>
      </c>
      <c r="J408" s="30" t="n">
        <f aca="false">_xlfn.MAXIFS(Trades!$X$2:$X$884,Trades!$D$2:$D$884,$A408)</f>
        <v>-0.4</v>
      </c>
      <c r="K408" s="30" t="n">
        <f aca="false">_xlfn.MINIFS(Trades!$X$2:$X$884,Trades!$D$2:$D$884,$A408)</f>
        <v>-0.4</v>
      </c>
      <c r="L408" s="32" t="n">
        <f aca="false">SUMIFS(Trades!$Y$2:$Y$884,Trades!$D$2:$D$884,$A408)</f>
        <v>-0.0112095056607996</v>
      </c>
      <c r="M408" s="30" t="n">
        <f aca="false">P407</f>
        <v>107294.93</v>
      </c>
      <c r="N408" s="29" t="n">
        <f aca="false">IFERROR(F408/M408,0)</f>
        <v>-3.72804194941923E-006</v>
      </c>
      <c r="O408" s="28" t="str">
        <f aca="false">IF(-N408&gt;=Summary!$C$7,"BREACH","")</f>
        <v/>
      </c>
      <c r="P408" s="30" t="n">
        <f aca="false">M408+F408</f>
        <v>107294.53</v>
      </c>
      <c r="Q408" s="30" t="n">
        <f aca="false">P408-Summary!$C$5</f>
        <v>7294.53000000009</v>
      </c>
      <c r="R408" s="2" t="str">
        <f aca="false">TEXT(A408,"ddd")</f>
        <v>Thu</v>
      </c>
    </row>
    <row r="409" customFormat="false" ht="15" hidden="false" customHeight="false" outlineLevel="0" collapsed="false">
      <c r="A409" s="42" t="n">
        <v>45695</v>
      </c>
      <c r="B409" s="28" t="n">
        <f aca="false">COUNTIFS(Trades!$D$2:$D$884,$A409)</f>
        <v>2</v>
      </c>
      <c r="C409" s="28" t="n">
        <f aca="false">COUNTIFS(Trades!$D$2:$D$884,$A409,Trades!$Z$2:$Z$884,"Win")</f>
        <v>1</v>
      </c>
      <c r="D409" s="28" t="n">
        <f aca="false">COUNTIFS(Trades!$D$2:$D$884,$A409,Trades!$Z$2:$Z$884,"Loss")</f>
        <v>1</v>
      </c>
      <c r="E409" s="29" t="n">
        <f aca="false">IFERROR(C409/B409,0)</f>
        <v>0.5</v>
      </c>
      <c r="F409" s="30" t="n">
        <f aca="false">SUMIFS(Trades!$X$2:$X$884,Trades!$D$2:$D$884,$A409)</f>
        <v>-236.46</v>
      </c>
      <c r="G409" s="30" t="n">
        <f aca="false">SUMIFS(Trades!$X$2:$X$884,Trades!$D$2:$D$884,$A409,Trades!$X$2:$X$884,"&gt;0")</f>
        <v>51.96</v>
      </c>
      <c r="H409" s="30" t="n">
        <f aca="false">SUMIFS(Trades!$X$2:$X$884,Trades!$D$2:$D$884,$A409,Trades!$X$2:$X$884,"&lt;0")</f>
        <v>-288.42</v>
      </c>
      <c r="I409" s="31" t="n">
        <f aca="false">IFERROR(G409/-H409,"no loss")</f>
        <v>0.180153942167672</v>
      </c>
      <c r="J409" s="30" t="n">
        <f aca="false">_xlfn.MAXIFS(Trades!$X$2:$X$884,Trades!$D$2:$D$884,$A409)</f>
        <v>51.96</v>
      </c>
      <c r="K409" s="30" t="n">
        <f aca="false">_xlfn.MINIFS(Trades!$X$2:$X$884,Trades!$D$2:$D$884,$A409)</f>
        <v>-288.42</v>
      </c>
      <c r="L409" s="32" t="n">
        <f aca="false">SUMIFS(Trades!$Y$2:$Y$884,Trades!$D$2:$D$884,$A409)</f>
        <v>1.02042367862562</v>
      </c>
      <c r="M409" s="30" t="n">
        <f aca="false">P408</f>
        <v>107294.53</v>
      </c>
      <c r="N409" s="29" t="n">
        <f aca="false">IFERROR(F409/M409,0)</f>
        <v>-0.00220384021440795</v>
      </c>
      <c r="O409" s="28" t="str">
        <f aca="false">IF(-N409&gt;=Summary!$C$7,"BREACH","")</f>
        <v/>
      </c>
      <c r="P409" s="30" t="n">
        <f aca="false">M409+F409</f>
        <v>107058.07</v>
      </c>
      <c r="Q409" s="30" t="n">
        <f aca="false">P409-Summary!$C$5</f>
        <v>7058.07000000008</v>
      </c>
      <c r="R409" s="2" t="str">
        <f aca="false">TEXT(A409,"ddd")</f>
        <v>Fri</v>
      </c>
    </row>
    <row r="410" customFormat="false" ht="15" hidden="false" customHeight="false" outlineLevel="0" collapsed="false">
      <c r="A410" s="42" t="n">
        <v>45698</v>
      </c>
      <c r="B410" s="28" t="n">
        <f aca="false">COUNTIFS(Trades!$D$2:$D$884,$A410)</f>
        <v>1</v>
      </c>
      <c r="C410" s="28" t="n">
        <f aca="false">COUNTIFS(Trades!$D$2:$D$884,$A410,Trades!$Z$2:$Z$884,"Win")</f>
        <v>0</v>
      </c>
      <c r="D410" s="28" t="n">
        <f aca="false">COUNTIFS(Trades!$D$2:$D$884,$A410,Trades!$Z$2:$Z$884,"Loss")</f>
        <v>1</v>
      </c>
      <c r="E410" s="29" t="n">
        <f aca="false">IFERROR(C410/B410,0)</f>
        <v>0</v>
      </c>
      <c r="F410" s="30" t="n">
        <f aca="false">SUMIFS(Trades!$X$2:$X$884,Trades!$D$2:$D$884,$A410)</f>
        <v>-188.28</v>
      </c>
      <c r="G410" s="30" t="n">
        <f aca="false">SUMIFS(Trades!$X$2:$X$884,Trades!$D$2:$D$884,$A410,Trades!$X$2:$X$884,"&gt;0")</f>
        <v>0</v>
      </c>
      <c r="H410" s="30" t="n">
        <f aca="false">SUMIFS(Trades!$X$2:$X$884,Trades!$D$2:$D$884,$A410,Trades!$X$2:$X$884,"&lt;0")</f>
        <v>-188.28</v>
      </c>
      <c r="I410" s="31" t="n">
        <f aca="false">IFERROR(G410/-H410,"no loss")</f>
        <v>0</v>
      </c>
      <c r="J410" s="30" t="n">
        <f aca="false">_xlfn.MAXIFS(Trades!$X$2:$X$884,Trades!$D$2:$D$884,$A410)</f>
        <v>-188.28</v>
      </c>
      <c r="K410" s="30" t="n">
        <f aca="false">_xlfn.MINIFS(Trades!$X$2:$X$884,Trades!$D$2:$D$884,$A410)</f>
        <v>-188.28</v>
      </c>
      <c r="L410" s="32" t="n">
        <f aca="false">SUMIFS(Trades!$Y$2:$Y$884,Trades!$D$2:$D$884,$A410)</f>
        <v>-1.00708188022855</v>
      </c>
      <c r="M410" s="30" t="n">
        <f aca="false">P409</f>
        <v>107058.07</v>
      </c>
      <c r="N410" s="29" t="n">
        <f aca="false">IFERROR(F410/M410,0)</f>
        <v>-0.00175867171900259</v>
      </c>
      <c r="O410" s="28" t="str">
        <f aca="false">IF(-N410&gt;=Summary!$C$7,"BREACH","")</f>
        <v/>
      </c>
      <c r="P410" s="30" t="n">
        <f aca="false">M410+F410</f>
        <v>106869.79</v>
      </c>
      <c r="Q410" s="30" t="n">
        <f aca="false">P410-Summary!$C$5</f>
        <v>6869.79000000008</v>
      </c>
      <c r="R410" s="2" t="str">
        <f aca="false">TEXT(A410,"ddd")</f>
        <v>Mon</v>
      </c>
    </row>
    <row r="411" customFormat="false" ht="15" hidden="false" customHeight="false" outlineLevel="0" collapsed="false">
      <c r="A411" s="42" t="n">
        <v>45700</v>
      </c>
      <c r="B411" s="28" t="n">
        <f aca="false">COUNTIFS(Trades!$D$2:$D$884,$A411)</f>
        <v>1</v>
      </c>
      <c r="C411" s="28" t="n">
        <f aca="false">COUNTIFS(Trades!$D$2:$D$884,$A411,Trades!$Z$2:$Z$884,"Win")</f>
        <v>0</v>
      </c>
      <c r="D411" s="28" t="n">
        <f aca="false">COUNTIFS(Trades!$D$2:$D$884,$A411,Trades!$Z$2:$Z$884,"Loss")</f>
        <v>1</v>
      </c>
      <c r="E411" s="29" t="n">
        <f aca="false">IFERROR(C411/B411,0)</f>
        <v>0</v>
      </c>
      <c r="F411" s="30" t="n">
        <f aca="false">SUMIFS(Trades!$X$2:$X$884,Trades!$D$2:$D$884,$A411)</f>
        <v>-0.97</v>
      </c>
      <c r="G411" s="30" t="n">
        <f aca="false">SUMIFS(Trades!$X$2:$X$884,Trades!$D$2:$D$884,$A411,Trades!$X$2:$X$884,"&gt;0")</f>
        <v>0</v>
      </c>
      <c r="H411" s="30" t="n">
        <f aca="false">SUMIFS(Trades!$X$2:$X$884,Trades!$D$2:$D$884,$A411,Trades!$X$2:$X$884,"&lt;0")</f>
        <v>-0.97</v>
      </c>
      <c r="I411" s="31" t="n">
        <f aca="false">IFERROR(G411/-H411,"no loss")</f>
        <v>0</v>
      </c>
      <c r="J411" s="30" t="n">
        <f aca="false">_xlfn.MAXIFS(Trades!$X$2:$X$884,Trades!$D$2:$D$884,$A411)</f>
        <v>-0.97</v>
      </c>
      <c r="K411" s="30" t="n">
        <f aca="false">_xlfn.MINIFS(Trades!$X$2:$X$884,Trades!$D$2:$D$884,$A411)</f>
        <v>-0.97</v>
      </c>
      <c r="L411" s="32" t="n">
        <f aca="false">SUMIFS(Trades!$Y$2:$Y$884,Trades!$D$2:$D$884,$A411)</f>
        <v>-0.00331361108454137</v>
      </c>
      <c r="M411" s="30" t="n">
        <f aca="false">P410</f>
        <v>106869.79</v>
      </c>
      <c r="N411" s="29" t="n">
        <f aca="false">IFERROR(F411/M411,0)</f>
        <v>-9.07646585625366E-006</v>
      </c>
      <c r="O411" s="28" t="str">
        <f aca="false">IF(-N411&gt;=Summary!$C$7,"BREACH","")</f>
        <v/>
      </c>
      <c r="P411" s="30" t="n">
        <f aca="false">M411+F411</f>
        <v>106868.82</v>
      </c>
      <c r="Q411" s="30" t="n">
        <f aca="false">P411-Summary!$C$5</f>
        <v>6868.82000000008</v>
      </c>
      <c r="R411" s="2" t="str">
        <f aca="false">TEXT(A411,"ddd")</f>
        <v>Wed</v>
      </c>
    </row>
    <row r="412" customFormat="false" ht="15" hidden="false" customHeight="false" outlineLevel="0" collapsed="false">
      <c r="A412" s="42" t="n">
        <v>45701</v>
      </c>
      <c r="B412" s="28" t="n">
        <f aca="false">COUNTIFS(Trades!$D$2:$D$884,$A412)</f>
        <v>1</v>
      </c>
      <c r="C412" s="28" t="n">
        <f aca="false">COUNTIFS(Trades!$D$2:$D$884,$A412,Trades!$Z$2:$Z$884,"Win")</f>
        <v>1</v>
      </c>
      <c r="D412" s="28" t="n">
        <f aca="false">COUNTIFS(Trades!$D$2:$D$884,$A412,Trades!$Z$2:$Z$884,"Loss")</f>
        <v>0</v>
      </c>
      <c r="E412" s="29" t="n">
        <f aca="false">IFERROR(C412/B412,0)</f>
        <v>1</v>
      </c>
      <c r="F412" s="30" t="n">
        <f aca="false">SUMIFS(Trades!$X$2:$X$884,Trades!$D$2:$D$884,$A412)</f>
        <v>206.32</v>
      </c>
      <c r="G412" s="30" t="n">
        <f aca="false">SUMIFS(Trades!$X$2:$X$884,Trades!$D$2:$D$884,$A412,Trades!$X$2:$X$884,"&gt;0")</f>
        <v>206.32</v>
      </c>
      <c r="H412" s="30" t="n">
        <f aca="false">SUMIFS(Trades!$X$2:$X$884,Trades!$D$2:$D$884,$A412,Trades!$X$2:$X$884,"&lt;0")</f>
        <v>0</v>
      </c>
      <c r="I412" s="31" t="str">
        <f aca="false">IFERROR(G412/-H412,"no loss")</f>
        <v>no loss</v>
      </c>
      <c r="J412" s="30" t="n">
        <f aca="false">_xlfn.MAXIFS(Trades!$X$2:$X$884,Trades!$D$2:$D$884,$A412)</f>
        <v>206.32</v>
      </c>
      <c r="K412" s="30" t="n">
        <f aca="false">_xlfn.MINIFS(Trades!$X$2:$X$884,Trades!$D$2:$D$884,$A412)</f>
        <v>206.32</v>
      </c>
      <c r="L412" s="32" t="n">
        <f aca="false">SUMIFS(Trades!$Y$2:$Y$884,Trades!$D$2:$D$884,$A412)</f>
        <v>2.0548163492949</v>
      </c>
      <c r="M412" s="30" t="n">
        <f aca="false">P411</f>
        <v>106868.82</v>
      </c>
      <c r="N412" s="29" t="n">
        <f aca="false">IFERROR(F412/M412,0)</f>
        <v>0.00193059116775127</v>
      </c>
      <c r="O412" s="28" t="str">
        <f aca="false">IF(-N412&gt;=Summary!$C$7,"BREACH","")</f>
        <v/>
      </c>
      <c r="P412" s="30" t="n">
        <f aca="false">M412+F412</f>
        <v>107075.14</v>
      </c>
      <c r="Q412" s="30" t="n">
        <f aca="false">P412-Summary!$C$5</f>
        <v>7075.14000000009</v>
      </c>
      <c r="R412" s="2" t="str">
        <f aca="false">TEXT(A412,"ddd")</f>
        <v>Thu</v>
      </c>
    </row>
    <row r="413" customFormat="false" ht="15" hidden="false" customHeight="false" outlineLevel="0" collapsed="false">
      <c r="A413" s="42" t="n">
        <v>45702</v>
      </c>
      <c r="B413" s="28" t="n">
        <f aca="false">COUNTIFS(Trades!$D$2:$D$884,$A413)</f>
        <v>1</v>
      </c>
      <c r="C413" s="28" t="n">
        <f aca="false">COUNTIFS(Trades!$D$2:$D$884,$A413,Trades!$Z$2:$Z$884,"Win")</f>
        <v>1</v>
      </c>
      <c r="D413" s="28" t="n">
        <f aca="false">COUNTIFS(Trades!$D$2:$D$884,$A413,Trades!$Z$2:$Z$884,"Loss")</f>
        <v>0</v>
      </c>
      <c r="E413" s="29" t="n">
        <f aca="false">IFERROR(C413/B413,0)</f>
        <v>1</v>
      </c>
      <c r="F413" s="30" t="n">
        <f aca="false">SUMIFS(Trades!$X$2:$X$884,Trades!$D$2:$D$884,$A413)</f>
        <v>87.57</v>
      </c>
      <c r="G413" s="30" t="n">
        <f aca="false">SUMIFS(Trades!$X$2:$X$884,Trades!$D$2:$D$884,$A413,Trades!$X$2:$X$884,"&gt;0")</f>
        <v>87.57</v>
      </c>
      <c r="H413" s="30" t="n">
        <f aca="false">SUMIFS(Trades!$X$2:$X$884,Trades!$D$2:$D$884,$A413,Trades!$X$2:$X$884,"&lt;0")</f>
        <v>0</v>
      </c>
      <c r="I413" s="31" t="str">
        <f aca="false">IFERROR(G413/-H413,"no loss")</f>
        <v>no loss</v>
      </c>
      <c r="J413" s="30" t="n">
        <f aca="false">_xlfn.MAXIFS(Trades!$X$2:$X$884,Trades!$D$2:$D$884,$A413)</f>
        <v>87.57</v>
      </c>
      <c r="K413" s="30" t="n">
        <f aca="false">_xlfn.MINIFS(Trades!$X$2:$X$884,Trades!$D$2:$D$884,$A413)</f>
        <v>87.57</v>
      </c>
      <c r="L413" s="32" t="n">
        <f aca="false">SUMIFS(Trades!$Y$2:$Y$884,Trades!$D$2:$D$884,$A413)</f>
        <v>2.10393541876895</v>
      </c>
      <c r="M413" s="30" t="n">
        <f aca="false">P412</f>
        <v>107075.14</v>
      </c>
      <c r="N413" s="29" t="n">
        <f aca="false">IFERROR(F413/M413,0)</f>
        <v>0.00081783689472645</v>
      </c>
      <c r="O413" s="28" t="str">
        <f aca="false">IF(-N413&gt;=Summary!$C$7,"BREACH","")</f>
        <v/>
      </c>
      <c r="P413" s="30" t="n">
        <f aca="false">M413+F413</f>
        <v>107162.71</v>
      </c>
      <c r="Q413" s="30" t="n">
        <f aca="false">P413-Summary!$C$5</f>
        <v>7162.71000000009</v>
      </c>
      <c r="R413" s="2" t="str">
        <f aca="false">TEXT(A413,"ddd")</f>
        <v>Fri</v>
      </c>
    </row>
    <row r="414" customFormat="false" ht="15" hidden="false" customHeight="false" outlineLevel="0" collapsed="false">
      <c r="A414" s="42" t="n">
        <v>45705</v>
      </c>
      <c r="B414" s="28" t="n">
        <f aca="false">COUNTIFS(Trades!$D$2:$D$884,$A414)</f>
        <v>1</v>
      </c>
      <c r="C414" s="28" t="n">
        <f aca="false">COUNTIFS(Trades!$D$2:$D$884,$A414,Trades!$Z$2:$Z$884,"Win")</f>
        <v>0</v>
      </c>
      <c r="D414" s="28" t="n">
        <f aca="false">COUNTIFS(Trades!$D$2:$D$884,$A414,Trades!$Z$2:$Z$884,"Loss")</f>
        <v>1</v>
      </c>
      <c r="E414" s="29" t="n">
        <f aca="false">IFERROR(C414/B414,0)</f>
        <v>0</v>
      </c>
      <c r="F414" s="30" t="n">
        <f aca="false">SUMIFS(Trades!$X$2:$X$884,Trades!$D$2:$D$884,$A414)</f>
        <v>-63.88</v>
      </c>
      <c r="G414" s="30" t="n">
        <f aca="false">SUMIFS(Trades!$X$2:$X$884,Trades!$D$2:$D$884,$A414,Trades!$X$2:$X$884,"&gt;0")</f>
        <v>0</v>
      </c>
      <c r="H414" s="30" t="n">
        <f aca="false">SUMIFS(Trades!$X$2:$X$884,Trades!$D$2:$D$884,$A414,Trades!$X$2:$X$884,"&lt;0")</f>
        <v>-63.88</v>
      </c>
      <c r="I414" s="31" t="n">
        <f aca="false">IFERROR(G414/-H414,"no loss")</f>
        <v>0</v>
      </c>
      <c r="J414" s="30" t="n">
        <f aca="false">_xlfn.MAXIFS(Trades!$X$2:$X$884,Trades!$D$2:$D$884,$A414)</f>
        <v>-63.88</v>
      </c>
      <c r="K414" s="30" t="n">
        <f aca="false">_xlfn.MINIFS(Trades!$X$2:$X$884,Trades!$D$2:$D$884,$A414)</f>
        <v>-63.88</v>
      </c>
      <c r="L414" s="32" t="n">
        <f aca="false">SUMIFS(Trades!$Y$2:$Y$884,Trades!$D$2:$D$884,$A414)</f>
        <v>-1.03890189955768</v>
      </c>
      <c r="M414" s="30" t="n">
        <f aca="false">P413</f>
        <v>107162.71</v>
      </c>
      <c r="N414" s="29" t="n">
        <f aca="false">IFERROR(F414/M414,0)</f>
        <v>-0.000596102879443791</v>
      </c>
      <c r="O414" s="28" t="str">
        <f aca="false">IF(-N414&gt;=Summary!$C$7,"BREACH","")</f>
        <v/>
      </c>
      <c r="P414" s="30" t="n">
        <f aca="false">M414+F414</f>
        <v>107098.83</v>
      </c>
      <c r="Q414" s="30" t="n">
        <f aca="false">P414-Summary!$C$5</f>
        <v>7098.83000000009</v>
      </c>
      <c r="R414" s="2" t="str">
        <f aca="false">TEXT(A414,"ddd")</f>
        <v>Mon</v>
      </c>
    </row>
    <row r="415" customFormat="false" ht="15" hidden="false" customHeight="false" outlineLevel="0" collapsed="false">
      <c r="A415" s="42" t="n">
        <v>45706</v>
      </c>
      <c r="B415" s="28" t="n">
        <f aca="false">COUNTIFS(Trades!$D$2:$D$884,$A415)</f>
        <v>2</v>
      </c>
      <c r="C415" s="28" t="n">
        <f aca="false">COUNTIFS(Trades!$D$2:$D$884,$A415,Trades!$Z$2:$Z$884,"Win")</f>
        <v>1</v>
      </c>
      <c r="D415" s="28" t="n">
        <f aca="false">COUNTIFS(Trades!$D$2:$D$884,$A415,Trades!$Z$2:$Z$884,"Loss")</f>
        <v>1</v>
      </c>
      <c r="E415" s="29" t="n">
        <f aca="false">IFERROR(C415/B415,0)</f>
        <v>0.5</v>
      </c>
      <c r="F415" s="30" t="n">
        <f aca="false">SUMIFS(Trades!$X$2:$X$884,Trades!$D$2:$D$884,$A415)</f>
        <v>-80.76</v>
      </c>
      <c r="G415" s="30" t="n">
        <f aca="false">SUMIFS(Trades!$X$2:$X$884,Trades!$D$2:$D$884,$A415,Trades!$X$2:$X$884,"&gt;0")</f>
        <v>74.51</v>
      </c>
      <c r="H415" s="30" t="n">
        <f aca="false">SUMIFS(Trades!$X$2:$X$884,Trades!$D$2:$D$884,$A415,Trades!$X$2:$X$884,"&lt;0")</f>
        <v>-155.27</v>
      </c>
      <c r="I415" s="31" t="n">
        <f aca="false">IFERROR(G415/-H415,"no loss")</f>
        <v>0.479873768274618</v>
      </c>
      <c r="J415" s="30" t="n">
        <f aca="false">_xlfn.MAXIFS(Trades!$X$2:$X$884,Trades!$D$2:$D$884,$A415)</f>
        <v>74.51</v>
      </c>
      <c r="K415" s="30" t="n">
        <f aca="false">_xlfn.MINIFS(Trades!$X$2:$X$884,Trades!$D$2:$D$884,$A415)</f>
        <v>-155.27</v>
      </c>
      <c r="L415" s="32" t="n">
        <f aca="false">SUMIFS(Trades!$Y$2:$Y$884,Trades!$D$2:$D$884,$A415)</f>
        <v>1.0735637422289</v>
      </c>
      <c r="M415" s="30" t="n">
        <f aca="false">P414</f>
        <v>107098.83</v>
      </c>
      <c r="N415" s="29" t="n">
        <f aca="false">IFERROR(F415/M415,0)</f>
        <v>-0.000754069862387852</v>
      </c>
      <c r="O415" s="28" t="str">
        <f aca="false">IF(-N415&gt;=Summary!$C$7,"BREACH","")</f>
        <v/>
      </c>
      <c r="P415" s="30" t="n">
        <f aca="false">M415+F415</f>
        <v>107018.07</v>
      </c>
      <c r="Q415" s="30" t="n">
        <f aca="false">P415-Summary!$C$5</f>
        <v>7018.07000000009</v>
      </c>
      <c r="R415" s="2" t="str">
        <f aca="false">TEXT(A415,"ddd")</f>
        <v>Tue</v>
      </c>
    </row>
    <row r="416" customFormat="false" ht="15" hidden="false" customHeight="false" outlineLevel="0" collapsed="false">
      <c r="A416" s="42" t="n">
        <v>45708</v>
      </c>
      <c r="B416" s="28" t="n">
        <f aca="false">COUNTIFS(Trades!$D$2:$D$884,$A416)</f>
        <v>1</v>
      </c>
      <c r="C416" s="28" t="n">
        <f aca="false">COUNTIFS(Trades!$D$2:$D$884,$A416,Trades!$Z$2:$Z$884,"Win")</f>
        <v>1</v>
      </c>
      <c r="D416" s="28" t="n">
        <f aca="false">COUNTIFS(Trades!$D$2:$D$884,$A416,Trades!$Z$2:$Z$884,"Loss")</f>
        <v>0</v>
      </c>
      <c r="E416" s="29" t="n">
        <f aca="false">IFERROR(C416/B416,0)</f>
        <v>1</v>
      </c>
      <c r="F416" s="30" t="n">
        <f aca="false">SUMIFS(Trades!$X$2:$X$884,Trades!$D$2:$D$884,$A416)</f>
        <v>330.41</v>
      </c>
      <c r="G416" s="30" t="n">
        <f aca="false">SUMIFS(Trades!$X$2:$X$884,Trades!$D$2:$D$884,$A416,Trades!$X$2:$X$884,"&gt;0")</f>
        <v>330.41</v>
      </c>
      <c r="H416" s="30" t="n">
        <f aca="false">SUMIFS(Trades!$X$2:$X$884,Trades!$D$2:$D$884,$A416,Trades!$X$2:$X$884,"&lt;0")</f>
        <v>0</v>
      </c>
      <c r="I416" s="31" t="str">
        <f aca="false">IFERROR(G416/-H416,"no loss")</f>
        <v>no loss</v>
      </c>
      <c r="J416" s="30" t="n">
        <f aca="false">_xlfn.MAXIFS(Trades!$X$2:$X$884,Trades!$D$2:$D$884,$A416)</f>
        <v>330.41</v>
      </c>
      <c r="K416" s="30" t="n">
        <f aca="false">_xlfn.MINIFS(Trades!$X$2:$X$884,Trades!$D$2:$D$884,$A416)</f>
        <v>330.41</v>
      </c>
      <c r="L416" s="32" t="n">
        <f aca="false">SUMIFS(Trades!$Y$2:$Y$884,Trades!$D$2:$D$884,$A416)</f>
        <v>2.09449008570407</v>
      </c>
      <c r="M416" s="30" t="n">
        <f aca="false">P415</f>
        <v>107018.07</v>
      </c>
      <c r="N416" s="29" t="n">
        <f aca="false">IFERROR(F416/M416,0)</f>
        <v>0.00308742252593417</v>
      </c>
      <c r="O416" s="28" t="str">
        <f aca="false">IF(-N416&gt;=Summary!$C$7,"BREACH","")</f>
        <v/>
      </c>
      <c r="P416" s="30" t="n">
        <f aca="false">M416+F416</f>
        <v>107348.48</v>
      </c>
      <c r="Q416" s="30" t="n">
        <f aca="false">P416-Summary!$C$5</f>
        <v>7348.4800000001</v>
      </c>
      <c r="R416" s="2" t="str">
        <f aca="false">TEXT(A416,"ddd")</f>
        <v>Thu</v>
      </c>
    </row>
    <row r="417" customFormat="false" ht="15" hidden="false" customHeight="false" outlineLevel="0" collapsed="false">
      <c r="A417" s="42" t="n">
        <v>45709</v>
      </c>
      <c r="B417" s="28" t="n">
        <f aca="false">COUNTIFS(Trades!$D$2:$D$884,$A417)</f>
        <v>2</v>
      </c>
      <c r="C417" s="28" t="n">
        <f aca="false">COUNTIFS(Trades!$D$2:$D$884,$A417,Trades!$Z$2:$Z$884,"Win")</f>
        <v>0</v>
      </c>
      <c r="D417" s="28" t="n">
        <f aca="false">COUNTIFS(Trades!$D$2:$D$884,$A417,Trades!$Z$2:$Z$884,"Loss")</f>
        <v>2</v>
      </c>
      <c r="E417" s="29" t="n">
        <f aca="false">IFERROR(C417/B417,0)</f>
        <v>0</v>
      </c>
      <c r="F417" s="30" t="n">
        <f aca="false">SUMIFS(Trades!$X$2:$X$884,Trades!$D$2:$D$884,$A417)</f>
        <v>-195.72</v>
      </c>
      <c r="G417" s="30" t="n">
        <f aca="false">SUMIFS(Trades!$X$2:$X$884,Trades!$D$2:$D$884,$A417,Trades!$X$2:$X$884,"&gt;0")</f>
        <v>0</v>
      </c>
      <c r="H417" s="30" t="n">
        <f aca="false">SUMIFS(Trades!$X$2:$X$884,Trades!$D$2:$D$884,$A417,Trades!$X$2:$X$884,"&lt;0")</f>
        <v>-195.72</v>
      </c>
      <c r="I417" s="31" t="n">
        <f aca="false">IFERROR(G417/-H417,"no loss")</f>
        <v>0</v>
      </c>
      <c r="J417" s="30" t="n">
        <f aca="false">_xlfn.MAXIFS(Trades!$X$2:$X$884,Trades!$D$2:$D$884,$A417)</f>
        <v>-36.92</v>
      </c>
      <c r="K417" s="30" t="n">
        <f aca="false">_xlfn.MINIFS(Trades!$X$2:$X$884,Trades!$D$2:$D$884,$A417)</f>
        <v>-158.8</v>
      </c>
      <c r="L417" s="32" t="n">
        <f aca="false">SUMIFS(Trades!$Y$2:$Y$884,Trades!$D$2:$D$884,$A417)</f>
        <v>-2.04220560158872</v>
      </c>
      <c r="M417" s="30" t="n">
        <f aca="false">P416</f>
        <v>107348.48</v>
      </c>
      <c r="N417" s="29" t="n">
        <f aca="false">IFERROR(F417/M417,0)</f>
        <v>-0.00182322097154985</v>
      </c>
      <c r="O417" s="28" t="str">
        <f aca="false">IF(-N417&gt;=Summary!$C$7,"BREACH","")</f>
        <v/>
      </c>
      <c r="P417" s="30" t="n">
        <f aca="false">M417+F417</f>
        <v>107152.76</v>
      </c>
      <c r="Q417" s="30" t="n">
        <f aca="false">P417-Summary!$C$5</f>
        <v>7152.7600000001</v>
      </c>
      <c r="R417" s="2" t="str">
        <f aca="false">TEXT(A417,"ddd")</f>
        <v>Fri</v>
      </c>
    </row>
    <row r="418" customFormat="false" ht="15" hidden="false" customHeight="false" outlineLevel="0" collapsed="false">
      <c r="A418" s="42" t="n">
        <v>45712</v>
      </c>
      <c r="B418" s="28" t="n">
        <f aca="false">COUNTIFS(Trades!$D$2:$D$884,$A418)</f>
        <v>1</v>
      </c>
      <c r="C418" s="28" t="n">
        <f aca="false">COUNTIFS(Trades!$D$2:$D$884,$A418,Trades!$Z$2:$Z$884,"Win")</f>
        <v>1</v>
      </c>
      <c r="D418" s="28" t="n">
        <f aca="false">COUNTIFS(Trades!$D$2:$D$884,$A418,Trades!$Z$2:$Z$884,"Loss")</f>
        <v>0</v>
      </c>
      <c r="E418" s="29" t="n">
        <f aca="false">IFERROR(C418/B418,0)</f>
        <v>1</v>
      </c>
      <c r="F418" s="30" t="n">
        <f aca="false">SUMIFS(Trades!$X$2:$X$884,Trades!$D$2:$D$884,$A418)</f>
        <v>386.06</v>
      </c>
      <c r="G418" s="30" t="n">
        <f aca="false">SUMIFS(Trades!$X$2:$X$884,Trades!$D$2:$D$884,$A418,Trades!$X$2:$X$884,"&gt;0")</f>
        <v>386.06</v>
      </c>
      <c r="H418" s="30" t="n">
        <f aca="false">SUMIFS(Trades!$X$2:$X$884,Trades!$D$2:$D$884,$A418,Trades!$X$2:$X$884,"&lt;0")</f>
        <v>0</v>
      </c>
      <c r="I418" s="31" t="str">
        <f aca="false">IFERROR(G418/-H418,"no loss")</f>
        <v>no loss</v>
      </c>
      <c r="J418" s="30" t="n">
        <f aca="false">_xlfn.MAXIFS(Trades!$X$2:$X$884,Trades!$D$2:$D$884,$A418)</f>
        <v>386.06</v>
      </c>
      <c r="K418" s="30" t="n">
        <f aca="false">_xlfn.MINIFS(Trades!$X$2:$X$884,Trades!$D$2:$D$884,$A418)</f>
        <v>386.06</v>
      </c>
      <c r="L418" s="32" t="n">
        <f aca="false">SUMIFS(Trades!$Y$2:$Y$884,Trades!$D$2:$D$884,$A418)</f>
        <v>2.02214586519729</v>
      </c>
      <c r="M418" s="30" t="n">
        <f aca="false">P417</f>
        <v>107152.76</v>
      </c>
      <c r="N418" s="29" t="n">
        <f aca="false">IFERROR(F418/M418,0)</f>
        <v>0.00360289366321502</v>
      </c>
      <c r="O418" s="28" t="str">
        <f aca="false">IF(-N418&gt;=Summary!$C$7,"BREACH","")</f>
        <v/>
      </c>
      <c r="P418" s="30" t="n">
        <f aca="false">M418+F418</f>
        <v>107538.82</v>
      </c>
      <c r="Q418" s="30" t="n">
        <f aca="false">P418-Summary!$C$5</f>
        <v>7538.82000000009</v>
      </c>
      <c r="R418" s="2" t="str">
        <f aca="false">TEXT(A418,"ddd")</f>
        <v>Mon</v>
      </c>
    </row>
    <row r="419" customFormat="false" ht="15" hidden="false" customHeight="false" outlineLevel="0" collapsed="false">
      <c r="A419" s="42" t="n">
        <v>45713</v>
      </c>
      <c r="B419" s="28" t="n">
        <f aca="false">COUNTIFS(Trades!$D$2:$D$884,$A419)</f>
        <v>1</v>
      </c>
      <c r="C419" s="28" t="n">
        <f aca="false">COUNTIFS(Trades!$D$2:$D$884,$A419,Trades!$Z$2:$Z$884,"Win")</f>
        <v>1</v>
      </c>
      <c r="D419" s="28" t="n">
        <f aca="false">COUNTIFS(Trades!$D$2:$D$884,$A419,Trades!$Z$2:$Z$884,"Loss")</f>
        <v>0</v>
      </c>
      <c r="E419" s="29" t="n">
        <f aca="false">IFERROR(C419/B419,0)</f>
        <v>1</v>
      </c>
      <c r="F419" s="30" t="n">
        <f aca="false">SUMIFS(Trades!$X$2:$X$884,Trades!$D$2:$D$884,$A419)</f>
        <v>120.69</v>
      </c>
      <c r="G419" s="30" t="n">
        <f aca="false">SUMIFS(Trades!$X$2:$X$884,Trades!$D$2:$D$884,$A419,Trades!$X$2:$X$884,"&gt;0")</f>
        <v>120.69</v>
      </c>
      <c r="H419" s="30" t="n">
        <f aca="false">SUMIFS(Trades!$X$2:$X$884,Trades!$D$2:$D$884,$A419,Trades!$X$2:$X$884,"&lt;0")</f>
        <v>0</v>
      </c>
      <c r="I419" s="31" t="str">
        <f aca="false">IFERROR(G419/-H419,"no loss")</f>
        <v>no loss</v>
      </c>
      <c r="J419" s="30" t="n">
        <f aca="false">_xlfn.MAXIFS(Trades!$X$2:$X$884,Trades!$D$2:$D$884,$A419)</f>
        <v>120.69</v>
      </c>
      <c r="K419" s="30" t="n">
        <f aca="false">_xlfn.MINIFS(Trades!$X$2:$X$884,Trades!$D$2:$D$884,$A419)</f>
        <v>120.69</v>
      </c>
      <c r="L419" s="32" t="n">
        <f aca="false">SUMIFS(Trades!$Y$2:$Y$884,Trades!$D$2:$D$884,$A419)</f>
        <v>2.03483274885359</v>
      </c>
      <c r="M419" s="30" t="n">
        <f aca="false">P418</f>
        <v>107538.82</v>
      </c>
      <c r="N419" s="29" t="n">
        <f aca="false">IFERROR(F419/M419,0)</f>
        <v>0.0011222923963644</v>
      </c>
      <c r="O419" s="28" t="str">
        <f aca="false">IF(-N419&gt;=Summary!$C$7,"BREACH","")</f>
        <v/>
      </c>
      <c r="P419" s="30" t="n">
        <f aca="false">M419+F419</f>
        <v>107659.51</v>
      </c>
      <c r="Q419" s="30" t="n">
        <f aca="false">P419-Summary!$C$5</f>
        <v>7659.5100000001</v>
      </c>
      <c r="R419" s="2" t="str">
        <f aca="false">TEXT(A419,"ddd")</f>
        <v>Tue</v>
      </c>
    </row>
    <row r="420" customFormat="false" ht="15" hidden="false" customHeight="false" outlineLevel="0" collapsed="false">
      <c r="A420" s="42" t="n">
        <v>45715</v>
      </c>
      <c r="B420" s="28" t="n">
        <f aca="false">COUNTIFS(Trades!$D$2:$D$884,$A420)</f>
        <v>1</v>
      </c>
      <c r="C420" s="28" t="n">
        <f aca="false">COUNTIFS(Trades!$D$2:$D$884,$A420,Trades!$Z$2:$Z$884,"Win")</f>
        <v>1</v>
      </c>
      <c r="D420" s="28" t="n">
        <f aca="false">COUNTIFS(Trades!$D$2:$D$884,$A420,Trades!$Z$2:$Z$884,"Loss")</f>
        <v>0</v>
      </c>
      <c r="E420" s="29" t="n">
        <f aca="false">IFERROR(C420/B420,0)</f>
        <v>1</v>
      </c>
      <c r="F420" s="30" t="n">
        <f aca="false">SUMIFS(Trades!$X$2:$X$884,Trades!$D$2:$D$884,$A420)</f>
        <v>634.62</v>
      </c>
      <c r="G420" s="30" t="n">
        <f aca="false">SUMIFS(Trades!$X$2:$X$884,Trades!$D$2:$D$884,$A420,Trades!$X$2:$X$884,"&gt;0")</f>
        <v>634.62</v>
      </c>
      <c r="H420" s="30" t="n">
        <f aca="false">SUMIFS(Trades!$X$2:$X$884,Trades!$D$2:$D$884,$A420,Trades!$X$2:$X$884,"&lt;0")</f>
        <v>0</v>
      </c>
      <c r="I420" s="31" t="str">
        <f aca="false">IFERROR(G420/-H420,"no loss")</f>
        <v>no loss</v>
      </c>
      <c r="J420" s="30" t="n">
        <f aca="false">_xlfn.MAXIFS(Trades!$X$2:$X$884,Trades!$D$2:$D$884,$A420)</f>
        <v>634.62</v>
      </c>
      <c r="K420" s="30" t="n">
        <f aca="false">_xlfn.MINIFS(Trades!$X$2:$X$884,Trades!$D$2:$D$884,$A420)</f>
        <v>634.62</v>
      </c>
      <c r="L420" s="32" t="n">
        <f aca="false">SUMIFS(Trades!$Y$2:$Y$884,Trades!$D$2:$D$884,$A420)</f>
        <v>2.03122599477641</v>
      </c>
      <c r="M420" s="30" t="n">
        <f aca="false">P419</f>
        <v>107659.51</v>
      </c>
      <c r="N420" s="29" t="n">
        <f aca="false">IFERROR(F420/M420,0)</f>
        <v>0.00589469522943212</v>
      </c>
      <c r="O420" s="28" t="str">
        <f aca="false">IF(-N420&gt;=Summary!$C$7,"BREACH","")</f>
        <v/>
      </c>
      <c r="P420" s="30" t="n">
        <f aca="false">M420+F420</f>
        <v>108294.13</v>
      </c>
      <c r="Q420" s="30" t="n">
        <f aca="false">P420-Summary!$C$5</f>
        <v>8294.13000000009</v>
      </c>
      <c r="R420" s="2" t="str">
        <f aca="false">TEXT(A420,"ddd")</f>
        <v>Thu</v>
      </c>
    </row>
    <row r="421" customFormat="false" ht="15" hidden="false" customHeight="false" outlineLevel="0" collapsed="false">
      <c r="A421" s="42" t="n">
        <v>45716</v>
      </c>
      <c r="B421" s="28" t="n">
        <f aca="false">COUNTIFS(Trades!$D$2:$D$884,$A421)</f>
        <v>1</v>
      </c>
      <c r="C421" s="28" t="n">
        <f aca="false">COUNTIFS(Trades!$D$2:$D$884,$A421,Trades!$Z$2:$Z$884,"Win")</f>
        <v>0</v>
      </c>
      <c r="D421" s="28" t="n">
        <f aca="false">COUNTIFS(Trades!$D$2:$D$884,$A421,Trades!$Z$2:$Z$884,"Loss")</f>
        <v>1</v>
      </c>
      <c r="E421" s="29" t="n">
        <f aca="false">IFERROR(C421/B421,0)</f>
        <v>0</v>
      </c>
      <c r="F421" s="30" t="n">
        <f aca="false">SUMIFS(Trades!$X$2:$X$884,Trades!$D$2:$D$884,$A421)</f>
        <v>-141.08</v>
      </c>
      <c r="G421" s="30" t="n">
        <f aca="false">SUMIFS(Trades!$X$2:$X$884,Trades!$D$2:$D$884,$A421,Trades!$X$2:$X$884,"&gt;0")</f>
        <v>0</v>
      </c>
      <c r="H421" s="30" t="n">
        <f aca="false">SUMIFS(Trades!$X$2:$X$884,Trades!$D$2:$D$884,$A421,Trades!$X$2:$X$884,"&lt;0")</f>
        <v>-141.08</v>
      </c>
      <c r="I421" s="31" t="n">
        <f aca="false">IFERROR(G421/-H421,"no loss")</f>
        <v>0</v>
      </c>
      <c r="J421" s="30" t="n">
        <f aca="false">_xlfn.MAXIFS(Trades!$X$2:$X$884,Trades!$D$2:$D$884,$A421)</f>
        <v>-141.08</v>
      </c>
      <c r="K421" s="30" t="n">
        <f aca="false">_xlfn.MINIFS(Trades!$X$2:$X$884,Trades!$D$2:$D$884,$A421)</f>
        <v>-141.08</v>
      </c>
      <c r="L421" s="32" t="n">
        <f aca="false">SUMIFS(Trades!$Y$2:$Y$884,Trades!$D$2:$D$884,$A421)</f>
        <v>-1.00457141229586</v>
      </c>
      <c r="M421" s="30" t="n">
        <f aca="false">P420</f>
        <v>108294.13</v>
      </c>
      <c r="N421" s="29" t="n">
        <f aca="false">IFERROR(F421/M421,0)</f>
        <v>-0.00130274835764413</v>
      </c>
      <c r="O421" s="28" t="str">
        <f aca="false">IF(-N421&gt;=Summary!$C$7,"BREACH","")</f>
        <v/>
      </c>
      <c r="P421" s="30" t="n">
        <f aca="false">M421+F421</f>
        <v>108153.05</v>
      </c>
      <c r="Q421" s="30" t="n">
        <f aca="false">P421-Summary!$C$5</f>
        <v>8153.05000000009</v>
      </c>
      <c r="R421" s="2" t="str">
        <f aca="false">TEXT(A421,"ddd")</f>
        <v>Fri</v>
      </c>
    </row>
    <row r="422" customFormat="false" ht="15" hidden="false" customHeight="false" outlineLevel="0" collapsed="false">
      <c r="A422" s="42" t="n">
        <v>45719</v>
      </c>
      <c r="B422" s="28" t="n">
        <f aca="false">COUNTIFS(Trades!$D$2:$D$884,$A422)</f>
        <v>2</v>
      </c>
      <c r="C422" s="28" t="n">
        <f aca="false">COUNTIFS(Trades!$D$2:$D$884,$A422,Trades!$Z$2:$Z$884,"Win")</f>
        <v>0</v>
      </c>
      <c r="D422" s="28" t="n">
        <f aca="false">COUNTIFS(Trades!$D$2:$D$884,$A422,Trades!$Z$2:$Z$884,"Loss")</f>
        <v>2</v>
      </c>
      <c r="E422" s="29" t="n">
        <f aca="false">IFERROR(C422/B422,0)</f>
        <v>0</v>
      </c>
      <c r="F422" s="30" t="n">
        <f aca="false">SUMIFS(Trades!$X$2:$X$884,Trades!$D$2:$D$884,$A422)</f>
        <v>-2.95</v>
      </c>
      <c r="G422" s="30" t="n">
        <f aca="false">SUMIFS(Trades!$X$2:$X$884,Trades!$D$2:$D$884,$A422,Trades!$X$2:$X$884,"&gt;0")</f>
        <v>0</v>
      </c>
      <c r="H422" s="30" t="n">
        <f aca="false">SUMIFS(Trades!$X$2:$X$884,Trades!$D$2:$D$884,$A422,Trades!$X$2:$X$884,"&lt;0")</f>
        <v>-2.95</v>
      </c>
      <c r="I422" s="31" t="n">
        <f aca="false">IFERROR(G422/-H422,"no loss")</f>
        <v>0</v>
      </c>
      <c r="J422" s="30" t="n">
        <f aca="false">_xlfn.MAXIFS(Trades!$X$2:$X$884,Trades!$D$2:$D$884,$A422)</f>
        <v>-1.43</v>
      </c>
      <c r="K422" s="30" t="n">
        <f aca="false">_xlfn.MINIFS(Trades!$X$2:$X$884,Trades!$D$2:$D$884,$A422)</f>
        <v>-1.52</v>
      </c>
      <c r="L422" s="32" t="n">
        <f aca="false">SUMIFS(Trades!$Y$2:$Y$884,Trades!$D$2:$D$884,$A422)</f>
        <v>-0.0123089366207007</v>
      </c>
      <c r="M422" s="30" t="n">
        <f aca="false">P421</f>
        <v>108153.05</v>
      </c>
      <c r="N422" s="29" t="n">
        <f aca="false">IFERROR(F422/M422,0)</f>
        <v>-2.72761609589373E-005</v>
      </c>
      <c r="O422" s="28" t="str">
        <f aca="false">IF(-N422&gt;=Summary!$C$7,"BREACH","")</f>
        <v/>
      </c>
      <c r="P422" s="30" t="n">
        <f aca="false">M422+F422</f>
        <v>108150.1</v>
      </c>
      <c r="Q422" s="30" t="n">
        <f aca="false">P422-Summary!$C$5</f>
        <v>8150.10000000009</v>
      </c>
      <c r="R422" s="2" t="str">
        <f aca="false">TEXT(A422,"ddd")</f>
        <v>Mon</v>
      </c>
    </row>
    <row r="423" customFormat="false" ht="15" hidden="false" customHeight="false" outlineLevel="0" collapsed="false">
      <c r="A423" s="42" t="n">
        <v>45720</v>
      </c>
      <c r="B423" s="28" t="n">
        <f aca="false">COUNTIFS(Trades!$D$2:$D$884,$A423)</f>
        <v>1</v>
      </c>
      <c r="C423" s="28" t="n">
        <f aca="false">COUNTIFS(Trades!$D$2:$D$884,$A423,Trades!$Z$2:$Z$884,"Win")</f>
        <v>0</v>
      </c>
      <c r="D423" s="28" t="n">
        <f aca="false">COUNTIFS(Trades!$D$2:$D$884,$A423,Trades!$Z$2:$Z$884,"Loss")</f>
        <v>1</v>
      </c>
      <c r="E423" s="29" t="n">
        <f aca="false">IFERROR(C423/B423,0)</f>
        <v>0</v>
      </c>
      <c r="F423" s="30" t="n">
        <f aca="false">SUMIFS(Trades!$X$2:$X$884,Trades!$D$2:$D$884,$A423)</f>
        <v>-189.7</v>
      </c>
      <c r="G423" s="30" t="n">
        <f aca="false">SUMIFS(Trades!$X$2:$X$884,Trades!$D$2:$D$884,$A423,Trades!$X$2:$X$884,"&gt;0")</f>
        <v>0</v>
      </c>
      <c r="H423" s="30" t="n">
        <f aca="false">SUMIFS(Trades!$X$2:$X$884,Trades!$D$2:$D$884,$A423,Trades!$X$2:$X$884,"&lt;0")</f>
        <v>-189.7</v>
      </c>
      <c r="I423" s="31" t="n">
        <f aca="false">IFERROR(G423/-H423,"no loss")</f>
        <v>0</v>
      </c>
      <c r="J423" s="30" t="n">
        <f aca="false">_xlfn.MAXIFS(Trades!$X$2:$X$884,Trades!$D$2:$D$884,$A423)</f>
        <v>-189.7</v>
      </c>
      <c r="K423" s="30" t="n">
        <f aca="false">_xlfn.MINIFS(Trades!$X$2:$X$884,Trades!$D$2:$D$884,$A423)</f>
        <v>-189.7</v>
      </c>
      <c r="L423" s="32" t="n">
        <f aca="false">SUMIFS(Trades!$Y$2:$Y$884,Trades!$D$2:$D$884,$A423)</f>
        <v>-1.02999305012599</v>
      </c>
      <c r="M423" s="30" t="n">
        <f aca="false">P422</f>
        <v>108150.1</v>
      </c>
      <c r="N423" s="29" t="n">
        <f aca="false">IFERROR(F423/M423,0)</f>
        <v>-0.00175404368558143</v>
      </c>
      <c r="O423" s="28" t="str">
        <f aca="false">IF(-N423&gt;=Summary!$C$7,"BREACH","")</f>
        <v/>
      </c>
      <c r="P423" s="30" t="n">
        <f aca="false">M423+F423</f>
        <v>107960.4</v>
      </c>
      <c r="Q423" s="30" t="n">
        <f aca="false">P423-Summary!$C$5</f>
        <v>7960.4000000001</v>
      </c>
      <c r="R423" s="2" t="str">
        <f aca="false">TEXT(A423,"ddd")</f>
        <v>Tue</v>
      </c>
    </row>
    <row r="424" customFormat="false" ht="15" hidden="false" customHeight="false" outlineLevel="0" collapsed="false">
      <c r="A424" s="42" t="n">
        <v>45722</v>
      </c>
      <c r="B424" s="28" t="n">
        <f aca="false">COUNTIFS(Trades!$D$2:$D$884,$A424)</f>
        <v>1</v>
      </c>
      <c r="C424" s="28" t="n">
        <f aca="false">COUNTIFS(Trades!$D$2:$D$884,$A424,Trades!$Z$2:$Z$884,"Win")</f>
        <v>0</v>
      </c>
      <c r="D424" s="28" t="n">
        <f aca="false">COUNTIFS(Trades!$D$2:$D$884,$A424,Trades!$Z$2:$Z$884,"Loss")</f>
        <v>0</v>
      </c>
      <c r="E424" s="29" t="n">
        <f aca="false">IFERROR(C424/B424,0)</f>
        <v>0</v>
      </c>
      <c r="F424" s="30" t="n">
        <f aca="false">SUMIFS(Trades!$X$2:$X$884,Trades!$D$2:$D$884,$A424)</f>
        <v>0</v>
      </c>
      <c r="G424" s="30" t="n">
        <f aca="false">SUMIFS(Trades!$X$2:$X$884,Trades!$D$2:$D$884,$A424,Trades!$X$2:$X$884,"&gt;0")</f>
        <v>0</v>
      </c>
      <c r="H424" s="30" t="n">
        <f aca="false">SUMIFS(Trades!$X$2:$X$884,Trades!$D$2:$D$884,$A424,Trades!$X$2:$X$884,"&lt;0")</f>
        <v>0</v>
      </c>
      <c r="I424" s="31" t="str">
        <f aca="false">IFERROR(G424/-H424,"no loss")</f>
        <v>no loss</v>
      </c>
      <c r="J424" s="30" t="n">
        <f aca="false">_xlfn.MAXIFS(Trades!$X$2:$X$884,Trades!$D$2:$D$884,$A424)</f>
        <v>0</v>
      </c>
      <c r="K424" s="30" t="n">
        <f aca="false">_xlfn.MINIFS(Trades!$X$2:$X$884,Trades!$D$2:$D$884,$A424)</f>
        <v>0</v>
      </c>
      <c r="L424" s="32" t="n">
        <f aca="false">SUMIFS(Trades!$Y$2:$Y$884,Trades!$D$2:$D$884,$A424)</f>
        <v>0</v>
      </c>
      <c r="M424" s="30" t="n">
        <f aca="false">P423</f>
        <v>107960.4</v>
      </c>
      <c r="N424" s="29" t="n">
        <f aca="false">IFERROR(F424/M424,0)</f>
        <v>0</v>
      </c>
      <c r="O424" s="28" t="str">
        <f aca="false">IF(-N424&gt;=Summary!$C$7,"BREACH","")</f>
        <v/>
      </c>
      <c r="P424" s="30" t="n">
        <f aca="false">M424+F424</f>
        <v>107960.4</v>
      </c>
      <c r="Q424" s="30" t="n">
        <f aca="false">P424-Summary!$C$5</f>
        <v>7960.4000000001</v>
      </c>
      <c r="R424" s="2" t="str">
        <f aca="false">TEXT(A424,"ddd")</f>
        <v>Thu</v>
      </c>
    </row>
    <row r="425" customFormat="false" ht="15" hidden="false" customHeight="false" outlineLevel="0" collapsed="false">
      <c r="A425" s="42" t="n">
        <v>45723</v>
      </c>
      <c r="B425" s="28" t="n">
        <f aca="false">COUNTIFS(Trades!$D$2:$D$884,$A425)</f>
        <v>1</v>
      </c>
      <c r="C425" s="28" t="n">
        <f aca="false">COUNTIFS(Trades!$D$2:$D$884,$A425,Trades!$Z$2:$Z$884,"Win")</f>
        <v>0</v>
      </c>
      <c r="D425" s="28" t="n">
        <f aca="false">COUNTIFS(Trades!$D$2:$D$884,$A425,Trades!$Z$2:$Z$884,"Loss")</f>
        <v>1</v>
      </c>
      <c r="E425" s="29" t="n">
        <f aca="false">IFERROR(C425/B425,0)</f>
        <v>0</v>
      </c>
      <c r="F425" s="30" t="n">
        <f aca="false">SUMIFS(Trades!$X$2:$X$884,Trades!$D$2:$D$884,$A425)</f>
        <v>-0.91</v>
      </c>
      <c r="G425" s="30" t="n">
        <f aca="false">SUMIFS(Trades!$X$2:$X$884,Trades!$D$2:$D$884,$A425,Trades!$X$2:$X$884,"&gt;0")</f>
        <v>0</v>
      </c>
      <c r="H425" s="30" t="n">
        <f aca="false">SUMIFS(Trades!$X$2:$X$884,Trades!$D$2:$D$884,$A425,Trades!$X$2:$X$884,"&lt;0")</f>
        <v>-0.91</v>
      </c>
      <c r="I425" s="31" t="n">
        <f aca="false">IFERROR(G425/-H425,"no loss")</f>
        <v>0</v>
      </c>
      <c r="J425" s="30" t="n">
        <f aca="false">_xlfn.MAXIFS(Trades!$X$2:$X$884,Trades!$D$2:$D$884,$A425)</f>
        <v>-0.91</v>
      </c>
      <c r="K425" s="30" t="n">
        <f aca="false">_xlfn.MINIFS(Trades!$X$2:$X$884,Trades!$D$2:$D$884,$A425)</f>
        <v>-0.91</v>
      </c>
      <c r="L425" s="32" t="n">
        <f aca="false">SUMIFS(Trades!$Y$2:$Y$884,Trades!$D$2:$D$884,$A425)</f>
        <v>-0.00297199143021368</v>
      </c>
      <c r="M425" s="30" t="n">
        <f aca="false">P424</f>
        <v>107960.4</v>
      </c>
      <c r="N425" s="29" t="n">
        <f aca="false">IFERROR(F425/M425,0)</f>
        <v>-8.42901656533321E-006</v>
      </c>
      <c r="O425" s="28" t="str">
        <f aca="false">IF(-N425&gt;=Summary!$C$7,"BREACH","")</f>
        <v/>
      </c>
      <c r="P425" s="30" t="n">
        <f aca="false">M425+F425</f>
        <v>107959.49</v>
      </c>
      <c r="Q425" s="30" t="n">
        <f aca="false">P425-Summary!$C$5</f>
        <v>7959.49000000009</v>
      </c>
      <c r="R425" s="2" t="str">
        <f aca="false">TEXT(A425,"ddd")</f>
        <v>Fri</v>
      </c>
    </row>
    <row r="426" customFormat="false" ht="15" hidden="false" customHeight="false" outlineLevel="0" collapsed="false">
      <c r="A426" s="42" t="n">
        <v>45726</v>
      </c>
      <c r="B426" s="28" t="n">
        <f aca="false">COUNTIFS(Trades!$D$2:$D$884,$A426)</f>
        <v>1</v>
      </c>
      <c r="C426" s="28" t="n">
        <f aca="false">COUNTIFS(Trades!$D$2:$D$884,$A426,Trades!$Z$2:$Z$884,"Win")</f>
        <v>1</v>
      </c>
      <c r="D426" s="28" t="n">
        <f aca="false">COUNTIFS(Trades!$D$2:$D$884,$A426,Trades!$Z$2:$Z$884,"Loss")</f>
        <v>0</v>
      </c>
      <c r="E426" s="29" t="n">
        <f aca="false">IFERROR(C426/B426,0)</f>
        <v>1</v>
      </c>
      <c r="F426" s="30" t="n">
        <f aca="false">SUMIFS(Trades!$X$2:$X$884,Trades!$D$2:$D$884,$A426)</f>
        <v>716.35</v>
      </c>
      <c r="G426" s="30" t="n">
        <f aca="false">SUMIFS(Trades!$X$2:$X$884,Trades!$D$2:$D$884,$A426,Trades!$X$2:$X$884,"&gt;0")</f>
        <v>716.35</v>
      </c>
      <c r="H426" s="30" t="n">
        <f aca="false">SUMIFS(Trades!$X$2:$X$884,Trades!$D$2:$D$884,$A426,Trades!$X$2:$X$884,"&lt;0")</f>
        <v>0</v>
      </c>
      <c r="I426" s="31" t="str">
        <f aca="false">IFERROR(G426/-H426,"no loss")</f>
        <v>no loss</v>
      </c>
      <c r="J426" s="30" t="n">
        <f aca="false">_xlfn.MAXIFS(Trades!$X$2:$X$884,Trades!$D$2:$D$884,$A426)</f>
        <v>716.35</v>
      </c>
      <c r="K426" s="30" t="n">
        <f aca="false">_xlfn.MINIFS(Trades!$X$2:$X$884,Trades!$D$2:$D$884,$A426)</f>
        <v>716.35</v>
      </c>
      <c r="L426" s="32" t="n">
        <f aca="false">SUMIFS(Trades!$Y$2:$Y$884,Trades!$D$2:$D$884,$A426)</f>
        <v>2.04605954665939</v>
      </c>
      <c r="M426" s="30" t="n">
        <f aca="false">P425</f>
        <v>107959.49</v>
      </c>
      <c r="N426" s="29" t="n">
        <f aca="false">IFERROR(F426/M426,0)</f>
        <v>0.00663535924447216</v>
      </c>
      <c r="O426" s="28" t="str">
        <f aca="false">IF(-N426&gt;=Summary!$C$7,"BREACH","")</f>
        <v/>
      </c>
      <c r="P426" s="30" t="n">
        <f aca="false">M426+F426</f>
        <v>108675.84</v>
      </c>
      <c r="Q426" s="30" t="n">
        <f aca="false">P426-Summary!$C$5</f>
        <v>8675.8400000001</v>
      </c>
      <c r="R426" s="2" t="str">
        <f aca="false">TEXT(A426,"ddd")</f>
        <v>Mon</v>
      </c>
    </row>
    <row r="427" customFormat="false" ht="15" hidden="false" customHeight="false" outlineLevel="0" collapsed="false">
      <c r="A427" s="42" t="n">
        <v>45727</v>
      </c>
      <c r="B427" s="28" t="n">
        <f aca="false">COUNTIFS(Trades!$D$2:$D$884,$A427)</f>
        <v>1</v>
      </c>
      <c r="C427" s="28" t="n">
        <f aca="false">COUNTIFS(Trades!$D$2:$D$884,$A427,Trades!$Z$2:$Z$884,"Win")</f>
        <v>0</v>
      </c>
      <c r="D427" s="28" t="n">
        <f aca="false">COUNTIFS(Trades!$D$2:$D$884,$A427,Trades!$Z$2:$Z$884,"Loss")</f>
        <v>1</v>
      </c>
      <c r="E427" s="29" t="n">
        <f aca="false">IFERROR(C427/B427,0)</f>
        <v>0</v>
      </c>
      <c r="F427" s="30" t="n">
        <f aca="false">SUMIFS(Trades!$X$2:$X$884,Trades!$D$2:$D$884,$A427)</f>
        <v>-183.75</v>
      </c>
      <c r="G427" s="30" t="n">
        <f aca="false">SUMIFS(Trades!$X$2:$X$884,Trades!$D$2:$D$884,$A427,Trades!$X$2:$X$884,"&gt;0")</f>
        <v>0</v>
      </c>
      <c r="H427" s="30" t="n">
        <f aca="false">SUMIFS(Trades!$X$2:$X$884,Trades!$D$2:$D$884,$A427,Trades!$X$2:$X$884,"&lt;0")</f>
        <v>-183.75</v>
      </c>
      <c r="I427" s="31" t="n">
        <f aca="false">IFERROR(G427/-H427,"no loss")</f>
        <v>0</v>
      </c>
      <c r="J427" s="30" t="n">
        <f aca="false">_xlfn.MAXIFS(Trades!$X$2:$X$884,Trades!$D$2:$D$884,$A427)</f>
        <v>-183.75</v>
      </c>
      <c r="K427" s="30" t="n">
        <f aca="false">_xlfn.MINIFS(Trades!$X$2:$X$884,Trades!$D$2:$D$884,$A427)</f>
        <v>-183.75</v>
      </c>
      <c r="L427" s="32" t="n">
        <f aca="false">SUMIFS(Trades!$Y$2:$Y$884,Trades!$D$2:$D$884,$A427)</f>
        <v>-1.0087839692561</v>
      </c>
      <c r="M427" s="30" t="n">
        <f aca="false">P426</f>
        <v>108675.84</v>
      </c>
      <c r="N427" s="29" t="n">
        <f aca="false">IFERROR(F427/M427,0)</f>
        <v>-0.00169080818698986</v>
      </c>
      <c r="O427" s="28" t="str">
        <f aca="false">IF(-N427&gt;=Summary!$C$7,"BREACH","")</f>
        <v/>
      </c>
      <c r="P427" s="30" t="n">
        <f aca="false">M427+F427</f>
        <v>108492.09</v>
      </c>
      <c r="Q427" s="30" t="n">
        <f aca="false">P427-Summary!$C$5</f>
        <v>8492.0900000001</v>
      </c>
      <c r="R427" s="2" t="str">
        <f aca="false">TEXT(A427,"ddd")</f>
        <v>Tue</v>
      </c>
    </row>
    <row r="428" customFormat="false" ht="15" hidden="false" customHeight="false" outlineLevel="0" collapsed="false">
      <c r="A428" s="42" t="n">
        <v>45728</v>
      </c>
      <c r="B428" s="28" t="n">
        <f aca="false">COUNTIFS(Trades!$D$2:$D$884,$A428)</f>
        <v>1</v>
      </c>
      <c r="C428" s="28" t="n">
        <f aca="false">COUNTIFS(Trades!$D$2:$D$884,$A428,Trades!$Z$2:$Z$884,"Win")</f>
        <v>0</v>
      </c>
      <c r="D428" s="28" t="n">
        <f aca="false">COUNTIFS(Trades!$D$2:$D$884,$A428,Trades!$Z$2:$Z$884,"Loss")</f>
        <v>1</v>
      </c>
      <c r="E428" s="29" t="n">
        <f aca="false">IFERROR(C428/B428,0)</f>
        <v>0</v>
      </c>
      <c r="F428" s="30" t="n">
        <f aca="false">SUMIFS(Trades!$X$2:$X$884,Trades!$D$2:$D$884,$A428)</f>
        <v>-285.26</v>
      </c>
      <c r="G428" s="30" t="n">
        <f aca="false">SUMIFS(Trades!$X$2:$X$884,Trades!$D$2:$D$884,$A428,Trades!$X$2:$X$884,"&gt;0")</f>
        <v>0</v>
      </c>
      <c r="H428" s="30" t="n">
        <f aca="false">SUMIFS(Trades!$X$2:$X$884,Trades!$D$2:$D$884,$A428,Trades!$X$2:$X$884,"&lt;0")</f>
        <v>-285.26</v>
      </c>
      <c r="I428" s="31" t="n">
        <f aca="false">IFERROR(G428/-H428,"no loss")</f>
        <v>0</v>
      </c>
      <c r="J428" s="30" t="n">
        <f aca="false">_xlfn.MAXIFS(Trades!$X$2:$X$884,Trades!$D$2:$D$884,$A428)</f>
        <v>-285.26</v>
      </c>
      <c r="K428" s="30" t="n">
        <f aca="false">_xlfn.MINIFS(Trades!$X$2:$X$884,Trades!$D$2:$D$884,$A428)</f>
        <v>-285.26</v>
      </c>
      <c r="L428" s="32" t="n">
        <f aca="false">SUMIFS(Trades!$Y$2:$Y$884,Trades!$D$2:$D$884,$A428)</f>
        <v>-1.05054210123145</v>
      </c>
      <c r="M428" s="30" t="n">
        <f aca="false">P427</f>
        <v>108492.09</v>
      </c>
      <c r="N428" s="29" t="n">
        <f aca="false">IFERROR(F428/M428,0)</f>
        <v>-0.00262931610958919</v>
      </c>
      <c r="O428" s="28" t="str">
        <f aca="false">IF(-N428&gt;=Summary!$C$7,"BREACH","")</f>
        <v/>
      </c>
      <c r="P428" s="30" t="n">
        <f aca="false">M428+F428</f>
        <v>108206.83</v>
      </c>
      <c r="Q428" s="30" t="n">
        <f aca="false">P428-Summary!$C$5</f>
        <v>8206.8300000001</v>
      </c>
      <c r="R428" s="2" t="str">
        <f aca="false">TEXT(A428,"ddd")</f>
        <v>Wed</v>
      </c>
    </row>
    <row r="429" customFormat="false" ht="15" hidden="false" customHeight="false" outlineLevel="0" collapsed="false">
      <c r="A429" s="42" t="n">
        <v>45729</v>
      </c>
      <c r="B429" s="28" t="n">
        <f aca="false">COUNTIFS(Trades!$D$2:$D$884,$A429)</f>
        <v>1</v>
      </c>
      <c r="C429" s="28" t="n">
        <f aca="false">COUNTIFS(Trades!$D$2:$D$884,$A429,Trades!$Z$2:$Z$884,"Win")</f>
        <v>0</v>
      </c>
      <c r="D429" s="28" t="n">
        <f aca="false">COUNTIFS(Trades!$D$2:$D$884,$A429,Trades!$Z$2:$Z$884,"Loss")</f>
        <v>1</v>
      </c>
      <c r="E429" s="29" t="n">
        <f aca="false">IFERROR(C429/B429,0)</f>
        <v>0</v>
      </c>
      <c r="F429" s="30" t="n">
        <f aca="false">SUMIFS(Trades!$X$2:$X$884,Trades!$D$2:$D$884,$A429)</f>
        <v>-322.5</v>
      </c>
      <c r="G429" s="30" t="n">
        <f aca="false">SUMIFS(Trades!$X$2:$X$884,Trades!$D$2:$D$884,$A429,Trades!$X$2:$X$884,"&gt;0")</f>
        <v>0</v>
      </c>
      <c r="H429" s="30" t="n">
        <f aca="false">SUMIFS(Trades!$X$2:$X$884,Trades!$D$2:$D$884,$A429,Trades!$X$2:$X$884,"&lt;0")</f>
        <v>-322.5</v>
      </c>
      <c r="I429" s="31" t="n">
        <f aca="false">IFERROR(G429/-H429,"no loss")</f>
        <v>0</v>
      </c>
      <c r="J429" s="30" t="n">
        <f aca="false">_xlfn.MAXIFS(Trades!$X$2:$X$884,Trades!$D$2:$D$884,$A429)</f>
        <v>-322.5</v>
      </c>
      <c r="K429" s="30" t="n">
        <f aca="false">_xlfn.MINIFS(Trades!$X$2:$X$884,Trades!$D$2:$D$884,$A429)</f>
        <v>-322.5</v>
      </c>
      <c r="L429" s="32" t="n">
        <f aca="false">SUMIFS(Trades!$Y$2:$Y$884,Trades!$D$2:$D$884,$A429)</f>
        <v>-1.00576953064087</v>
      </c>
      <c r="M429" s="30" t="n">
        <f aca="false">P428</f>
        <v>108206.83</v>
      </c>
      <c r="N429" s="29" t="n">
        <f aca="false">IFERROR(F429/M429,0)</f>
        <v>-0.00298040336270825</v>
      </c>
      <c r="O429" s="28" t="str">
        <f aca="false">IF(-N429&gt;=Summary!$C$7,"BREACH","")</f>
        <v/>
      </c>
      <c r="P429" s="30" t="n">
        <f aca="false">M429+F429</f>
        <v>107884.33</v>
      </c>
      <c r="Q429" s="30" t="n">
        <f aca="false">P429-Summary!$C$5</f>
        <v>7884.3300000001</v>
      </c>
      <c r="R429" s="2" t="str">
        <f aca="false">TEXT(A429,"ddd")</f>
        <v>Thu</v>
      </c>
    </row>
    <row r="430" customFormat="false" ht="15" hidden="false" customHeight="false" outlineLevel="0" collapsed="false">
      <c r="A430" s="42" t="n">
        <v>45730</v>
      </c>
      <c r="B430" s="28" t="n">
        <f aca="false">COUNTIFS(Trades!$D$2:$D$884,$A430)</f>
        <v>1</v>
      </c>
      <c r="C430" s="28" t="n">
        <f aca="false">COUNTIFS(Trades!$D$2:$D$884,$A430,Trades!$Z$2:$Z$884,"Win")</f>
        <v>0</v>
      </c>
      <c r="D430" s="28" t="n">
        <f aca="false">COUNTIFS(Trades!$D$2:$D$884,$A430,Trades!$Z$2:$Z$884,"Loss")</f>
        <v>1</v>
      </c>
      <c r="E430" s="29" t="n">
        <f aca="false">IFERROR(C430/B430,0)</f>
        <v>0</v>
      </c>
      <c r="F430" s="30" t="n">
        <f aca="false">SUMIFS(Trades!$X$2:$X$884,Trades!$D$2:$D$884,$A430)</f>
        <v>-120</v>
      </c>
      <c r="G430" s="30" t="n">
        <f aca="false">SUMIFS(Trades!$X$2:$X$884,Trades!$D$2:$D$884,$A430,Trades!$X$2:$X$884,"&gt;0")</f>
        <v>0</v>
      </c>
      <c r="H430" s="30" t="n">
        <f aca="false">SUMIFS(Trades!$X$2:$X$884,Trades!$D$2:$D$884,$A430,Trades!$X$2:$X$884,"&lt;0")</f>
        <v>-120</v>
      </c>
      <c r="I430" s="31" t="n">
        <f aca="false">IFERROR(G430/-H430,"no loss")</f>
        <v>0</v>
      </c>
      <c r="J430" s="30" t="n">
        <f aca="false">_xlfn.MAXIFS(Trades!$X$2:$X$884,Trades!$D$2:$D$884,$A430)</f>
        <v>-120</v>
      </c>
      <c r="K430" s="30" t="n">
        <f aca="false">_xlfn.MINIFS(Trades!$X$2:$X$884,Trades!$D$2:$D$884,$A430)</f>
        <v>-120</v>
      </c>
      <c r="L430" s="32" t="n">
        <f aca="false">SUMIFS(Trades!$Y$2:$Y$884,Trades!$D$2:$D$884,$A430)</f>
        <v>-1.00361300682457</v>
      </c>
      <c r="M430" s="30" t="n">
        <f aca="false">P429</f>
        <v>107884.33</v>
      </c>
      <c r="N430" s="29" t="n">
        <f aca="false">IFERROR(F430/M430,0)</f>
        <v>-0.00111230240758783</v>
      </c>
      <c r="O430" s="28" t="str">
        <f aca="false">IF(-N430&gt;=Summary!$C$7,"BREACH","")</f>
        <v/>
      </c>
      <c r="P430" s="30" t="n">
        <f aca="false">M430+F430</f>
        <v>107764.33</v>
      </c>
      <c r="Q430" s="30" t="n">
        <f aca="false">P430-Summary!$C$5</f>
        <v>7764.3300000001</v>
      </c>
      <c r="R430" s="2" t="str">
        <f aca="false">TEXT(A430,"ddd")</f>
        <v>Fri</v>
      </c>
    </row>
    <row r="431" customFormat="false" ht="15" hidden="false" customHeight="false" outlineLevel="0" collapsed="false">
      <c r="A431" s="42" t="n">
        <v>45733</v>
      </c>
      <c r="B431" s="28" t="n">
        <f aca="false">COUNTIFS(Trades!$D$2:$D$884,$A431)</f>
        <v>1</v>
      </c>
      <c r="C431" s="28" t="n">
        <f aca="false">COUNTIFS(Trades!$D$2:$D$884,$A431,Trades!$Z$2:$Z$884,"Win")</f>
        <v>0</v>
      </c>
      <c r="D431" s="28" t="n">
        <f aca="false">COUNTIFS(Trades!$D$2:$D$884,$A431,Trades!$Z$2:$Z$884,"Loss")</f>
        <v>1</v>
      </c>
      <c r="E431" s="29" t="n">
        <f aca="false">IFERROR(C431/B431,0)</f>
        <v>0</v>
      </c>
      <c r="F431" s="30" t="n">
        <f aca="false">SUMIFS(Trades!$X$2:$X$884,Trades!$D$2:$D$884,$A431)</f>
        <v>-201.26</v>
      </c>
      <c r="G431" s="30" t="n">
        <f aca="false">SUMIFS(Trades!$X$2:$X$884,Trades!$D$2:$D$884,$A431,Trades!$X$2:$X$884,"&gt;0")</f>
        <v>0</v>
      </c>
      <c r="H431" s="30" t="n">
        <f aca="false">SUMIFS(Trades!$X$2:$X$884,Trades!$D$2:$D$884,$A431,Trades!$X$2:$X$884,"&lt;0")</f>
        <v>-201.26</v>
      </c>
      <c r="I431" s="31" t="n">
        <f aca="false">IFERROR(G431/-H431,"no loss")</f>
        <v>0</v>
      </c>
      <c r="J431" s="30" t="n">
        <f aca="false">_xlfn.MAXIFS(Trades!$X$2:$X$884,Trades!$D$2:$D$884,$A431)</f>
        <v>-201.26</v>
      </c>
      <c r="K431" s="30" t="n">
        <f aca="false">_xlfn.MINIFS(Trades!$X$2:$X$884,Trades!$D$2:$D$884,$A431)</f>
        <v>-201.26</v>
      </c>
      <c r="L431" s="32" t="n">
        <f aca="false">SUMIFS(Trades!$Y$2:$Y$884,Trades!$D$2:$D$884,$A431)</f>
        <v>-1.0038105498364</v>
      </c>
      <c r="M431" s="30" t="n">
        <f aca="false">P430</f>
        <v>107764.33</v>
      </c>
      <c r="N431" s="29" t="n">
        <f aca="false">IFERROR(F431/M431,0)</f>
        <v>-0.00186759385039558</v>
      </c>
      <c r="O431" s="28" t="str">
        <f aca="false">IF(-N431&gt;=Summary!$C$7,"BREACH","")</f>
        <v/>
      </c>
      <c r="P431" s="30" t="n">
        <f aca="false">M431+F431</f>
        <v>107563.07</v>
      </c>
      <c r="Q431" s="30" t="n">
        <f aca="false">P431-Summary!$C$5</f>
        <v>7563.07000000011</v>
      </c>
      <c r="R431" s="2" t="str">
        <f aca="false">TEXT(A431,"ddd")</f>
        <v>Mon</v>
      </c>
    </row>
    <row r="432" customFormat="false" ht="15" hidden="false" customHeight="false" outlineLevel="0" collapsed="false">
      <c r="A432" s="42" t="n">
        <v>45734</v>
      </c>
      <c r="B432" s="28" t="n">
        <f aca="false">COUNTIFS(Trades!$D$2:$D$884,$A432)</f>
        <v>1</v>
      </c>
      <c r="C432" s="28" t="n">
        <f aca="false">COUNTIFS(Trades!$D$2:$D$884,$A432,Trades!$Z$2:$Z$884,"Win")</f>
        <v>0</v>
      </c>
      <c r="D432" s="28" t="n">
        <f aca="false">COUNTIFS(Trades!$D$2:$D$884,$A432,Trades!$Z$2:$Z$884,"Loss")</f>
        <v>1</v>
      </c>
      <c r="E432" s="29" t="n">
        <f aca="false">IFERROR(C432/B432,0)</f>
        <v>0</v>
      </c>
      <c r="F432" s="30" t="n">
        <f aca="false">SUMIFS(Trades!$X$2:$X$884,Trades!$D$2:$D$884,$A432)</f>
        <v>-0.58</v>
      </c>
      <c r="G432" s="30" t="n">
        <f aca="false">SUMIFS(Trades!$X$2:$X$884,Trades!$D$2:$D$884,$A432,Trades!$X$2:$X$884,"&gt;0")</f>
        <v>0</v>
      </c>
      <c r="H432" s="30" t="n">
        <f aca="false">SUMIFS(Trades!$X$2:$X$884,Trades!$D$2:$D$884,$A432,Trades!$X$2:$X$884,"&lt;0")</f>
        <v>-0.58</v>
      </c>
      <c r="I432" s="31" t="n">
        <f aca="false">IFERROR(G432/-H432,"no loss")</f>
        <v>0</v>
      </c>
      <c r="J432" s="30" t="n">
        <f aca="false">_xlfn.MAXIFS(Trades!$X$2:$X$884,Trades!$D$2:$D$884,$A432)</f>
        <v>-0.58</v>
      </c>
      <c r="K432" s="30" t="n">
        <f aca="false">_xlfn.MINIFS(Trades!$X$2:$X$884,Trades!$D$2:$D$884,$A432)</f>
        <v>-0.58</v>
      </c>
      <c r="L432" s="32" t="n">
        <f aca="false">SUMIFS(Trades!$Y$2:$Y$884,Trades!$D$2:$D$884,$A432)</f>
        <v>-0.00190739279137074</v>
      </c>
      <c r="M432" s="30" t="n">
        <f aca="false">P431</f>
        <v>107563.07</v>
      </c>
      <c r="N432" s="29" t="n">
        <f aca="false">IFERROR(F432/M432,0)</f>
        <v>-5.39218525466035E-006</v>
      </c>
      <c r="O432" s="28" t="str">
        <f aca="false">IF(-N432&gt;=Summary!$C$7,"BREACH","")</f>
        <v/>
      </c>
      <c r="P432" s="30" t="n">
        <f aca="false">M432+F432</f>
        <v>107562.49</v>
      </c>
      <c r="Q432" s="30" t="n">
        <f aca="false">P432-Summary!$C$5</f>
        <v>7562.49000000011</v>
      </c>
      <c r="R432" s="2" t="str">
        <f aca="false">TEXT(A432,"ddd")</f>
        <v>Tue</v>
      </c>
    </row>
    <row r="433" customFormat="false" ht="15" hidden="false" customHeight="false" outlineLevel="0" collapsed="false">
      <c r="A433" s="42" t="n">
        <v>45735</v>
      </c>
      <c r="B433" s="28" t="n">
        <f aca="false">COUNTIFS(Trades!$D$2:$D$884,$A433)</f>
        <v>1</v>
      </c>
      <c r="C433" s="28" t="n">
        <f aca="false">COUNTIFS(Trades!$D$2:$D$884,$A433,Trades!$Z$2:$Z$884,"Win")</f>
        <v>0</v>
      </c>
      <c r="D433" s="28" t="n">
        <f aca="false">COUNTIFS(Trades!$D$2:$D$884,$A433,Trades!$Z$2:$Z$884,"Loss")</f>
        <v>1</v>
      </c>
      <c r="E433" s="29" t="n">
        <f aca="false">IFERROR(C433/B433,0)</f>
        <v>0</v>
      </c>
      <c r="F433" s="30" t="n">
        <f aca="false">SUMIFS(Trades!$X$2:$X$884,Trades!$D$2:$D$884,$A433)</f>
        <v>-0.34</v>
      </c>
      <c r="G433" s="30" t="n">
        <f aca="false">SUMIFS(Trades!$X$2:$X$884,Trades!$D$2:$D$884,$A433,Trades!$X$2:$X$884,"&gt;0")</f>
        <v>0</v>
      </c>
      <c r="H433" s="30" t="n">
        <f aca="false">SUMIFS(Trades!$X$2:$X$884,Trades!$D$2:$D$884,$A433,Trades!$X$2:$X$884,"&lt;0")</f>
        <v>-0.34</v>
      </c>
      <c r="I433" s="31" t="n">
        <f aca="false">IFERROR(G433/-H433,"no loss")</f>
        <v>0</v>
      </c>
      <c r="J433" s="30" t="n">
        <f aca="false">_xlfn.MAXIFS(Trades!$X$2:$X$884,Trades!$D$2:$D$884,$A433)</f>
        <v>-0.34</v>
      </c>
      <c r="K433" s="30" t="n">
        <f aca="false">_xlfn.MINIFS(Trades!$X$2:$X$884,Trades!$D$2:$D$884,$A433)</f>
        <v>-0.34</v>
      </c>
      <c r="L433" s="32" t="n">
        <f aca="false">SUMIFS(Trades!$Y$2:$Y$884,Trades!$D$2:$D$884,$A433)</f>
        <v>-0.00166941629350301</v>
      </c>
      <c r="M433" s="30" t="n">
        <f aca="false">P432</f>
        <v>107562.49</v>
      </c>
      <c r="N433" s="29" t="n">
        <f aca="false">IFERROR(F433/M433,0)</f>
        <v>-3.1609532282118E-006</v>
      </c>
      <c r="O433" s="28" t="str">
        <f aca="false">IF(-N433&gt;=Summary!$C$7,"BREACH","")</f>
        <v/>
      </c>
      <c r="P433" s="30" t="n">
        <f aca="false">M433+F433</f>
        <v>107562.15</v>
      </c>
      <c r="Q433" s="30" t="n">
        <f aca="false">P433-Summary!$C$5</f>
        <v>7562.15000000011</v>
      </c>
      <c r="R433" s="2" t="str">
        <f aca="false">TEXT(A433,"ddd")</f>
        <v>Wed</v>
      </c>
    </row>
    <row r="434" customFormat="false" ht="15" hidden="false" customHeight="false" outlineLevel="0" collapsed="false">
      <c r="A434" s="42" t="n">
        <v>45737</v>
      </c>
      <c r="B434" s="28" t="n">
        <f aca="false">COUNTIFS(Trades!$D$2:$D$884,$A434)</f>
        <v>1</v>
      </c>
      <c r="C434" s="28" t="n">
        <f aca="false">COUNTIFS(Trades!$D$2:$D$884,$A434,Trades!$Z$2:$Z$884,"Win")</f>
        <v>1</v>
      </c>
      <c r="D434" s="28" t="n">
        <f aca="false">COUNTIFS(Trades!$D$2:$D$884,$A434,Trades!$Z$2:$Z$884,"Loss")</f>
        <v>0</v>
      </c>
      <c r="E434" s="29" t="n">
        <f aca="false">IFERROR(C434/B434,0)</f>
        <v>1</v>
      </c>
      <c r="F434" s="30" t="n">
        <f aca="false">SUMIFS(Trades!$X$2:$X$884,Trades!$D$2:$D$884,$A434)</f>
        <v>276.29</v>
      </c>
      <c r="G434" s="30" t="n">
        <f aca="false">SUMIFS(Trades!$X$2:$X$884,Trades!$D$2:$D$884,$A434,Trades!$X$2:$X$884,"&gt;0")</f>
        <v>276.29</v>
      </c>
      <c r="H434" s="30" t="n">
        <f aca="false">SUMIFS(Trades!$X$2:$X$884,Trades!$D$2:$D$884,$A434,Trades!$X$2:$X$884,"&lt;0")</f>
        <v>0</v>
      </c>
      <c r="I434" s="31" t="str">
        <f aca="false">IFERROR(G434/-H434,"no loss")</f>
        <v>no loss</v>
      </c>
      <c r="J434" s="30" t="n">
        <f aca="false">_xlfn.MAXIFS(Trades!$X$2:$X$884,Trades!$D$2:$D$884,$A434)</f>
        <v>276.29</v>
      </c>
      <c r="K434" s="30" t="n">
        <f aca="false">_xlfn.MINIFS(Trades!$X$2:$X$884,Trades!$D$2:$D$884,$A434)</f>
        <v>276.29</v>
      </c>
      <c r="L434" s="32" t="n">
        <f aca="false">SUMIFS(Trades!$Y$2:$Y$884,Trades!$D$2:$D$884,$A434)</f>
        <v>2.00558943089426</v>
      </c>
      <c r="M434" s="30" t="n">
        <f aca="false">P433</f>
        <v>107562.15</v>
      </c>
      <c r="N434" s="29" t="n">
        <f aca="false">IFERROR(F434/M434,0)</f>
        <v>0.00256865449416918</v>
      </c>
      <c r="O434" s="28" t="str">
        <f aca="false">IF(-N434&gt;=Summary!$C$7,"BREACH","")</f>
        <v/>
      </c>
      <c r="P434" s="30" t="n">
        <f aca="false">M434+F434</f>
        <v>107838.44</v>
      </c>
      <c r="Q434" s="30" t="n">
        <f aca="false">P434-Summary!$C$5</f>
        <v>7838.4400000001</v>
      </c>
      <c r="R434" s="2" t="str">
        <f aca="false">TEXT(A434,"ddd")</f>
        <v>Fri</v>
      </c>
    </row>
    <row r="435" customFormat="false" ht="15" hidden="false" customHeight="false" outlineLevel="0" collapsed="false">
      <c r="A435" s="42" t="n">
        <v>45740</v>
      </c>
      <c r="B435" s="28" t="n">
        <f aca="false">COUNTIFS(Trades!$D$2:$D$884,$A435)</f>
        <v>1</v>
      </c>
      <c r="C435" s="28" t="n">
        <f aca="false">COUNTIFS(Trades!$D$2:$D$884,$A435,Trades!$Z$2:$Z$884,"Win")</f>
        <v>1</v>
      </c>
      <c r="D435" s="28" t="n">
        <f aca="false">COUNTIFS(Trades!$D$2:$D$884,$A435,Trades!$Z$2:$Z$884,"Loss")</f>
        <v>0</v>
      </c>
      <c r="E435" s="29" t="n">
        <f aca="false">IFERROR(C435/B435,0)</f>
        <v>1</v>
      </c>
      <c r="F435" s="30" t="n">
        <f aca="false">SUMIFS(Trades!$X$2:$X$884,Trades!$D$2:$D$884,$A435)</f>
        <v>385.97</v>
      </c>
      <c r="G435" s="30" t="n">
        <f aca="false">SUMIFS(Trades!$X$2:$X$884,Trades!$D$2:$D$884,$A435,Trades!$X$2:$X$884,"&gt;0")</f>
        <v>385.97</v>
      </c>
      <c r="H435" s="30" t="n">
        <f aca="false">SUMIFS(Trades!$X$2:$X$884,Trades!$D$2:$D$884,$A435,Trades!$X$2:$X$884,"&lt;0")</f>
        <v>0</v>
      </c>
      <c r="I435" s="31" t="str">
        <f aca="false">IFERROR(G435/-H435,"no loss")</f>
        <v>no loss</v>
      </c>
      <c r="J435" s="30" t="n">
        <f aca="false">_xlfn.MAXIFS(Trades!$X$2:$X$884,Trades!$D$2:$D$884,$A435)</f>
        <v>385.97</v>
      </c>
      <c r="K435" s="30" t="n">
        <f aca="false">_xlfn.MINIFS(Trades!$X$2:$X$884,Trades!$D$2:$D$884,$A435)</f>
        <v>385.97</v>
      </c>
      <c r="L435" s="32" t="n">
        <f aca="false">SUMIFS(Trades!$Y$2:$Y$884,Trades!$D$2:$D$884,$A435)</f>
        <v>2.00875385127808</v>
      </c>
      <c r="M435" s="30" t="n">
        <f aca="false">P434</f>
        <v>107838.44</v>
      </c>
      <c r="N435" s="29" t="n">
        <f aca="false">IFERROR(F435/M435,0)</f>
        <v>0.00357915044023263</v>
      </c>
      <c r="O435" s="28" t="str">
        <f aca="false">IF(-N435&gt;=Summary!$C$7,"BREACH","")</f>
        <v/>
      </c>
      <c r="P435" s="30" t="n">
        <f aca="false">M435+F435</f>
        <v>108224.41</v>
      </c>
      <c r="Q435" s="30" t="n">
        <f aca="false">P435-Summary!$C$5</f>
        <v>8224.41000000011</v>
      </c>
      <c r="R435" s="2" t="str">
        <f aca="false">TEXT(A435,"ddd")</f>
        <v>Mon</v>
      </c>
    </row>
    <row r="436" customFormat="false" ht="15" hidden="false" customHeight="false" outlineLevel="0" collapsed="false">
      <c r="A436" s="42" t="n">
        <v>45741</v>
      </c>
      <c r="B436" s="28" t="n">
        <f aca="false">COUNTIFS(Trades!$D$2:$D$884,$A436)</f>
        <v>1</v>
      </c>
      <c r="C436" s="28" t="n">
        <f aca="false">COUNTIFS(Trades!$D$2:$D$884,$A436,Trades!$Z$2:$Z$884,"Win")</f>
        <v>0</v>
      </c>
      <c r="D436" s="28" t="n">
        <f aca="false">COUNTIFS(Trades!$D$2:$D$884,$A436,Trades!$Z$2:$Z$884,"Loss")</f>
        <v>1</v>
      </c>
      <c r="E436" s="29" t="n">
        <f aca="false">IFERROR(C436/B436,0)</f>
        <v>0</v>
      </c>
      <c r="F436" s="30" t="n">
        <f aca="false">SUMIFS(Trades!$X$2:$X$884,Trades!$D$2:$D$884,$A436)</f>
        <v>-0.34</v>
      </c>
      <c r="G436" s="30" t="n">
        <f aca="false">SUMIFS(Trades!$X$2:$X$884,Trades!$D$2:$D$884,$A436,Trades!$X$2:$X$884,"&gt;0")</f>
        <v>0</v>
      </c>
      <c r="H436" s="30" t="n">
        <f aca="false">SUMIFS(Trades!$X$2:$X$884,Trades!$D$2:$D$884,$A436,Trades!$X$2:$X$884,"&lt;0")</f>
        <v>-0.34</v>
      </c>
      <c r="I436" s="31" t="n">
        <f aca="false">IFERROR(G436/-H436,"no loss")</f>
        <v>0</v>
      </c>
      <c r="J436" s="30" t="n">
        <f aca="false">_xlfn.MAXIFS(Trades!$X$2:$X$884,Trades!$D$2:$D$884,$A436)</f>
        <v>-0.34</v>
      </c>
      <c r="K436" s="30" t="n">
        <f aca="false">_xlfn.MINIFS(Trades!$X$2:$X$884,Trades!$D$2:$D$884,$A436)</f>
        <v>-0.34</v>
      </c>
      <c r="L436" s="32" t="n">
        <f aca="false">SUMIFS(Trades!$Y$2:$Y$884,Trades!$D$2:$D$884,$A436)</f>
        <v>-0.0103255587949457</v>
      </c>
      <c r="M436" s="30" t="n">
        <f aca="false">P435</f>
        <v>108224.41</v>
      </c>
      <c r="N436" s="29" t="n">
        <f aca="false">IFERROR(F436/M436,0)</f>
        <v>-3.14162026847732E-006</v>
      </c>
      <c r="O436" s="28" t="str">
        <f aca="false">IF(-N436&gt;=Summary!$C$7,"BREACH","")</f>
        <v/>
      </c>
      <c r="P436" s="30" t="n">
        <f aca="false">M436+F436</f>
        <v>108224.07</v>
      </c>
      <c r="Q436" s="30" t="n">
        <f aca="false">P436-Summary!$C$5</f>
        <v>8224.07000000011</v>
      </c>
      <c r="R436" s="2" t="str">
        <f aca="false">TEXT(A436,"ddd")</f>
        <v>Tue</v>
      </c>
    </row>
    <row r="437" customFormat="false" ht="15" hidden="false" customHeight="false" outlineLevel="0" collapsed="false">
      <c r="A437" s="42" t="n">
        <v>45742</v>
      </c>
      <c r="B437" s="28" t="n">
        <f aca="false">COUNTIFS(Trades!$D$2:$D$884,$A437)</f>
        <v>2</v>
      </c>
      <c r="C437" s="28" t="n">
        <f aca="false">COUNTIFS(Trades!$D$2:$D$884,$A437,Trades!$Z$2:$Z$884,"Win")</f>
        <v>0</v>
      </c>
      <c r="D437" s="28" t="n">
        <f aca="false">COUNTIFS(Trades!$D$2:$D$884,$A437,Trades!$Z$2:$Z$884,"Loss")</f>
        <v>1</v>
      </c>
      <c r="E437" s="29" t="n">
        <f aca="false">IFERROR(C437/B437,0)</f>
        <v>0</v>
      </c>
      <c r="F437" s="30" t="n">
        <f aca="false">SUMIFS(Trades!$X$2:$X$884,Trades!$D$2:$D$884,$A437)</f>
        <v>-0.34</v>
      </c>
      <c r="G437" s="30" t="n">
        <f aca="false">SUMIFS(Trades!$X$2:$X$884,Trades!$D$2:$D$884,$A437,Trades!$X$2:$X$884,"&gt;0")</f>
        <v>0</v>
      </c>
      <c r="H437" s="30" t="n">
        <f aca="false">SUMIFS(Trades!$X$2:$X$884,Trades!$D$2:$D$884,$A437,Trades!$X$2:$X$884,"&lt;0")</f>
        <v>-0.34</v>
      </c>
      <c r="I437" s="31" t="n">
        <f aca="false">IFERROR(G437/-H437,"no loss")</f>
        <v>0</v>
      </c>
      <c r="J437" s="30" t="n">
        <f aca="false">_xlfn.MAXIFS(Trades!$X$2:$X$884,Trades!$D$2:$D$884,$A437)</f>
        <v>0</v>
      </c>
      <c r="K437" s="30" t="n">
        <f aca="false">_xlfn.MINIFS(Trades!$X$2:$X$884,Trades!$D$2:$D$884,$A437)</f>
        <v>-0.34</v>
      </c>
      <c r="L437" s="32" t="n">
        <f aca="false">SUMIFS(Trades!$Y$2:$Y$884,Trades!$D$2:$D$884,$A437)</f>
        <v>-0.00192901234567914</v>
      </c>
      <c r="M437" s="30" t="n">
        <f aca="false">P436</f>
        <v>108224.07</v>
      </c>
      <c r="N437" s="29" t="n">
        <f aca="false">IFERROR(F437/M437,0)</f>
        <v>-3.14163013828624E-006</v>
      </c>
      <c r="O437" s="28" t="str">
        <f aca="false">IF(-N437&gt;=Summary!$C$7,"BREACH","")</f>
        <v/>
      </c>
      <c r="P437" s="30" t="n">
        <f aca="false">M437+F437</f>
        <v>108223.73</v>
      </c>
      <c r="Q437" s="30" t="n">
        <f aca="false">P437-Summary!$C$5</f>
        <v>8223.73000000011</v>
      </c>
      <c r="R437" s="2" t="str">
        <f aca="false">TEXT(A437,"ddd")</f>
        <v>Wed</v>
      </c>
    </row>
    <row r="438" customFormat="false" ht="15" hidden="false" customHeight="false" outlineLevel="0" collapsed="false">
      <c r="A438" s="42" t="n">
        <v>45743</v>
      </c>
      <c r="B438" s="28" t="n">
        <f aca="false">COUNTIFS(Trades!$D$2:$D$884,$A438)</f>
        <v>1</v>
      </c>
      <c r="C438" s="28" t="n">
        <f aca="false">COUNTIFS(Trades!$D$2:$D$884,$A438,Trades!$Z$2:$Z$884,"Win")</f>
        <v>1</v>
      </c>
      <c r="D438" s="28" t="n">
        <f aca="false">COUNTIFS(Trades!$D$2:$D$884,$A438,Trades!$Z$2:$Z$884,"Loss")</f>
        <v>0</v>
      </c>
      <c r="E438" s="29" t="n">
        <f aca="false">IFERROR(C438/B438,0)</f>
        <v>1</v>
      </c>
      <c r="F438" s="30" t="n">
        <f aca="false">SUMIFS(Trades!$X$2:$X$884,Trades!$D$2:$D$884,$A438)</f>
        <v>262.85</v>
      </c>
      <c r="G438" s="30" t="n">
        <f aca="false">SUMIFS(Trades!$X$2:$X$884,Trades!$D$2:$D$884,$A438,Trades!$X$2:$X$884,"&gt;0")</f>
        <v>262.85</v>
      </c>
      <c r="H438" s="30" t="n">
        <f aca="false">SUMIFS(Trades!$X$2:$X$884,Trades!$D$2:$D$884,$A438,Trades!$X$2:$X$884,"&lt;0")</f>
        <v>0</v>
      </c>
      <c r="I438" s="31" t="str">
        <f aca="false">IFERROR(G438/-H438,"no loss")</f>
        <v>no loss</v>
      </c>
      <c r="J438" s="30" t="n">
        <f aca="false">_xlfn.MAXIFS(Trades!$X$2:$X$884,Trades!$D$2:$D$884,$A438)</f>
        <v>262.85</v>
      </c>
      <c r="K438" s="30" t="n">
        <f aca="false">_xlfn.MINIFS(Trades!$X$2:$X$884,Trades!$D$2:$D$884,$A438)</f>
        <v>262.85</v>
      </c>
      <c r="L438" s="32" t="n">
        <f aca="false">SUMIFS(Trades!$Y$2:$Y$884,Trades!$D$2:$D$884,$A438)</f>
        <v>2.02516333826424</v>
      </c>
      <c r="M438" s="30" t="n">
        <f aca="false">P437</f>
        <v>108223.73</v>
      </c>
      <c r="N438" s="29" t="n">
        <f aca="false">IFERROR(F438/M438,0)</f>
        <v>0.00242876492983563</v>
      </c>
      <c r="O438" s="28" t="str">
        <f aca="false">IF(-N438&gt;=Summary!$C$7,"BREACH","")</f>
        <v/>
      </c>
      <c r="P438" s="30" t="n">
        <f aca="false">M438+F438</f>
        <v>108486.58</v>
      </c>
      <c r="Q438" s="30" t="n">
        <f aca="false">P438-Summary!$C$5</f>
        <v>8486.58000000012</v>
      </c>
      <c r="R438" s="2" t="str">
        <f aca="false">TEXT(A438,"ddd")</f>
        <v>Thu</v>
      </c>
    </row>
    <row r="439" customFormat="false" ht="15" hidden="false" customHeight="false" outlineLevel="0" collapsed="false">
      <c r="A439" s="42" t="n">
        <v>45744</v>
      </c>
      <c r="B439" s="28" t="n">
        <f aca="false">COUNTIFS(Trades!$D$2:$D$884,$A439)</f>
        <v>1</v>
      </c>
      <c r="C439" s="28" t="n">
        <f aca="false">COUNTIFS(Trades!$D$2:$D$884,$A439,Trades!$Z$2:$Z$884,"Win")</f>
        <v>0</v>
      </c>
      <c r="D439" s="28" t="n">
        <f aca="false">COUNTIFS(Trades!$D$2:$D$884,$A439,Trades!$Z$2:$Z$884,"Loss")</f>
        <v>1</v>
      </c>
      <c r="E439" s="29" t="n">
        <f aca="false">IFERROR(C439/B439,0)</f>
        <v>0</v>
      </c>
      <c r="F439" s="30" t="n">
        <f aca="false">SUMIFS(Trades!$X$2:$X$884,Trades!$D$2:$D$884,$A439)</f>
        <v>-0.72</v>
      </c>
      <c r="G439" s="30" t="n">
        <f aca="false">SUMIFS(Trades!$X$2:$X$884,Trades!$D$2:$D$884,$A439,Trades!$X$2:$X$884,"&gt;0")</f>
        <v>0</v>
      </c>
      <c r="H439" s="30" t="n">
        <f aca="false">SUMIFS(Trades!$X$2:$X$884,Trades!$D$2:$D$884,$A439,Trades!$X$2:$X$884,"&lt;0")</f>
        <v>-0.72</v>
      </c>
      <c r="I439" s="31" t="n">
        <f aca="false">IFERROR(G439/-H439,"no loss")</f>
        <v>0</v>
      </c>
      <c r="J439" s="30" t="n">
        <f aca="false">_xlfn.MAXIFS(Trades!$X$2:$X$884,Trades!$D$2:$D$884,$A439)</f>
        <v>-0.72</v>
      </c>
      <c r="K439" s="30" t="n">
        <f aca="false">_xlfn.MINIFS(Trades!$X$2:$X$884,Trades!$D$2:$D$884,$A439)</f>
        <v>-0.72</v>
      </c>
      <c r="L439" s="32" t="n">
        <f aca="false">SUMIFS(Trades!$Y$2:$Y$884,Trades!$D$2:$D$884,$A439)</f>
        <v>-0.0118389897395439</v>
      </c>
      <c r="M439" s="30" t="n">
        <f aca="false">P438</f>
        <v>108486.58</v>
      </c>
      <c r="N439" s="29" t="n">
        <f aca="false">IFERROR(F439/M439,0)</f>
        <v>-6.63676557966893E-006</v>
      </c>
      <c r="O439" s="28" t="str">
        <f aca="false">IF(-N439&gt;=Summary!$C$7,"BREACH","")</f>
        <v/>
      </c>
      <c r="P439" s="30" t="n">
        <f aca="false">M439+F439</f>
        <v>108485.86</v>
      </c>
      <c r="Q439" s="30" t="n">
        <f aca="false">P439-Summary!$C$5</f>
        <v>8485.86000000012</v>
      </c>
      <c r="R439" s="2" t="str">
        <f aca="false">TEXT(A439,"ddd")</f>
        <v>Fri</v>
      </c>
    </row>
    <row r="440" customFormat="false" ht="15" hidden="false" customHeight="false" outlineLevel="0" collapsed="false">
      <c r="A440" s="42" t="n">
        <v>45747</v>
      </c>
      <c r="B440" s="28" t="n">
        <f aca="false">COUNTIFS(Trades!$D$2:$D$884,$A440)</f>
        <v>1</v>
      </c>
      <c r="C440" s="28" t="n">
        <f aca="false">COUNTIFS(Trades!$D$2:$D$884,$A440,Trades!$Z$2:$Z$884,"Win")</f>
        <v>1</v>
      </c>
      <c r="D440" s="28" t="n">
        <f aca="false">COUNTIFS(Trades!$D$2:$D$884,$A440,Trades!$Z$2:$Z$884,"Loss")</f>
        <v>0</v>
      </c>
      <c r="E440" s="29" t="n">
        <f aca="false">IFERROR(C440/B440,0)</f>
        <v>1</v>
      </c>
      <c r="F440" s="30" t="n">
        <f aca="false">SUMIFS(Trades!$X$2:$X$884,Trades!$D$2:$D$884,$A440)</f>
        <v>376.5</v>
      </c>
      <c r="G440" s="30" t="n">
        <f aca="false">SUMIFS(Trades!$X$2:$X$884,Trades!$D$2:$D$884,$A440,Trades!$X$2:$X$884,"&gt;0")</f>
        <v>376.5</v>
      </c>
      <c r="H440" s="30" t="n">
        <f aca="false">SUMIFS(Trades!$X$2:$X$884,Trades!$D$2:$D$884,$A440,Trades!$X$2:$X$884,"&lt;0")</f>
        <v>0</v>
      </c>
      <c r="I440" s="31" t="str">
        <f aca="false">IFERROR(G440/-H440,"no loss")</f>
        <v>no loss</v>
      </c>
      <c r="J440" s="30" t="n">
        <f aca="false">_xlfn.MAXIFS(Trades!$X$2:$X$884,Trades!$D$2:$D$884,$A440)</f>
        <v>376.5</v>
      </c>
      <c r="K440" s="30" t="n">
        <f aca="false">_xlfn.MINIFS(Trades!$X$2:$X$884,Trades!$D$2:$D$884,$A440)</f>
        <v>376.5</v>
      </c>
      <c r="L440" s="32" t="n">
        <f aca="false">SUMIFS(Trades!$Y$2:$Y$884,Trades!$D$2:$D$884,$A440)</f>
        <v>2.05065359477118</v>
      </c>
      <c r="M440" s="30" t="n">
        <f aca="false">P439</f>
        <v>108485.86</v>
      </c>
      <c r="N440" s="29" t="n">
        <f aca="false">IFERROR(F440/M440,0)</f>
        <v>0.00347049836725265</v>
      </c>
      <c r="O440" s="28" t="str">
        <f aca="false">IF(-N440&gt;=Summary!$C$7,"BREACH","")</f>
        <v/>
      </c>
      <c r="P440" s="30" t="n">
        <f aca="false">M440+F440</f>
        <v>108862.36</v>
      </c>
      <c r="Q440" s="30" t="n">
        <f aca="false">P440-Summary!$C$5</f>
        <v>8862.36000000012</v>
      </c>
      <c r="R440" s="2" t="str">
        <f aca="false">TEXT(A440,"ddd")</f>
        <v>Mon</v>
      </c>
    </row>
    <row r="441" customFormat="false" ht="15" hidden="false" customHeight="false" outlineLevel="0" collapsed="false">
      <c r="A441" s="42" t="n">
        <v>45748</v>
      </c>
      <c r="B441" s="28" t="n">
        <f aca="false">COUNTIFS(Trades!$D$2:$D$884,$A441)</f>
        <v>1</v>
      </c>
      <c r="C441" s="28" t="n">
        <f aca="false">COUNTIFS(Trades!$D$2:$D$884,$A441,Trades!$Z$2:$Z$884,"Win")</f>
        <v>0</v>
      </c>
      <c r="D441" s="28" t="n">
        <f aca="false">COUNTIFS(Trades!$D$2:$D$884,$A441,Trades!$Z$2:$Z$884,"Loss")</f>
        <v>1</v>
      </c>
      <c r="E441" s="29" t="n">
        <f aca="false">IFERROR(C441/B441,0)</f>
        <v>0</v>
      </c>
      <c r="F441" s="30" t="n">
        <f aca="false">SUMIFS(Trades!$X$2:$X$884,Trades!$D$2:$D$884,$A441)</f>
        <v>-80.1</v>
      </c>
      <c r="G441" s="30" t="n">
        <f aca="false">SUMIFS(Trades!$X$2:$X$884,Trades!$D$2:$D$884,$A441,Trades!$X$2:$X$884,"&gt;0")</f>
        <v>0</v>
      </c>
      <c r="H441" s="30" t="n">
        <f aca="false">SUMIFS(Trades!$X$2:$X$884,Trades!$D$2:$D$884,$A441,Trades!$X$2:$X$884,"&lt;0")</f>
        <v>-80.1</v>
      </c>
      <c r="I441" s="31" t="n">
        <f aca="false">IFERROR(G441/-H441,"no loss")</f>
        <v>0</v>
      </c>
      <c r="J441" s="30" t="n">
        <f aca="false">_xlfn.MAXIFS(Trades!$X$2:$X$884,Trades!$D$2:$D$884,$A441)</f>
        <v>-80.1</v>
      </c>
      <c r="K441" s="30" t="n">
        <f aca="false">_xlfn.MINIFS(Trades!$X$2:$X$884,Trades!$D$2:$D$884,$A441)</f>
        <v>-80.1</v>
      </c>
      <c r="L441" s="32" t="n">
        <f aca="false">SUMIFS(Trades!$Y$2:$Y$884,Trades!$D$2:$D$884,$A441)</f>
        <v>-1.01264222503162</v>
      </c>
      <c r="M441" s="30" t="n">
        <f aca="false">P440</f>
        <v>108862.36</v>
      </c>
      <c r="N441" s="29" t="n">
        <f aca="false">IFERROR(F441/M441,0)</f>
        <v>-0.000735791507735088</v>
      </c>
      <c r="O441" s="28" t="str">
        <f aca="false">IF(-N441&gt;=Summary!$C$7,"BREACH","")</f>
        <v/>
      </c>
      <c r="P441" s="30" t="n">
        <f aca="false">M441+F441</f>
        <v>108782.26</v>
      </c>
      <c r="Q441" s="30" t="n">
        <f aca="false">P441-Summary!$C$5</f>
        <v>8782.26000000011</v>
      </c>
      <c r="R441" s="2" t="str">
        <f aca="false">TEXT(A441,"ddd")</f>
        <v>Tue</v>
      </c>
    </row>
    <row r="442" customFormat="false" ht="15" hidden="false" customHeight="false" outlineLevel="0" collapsed="false">
      <c r="A442" s="42" t="n">
        <v>45749</v>
      </c>
      <c r="B442" s="28" t="n">
        <f aca="false">COUNTIFS(Trades!$D$2:$D$884,$A442)</f>
        <v>1</v>
      </c>
      <c r="C442" s="28" t="n">
        <f aca="false">COUNTIFS(Trades!$D$2:$D$884,$A442,Trades!$Z$2:$Z$884,"Win")</f>
        <v>0</v>
      </c>
      <c r="D442" s="28" t="n">
        <f aca="false">COUNTIFS(Trades!$D$2:$D$884,$A442,Trades!$Z$2:$Z$884,"Loss")</f>
        <v>1</v>
      </c>
      <c r="E442" s="29" t="n">
        <f aca="false">IFERROR(C442/B442,0)</f>
        <v>0</v>
      </c>
      <c r="F442" s="30" t="n">
        <f aca="false">SUMIFS(Trades!$X$2:$X$884,Trades!$D$2:$D$884,$A442)</f>
        <v>-124.45</v>
      </c>
      <c r="G442" s="30" t="n">
        <f aca="false">SUMIFS(Trades!$X$2:$X$884,Trades!$D$2:$D$884,$A442,Trades!$X$2:$X$884,"&gt;0")</f>
        <v>0</v>
      </c>
      <c r="H442" s="30" t="n">
        <f aca="false">SUMIFS(Trades!$X$2:$X$884,Trades!$D$2:$D$884,$A442,Trades!$X$2:$X$884,"&lt;0")</f>
        <v>-124.45</v>
      </c>
      <c r="I442" s="31" t="n">
        <f aca="false">IFERROR(G442/-H442,"no loss")</f>
        <v>0</v>
      </c>
      <c r="J442" s="30" t="n">
        <f aca="false">_xlfn.MAXIFS(Trades!$X$2:$X$884,Trades!$D$2:$D$884,$A442)</f>
        <v>-124.45</v>
      </c>
      <c r="K442" s="30" t="n">
        <f aca="false">_xlfn.MINIFS(Trades!$X$2:$X$884,Trades!$D$2:$D$884,$A442)</f>
        <v>-124.45</v>
      </c>
      <c r="L442" s="32" t="n">
        <f aca="false">SUMIFS(Trades!$Y$2:$Y$884,Trades!$D$2:$D$884,$A442)</f>
        <v>-1.00080418174497</v>
      </c>
      <c r="M442" s="30" t="n">
        <f aca="false">P441</f>
        <v>108782.26</v>
      </c>
      <c r="N442" s="29" t="n">
        <f aca="false">IFERROR(F442/M442,0)</f>
        <v>-0.00114402844728543</v>
      </c>
      <c r="O442" s="28" t="str">
        <f aca="false">IF(-N442&gt;=Summary!$C$7,"BREACH","")</f>
        <v/>
      </c>
      <c r="P442" s="30" t="n">
        <f aca="false">M442+F442</f>
        <v>108657.81</v>
      </c>
      <c r="Q442" s="30" t="n">
        <f aca="false">P442-Summary!$C$5</f>
        <v>8657.81000000011</v>
      </c>
      <c r="R442" s="2" t="str">
        <f aca="false">TEXT(A442,"ddd")</f>
        <v>Wed</v>
      </c>
    </row>
    <row r="443" customFormat="false" ht="15" hidden="false" customHeight="false" outlineLevel="0" collapsed="false">
      <c r="A443" s="42" t="n">
        <v>45751</v>
      </c>
      <c r="B443" s="28" t="n">
        <f aca="false">COUNTIFS(Trades!$D$2:$D$884,$A443)</f>
        <v>1</v>
      </c>
      <c r="C443" s="28" t="n">
        <f aca="false">COUNTIFS(Trades!$D$2:$D$884,$A443,Trades!$Z$2:$Z$884,"Win")</f>
        <v>1</v>
      </c>
      <c r="D443" s="28" t="n">
        <f aca="false">COUNTIFS(Trades!$D$2:$D$884,$A443,Trades!$Z$2:$Z$884,"Loss")</f>
        <v>0</v>
      </c>
      <c r="E443" s="29" t="n">
        <f aca="false">IFERROR(C443/B443,0)</f>
        <v>1</v>
      </c>
      <c r="F443" s="30" t="n">
        <f aca="false">SUMIFS(Trades!$X$2:$X$884,Trades!$D$2:$D$884,$A443)</f>
        <v>986.13</v>
      </c>
      <c r="G443" s="30" t="n">
        <f aca="false">SUMIFS(Trades!$X$2:$X$884,Trades!$D$2:$D$884,$A443,Trades!$X$2:$X$884,"&gt;0")</f>
        <v>986.13</v>
      </c>
      <c r="H443" s="30" t="n">
        <f aca="false">SUMIFS(Trades!$X$2:$X$884,Trades!$D$2:$D$884,$A443,Trades!$X$2:$X$884,"&lt;0")</f>
        <v>0</v>
      </c>
      <c r="I443" s="31" t="str">
        <f aca="false">IFERROR(G443/-H443,"no loss")</f>
        <v>no loss</v>
      </c>
      <c r="J443" s="30" t="n">
        <f aca="false">_xlfn.MAXIFS(Trades!$X$2:$X$884,Trades!$D$2:$D$884,$A443)</f>
        <v>986.13</v>
      </c>
      <c r="K443" s="30" t="n">
        <f aca="false">_xlfn.MINIFS(Trades!$X$2:$X$884,Trades!$D$2:$D$884,$A443)</f>
        <v>986.13</v>
      </c>
      <c r="L443" s="32" t="n">
        <f aca="false">SUMIFS(Trades!$Y$2:$Y$884,Trades!$D$2:$D$884,$A443)</f>
        <v>2.00198548041317</v>
      </c>
      <c r="M443" s="30" t="n">
        <f aca="false">P442</f>
        <v>108657.81</v>
      </c>
      <c r="N443" s="29" t="n">
        <f aca="false">IFERROR(F443/M443,0)</f>
        <v>0.00907555563654374</v>
      </c>
      <c r="O443" s="28" t="str">
        <f aca="false">IF(-N443&gt;=Summary!$C$7,"BREACH","")</f>
        <v/>
      </c>
      <c r="P443" s="30" t="n">
        <f aca="false">M443+F443</f>
        <v>109643.94</v>
      </c>
      <c r="Q443" s="30" t="n">
        <f aca="false">P443-Summary!$C$5</f>
        <v>9643.94000000012</v>
      </c>
      <c r="R443" s="2" t="str">
        <f aca="false">TEXT(A443,"ddd")</f>
        <v>Fri</v>
      </c>
    </row>
    <row r="444" customFormat="false" ht="15" hidden="false" customHeight="false" outlineLevel="0" collapsed="false">
      <c r="A444" s="42" t="n">
        <v>45754</v>
      </c>
      <c r="B444" s="28" t="n">
        <f aca="false">COUNTIFS(Trades!$D$2:$D$884,$A444)</f>
        <v>1</v>
      </c>
      <c r="C444" s="28" t="n">
        <f aca="false">COUNTIFS(Trades!$D$2:$D$884,$A444,Trades!$Z$2:$Z$884,"Win")</f>
        <v>0</v>
      </c>
      <c r="D444" s="28" t="n">
        <f aca="false">COUNTIFS(Trades!$D$2:$D$884,$A444,Trades!$Z$2:$Z$884,"Loss")</f>
        <v>1</v>
      </c>
      <c r="E444" s="29" t="n">
        <f aca="false">IFERROR(C444/B444,0)</f>
        <v>0</v>
      </c>
      <c r="F444" s="30" t="n">
        <f aca="false">SUMIFS(Trades!$X$2:$X$884,Trades!$D$2:$D$884,$A444)</f>
        <v>-1.63</v>
      </c>
      <c r="G444" s="30" t="n">
        <f aca="false">SUMIFS(Trades!$X$2:$X$884,Trades!$D$2:$D$884,$A444,Trades!$X$2:$X$884,"&gt;0")</f>
        <v>0</v>
      </c>
      <c r="H444" s="30" t="n">
        <f aca="false">SUMIFS(Trades!$X$2:$X$884,Trades!$D$2:$D$884,$A444,Trades!$X$2:$X$884,"&lt;0")</f>
        <v>-1.63</v>
      </c>
      <c r="I444" s="31" t="n">
        <f aca="false">IFERROR(G444/-H444,"no loss")</f>
        <v>0</v>
      </c>
      <c r="J444" s="30" t="n">
        <f aca="false">_xlfn.MAXIFS(Trades!$X$2:$X$884,Trades!$D$2:$D$884,$A444)</f>
        <v>-1.63</v>
      </c>
      <c r="K444" s="30" t="n">
        <f aca="false">_xlfn.MINIFS(Trades!$X$2:$X$884,Trades!$D$2:$D$884,$A444)</f>
        <v>-1.63</v>
      </c>
      <c r="L444" s="32" t="n">
        <f aca="false">SUMIFS(Trades!$Y$2:$Y$884,Trades!$D$2:$D$884,$A444)</f>
        <v>-0.00314516378006238</v>
      </c>
      <c r="M444" s="30" t="n">
        <f aca="false">P443</f>
        <v>109643.94</v>
      </c>
      <c r="N444" s="29" t="n">
        <f aca="false">IFERROR(F444/M444,0)</f>
        <v>-1.48663026885024E-005</v>
      </c>
      <c r="O444" s="28" t="str">
        <f aca="false">IF(-N444&gt;=Summary!$C$7,"BREACH","")</f>
        <v/>
      </c>
      <c r="P444" s="30" t="n">
        <f aca="false">M444+F444</f>
        <v>109642.31</v>
      </c>
      <c r="Q444" s="30" t="n">
        <f aca="false">P444-Summary!$C$5</f>
        <v>9642.31000000011</v>
      </c>
      <c r="R444" s="2" t="str">
        <f aca="false">TEXT(A444,"ddd")</f>
        <v>Mon</v>
      </c>
    </row>
    <row r="445" customFormat="false" ht="15" hidden="false" customHeight="false" outlineLevel="0" collapsed="false">
      <c r="A445" s="42" t="n">
        <v>45756</v>
      </c>
      <c r="B445" s="28" t="n">
        <f aca="false">COUNTIFS(Trades!$D$2:$D$884,$A445)</f>
        <v>2</v>
      </c>
      <c r="C445" s="28" t="n">
        <f aca="false">COUNTIFS(Trades!$D$2:$D$884,$A445,Trades!$Z$2:$Z$884,"Win")</f>
        <v>1</v>
      </c>
      <c r="D445" s="28" t="n">
        <f aca="false">COUNTIFS(Trades!$D$2:$D$884,$A445,Trades!$Z$2:$Z$884,"Loss")</f>
        <v>1</v>
      </c>
      <c r="E445" s="29" t="n">
        <f aca="false">IFERROR(C445/B445,0)</f>
        <v>0.5</v>
      </c>
      <c r="F445" s="30" t="n">
        <f aca="false">SUMIFS(Trades!$X$2:$X$884,Trades!$D$2:$D$884,$A445)</f>
        <v>1031.5</v>
      </c>
      <c r="G445" s="30" t="n">
        <f aca="false">SUMIFS(Trades!$X$2:$X$884,Trades!$D$2:$D$884,$A445,Trades!$X$2:$X$884,"&gt;0")</f>
        <v>1033.59</v>
      </c>
      <c r="H445" s="30" t="n">
        <f aca="false">SUMIFS(Trades!$X$2:$X$884,Trades!$D$2:$D$884,$A445,Trades!$X$2:$X$884,"&lt;0")</f>
        <v>-2.09</v>
      </c>
      <c r="I445" s="31" t="n">
        <f aca="false">IFERROR(G445/-H445,"no loss")</f>
        <v>494.540669856459</v>
      </c>
      <c r="J445" s="30" t="n">
        <f aca="false">_xlfn.MAXIFS(Trades!$X$2:$X$884,Trades!$D$2:$D$884,$A445)</f>
        <v>1033.59</v>
      </c>
      <c r="K445" s="30" t="n">
        <f aca="false">_xlfn.MINIFS(Trades!$X$2:$X$884,Trades!$D$2:$D$884,$A445)</f>
        <v>-2.09</v>
      </c>
      <c r="L445" s="32" t="n">
        <f aca="false">SUMIFS(Trades!$Y$2:$Y$884,Trades!$D$2:$D$884,$A445)</f>
        <v>1.99079870436606</v>
      </c>
      <c r="M445" s="30" t="n">
        <f aca="false">P444</f>
        <v>109642.31</v>
      </c>
      <c r="N445" s="29" t="n">
        <f aca="false">IFERROR(F445/M445,0)</f>
        <v>0.00940786453696569</v>
      </c>
      <c r="O445" s="28" t="str">
        <f aca="false">IF(-N445&gt;=Summary!$C$7,"BREACH","")</f>
        <v/>
      </c>
      <c r="P445" s="30" t="n">
        <f aca="false">M445+F445</f>
        <v>110673.81</v>
      </c>
      <c r="Q445" s="30" t="n">
        <f aca="false">P445-Summary!$C$5</f>
        <v>10673.8100000001</v>
      </c>
      <c r="R445" s="2" t="str">
        <f aca="false">TEXT(A445,"ddd")</f>
        <v>Wed</v>
      </c>
    </row>
    <row r="446" customFormat="false" ht="15" hidden="false" customHeight="false" outlineLevel="0" collapsed="false">
      <c r="A446" s="42" t="n">
        <v>45757</v>
      </c>
      <c r="B446" s="28" t="n">
        <f aca="false">COUNTIFS(Trades!$D$2:$D$884,$A446)</f>
        <v>1</v>
      </c>
      <c r="C446" s="28" t="n">
        <f aca="false">COUNTIFS(Trades!$D$2:$D$884,$A446,Trades!$Z$2:$Z$884,"Win")</f>
        <v>0</v>
      </c>
      <c r="D446" s="28" t="n">
        <f aca="false">COUNTIFS(Trades!$D$2:$D$884,$A446,Trades!$Z$2:$Z$884,"Loss")</f>
        <v>1</v>
      </c>
      <c r="E446" s="29" t="n">
        <f aca="false">IFERROR(C446/B446,0)</f>
        <v>0</v>
      </c>
      <c r="F446" s="30" t="n">
        <f aca="false">SUMIFS(Trades!$X$2:$X$884,Trades!$D$2:$D$884,$A446)</f>
        <v>-105.25</v>
      </c>
      <c r="G446" s="30" t="n">
        <f aca="false">SUMIFS(Trades!$X$2:$X$884,Trades!$D$2:$D$884,$A446,Trades!$X$2:$X$884,"&gt;0")</f>
        <v>0</v>
      </c>
      <c r="H446" s="30" t="n">
        <f aca="false">SUMIFS(Trades!$X$2:$X$884,Trades!$D$2:$D$884,$A446,Trades!$X$2:$X$884,"&lt;0")</f>
        <v>-105.25</v>
      </c>
      <c r="I446" s="31" t="n">
        <f aca="false">IFERROR(G446/-H446,"no loss")</f>
        <v>0</v>
      </c>
      <c r="J446" s="30" t="n">
        <f aca="false">_xlfn.MAXIFS(Trades!$X$2:$X$884,Trades!$D$2:$D$884,$A446)</f>
        <v>-105.25</v>
      </c>
      <c r="K446" s="30" t="n">
        <f aca="false">_xlfn.MINIFS(Trades!$X$2:$X$884,Trades!$D$2:$D$884,$A446)</f>
        <v>-105.25</v>
      </c>
      <c r="L446" s="32" t="n">
        <f aca="false">SUMIFS(Trades!$Y$2:$Y$884,Trades!$D$2:$D$884,$A446)</f>
        <v>-1.00238095238095</v>
      </c>
      <c r="M446" s="30" t="n">
        <f aca="false">P445</f>
        <v>110673.81</v>
      </c>
      <c r="N446" s="29" t="n">
        <f aca="false">IFERROR(F446/M446,0)</f>
        <v>-0.000950992831998825</v>
      </c>
      <c r="O446" s="28" t="str">
        <f aca="false">IF(-N446&gt;=Summary!$C$7,"BREACH","")</f>
        <v/>
      </c>
      <c r="P446" s="30" t="n">
        <f aca="false">M446+F446</f>
        <v>110568.56</v>
      </c>
      <c r="Q446" s="30" t="n">
        <f aca="false">P446-Summary!$C$5</f>
        <v>10568.5600000001</v>
      </c>
      <c r="R446" s="2" t="str">
        <f aca="false">TEXT(A446,"ddd")</f>
        <v>Thu</v>
      </c>
    </row>
    <row r="447" customFormat="false" ht="15" hidden="false" customHeight="false" outlineLevel="0" collapsed="false">
      <c r="A447" s="42" t="n">
        <v>45761</v>
      </c>
      <c r="B447" s="28" t="n">
        <f aca="false">COUNTIFS(Trades!$D$2:$D$884,$A447)</f>
        <v>1</v>
      </c>
      <c r="C447" s="28" t="n">
        <f aca="false">COUNTIFS(Trades!$D$2:$D$884,$A447,Trades!$Z$2:$Z$884,"Win")</f>
        <v>0</v>
      </c>
      <c r="D447" s="28" t="n">
        <f aca="false">COUNTIFS(Trades!$D$2:$D$884,$A447,Trades!$Z$2:$Z$884,"Loss")</f>
        <v>1</v>
      </c>
      <c r="E447" s="29" t="n">
        <f aca="false">IFERROR(C447/B447,0)</f>
        <v>0</v>
      </c>
      <c r="F447" s="30" t="n">
        <f aca="false">SUMIFS(Trades!$X$2:$X$884,Trades!$D$2:$D$884,$A447)</f>
        <v>-363.84</v>
      </c>
      <c r="G447" s="30" t="n">
        <f aca="false">SUMIFS(Trades!$X$2:$X$884,Trades!$D$2:$D$884,$A447,Trades!$X$2:$X$884,"&gt;0")</f>
        <v>0</v>
      </c>
      <c r="H447" s="30" t="n">
        <f aca="false">SUMIFS(Trades!$X$2:$X$884,Trades!$D$2:$D$884,$A447,Trades!$X$2:$X$884,"&lt;0")</f>
        <v>-363.84</v>
      </c>
      <c r="I447" s="31" t="n">
        <f aca="false">IFERROR(G447/-H447,"no loss")</f>
        <v>0</v>
      </c>
      <c r="J447" s="30" t="n">
        <f aca="false">_xlfn.MAXIFS(Trades!$X$2:$X$884,Trades!$D$2:$D$884,$A447)</f>
        <v>-363.84</v>
      </c>
      <c r="K447" s="30" t="n">
        <f aca="false">_xlfn.MINIFS(Trades!$X$2:$X$884,Trades!$D$2:$D$884,$A447)</f>
        <v>-363.84</v>
      </c>
      <c r="L447" s="32" t="n">
        <f aca="false">SUMIFS(Trades!$Y$2:$Y$884,Trades!$D$2:$D$884,$A447)</f>
        <v>-1.01788232134467</v>
      </c>
      <c r="M447" s="30" t="n">
        <f aca="false">P446</f>
        <v>110568.56</v>
      </c>
      <c r="N447" s="29" t="n">
        <f aca="false">IFERROR(F447/M447,0)</f>
        <v>-0.00329062800492292</v>
      </c>
      <c r="O447" s="28" t="str">
        <f aca="false">IF(-N447&gt;=Summary!$C$7,"BREACH","")</f>
        <v/>
      </c>
      <c r="P447" s="30" t="n">
        <f aca="false">M447+F447</f>
        <v>110204.72</v>
      </c>
      <c r="Q447" s="30" t="n">
        <f aca="false">P447-Summary!$C$5</f>
        <v>10204.7200000001</v>
      </c>
      <c r="R447" s="2" t="str">
        <f aca="false">TEXT(A447,"ddd")</f>
        <v>Mon</v>
      </c>
    </row>
    <row r="448" customFormat="false" ht="15" hidden="false" customHeight="false" outlineLevel="0" collapsed="false">
      <c r="A448" s="42" t="n">
        <v>45763</v>
      </c>
      <c r="B448" s="28" t="n">
        <f aca="false">COUNTIFS(Trades!$D$2:$D$884,$A448)</f>
        <v>1</v>
      </c>
      <c r="C448" s="28" t="n">
        <f aca="false">COUNTIFS(Trades!$D$2:$D$884,$A448,Trades!$Z$2:$Z$884,"Win")</f>
        <v>1</v>
      </c>
      <c r="D448" s="28" t="n">
        <f aca="false">COUNTIFS(Trades!$D$2:$D$884,$A448,Trades!$Z$2:$Z$884,"Loss")</f>
        <v>0</v>
      </c>
      <c r="E448" s="29" t="n">
        <f aca="false">IFERROR(C448/B448,0)</f>
        <v>1</v>
      </c>
      <c r="F448" s="30" t="n">
        <f aca="false">SUMIFS(Trades!$X$2:$X$884,Trades!$D$2:$D$884,$A448)</f>
        <v>584.9</v>
      </c>
      <c r="G448" s="30" t="n">
        <f aca="false">SUMIFS(Trades!$X$2:$X$884,Trades!$D$2:$D$884,$A448,Trades!$X$2:$X$884,"&gt;0")</f>
        <v>584.9</v>
      </c>
      <c r="H448" s="30" t="n">
        <f aca="false">SUMIFS(Trades!$X$2:$X$884,Trades!$D$2:$D$884,$A448,Trades!$X$2:$X$884,"&lt;0")</f>
        <v>0</v>
      </c>
      <c r="I448" s="31" t="str">
        <f aca="false">IFERROR(G448/-H448,"no loss")</f>
        <v>no loss</v>
      </c>
      <c r="J448" s="30" t="n">
        <f aca="false">_xlfn.MAXIFS(Trades!$X$2:$X$884,Trades!$D$2:$D$884,$A448)</f>
        <v>584.9</v>
      </c>
      <c r="K448" s="30" t="n">
        <f aca="false">_xlfn.MINIFS(Trades!$X$2:$X$884,Trades!$D$2:$D$884,$A448)</f>
        <v>584.9</v>
      </c>
      <c r="L448" s="32" t="n">
        <f aca="false">SUMIFS(Trades!$Y$2:$Y$884,Trades!$D$2:$D$884,$A448)</f>
        <v>2.00715148520285</v>
      </c>
      <c r="M448" s="30" t="n">
        <f aca="false">P447</f>
        <v>110204.72</v>
      </c>
      <c r="N448" s="29" t="n">
        <f aca="false">IFERROR(F448/M448,0)</f>
        <v>0.0053073951823479</v>
      </c>
      <c r="O448" s="28" t="str">
        <f aca="false">IF(-N448&gt;=Summary!$C$7,"BREACH","")</f>
        <v/>
      </c>
      <c r="P448" s="30" t="n">
        <f aca="false">M448+F448</f>
        <v>110789.62</v>
      </c>
      <c r="Q448" s="30" t="n">
        <f aca="false">P448-Summary!$C$5</f>
        <v>10789.6200000001</v>
      </c>
      <c r="R448" s="2" t="str">
        <f aca="false">TEXT(A448,"ddd")</f>
        <v>Wed</v>
      </c>
    </row>
    <row r="449" customFormat="false" ht="15" hidden="false" customHeight="false" outlineLevel="0" collapsed="false">
      <c r="A449" s="42" t="n">
        <v>45768</v>
      </c>
      <c r="B449" s="28" t="n">
        <f aca="false">COUNTIFS(Trades!$D$2:$D$884,$A449)</f>
        <v>1</v>
      </c>
      <c r="C449" s="28" t="n">
        <f aca="false">COUNTIFS(Trades!$D$2:$D$884,$A449,Trades!$Z$2:$Z$884,"Win")</f>
        <v>0</v>
      </c>
      <c r="D449" s="28" t="n">
        <f aca="false">COUNTIFS(Trades!$D$2:$D$884,$A449,Trades!$Z$2:$Z$884,"Loss")</f>
        <v>1</v>
      </c>
      <c r="E449" s="29" t="n">
        <f aca="false">IFERROR(C449/B449,0)</f>
        <v>0</v>
      </c>
      <c r="F449" s="30" t="n">
        <f aca="false">SUMIFS(Trades!$X$2:$X$884,Trades!$D$2:$D$884,$A449)</f>
        <v>-308.99</v>
      </c>
      <c r="G449" s="30" t="n">
        <f aca="false">SUMIFS(Trades!$X$2:$X$884,Trades!$D$2:$D$884,$A449,Trades!$X$2:$X$884,"&gt;0")</f>
        <v>0</v>
      </c>
      <c r="H449" s="30" t="n">
        <f aca="false">SUMIFS(Trades!$X$2:$X$884,Trades!$D$2:$D$884,$A449,Trades!$X$2:$X$884,"&lt;0")</f>
        <v>-308.99</v>
      </c>
      <c r="I449" s="31" t="n">
        <f aca="false">IFERROR(G449/-H449,"no loss")</f>
        <v>0</v>
      </c>
      <c r="J449" s="30" t="n">
        <f aca="false">_xlfn.MAXIFS(Trades!$X$2:$X$884,Trades!$D$2:$D$884,$A449)</f>
        <v>-308.99</v>
      </c>
      <c r="K449" s="30" t="n">
        <f aca="false">_xlfn.MINIFS(Trades!$X$2:$X$884,Trades!$D$2:$D$884,$A449)</f>
        <v>-308.99</v>
      </c>
      <c r="L449" s="32" t="n">
        <f aca="false">SUMIFS(Trades!$Y$2:$Y$884,Trades!$D$2:$D$884,$A449)</f>
        <v>-1.01670878412174</v>
      </c>
      <c r="M449" s="30" t="n">
        <f aca="false">P448</f>
        <v>110789.62</v>
      </c>
      <c r="N449" s="29" t="n">
        <f aca="false">IFERROR(F449/M449,0)</f>
        <v>-0.00278897968961352</v>
      </c>
      <c r="O449" s="28" t="str">
        <f aca="false">IF(-N449&gt;=Summary!$C$7,"BREACH","")</f>
        <v/>
      </c>
      <c r="P449" s="30" t="n">
        <f aca="false">M449+F449</f>
        <v>110480.63</v>
      </c>
      <c r="Q449" s="30" t="n">
        <f aca="false">P449-Summary!$C$5</f>
        <v>10480.6300000001</v>
      </c>
      <c r="R449" s="2" t="str">
        <f aca="false">TEXT(A449,"ddd")</f>
        <v>Mon</v>
      </c>
    </row>
    <row r="450" customFormat="false" ht="15" hidden="false" customHeight="false" outlineLevel="0" collapsed="false">
      <c r="A450" s="42" t="n">
        <v>45769</v>
      </c>
      <c r="B450" s="28" t="n">
        <f aca="false">COUNTIFS(Trades!$D$2:$D$884,$A450)</f>
        <v>1</v>
      </c>
      <c r="C450" s="28" t="n">
        <f aca="false">COUNTIFS(Trades!$D$2:$D$884,$A450,Trades!$Z$2:$Z$884,"Win")</f>
        <v>0</v>
      </c>
      <c r="D450" s="28" t="n">
        <f aca="false">COUNTIFS(Trades!$D$2:$D$884,$A450,Trades!$Z$2:$Z$884,"Loss")</f>
        <v>1</v>
      </c>
      <c r="E450" s="29" t="n">
        <f aca="false">IFERROR(C450/B450,0)</f>
        <v>0</v>
      </c>
      <c r="F450" s="30" t="n">
        <f aca="false">SUMIFS(Trades!$X$2:$X$884,Trades!$D$2:$D$884,$A450)</f>
        <v>-148.82</v>
      </c>
      <c r="G450" s="30" t="n">
        <f aca="false">SUMIFS(Trades!$X$2:$X$884,Trades!$D$2:$D$884,$A450,Trades!$X$2:$X$884,"&gt;0")</f>
        <v>0</v>
      </c>
      <c r="H450" s="30" t="n">
        <f aca="false">SUMIFS(Trades!$X$2:$X$884,Trades!$D$2:$D$884,$A450,Trades!$X$2:$X$884,"&lt;0")</f>
        <v>-148.82</v>
      </c>
      <c r="I450" s="31" t="n">
        <f aca="false">IFERROR(G450/-H450,"no loss")</f>
        <v>0</v>
      </c>
      <c r="J450" s="30" t="n">
        <f aca="false">_xlfn.MAXIFS(Trades!$X$2:$X$884,Trades!$D$2:$D$884,$A450)</f>
        <v>-148.82</v>
      </c>
      <c r="K450" s="30" t="n">
        <f aca="false">_xlfn.MINIFS(Trades!$X$2:$X$884,Trades!$D$2:$D$884,$A450)</f>
        <v>-148.82</v>
      </c>
      <c r="L450" s="32" t="n">
        <f aca="false">SUMIFS(Trades!$Y$2:$Y$884,Trades!$D$2:$D$884,$A450)</f>
        <v>-1.00251943467666</v>
      </c>
      <c r="M450" s="30" t="n">
        <f aca="false">P449</f>
        <v>110480.63</v>
      </c>
      <c r="N450" s="29" t="n">
        <f aca="false">IFERROR(F450/M450,0)</f>
        <v>-0.00134702345560484</v>
      </c>
      <c r="O450" s="28" t="str">
        <f aca="false">IF(-N450&gt;=Summary!$C$7,"BREACH","")</f>
        <v/>
      </c>
      <c r="P450" s="30" t="n">
        <f aca="false">M450+F450</f>
        <v>110331.81</v>
      </c>
      <c r="Q450" s="30" t="n">
        <f aca="false">P450-Summary!$C$5</f>
        <v>10331.8100000001</v>
      </c>
      <c r="R450" s="2" t="str">
        <f aca="false">TEXT(A450,"ddd")</f>
        <v>Tue</v>
      </c>
    </row>
    <row r="451" customFormat="false" ht="15" hidden="false" customHeight="false" outlineLevel="0" collapsed="false">
      <c r="A451" s="42" t="n">
        <v>45770</v>
      </c>
      <c r="B451" s="28" t="n">
        <f aca="false">COUNTIFS(Trades!$D$2:$D$884,$A451)</f>
        <v>1</v>
      </c>
      <c r="C451" s="28" t="n">
        <f aca="false">COUNTIFS(Trades!$D$2:$D$884,$A451,Trades!$Z$2:$Z$884,"Win")</f>
        <v>1</v>
      </c>
      <c r="D451" s="28" t="n">
        <f aca="false">COUNTIFS(Trades!$D$2:$D$884,$A451,Trades!$Z$2:$Z$884,"Loss")</f>
        <v>0</v>
      </c>
      <c r="E451" s="29" t="n">
        <f aca="false">IFERROR(C451/B451,0)</f>
        <v>1</v>
      </c>
      <c r="F451" s="30" t="n">
        <f aca="false">SUMIFS(Trades!$X$2:$X$884,Trades!$D$2:$D$884,$A451)</f>
        <v>1020.55</v>
      </c>
      <c r="G451" s="30" t="n">
        <f aca="false">SUMIFS(Trades!$X$2:$X$884,Trades!$D$2:$D$884,$A451,Trades!$X$2:$X$884,"&gt;0")</f>
        <v>1020.55</v>
      </c>
      <c r="H451" s="30" t="n">
        <f aca="false">SUMIFS(Trades!$X$2:$X$884,Trades!$D$2:$D$884,$A451,Trades!$X$2:$X$884,"&lt;0")</f>
        <v>0</v>
      </c>
      <c r="I451" s="31" t="str">
        <f aca="false">IFERROR(G451/-H451,"no loss")</f>
        <v>no loss</v>
      </c>
      <c r="J451" s="30" t="n">
        <f aca="false">_xlfn.MAXIFS(Trades!$X$2:$X$884,Trades!$D$2:$D$884,$A451)</f>
        <v>1020.55</v>
      </c>
      <c r="K451" s="30" t="n">
        <f aca="false">_xlfn.MINIFS(Trades!$X$2:$X$884,Trades!$D$2:$D$884,$A451)</f>
        <v>1020.55</v>
      </c>
      <c r="L451" s="32" t="n">
        <f aca="false">SUMIFS(Trades!$Y$2:$Y$884,Trades!$D$2:$D$884,$A451)</f>
        <v>2.02266943609822</v>
      </c>
      <c r="M451" s="30" t="n">
        <f aca="false">P450</f>
        <v>110331.81</v>
      </c>
      <c r="N451" s="29" t="n">
        <f aca="false">IFERROR(F451/M451,0)</f>
        <v>0.00924982559426877</v>
      </c>
      <c r="O451" s="28" t="str">
        <f aca="false">IF(-N451&gt;=Summary!$C$7,"BREACH","")</f>
        <v/>
      </c>
      <c r="P451" s="30" t="n">
        <f aca="false">M451+F451</f>
        <v>111352.36</v>
      </c>
      <c r="Q451" s="30" t="n">
        <f aca="false">P451-Summary!$C$5</f>
        <v>11352.3600000001</v>
      </c>
      <c r="R451" s="2" t="str">
        <f aca="false">TEXT(A451,"ddd")</f>
        <v>Wed</v>
      </c>
    </row>
    <row r="452" customFormat="false" ht="15" hidden="false" customHeight="false" outlineLevel="0" collapsed="false">
      <c r="A452" s="42" t="n">
        <v>45771</v>
      </c>
      <c r="B452" s="28" t="n">
        <f aca="false">COUNTIFS(Trades!$D$2:$D$884,$A452)</f>
        <v>2</v>
      </c>
      <c r="C452" s="28" t="n">
        <f aca="false">COUNTIFS(Trades!$D$2:$D$884,$A452,Trades!$Z$2:$Z$884,"Win")</f>
        <v>0</v>
      </c>
      <c r="D452" s="28" t="n">
        <f aca="false">COUNTIFS(Trades!$D$2:$D$884,$A452,Trades!$Z$2:$Z$884,"Loss")</f>
        <v>2</v>
      </c>
      <c r="E452" s="29" t="n">
        <f aca="false">IFERROR(C452/B452,0)</f>
        <v>0</v>
      </c>
      <c r="F452" s="30" t="n">
        <f aca="false">SUMIFS(Trades!$X$2:$X$884,Trades!$D$2:$D$884,$A452)</f>
        <v>-155.66</v>
      </c>
      <c r="G452" s="30" t="n">
        <f aca="false">SUMIFS(Trades!$X$2:$X$884,Trades!$D$2:$D$884,$A452,Trades!$X$2:$X$884,"&gt;0")</f>
        <v>0</v>
      </c>
      <c r="H452" s="30" t="n">
        <f aca="false">SUMIFS(Trades!$X$2:$X$884,Trades!$D$2:$D$884,$A452,Trades!$X$2:$X$884,"&lt;0")</f>
        <v>-155.66</v>
      </c>
      <c r="I452" s="31" t="n">
        <f aca="false">IFERROR(G452/-H452,"no loss")</f>
        <v>0</v>
      </c>
      <c r="J452" s="30" t="n">
        <f aca="false">_xlfn.MAXIFS(Trades!$X$2:$X$884,Trades!$D$2:$D$884,$A452)</f>
        <v>-0.86</v>
      </c>
      <c r="K452" s="30" t="n">
        <f aca="false">_xlfn.MINIFS(Trades!$X$2:$X$884,Trades!$D$2:$D$884,$A452)</f>
        <v>-154.8</v>
      </c>
      <c r="L452" s="32" t="n">
        <f aca="false">SUMIFS(Trades!$Y$2:$Y$884,Trades!$D$2:$D$884,$A452)</f>
        <v>-1.01104759658567</v>
      </c>
      <c r="M452" s="30" t="n">
        <f aca="false">P451</f>
        <v>111352.36</v>
      </c>
      <c r="N452" s="29" t="n">
        <f aca="false">IFERROR(F452/M452,0)</f>
        <v>-0.00139790481315349</v>
      </c>
      <c r="O452" s="28" t="str">
        <f aca="false">IF(-N452&gt;=Summary!$C$7,"BREACH","")</f>
        <v/>
      </c>
      <c r="P452" s="30" t="n">
        <f aca="false">M452+F452</f>
        <v>111196.7</v>
      </c>
      <c r="Q452" s="30" t="n">
        <f aca="false">P452-Summary!$C$5</f>
        <v>11196.7000000001</v>
      </c>
      <c r="R452" s="2" t="str">
        <f aca="false">TEXT(A452,"ddd")</f>
        <v>Thu</v>
      </c>
    </row>
    <row r="453" customFormat="false" ht="15" hidden="false" customHeight="false" outlineLevel="0" collapsed="false">
      <c r="A453" s="42" t="n">
        <v>45772</v>
      </c>
      <c r="B453" s="28" t="n">
        <f aca="false">COUNTIFS(Trades!$D$2:$D$884,$A453)</f>
        <v>1</v>
      </c>
      <c r="C453" s="28" t="n">
        <f aca="false">COUNTIFS(Trades!$D$2:$D$884,$A453,Trades!$Z$2:$Z$884,"Win")</f>
        <v>0</v>
      </c>
      <c r="D453" s="28" t="n">
        <f aca="false">COUNTIFS(Trades!$D$2:$D$884,$A453,Trades!$Z$2:$Z$884,"Loss")</f>
        <v>1</v>
      </c>
      <c r="E453" s="29" t="n">
        <f aca="false">IFERROR(C453/B453,0)</f>
        <v>0</v>
      </c>
      <c r="F453" s="30" t="n">
        <f aca="false">SUMIFS(Trades!$X$2:$X$884,Trades!$D$2:$D$884,$A453)</f>
        <v>-62.75</v>
      </c>
      <c r="G453" s="30" t="n">
        <f aca="false">SUMIFS(Trades!$X$2:$X$884,Trades!$D$2:$D$884,$A453,Trades!$X$2:$X$884,"&gt;0")</f>
        <v>0</v>
      </c>
      <c r="H453" s="30" t="n">
        <f aca="false">SUMIFS(Trades!$X$2:$X$884,Trades!$D$2:$D$884,$A453,Trades!$X$2:$X$884,"&lt;0")</f>
        <v>-62.75</v>
      </c>
      <c r="I453" s="31" t="n">
        <f aca="false">IFERROR(G453/-H453,"no loss")</f>
        <v>0</v>
      </c>
      <c r="J453" s="30" t="n">
        <f aca="false">_xlfn.MAXIFS(Trades!$X$2:$X$884,Trades!$D$2:$D$884,$A453)</f>
        <v>-62.75</v>
      </c>
      <c r="K453" s="30" t="n">
        <f aca="false">_xlfn.MINIFS(Trades!$X$2:$X$884,Trades!$D$2:$D$884,$A453)</f>
        <v>-62.75</v>
      </c>
      <c r="L453" s="32" t="n">
        <f aca="false">SUMIFS(Trades!$Y$2:$Y$884,Trades!$D$2:$D$884,$A453)</f>
        <v>-1.0581787521082</v>
      </c>
      <c r="M453" s="30" t="n">
        <f aca="false">P452</f>
        <v>111196.7</v>
      </c>
      <c r="N453" s="29" t="n">
        <f aca="false">IFERROR(F453/M453,0)</f>
        <v>-0.00056431530791831</v>
      </c>
      <c r="O453" s="28" t="str">
        <f aca="false">IF(-N453&gt;=Summary!$C$7,"BREACH","")</f>
        <v/>
      </c>
      <c r="P453" s="30" t="n">
        <f aca="false">M453+F453</f>
        <v>111133.95</v>
      </c>
      <c r="Q453" s="30" t="n">
        <f aca="false">P453-Summary!$C$5</f>
        <v>11133.9500000001</v>
      </c>
      <c r="R453" s="2" t="str">
        <f aca="false">TEXT(A453,"ddd")</f>
        <v>Fri</v>
      </c>
    </row>
    <row r="454" customFormat="false" ht="15" hidden="false" customHeight="false" outlineLevel="0" collapsed="false">
      <c r="A454" s="42" t="n">
        <v>45775</v>
      </c>
      <c r="B454" s="28" t="n">
        <f aca="false">COUNTIFS(Trades!$D$2:$D$884,$A454)</f>
        <v>1</v>
      </c>
      <c r="C454" s="28" t="n">
        <f aca="false">COUNTIFS(Trades!$D$2:$D$884,$A454,Trades!$Z$2:$Z$884,"Win")</f>
        <v>0</v>
      </c>
      <c r="D454" s="28" t="n">
        <f aca="false">COUNTIFS(Trades!$D$2:$D$884,$A454,Trades!$Z$2:$Z$884,"Loss")</f>
        <v>1</v>
      </c>
      <c r="E454" s="29" t="n">
        <f aca="false">IFERROR(C454/B454,0)</f>
        <v>0</v>
      </c>
      <c r="F454" s="30" t="n">
        <f aca="false">SUMIFS(Trades!$X$2:$X$884,Trades!$D$2:$D$884,$A454)</f>
        <v>-53</v>
      </c>
      <c r="G454" s="30" t="n">
        <f aca="false">SUMIFS(Trades!$X$2:$X$884,Trades!$D$2:$D$884,$A454,Trades!$X$2:$X$884,"&gt;0")</f>
        <v>0</v>
      </c>
      <c r="H454" s="30" t="n">
        <f aca="false">SUMIFS(Trades!$X$2:$X$884,Trades!$D$2:$D$884,$A454,Trades!$X$2:$X$884,"&lt;0")</f>
        <v>-53</v>
      </c>
      <c r="I454" s="31" t="n">
        <f aca="false">IFERROR(G454/-H454,"no loss")</f>
        <v>0</v>
      </c>
      <c r="J454" s="30" t="n">
        <f aca="false">_xlfn.MAXIFS(Trades!$X$2:$X$884,Trades!$D$2:$D$884,$A454)</f>
        <v>-53</v>
      </c>
      <c r="K454" s="30" t="n">
        <f aca="false">_xlfn.MINIFS(Trades!$X$2:$X$884,Trades!$D$2:$D$884,$A454)</f>
        <v>-53</v>
      </c>
      <c r="L454" s="32" t="n">
        <f aca="false">SUMIFS(Trades!$Y$2:$Y$884,Trades!$D$2:$D$884,$A454)</f>
        <v>-1.02316602316597</v>
      </c>
      <c r="M454" s="30" t="n">
        <f aca="false">P453</f>
        <v>111133.95</v>
      </c>
      <c r="N454" s="29" t="n">
        <f aca="false">IFERROR(F454/M454,0)</f>
        <v>-0.000476901972799491</v>
      </c>
      <c r="O454" s="28" t="str">
        <f aca="false">IF(-N454&gt;=Summary!$C$7,"BREACH","")</f>
        <v/>
      </c>
      <c r="P454" s="30" t="n">
        <f aca="false">M454+F454</f>
        <v>111080.95</v>
      </c>
      <c r="Q454" s="30" t="n">
        <f aca="false">P454-Summary!$C$5</f>
        <v>11080.9500000001</v>
      </c>
      <c r="R454" s="2" t="str">
        <f aca="false">TEXT(A454,"ddd")</f>
        <v>Mon</v>
      </c>
    </row>
    <row r="455" customFormat="false" ht="15" hidden="false" customHeight="false" outlineLevel="0" collapsed="false">
      <c r="A455" s="42" t="n">
        <v>45776</v>
      </c>
      <c r="B455" s="28" t="n">
        <f aca="false">COUNTIFS(Trades!$D$2:$D$884,$A455)</f>
        <v>1</v>
      </c>
      <c r="C455" s="28" t="n">
        <f aca="false">COUNTIFS(Trades!$D$2:$D$884,$A455,Trades!$Z$2:$Z$884,"Win")</f>
        <v>0</v>
      </c>
      <c r="D455" s="28" t="n">
        <f aca="false">COUNTIFS(Trades!$D$2:$D$884,$A455,Trades!$Z$2:$Z$884,"Loss")</f>
        <v>1</v>
      </c>
      <c r="E455" s="29" t="n">
        <f aca="false">IFERROR(C455/B455,0)</f>
        <v>0</v>
      </c>
      <c r="F455" s="30" t="n">
        <f aca="false">SUMIFS(Trades!$X$2:$X$884,Trades!$D$2:$D$884,$A455)</f>
        <v>-56.4</v>
      </c>
      <c r="G455" s="30" t="n">
        <f aca="false">SUMIFS(Trades!$X$2:$X$884,Trades!$D$2:$D$884,$A455,Trades!$X$2:$X$884,"&gt;0")</f>
        <v>0</v>
      </c>
      <c r="H455" s="30" t="n">
        <f aca="false">SUMIFS(Trades!$X$2:$X$884,Trades!$D$2:$D$884,$A455,Trades!$X$2:$X$884,"&lt;0")</f>
        <v>-56.4</v>
      </c>
      <c r="I455" s="31" t="n">
        <f aca="false">IFERROR(G455/-H455,"no loss")</f>
        <v>0</v>
      </c>
      <c r="J455" s="30" t="n">
        <f aca="false">_xlfn.MAXIFS(Trades!$X$2:$X$884,Trades!$D$2:$D$884,$A455)</f>
        <v>-56.4</v>
      </c>
      <c r="K455" s="30" t="n">
        <f aca="false">_xlfn.MINIFS(Trades!$X$2:$X$884,Trades!$D$2:$D$884,$A455)</f>
        <v>-56.4</v>
      </c>
      <c r="L455" s="32" t="n">
        <f aca="false">SUMIFS(Trades!$Y$2:$Y$884,Trades!$D$2:$D$884,$A455)</f>
        <v>-1.01165919282531</v>
      </c>
      <c r="M455" s="30" t="n">
        <f aca="false">P454</f>
        <v>111080.95</v>
      </c>
      <c r="N455" s="29" t="n">
        <f aca="false">IFERROR(F455/M455,0)</f>
        <v>-0.000507737825432713</v>
      </c>
      <c r="O455" s="28" t="str">
        <f aca="false">IF(-N455&gt;=Summary!$C$7,"BREACH","")</f>
        <v/>
      </c>
      <c r="P455" s="30" t="n">
        <f aca="false">M455+F455</f>
        <v>111024.55</v>
      </c>
      <c r="Q455" s="30" t="n">
        <f aca="false">P455-Summary!$C$5</f>
        <v>11024.5500000001</v>
      </c>
      <c r="R455" s="2" t="str">
        <f aca="false">TEXT(A455,"ddd")</f>
        <v>Tue</v>
      </c>
    </row>
    <row r="456" customFormat="false" ht="15" hidden="false" customHeight="false" outlineLevel="0" collapsed="false">
      <c r="A456" s="42" t="n">
        <v>45777</v>
      </c>
      <c r="B456" s="28" t="n">
        <f aca="false">COUNTIFS(Trades!$D$2:$D$884,$A456)</f>
        <v>2</v>
      </c>
      <c r="C456" s="28" t="n">
        <f aca="false">COUNTIFS(Trades!$D$2:$D$884,$A456,Trades!$Z$2:$Z$884,"Win")</f>
        <v>1</v>
      </c>
      <c r="D456" s="28" t="n">
        <f aca="false">COUNTIFS(Trades!$D$2:$D$884,$A456,Trades!$Z$2:$Z$884,"Loss")</f>
        <v>1</v>
      </c>
      <c r="E456" s="29" t="n">
        <f aca="false">IFERROR(C456/B456,0)</f>
        <v>0.5</v>
      </c>
      <c r="F456" s="30" t="n">
        <f aca="false">SUMIFS(Trades!$X$2:$X$884,Trades!$D$2:$D$884,$A456)</f>
        <v>339.4</v>
      </c>
      <c r="G456" s="30" t="n">
        <f aca="false">SUMIFS(Trades!$X$2:$X$884,Trades!$D$2:$D$884,$A456,Trades!$X$2:$X$884,"&gt;0")</f>
        <v>624.85</v>
      </c>
      <c r="H456" s="30" t="n">
        <f aca="false">SUMIFS(Trades!$X$2:$X$884,Trades!$D$2:$D$884,$A456,Trades!$X$2:$X$884,"&lt;0")</f>
        <v>-285.45</v>
      </c>
      <c r="I456" s="31" t="n">
        <f aca="false">IFERROR(G456/-H456,"no loss")</f>
        <v>2.18899982483798</v>
      </c>
      <c r="J456" s="30" t="n">
        <f aca="false">_xlfn.MAXIFS(Trades!$X$2:$X$884,Trades!$D$2:$D$884,$A456)</f>
        <v>624.85</v>
      </c>
      <c r="K456" s="30" t="n">
        <f aca="false">_xlfn.MINIFS(Trades!$X$2:$X$884,Trades!$D$2:$D$884,$A456)</f>
        <v>-285.45</v>
      </c>
      <c r="L456" s="32" t="n">
        <f aca="false">SUMIFS(Trades!$Y$2:$Y$884,Trades!$D$2:$D$884,$A456)</f>
        <v>0.997494172855944</v>
      </c>
      <c r="M456" s="30" t="n">
        <f aca="false">P455</f>
        <v>111024.55</v>
      </c>
      <c r="N456" s="29" t="n">
        <f aca="false">IFERROR(F456/M456,0)</f>
        <v>0.00305698154146988</v>
      </c>
      <c r="O456" s="28" t="str">
        <f aca="false">IF(-N456&gt;=Summary!$C$7,"BREACH","")</f>
        <v/>
      </c>
      <c r="P456" s="30" t="n">
        <f aca="false">M456+F456</f>
        <v>111363.95</v>
      </c>
      <c r="Q456" s="30" t="n">
        <f aca="false">P456-Summary!$C$5</f>
        <v>11363.9500000001</v>
      </c>
      <c r="R456" s="2" t="str">
        <f aca="false">TEXT(A456,"ddd")</f>
        <v>Wed</v>
      </c>
    </row>
    <row r="457" customFormat="false" ht="15" hidden="false" customHeight="false" outlineLevel="0" collapsed="false">
      <c r="A457" s="42" t="n">
        <v>45778</v>
      </c>
      <c r="B457" s="28" t="n">
        <f aca="false">COUNTIFS(Trades!$D$2:$D$884,$A457)</f>
        <v>1</v>
      </c>
      <c r="C457" s="28" t="n">
        <f aca="false">COUNTIFS(Trades!$D$2:$D$884,$A457,Trades!$Z$2:$Z$884,"Win")</f>
        <v>1</v>
      </c>
      <c r="D457" s="28" t="n">
        <f aca="false">COUNTIFS(Trades!$D$2:$D$884,$A457,Trades!$Z$2:$Z$884,"Loss")</f>
        <v>0</v>
      </c>
      <c r="E457" s="29" t="n">
        <f aca="false">IFERROR(C457/B457,0)</f>
        <v>1</v>
      </c>
      <c r="F457" s="30" t="n">
        <f aca="false">SUMIFS(Trades!$X$2:$X$884,Trades!$D$2:$D$884,$A457)</f>
        <v>579.15</v>
      </c>
      <c r="G457" s="30" t="n">
        <f aca="false">SUMIFS(Trades!$X$2:$X$884,Trades!$D$2:$D$884,$A457,Trades!$X$2:$X$884,"&gt;0")</f>
        <v>579.15</v>
      </c>
      <c r="H457" s="30" t="n">
        <f aca="false">SUMIFS(Trades!$X$2:$X$884,Trades!$D$2:$D$884,$A457,Trades!$X$2:$X$884,"&lt;0")</f>
        <v>0</v>
      </c>
      <c r="I457" s="31" t="str">
        <f aca="false">IFERROR(G457/-H457,"no loss")</f>
        <v>no loss</v>
      </c>
      <c r="J457" s="30" t="n">
        <f aca="false">_xlfn.MAXIFS(Trades!$X$2:$X$884,Trades!$D$2:$D$884,$A457)</f>
        <v>579.15</v>
      </c>
      <c r="K457" s="30" t="n">
        <f aca="false">_xlfn.MINIFS(Trades!$X$2:$X$884,Trades!$D$2:$D$884,$A457)</f>
        <v>579.15</v>
      </c>
      <c r="L457" s="32" t="n">
        <f aca="false">SUMIFS(Trades!$Y$2:$Y$884,Trades!$D$2:$D$884,$A457)</f>
        <v>2.01023950017359</v>
      </c>
      <c r="M457" s="30" t="n">
        <f aca="false">P456</f>
        <v>111363.95</v>
      </c>
      <c r="N457" s="29" t="n">
        <f aca="false">IFERROR(F457/M457,0)</f>
        <v>0.00520051596589381</v>
      </c>
      <c r="O457" s="28" t="str">
        <f aca="false">IF(-N457&gt;=Summary!$C$7,"BREACH","")</f>
        <v/>
      </c>
      <c r="P457" s="30" t="n">
        <f aca="false">M457+F457</f>
        <v>111943.1</v>
      </c>
      <c r="Q457" s="30" t="n">
        <f aca="false">P457-Summary!$C$5</f>
        <v>11943.1000000001</v>
      </c>
      <c r="R457" s="2" t="str">
        <f aca="false">TEXT(A457,"ddd")</f>
        <v>Thu</v>
      </c>
    </row>
    <row r="458" customFormat="false" ht="15" hidden="false" customHeight="false" outlineLevel="0" collapsed="false">
      <c r="A458" s="42" t="n">
        <v>45779</v>
      </c>
      <c r="B458" s="28" t="n">
        <f aca="false">COUNTIFS(Trades!$D$2:$D$884,$A458)</f>
        <v>2</v>
      </c>
      <c r="C458" s="28" t="n">
        <f aca="false">COUNTIFS(Trades!$D$2:$D$884,$A458,Trades!$Z$2:$Z$884,"Win")</f>
        <v>0</v>
      </c>
      <c r="D458" s="28" t="n">
        <f aca="false">COUNTIFS(Trades!$D$2:$D$884,$A458,Trades!$Z$2:$Z$884,"Loss")</f>
        <v>2</v>
      </c>
      <c r="E458" s="29" t="n">
        <f aca="false">IFERROR(C458/B458,0)</f>
        <v>0</v>
      </c>
      <c r="F458" s="30" t="n">
        <f aca="false">SUMIFS(Trades!$X$2:$X$884,Trades!$D$2:$D$884,$A458)</f>
        <v>-311.4</v>
      </c>
      <c r="G458" s="30" t="n">
        <f aca="false">SUMIFS(Trades!$X$2:$X$884,Trades!$D$2:$D$884,$A458,Trades!$X$2:$X$884,"&gt;0")</f>
        <v>0</v>
      </c>
      <c r="H458" s="30" t="n">
        <f aca="false">SUMIFS(Trades!$X$2:$X$884,Trades!$D$2:$D$884,$A458,Trades!$X$2:$X$884,"&lt;0")</f>
        <v>-311.4</v>
      </c>
      <c r="I458" s="31" t="n">
        <f aca="false">IFERROR(G458/-H458,"no loss")</f>
        <v>0</v>
      </c>
      <c r="J458" s="30" t="n">
        <f aca="false">_xlfn.MAXIFS(Trades!$X$2:$X$884,Trades!$D$2:$D$884,$A458)</f>
        <v>-125.9</v>
      </c>
      <c r="K458" s="30" t="n">
        <f aca="false">_xlfn.MINIFS(Trades!$X$2:$X$884,Trades!$D$2:$D$884,$A458)</f>
        <v>-185.5</v>
      </c>
      <c r="L458" s="32" t="n">
        <f aca="false">SUMIFS(Trades!$Y$2:$Y$884,Trades!$D$2:$D$884,$A458)</f>
        <v>-2.01448965300955</v>
      </c>
      <c r="M458" s="30" t="n">
        <f aca="false">P457</f>
        <v>111943.1</v>
      </c>
      <c r="N458" s="29" t="n">
        <f aca="false">IFERROR(F458/M458,0)</f>
        <v>-0.00278177038155992</v>
      </c>
      <c r="O458" s="28" t="str">
        <f aca="false">IF(-N458&gt;=Summary!$C$7,"BREACH","")</f>
        <v/>
      </c>
      <c r="P458" s="30" t="n">
        <f aca="false">M458+F458</f>
        <v>111631.7</v>
      </c>
      <c r="Q458" s="30" t="n">
        <f aca="false">P458-Summary!$C$5</f>
        <v>11631.7000000001</v>
      </c>
      <c r="R458" s="2" t="str">
        <f aca="false">TEXT(A458,"ddd")</f>
        <v>Fri</v>
      </c>
    </row>
    <row r="459" customFormat="false" ht="15" hidden="false" customHeight="false" outlineLevel="0" collapsed="false">
      <c r="A459" s="42" t="n">
        <v>45783</v>
      </c>
      <c r="B459" s="28" t="n">
        <f aca="false">COUNTIFS(Trades!$D$2:$D$884,$A459)</f>
        <v>1</v>
      </c>
      <c r="C459" s="28" t="n">
        <f aca="false">COUNTIFS(Trades!$D$2:$D$884,$A459,Trades!$Z$2:$Z$884,"Win")</f>
        <v>0</v>
      </c>
      <c r="D459" s="28" t="n">
        <f aca="false">COUNTIFS(Trades!$D$2:$D$884,$A459,Trades!$Z$2:$Z$884,"Loss")</f>
        <v>1</v>
      </c>
      <c r="E459" s="29" t="n">
        <f aca="false">IFERROR(C459/B459,0)</f>
        <v>0</v>
      </c>
      <c r="F459" s="30" t="n">
        <f aca="false">SUMIFS(Trades!$X$2:$X$884,Trades!$D$2:$D$884,$A459)</f>
        <v>-0.85</v>
      </c>
      <c r="G459" s="30" t="n">
        <f aca="false">SUMIFS(Trades!$X$2:$X$884,Trades!$D$2:$D$884,$A459,Trades!$X$2:$X$884,"&gt;0")</f>
        <v>0</v>
      </c>
      <c r="H459" s="30" t="n">
        <f aca="false">SUMIFS(Trades!$X$2:$X$884,Trades!$D$2:$D$884,$A459,Trades!$X$2:$X$884,"&lt;0")</f>
        <v>-0.85</v>
      </c>
      <c r="I459" s="31" t="n">
        <f aca="false">IFERROR(G459/-H459,"no loss")</f>
        <v>0</v>
      </c>
      <c r="J459" s="30" t="n">
        <f aca="false">_xlfn.MAXIFS(Trades!$X$2:$X$884,Trades!$D$2:$D$884,$A459)</f>
        <v>-0.85</v>
      </c>
      <c r="K459" s="30" t="n">
        <f aca="false">_xlfn.MINIFS(Trades!$X$2:$X$884,Trades!$D$2:$D$884,$A459)</f>
        <v>-0.85</v>
      </c>
      <c r="L459" s="32" t="n">
        <f aca="false">SUMIFS(Trades!$Y$2:$Y$884,Trades!$D$2:$D$884,$A459)</f>
        <v>-0.0125000000000013</v>
      </c>
      <c r="M459" s="30" t="n">
        <f aca="false">P458</f>
        <v>111631.7</v>
      </c>
      <c r="N459" s="29" t="n">
        <f aca="false">IFERROR(F459/M459,0)</f>
        <v>-7.61432460492852E-006</v>
      </c>
      <c r="O459" s="28" t="str">
        <f aca="false">IF(-N459&gt;=Summary!$C$7,"BREACH","")</f>
        <v/>
      </c>
      <c r="P459" s="30" t="n">
        <f aca="false">M459+F459</f>
        <v>111630.85</v>
      </c>
      <c r="Q459" s="30" t="n">
        <f aca="false">P459-Summary!$C$5</f>
        <v>11630.8500000001</v>
      </c>
      <c r="R459" s="2" t="str">
        <f aca="false">TEXT(A459,"ddd")</f>
        <v>Tue</v>
      </c>
    </row>
    <row r="460" customFormat="false" ht="15" hidden="false" customHeight="false" outlineLevel="0" collapsed="false">
      <c r="A460" s="42" t="n">
        <v>45784</v>
      </c>
      <c r="B460" s="28" t="n">
        <f aca="false">COUNTIFS(Trades!$D$2:$D$884,$A460)</f>
        <v>2</v>
      </c>
      <c r="C460" s="28" t="n">
        <f aca="false">COUNTIFS(Trades!$D$2:$D$884,$A460,Trades!$Z$2:$Z$884,"Win")</f>
        <v>0</v>
      </c>
      <c r="D460" s="28" t="n">
        <f aca="false">COUNTIFS(Trades!$D$2:$D$884,$A460,Trades!$Z$2:$Z$884,"Loss")</f>
        <v>2</v>
      </c>
      <c r="E460" s="29" t="n">
        <f aca="false">IFERROR(C460/B460,0)</f>
        <v>0</v>
      </c>
      <c r="F460" s="30" t="n">
        <f aca="false">SUMIFS(Trades!$X$2:$X$884,Trades!$D$2:$D$884,$A460)</f>
        <v>-602.25</v>
      </c>
      <c r="G460" s="30" t="n">
        <f aca="false">SUMIFS(Trades!$X$2:$X$884,Trades!$D$2:$D$884,$A460,Trades!$X$2:$X$884,"&gt;0")</f>
        <v>0</v>
      </c>
      <c r="H460" s="30" t="n">
        <f aca="false">SUMIFS(Trades!$X$2:$X$884,Trades!$D$2:$D$884,$A460,Trades!$X$2:$X$884,"&lt;0")</f>
        <v>-602.25</v>
      </c>
      <c r="I460" s="31" t="n">
        <f aca="false">IFERROR(G460/-H460,"no loss")</f>
        <v>0</v>
      </c>
      <c r="J460" s="30" t="n">
        <f aca="false">_xlfn.MAXIFS(Trades!$X$2:$X$884,Trades!$D$2:$D$884,$A460)</f>
        <v>-287.35</v>
      </c>
      <c r="K460" s="30" t="n">
        <f aca="false">_xlfn.MINIFS(Trades!$X$2:$X$884,Trades!$D$2:$D$884,$A460)</f>
        <v>-314.9</v>
      </c>
      <c r="L460" s="32" t="n">
        <f aca="false">SUMIFS(Trades!$Y$2:$Y$884,Trades!$D$2:$D$884,$A460)</f>
        <v>-2.00160510423315</v>
      </c>
      <c r="M460" s="30" t="n">
        <f aca="false">P459</f>
        <v>111630.85</v>
      </c>
      <c r="N460" s="29" t="n">
        <f aca="false">IFERROR(F460/M460,0)</f>
        <v>-0.00539501401270347</v>
      </c>
      <c r="O460" s="28" t="str">
        <f aca="false">IF(-N460&gt;=Summary!$C$7,"BREACH","")</f>
        <v/>
      </c>
      <c r="P460" s="30" t="n">
        <f aca="false">M460+F460</f>
        <v>111028.6</v>
      </c>
      <c r="Q460" s="30" t="n">
        <f aca="false">P460-Summary!$C$5</f>
        <v>11028.6000000001</v>
      </c>
      <c r="R460" s="2" t="str">
        <f aca="false">TEXT(A460,"ddd")</f>
        <v>Wed</v>
      </c>
    </row>
    <row r="461" customFormat="false" ht="15" hidden="false" customHeight="false" outlineLevel="0" collapsed="false">
      <c r="A461" s="42" t="n">
        <v>45785</v>
      </c>
      <c r="B461" s="28" t="n">
        <f aca="false">COUNTIFS(Trades!$D$2:$D$884,$A461)</f>
        <v>1</v>
      </c>
      <c r="C461" s="28" t="n">
        <f aca="false">COUNTIFS(Trades!$D$2:$D$884,$A461,Trades!$Z$2:$Z$884,"Win")</f>
        <v>1</v>
      </c>
      <c r="D461" s="28" t="n">
        <f aca="false">COUNTIFS(Trades!$D$2:$D$884,$A461,Trades!$Z$2:$Z$884,"Loss")</f>
        <v>0</v>
      </c>
      <c r="E461" s="29" t="n">
        <f aca="false">IFERROR(C461/B461,0)</f>
        <v>1</v>
      </c>
      <c r="F461" s="30" t="n">
        <f aca="false">SUMIFS(Trades!$X$2:$X$884,Trades!$D$2:$D$884,$A461)</f>
        <v>110.5</v>
      </c>
      <c r="G461" s="30" t="n">
        <f aca="false">SUMIFS(Trades!$X$2:$X$884,Trades!$D$2:$D$884,$A461,Trades!$X$2:$X$884,"&gt;0")</f>
        <v>110.5</v>
      </c>
      <c r="H461" s="30" t="n">
        <f aca="false">SUMIFS(Trades!$X$2:$X$884,Trades!$D$2:$D$884,$A461,Trades!$X$2:$X$884,"&lt;0")</f>
        <v>0</v>
      </c>
      <c r="I461" s="31" t="str">
        <f aca="false">IFERROR(G461/-H461,"no loss")</f>
        <v>no loss</v>
      </c>
      <c r="J461" s="30" t="n">
        <f aca="false">_xlfn.MAXIFS(Trades!$X$2:$X$884,Trades!$D$2:$D$884,$A461)</f>
        <v>110.5</v>
      </c>
      <c r="K461" s="30" t="n">
        <f aca="false">_xlfn.MINIFS(Trades!$X$2:$X$884,Trades!$D$2:$D$884,$A461)</f>
        <v>110.5</v>
      </c>
      <c r="L461" s="32" t="n">
        <f aca="false">SUMIFS(Trades!$Y$2:$Y$884,Trades!$D$2:$D$884,$A461)</f>
        <v>2.0123106060602</v>
      </c>
      <c r="M461" s="30" t="n">
        <f aca="false">P460</f>
        <v>111028.6</v>
      </c>
      <c r="N461" s="29" t="n">
        <f aca="false">IFERROR(F461/M461,0)</f>
        <v>0.000995239064529319</v>
      </c>
      <c r="O461" s="28" t="str">
        <f aca="false">IF(-N461&gt;=Summary!$C$7,"BREACH","")</f>
        <v/>
      </c>
      <c r="P461" s="30" t="n">
        <f aca="false">M461+F461</f>
        <v>111139.1</v>
      </c>
      <c r="Q461" s="30" t="n">
        <f aca="false">P461-Summary!$C$5</f>
        <v>11139.1000000001</v>
      </c>
      <c r="R461" s="2" t="str">
        <f aca="false">TEXT(A461,"ddd")</f>
        <v>Thu</v>
      </c>
    </row>
    <row r="462" customFormat="false" ht="15" hidden="false" customHeight="false" outlineLevel="0" collapsed="false">
      <c r="A462" s="42" t="n">
        <v>45789</v>
      </c>
      <c r="B462" s="28" t="n">
        <f aca="false">COUNTIFS(Trades!$D$2:$D$884,$A462)</f>
        <v>1</v>
      </c>
      <c r="C462" s="28" t="n">
        <f aca="false">COUNTIFS(Trades!$D$2:$D$884,$A462,Trades!$Z$2:$Z$884,"Win")</f>
        <v>1</v>
      </c>
      <c r="D462" s="28" t="n">
        <f aca="false">COUNTIFS(Trades!$D$2:$D$884,$A462,Trades!$Z$2:$Z$884,"Loss")</f>
        <v>0</v>
      </c>
      <c r="E462" s="29" t="n">
        <f aca="false">IFERROR(C462/B462,0)</f>
        <v>1</v>
      </c>
      <c r="F462" s="30" t="n">
        <f aca="false">SUMIFS(Trades!$X$2:$X$884,Trades!$D$2:$D$884,$A462)</f>
        <v>634.42</v>
      </c>
      <c r="G462" s="30" t="n">
        <f aca="false">SUMIFS(Trades!$X$2:$X$884,Trades!$D$2:$D$884,$A462,Trades!$X$2:$X$884,"&gt;0")</f>
        <v>634.42</v>
      </c>
      <c r="H462" s="30" t="n">
        <f aca="false">SUMIFS(Trades!$X$2:$X$884,Trades!$D$2:$D$884,$A462,Trades!$X$2:$X$884,"&lt;0")</f>
        <v>0</v>
      </c>
      <c r="I462" s="31" t="str">
        <f aca="false">IFERROR(G462/-H462,"no loss")</f>
        <v>no loss</v>
      </c>
      <c r="J462" s="30" t="n">
        <f aca="false">_xlfn.MAXIFS(Trades!$X$2:$X$884,Trades!$D$2:$D$884,$A462)</f>
        <v>634.42</v>
      </c>
      <c r="K462" s="30" t="n">
        <f aca="false">_xlfn.MINIFS(Trades!$X$2:$X$884,Trades!$D$2:$D$884,$A462)</f>
        <v>634.42</v>
      </c>
      <c r="L462" s="32" t="n">
        <f aca="false">SUMIFS(Trades!$Y$2:$Y$884,Trades!$D$2:$D$884,$A462)</f>
        <v>2.00410664644931</v>
      </c>
      <c r="M462" s="30" t="n">
        <f aca="false">P461</f>
        <v>111139.1</v>
      </c>
      <c r="N462" s="29" t="n">
        <f aca="false">IFERROR(F462/M462,0)</f>
        <v>0.00570834206863291</v>
      </c>
      <c r="O462" s="28" t="str">
        <f aca="false">IF(-N462&gt;=Summary!$C$7,"BREACH","")</f>
        <v/>
      </c>
      <c r="P462" s="30" t="n">
        <f aca="false">M462+F462</f>
        <v>111773.52</v>
      </c>
      <c r="Q462" s="30" t="n">
        <f aca="false">P462-Summary!$C$5</f>
        <v>11773.5200000001</v>
      </c>
      <c r="R462" s="2" t="str">
        <f aca="false">TEXT(A462,"ddd")</f>
        <v>Mon</v>
      </c>
    </row>
    <row r="463" customFormat="false" ht="15" hidden="false" customHeight="false" outlineLevel="0" collapsed="false">
      <c r="A463" s="42" t="n">
        <v>45790</v>
      </c>
      <c r="B463" s="28" t="n">
        <f aca="false">COUNTIFS(Trades!$D$2:$D$884,$A463)</f>
        <v>1</v>
      </c>
      <c r="C463" s="28" t="n">
        <f aca="false">COUNTIFS(Trades!$D$2:$D$884,$A463,Trades!$Z$2:$Z$884,"Win")</f>
        <v>0</v>
      </c>
      <c r="D463" s="28" t="n">
        <f aca="false">COUNTIFS(Trades!$D$2:$D$884,$A463,Trades!$Z$2:$Z$884,"Loss")</f>
        <v>1</v>
      </c>
      <c r="E463" s="29" t="n">
        <f aca="false">IFERROR(C463/B463,0)</f>
        <v>0</v>
      </c>
      <c r="F463" s="30" t="n">
        <f aca="false">SUMIFS(Trades!$X$2:$X$884,Trades!$D$2:$D$884,$A463)</f>
        <v>-137.81</v>
      </c>
      <c r="G463" s="30" t="n">
        <f aca="false">SUMIFS(Trades!$X$2:$X$884,Trades!$D$2:$D$884,$A463,Trades!$X$2:$X$884,"&gt;0")</f>
        <v>0</v>
      </c>
      <c r="H463" s="30" t="n">
        <f aca="false">SUMIFS(Trades!$X$2:$X$884,Trades!$D$2:$D$884,$A463,Trades!$X$2:$X$884,"&lt;0")</f>
        <v>-137.81</v>
      </c>
      <c r="I463" s="31" t="n">
        <f aca="false">IFERROR(G463/-H463,"no loss")</f>
        <v>0</v>
      </c>
      <c r="J463" s="30" t="n">
        <f aca="false">_xlfn.MAXIFS(Trades!$X$2:$X$884,Trades!$D$2:$D$884,$A463)</f>
        <v>-137.81</v>
      </c>
      <c r="K463" s="30" t="n">
        <f aca="false">_xlfn.MINIFS(Trades!$X$2:$X$884,Trades!$D$2:$D$884,$A463)</f>
        <v>-137.81</v>
      </c>
      <c r="L463" s="32" t="n">
        <f aca="false">SUMIFS(Trades!$Y$2:$Y$884,Trades!$D$2:$D$884,$A463)</f>
        <v>-1.0063237527749</v>
      </c>
      <c r="M463" s="30" t="n">
        <f aca="false">P462</f>
        <v>111773.52</v>
      </c>
      <c r="N463" s="29" t="n">
        <f aca="false">IFERROR(F463/M463,0)</f>
        <v>-0.00123293960859423</v>
      </c>
      <c r="O463" s="28" t="str">
        <f aca="false">IF(-N463&gt;=Summary!$C$7,"BREACH","")</f>
        <v/>
      </c>
      <c r="P463" s="30" t="n">
        <f aca="false">M463+F463</f>
        <v>111635.71</v>
      </c>
      <c r="Q463" s="30" t="n">
        <f aca="false">P463-Summary!$C$5</f>
        <v>11635.7100000001</v>
      </c>
      <c r="R463" s="2" t="str">
        <f aca="false">TEXT(A463,"ddd")</f>
        <v>Tue</v>
      </c>
    </row>
    <row r="464" customFormat="false" ht="15" hidden="false" customHeight="false" outlineLevel="0" collapsed="false">
      <c r="A464" s="42" t="n">
        <v>45791</v>
      </c>
      <c r="B464" s="28" t="n">
        <f aca="false">COUNTIFS(Trades!$D$2:$D$884,$A464)</f>
        <v>1</v>
      </c>
      <c r="C464" s="28" t="n">
        <f aca="false">COUNTIFS(Trades!$D$2:$D$884,$A464,Trades!$Z$2:$Z$884,"Win")</f>
        <v>0</v>
      </c>
      <c r="D464" s="28" t="n">
        <f aca="false">COUNTIFS(Trades!$D$2:$D$884,$A464,Trades!$Z$2:$Z$884,"Loss")</f>
        <v>1</v>
      </c>
      <c r="E464" s="29" t="n">
        <f aca="false">IFERROR(C464/B464,0)</f>
        <v>0</v>
      </c>
      <c r="F464" s="30" t="n">
        <f aca="false">SUMIFS(Trades!$X$2:$X$884,Trades!$D$2:$D$884,$A464)</f>
        <v>-52.26</v>
      </c>
      <c r="G464" s="30" t="n">
        <f aca="false">SUMIFS(Trades!$X$2:$X$884,Trades!$D$2:$D$884,$A464,Trades!$X$2:$X$884,"&gt;0")</f>
        <v>0</v>
      </c>
      <c r="H464" s="30" t="n">
        <f aca="false">SUMIFS(Trades!$X$2:$X$884,Trades!$D$2:$D$884,$A464,Trades!$X$2:$X$884,"&lt;0")</f>
        <v>-52.26</v>
      </c>
      <c r="I464" s="31" t="n">
        <f aca="false">IFERROR(G464/-H464,"no loss")</f>
        <v>0</v>
      </c>
      <c r="J464" s="30" t="n">
        <f aca="false">_xlfn.MAXIFS(Trades!$X$2:$X$884,Trades!$D$2:$D$884,$A464)</f>
        <v>-52.26</v>
      </c>
      <c r="K464" s="30" t="n">
        <f aca="false">_xlfn.MINIFS(Trades!$X$2:$X$884,Trades!$D$2:$D$884,$A464)</f>
        <v>-52.26</v>
      </c>
      <c r="L464" s="32" t="n">
        <f aca="false">SUMIFS(Trades!$Y$2:$Y$884,Trades!$D$2:$D$884,$A464)</f>
        <v>-1.00627719798198</v>
      </c>
      <c r="M464" s="30" t="n">
        <f aca="false">P463</f>
        <v>111635.71</v>
      </c>
      <c r="N464" s="29" t="n">
        <f aca="false">IFERROR(F464/M464,0)</f>
        <v>-0.000468129776753334</v>
      </c>
      <c r="O464" s="28" t="str">
        <f aca="false">IF(-N464&gt;=Summary!$C$7,"BREACH","")</f>
        <v/>
      </c>
      <c r="P464" s="30" t="n">
        <f aca="false">M464+F464</f>
        <v>111583.45</v>
      </c>
      <c r="Q464" s="30" t="n">
        <f aca="false">P464-Summary!$C$5</f>
        <v>11583.4500000001</v>
      </c>
      <c r="R464" s="2" t="str">
        <f aca="false">TEXT(A464,"ddd")</f>
        <v>Wed</v>
      </c>
    </row>
    <row r="465" customFormat="false" ht="15" hidden="false" customHeight="false" outlineLevel="0" collapsed="false">
      <c r="A465" s="42" t="n">
        <v>45792</v>
      </c>
      <c r="B465" s="28" t="n">
        <f aca="false">COUNTIFS(Trades!$D$2:$D$884,$A465)</f>
        <v>2</v>
      </c>
      <c r="C465" s="28" t="n">
        <f aca="false">COUNTIFS(Trades!$D$2:$D$884,$A465,Trades!$Z$2:$Z$884,"Win")</f>
        <v>0</v>
      </c>
      <c r="D465" s="28" t="n">
        <f aca="false">COUNTIFS(Trades!$D$2:$D$884,$A465,Trades!$Z$2:$Z$884,"Loss")</f>
        <v>2</v>
      </c>
      <c r="E465" s="29" t="n">
        <f aca="false">IFERROR(C465/B465,0)</f>
        <v>0</v>
      </c>
      <c r="F465" s="30" t="n">
        <f aca="false">SUMIFS(Trades!$X$2:$X$884,Trades!$D$2:$D$884,$A465)</f>
        <v>-4.47</v>
      </c>
      <c r="G465" s="30" t="n">
        <f aca="false">SUMIFS(Trades!$X$2:$X$884,Trades!$D$2:$D$884,$A465,Trades!$X$2:$X$884,"&gt;0")</f>
        <v>0</v>
      </c>
      <c r="H465" s="30" t="n">
        <f aca="false">SUMIFS(Trades!$X$2:$X$884,Trades!$D$2:$D$884,$A465,Trades!$X$2:$X$884,"&lt;0")</f>
        <v>-4.47</v>
      </c>
      <c r="I465" s="31" t="n">
        <f aca="false">IFERROR(G465/-H465,"no loss")</f>
        <v>0</v>
      </c>
      <c r="J465" s="30" t="n">
        <f aca="false">_xlfn.MAXIFS(Trades!$X$2:$X$884,Trades!$D$2:$D$884,$A465)</f>
        <v>-2.12</v>
      </c>
      <c r="K465" s="30" t="n">
        <f aca="false">_xlfn.MINIFS(Trades!$X$2:$X$884,Trades!$D$2:$D$884,$A465)</f>
        <v>-2.35</v>
      </c>
      <c r="L465" s="32" t="n">
        <f aca="false">SUMIFS(Trades!$Y$2:$Y$884,Trades!$D$2:$D$884,$A465)</f>
        <v>-0.0509000526813133</v>
      </c>
      <c r="M465" s="30" t="n">
        <f aca="false">P464</f>
        <v>111583.45</v>
      </c>
      <c r="N465" s="29" t="n">
        <f aca="false">IFERROR(F465/M465,0)</f>
        <v>-4.0059704194484E-005</v>
      </c>
      <c r="O465" s="28" t="str">
        <f aca="false">IF(-N465&gt;=Summary!$C$7,"BREACH","")</f>
        <v/>
      </c>
      <c r="P465" s="30" t="n">
        <f aca="false">M465+F465</f>
        <v>111578.98</v>
      </c>
      <c r="Q465" s="30" t="n">
        <f aca="false">P465-Summary!$C$5</f>
        <v>11578.9800000001</v>
      </c>
      <c r="R465" s="2" t="str">
        <f aca="false">TEXT(A465,"ddd")</f>
        <v>Thu</v>
      </c>
    </row>
    <row r="466" customFormat="false" ht="15" hidden="false" customHeight="false" outlineLevel="0" collapsed="false">
      <c r="A466" s="42" t="n">
        <v>45796</v>
      </c>
      <c r="B466" s="28" t="n">
        <f aca="false">COUNTIFS(Trades!$D$2:$D$884,$A466)</f>
        <v>2</v>
      </c>
      <c r="C466" s="28" t="n">
        <f aca="false">COUNTIFS(Trades!$D$2:$D$884,$A466,Trades!$Z$2:$Z$884,"Win")</f>
        <v>0</v>
      </c>
      <c r="D466" s="28" t="n">
        <f aca="false">COUNTIFS(Trades!$D$2:$D$884,$A466,Trades!$Z$2:$Z$884,"Loss")</f>
        <v>2</v>
      </c>
      <c r="E466" s="29" t="n">
        <f aca="false">IFERROR(C466/B466,0)</f>
        <v>0</v>
      </c>
      <c r="F466" s="30" t="n">
        <f aca="false">SUMIFS(Trades!$X$2:$X$884,Trades!$D$2:$D$884,$A466)</f>
        <v>-250.38</v>
      </c>
      <c r="G466" s="30" t="n">
        <f aca="false">SUMIFS(Trades!$X$2:$X$884,Trades!$D$2:$D$884,$A466,Trades!$X$2:$X$884,"&gt;0")</f>
        <v>0</v>
      </c>
      <c r="H466" s="30" t="n">
        <f aca="false">SUMIFS(Trades!$X$2:$X$884,Trades!$D$2:$D$884,$A466,Trades!$X$2:$X$884,"&lt;0")</f>
        <v>-250.38</v>
      </c>
      <c r="I466" s="31" t="n">
        <f aca="false">IFERROR(G466/-H466,"no loss")</f>
        <v>0</v>
      </c>
      <c r="J466" s="30" t="n">
        <f aca="false">_xlfn.MAXIFS(Trades!$X$2:$X$884,Trades!$D$2:$D$884,$A466)</f>
        <v>-0.23</v>
      </c>
      <c r="K466" s="30" t="n">
        <f aca="false">_xlfn.MINIFS(Trades!$X$2:$X$884,Trades!$D$2:$D$884,$A466)</f>
        <v>-250.15</v>
      </c>
      <c r="L466" s="32" t="n">
        <f aca="false">SUMIFS(Trades!$Y$2:$Y$884,Trades!$D$2:$D$884,$A466)</f>
        <v>-1.02816642076854</v>
      </c>
      <c r="M466" s="30" t="n">
        <f aca="false">P465</f>
        <v>111578.98</v>
      </c>
      <c r="N466" s="29" t="n">
        <f aca="false">IFERROR(F466/M466,0)</f>
        <v>-0.00224397104185752</v>
      </c>
      <c r="O466" s="28" t="str">
        <f aca="false">IF(-N466&gt;=Summary!$C$7,"BREACH","")</f>
        <v/>
      </c>
      <c r="P466" s="30" t="n">
        <f aca="false">M466+F466</f>
        <v>111328.6</v>
      </c>
      <c r="Q466" s="30" t="n">
        <f aca="false">P466-Summary!$C$5</f>
        <v>11328.6000000001</v>
      </c>
      <c r="R466" s="2" t="str">
        <f aca="false">TEXT(A466,"ddd")</f>
        <v>Mon</v>
      </c>
    </row>
    <row r="467" customFormat="false" ht="15" hidden="false" customHeight="false" outlineLevel="0" collapsed="false">
      <c r="A467" s="42" t="n">
        <v>45797</v>
      </c>
      <c r="B467" s="28" t="n">
        <f aca="false">COUNTIFS(Trades!$D$2:$D$884,$A467)</f>
        <v>1</v>
      </c>
      <c r="C467" s="28" t="n">
        <f aca="false">COUNTIFS(Trades!$D$2:$D$884,$A467,Trades!$Z$2:$Z$884,"Win")</f>
        <v>1</v>
      </c>
      <c r="D467" s="28" t="n">
        <f aca="false">COUNTIFS(Trades!$D$2:$D$884,$A467,Trades!$Z$2:$Z$884,"Loss")</f>
        <v>0</v>
      </c>
      <c r="E467" s="29" t="n">
        <f aca="false">IFERROR(C467/B467,0)</f>
        <v>1</v>
      </c>
      <c r="F467" s="30" t="n">
        <f aca="false">SUMIFS(Trades!$X$2:$X$884,Trades!$D$2:$D$884,$A467)</f>
        <v>78.89</v>
      </c>
      <c r="G467" s="30" t="n">
        <f aca="false">SUMIFS(Trades!$X$2:$X$884,Trades!$D$2:$D$884,$A467,Trades!$X$2:$X$884,"&gt;0")</f>
        <v>78.89</v>
      </c>
      <c r="H467" s="30" t="n">
        <f aca="false">SUMIFS(Trades!$X$2:$X$884,Trades!$D$2:$D$884,$A467,Trades!$X$2:$X$884,"&lt;0")</f>
        <v>0</v>
      </c>
      <c r="I467" s="31" t="str">
        <f aca="false">IFERROR(G467/-H467,"no loss")</f>
        <v>no loss</v>
      </c>
      <c r="J467" s="30" t="n">
        <f aca="false">_xlfn.MAXIFS(Trades!$X$2:$X$884,Trades!$D$2:$D$884,$A467)</f>
        <v>78.89</v>
      </c>
      <c r="K467" s="30" t="n">
        <f aca="false">_xlfn.MINIFS(Trades!$X$2:$X$884,Trades!$D$2:$D$884,$A467)</f>
        <v>78.89</v>
      </c>
      <c r="L467" s="32" t="n">
        <f aca="false">SUMIFS(Trades!$Y$2:$Y$884,Trades!$D$2:$D$884,$A467)</f>
        <v>2.04898446833956</v>
      </c>
      <c r="M467" s="30" t="n">
        <f aca="false">P466</f>
        <v>111328.6</v>
      </c>
      <c r="N467" s="29" t="n">
        <f aca="false">IFERROR(F467/M467,0)</f>
        <v>0.000708622941454397</v>
      </c>
      <c r="O467" s="28" t="str">
        <f aca="false">IF(-N467&gt;=Summary!$C$7,"BREACH","")</f>
        <v/>
      </c>
      <c r="P467" s="30" t="n">
        <f aca="false">M467+F467</f>
        <v>111407.49</v>
      </c>
      <c r="Q467" s="30" t="n">
        <f aca="false">P467-Summary!$C$5</f>
        <v>11407.4900000001</v>
      </c>
      <c r="R467" s="2" t="str">
        <f aca="false">TEXT(A467,"ddd")</f>
        <v>Tue</v>
      </c>
    </row>
    <row r="468" customFormat="false" ht="15" hidden="false" customHeight="false" outlineLevel="0" collapsed="false">
      <c r="A468" s="42" t="n">
        <v>45798</v>
      </c>
      <c r="B468" s="28" t="n">
        <f aca="false">COUNTIFS(Trades!$D$2:$D$884,$A468)</f>
        <v>1</v>
      </c>
      <c r="C468" s="28" t="n">
        <f aca="false">COUNTIFS(Trades!$D$2:$D$884,$A468,Trades!$Z$2:$Z$884,"Win")</f>
        <v>0</v>
      </c>
      <c r="D468" s="28" t="n">
        <f aca="false">COUNTIFS(Trades!$D$2:$D$884,$A468,Trades!$Z$2:$Z$884,"Loss")</f>
        <v>1</v>
      </c>
      <c r="E468" s="29" t="n">
        <f aca="false">IFERROR(C468/B468,0)</f>
        <v>0</v>
      </c>
      <c r="F468" s="30" t="n">
        <f aca="false">SUMIFS(Trades!$X$2:$X$884,Trades!$D$2:$D$884,$A468)</f>
        <v>-72.5</v>
      </c>
      <c r="G468" s="30" t="n">
        <f aca="false">SUMIFS(Trades!$X$2:$X$884,Trades!$D$2:$D$884,$A468,Trades!$X$2:$X$884,"&gt;0")</f>
        <v>0</v>
      </c>
      <c r="H468" s="30" t="n">
        <f aca="false">SUMIFS(Trades!$X$2:$X$884,Trades!$D$2:$D$884,$A468,Trades!$X$2:$X$884,"&lt;0")</f>
        <v>-72.5</v>
      </c>
      <c r="I468" s="31" t="n">
        <f aca="false">IFERROR(G468/-H468,"no loss")</f>
        <v>0</v>
      </c>
      <c r="J468" s="30" t="n">
        <f aca="false">_xlfn.MAXIFS(Trades!$X$2:$X$884,Trades!$D$2:$D$884,$A468)</f>
        <v>-72.5</v>
      </c>
      <c r="K468" s="30" t="n">
        <f aca="false">_xlfn.MINIFS(Trades!$X$2:$X$884,Trades!$D$2:$D$884,$A468)</f>
        <v>-72.5</v>
      </c>
      <c r="L468" s="32" t="n">
        <f aca="false">SUMIFS(Trades!$Y$2:$Y$884,Trades!$D$2:$D$884,$A468)</f>
        <v>-1.0116090863427</v>
      </c>
      <c r="M468" s="30" t="n">
        <f aca="false">P467</f>
        <v>111407.49</v>
      </c>
      <c r="N468" s="29" t="n">
        <f aca="false">IFERROR(F468/M468,0)</f>
        <v>-0.000650764145211421</v>
      </c>
      <c r="O468" s="28" t="str">
        <f aca="false">IF(-N468&gt;=Summary!$C$7,"BREACH","")</f>
        <v/>
      </c>
      <c r="P468" s="30" t="n">
        <f aca="false">M468+F468</f>
        <v>111334.99</v>
      </c>
      <c r="Q468" s="30" t="n">
        <f aca="false">P468-Summary!$C$5</f>
        <v>11334.9900000001</v>
      </c>
      <c r="R468" s="2" t="str">
        <f aca="false">TEXT(A468,"ddd")</f>
        <v>Wed</v>
      </c>
    </row>
    <row r="469" customFormat="false" ht="15" hidden="false" customHeight="false" outlineLevel="0" collapsed="false">
      <c r="A469" s="42" t="n">
        <v>45799</v>
      </c>
      <c r="B469" s="28" t="n">
        <f aca="false">COUNTIFS(Trades!$D$2:$D$884,$A469)</f>
        <v>1</v>
      </c>
      <c r="C469" s="28" t="n">
        <f aca="false">COUNTIFS(Trades!$D$2:$D$884,$A469,Trades!$Z$2:$Z$884,"Win")</f>
        <v>0</v>
      </c>
      <c r="D469" s="28" t="n">
        <f aca="false">COUNTIFS(Trades!$D$2:$D$884,$A469,Trades!$Z$2:$Z$884,"Loss")</f>
        <v>1</v>
      </c>
      <c r="E469" s="29" t="n">
        <f aca="false">IFERROR(C469/B469,0)</f>
        <v>0</v>
      </c>
      <c r="F469" s="30" t="n">
        <f aca="false">SUMIFS(Trades!$X$2:$X$884,Trades!$D$2:$D$884,$A469)</f>
        <v>-3.59</v>
      </c>
      <c r="G469" s="30" t="n">
        <f aca="false">SUMIFS(Trades!$X$2:$X$884,Trades!$D$2:$D$884,$A469,Trades!$X$2:$X$884,"&gt;0")</f>
        <v>0</v>
      </c>
      <c r="H469" s="30" t="n">
        <f aca="false">SUMIFS(Trades!$X$2:$X$884,Trades!$D$2:$D$884,$A469,Trades!$X$2:$X$884,"&lt;0")</f>
        <v>-3.59</v>
      </c>
      <c r="I469" s="31" t="n">
        <f aca="false">IFERROR(G469/-H469,"no loss")</f>
        <v>0</v>
      </c>
      <c r="J469" s="30" t="n">
        <f aca="false">_xlfn.MAXIFS(Trades!$X$2:$X$884,Trades!$D$2:$D$884,$A469)</f>
        <v>-3.59</v>
      </c>
      <c r="K469" s="30" t="n">
        <f aca="false">_xlfn.MINIFS(Trades!$X$2:$X$884,Trades!$D$2:$D$884,$A469)</f>
        <v>-3.59</v>
      </c>
      <c r="L469" s="32" t="n">
        <f aca="false">SUMIFS(Trades!$Y$2:$Y$884,Trades!$D$2:$D$884,$A469)</f>
        <v>-0.0311924373544682</v>
      </c>
      <c r="M469" s="30" t="n">
        <f aca="false">P468</f>
        <v>111334.99</v>
      </c>
      <c r="N469" s="29" t="n">
        <f aca="false">IFERROR(F469/M469,0)</f>
        <v>-3.22450291682785E-005</v>
      </c>
      <c r="O469" s="28" t="str">
        <f aca="false">IF(-N469&gt;=Summary!$C$7,"BREACH","")</f>
        <v/>
      </c>
      <c r="P469" s="30" t="n">
        <f aca="false">M469+F469</f>
        <v>111331.4</v>
      </c>
      <c r="Q469" s="30" t="n">
        <f aca="false">P469-Summary!$C$5</f>
        <v>11331.4000000001</v>
      </c>
      <c r="R469" s="2" t="str">
        <f aca="false">TEXT(A469,"ddd")</f>
        <v>Thu</v>
      </c>
    </row>
    <row r="470" customFormat="false" ht="15" hidden="false" customHeight="false" outlineLevel="0" collapsed="false">
      <c r="A470" s="42" t="n">
        <v>45800</v>
      </c>
      <c r="B470" s="28" t="n">
        <f aca="false">COUNTIFS(Trades!$D$2:$D$884,$A470)</f>
        <v>1</v>
      </c>
      <c r="C470" s="28" t="n">
        <f aca="false">COUNTIFS(Trades!$D$2:$D$884,$A470,Trades!$Z$2:$Z$884,"Win")</f>
        <v>1</v>
      </c>
      <c r="D470" s="28" t="n">
        <f aca="false">COUNTIFS(Trades!$D$2:$D$884,$A470,Trades!$Z$2:$Z$884,"Loss")</f>
        <v>0</v>
      </c>
      <c r="E470" s="29" t="n">
        <f aca="false">IFERROR(C470/B470,0)</f>
        <v>1</v>
      </c>
      <c r="F470" s="30" t="n">
        <f aca="false">SUMIFS(Trades!$X$2:$X$884,Trades!$D$2:$D$884,$A470)</f>
        <v>384.05</v>
      </c>
      <c r="G470" s="30" t="n">
        <f aca="false">SUMIFS(Trades!$X$2:$X$884,Trades!$D$2:$D$884,$A470,Trades!$X$2:$X$884,"&gt;0")</f>
        <v>384.05</v>
      </c>
      <c r="H470" s="30" t="n">
        <f aca="false">SUMIFS(Trades!$X$2:$X$884,Trades!$D$2:$D$884,$A470,Trades!$X$2:$X$884,"&lt;0")</f>
        <v>0</v>
      </c>
      <c r="I470" s="31" t="str">
        <f aca="false">IFERROR(G470/-H470,"no loss")</f>
        <v>no loss</v>
      </c>
      <c r="J470" s="30" t="n">
        <f aca="false">_xlfn.MAXIFS(Trades!$X$2:$X$884,Trades!$D$2:$D$884,$A470)</f>
        <v>384.05</v>
      </c>
      <c r="K470" s="30" t="n">
        <f aca="false">_xlfn.MINIFS(Trades!$X$2:$X$884,Trades!$D$2:$D$884,$A470)</f>
        <v>384.05</v>
      </c>
      <c r="L470" s="32" t="n">
        <f aca="false">SUMIFS(Trades!$Y$2:$Y$884,Trades!$D$2:$D$884,$A470)</f>
        <v>2.08410210770812</v>
      </c>
      <c r="M470" s="30" t="n">
        <f aca="false">P469</f>
        <v>111331.4</v>
      </c>
      <c r="N470" s="29" t="n">
        <f aca="false">IFERROR(F470/M470,0)</f>
        <v>0.0034496108016247</v>
      </c>
      <c r="O470" s="28" t="str">
        <f aca="false">IF(-N470&gt;=Summary!$C$7,"BREACH","")</f>
        <v/>
      </c>
      <c r="P470" s="30" t="n">
        <f aca="false">M470+F470</f>
        <v>111715.45</v>
      </c>
      <c r="Q470" s="30" t="n">
        <f aca="false">P470-Summary!$C$5</f>
        <v>11715.4500000001</v>
      </c>
      <c r="R470" s="2" t="str">
        <f aca="false">TEXT(A470,"ddd")</f>
        <v>Fri</v>
      </c>
    </row>
    <row r="471" customFormat="false" ht="15" hidden="false" customHeight="false" outlineLevel="0" collapsed="false">
      <c r="A471" s="42" t="n">
        <v>45803</v>
      </c>
      <c r="B471" s="28" t="n">
        <f aca="false">COUNTIFS(Trades!$D$2:$D$884,$A471)</f>
        <v>1</v>
      </c>
      <c r="C471" s="28" t="n">
        <f aca="false">COUNTIFS(Trades!$D$2:$D$884,$A471,Trades!$Z$2:$Z$884,"Win")</f>
        <v>0</v>
      </c>
      <c r="D471" s="28" t="n">
        <f aca="false">COUNTIFS(Trades!$D$2:$D$884,$A471,Trades!$Z$2:$Z$884,"Loss")</f>
        <v>1</v>
      </c>
      <c r="E471" s="29" t="n">
        <f aca="false">IFERROR(C471/B471,0)</f>
        <v>0</v>
      </c>
      <c r="F471" s="30" t="n">
        <f aca="false">SUMIFS(Trades!$X$2:$X$884,Trades!$D$2:$D$884,$A471)</f>
        <v>-58.97</v>
      </c>
      <c r="G471" s="30" t="n">
        <f aca="false">SUMIFS(Trades!$X$2:$X$884,Trades!$D$2:$D$884,$A471,Trades!$X$2:$X$884,"&gt;0")</f>
        <v>0</v>
      </c>
      <c r="H471" s="30" t="n">
        <f aca="false">SUMIFS(Trades!$X$2:$X$884,Trades!$D$2:$D$884,$A471,Trades!$X$2:$X$884,"&lt;0")</f>
        <v>-58.97</v>
      </c>
      <c r="I471" s="31" t="n">
        <f aca="false">IFERROR(G471/-H471,"no loss")</f>
        <v>0</v>
      </c>
      <c r="J471" s="30" t="n">
        <f aca="false">_xlfn.MAXIFS(Trades!$X$2:$X$884,Trades!$D$2:$D$884,$A471)</f>
        <v>-58.97</v>
      </c>
      <c r="K471" s="30" t="n">
        <f aca="false">_xlfn.MINIFS(Trades!$X$2:$X$884,Trades!$D$2:$D$884,$A471)</f>
        <v>-58.97</v>
      </c>
      <c r="L471" s="32" t="n">
        <f aca="false">SUMIFS(Trades!$Y$2:$Y$884,Trades!$D$2:$D$884,$A471)</f>
        <v>-1.06034451756751</v>
      </c>
      <c r="M471" s="30" t="n">
        <f aca="false">P470</f>
        <v>111715.45</v>
      </c>
      <c r="N471" s="29" t="n">
        <f aca="false">IFERROR(F471/M471,0)</f>
        <v>-0.000527858948784613</v>
      </c>
      <c r="O471" s="28" t="str">
        <f aca="false">IF(-N471&gt;=Summary!$C$7,"BREACH","")</f>
        <v/>
      </c>
      <c r="P471" s="30" t="n">
        <f aca="false">M471+F471</f>
        <v>111656.48</v>
      </c>
      <c r="Q471" s="30" t="n">
        <f aca="false">P471-Summary!$C$5</f>
        <v>11656.4800000001</v>
      </c>
      <c r="R471" s="2" t="str">
        <f aca="false">TEXT(A471,"ddd")</f>
        <v>Mon</v>
      </c>
    </row>
    <row r="472" customFormat="false" ht="15" hidden="false" customHeight="false" outlineLevel="0" collapsed="false">
      <c r="A472" s="42" t="n">
        <v>45804</v>
      </c>
      <c r="B472" s="28" t="n">
        <f aca="false">COUNTIFS(Trades!$D$2:$D$884,$A472)</f>
        <v>1</v>
      </c>
      <c r="C472" s="28" t="n">
        <f aca="false">COUNTIFS(Trades!$D$2:$D$884,$A472,Trades!$Z$2:$Z$884,"Win")</f>
        <v>1</v>
      </c>
      <c r="D472" s="28" t="n">
        <f aca="false">COUNTIFS(Trades!$D$2:$D$884,$A472,Trades!$Z$2:$Z$884,"Loss")</f>
        <v>0</v>
      </c>
      <c r="E472" s="29" t="n">
        <f aca="false">IFERROR(C472/B472,0)</f>
        <v>1</v>
      </c>
      <c r="F472" s="30" t="n">
        <f aca="false">SUMIFS(Trades!$X$2:$X$884,Trades!$D$2:$D$884,$A472)</f>
        <v>168.18</v>
      </c>
      <c r="G472" s="30" t="n">
        <f aca="false">SUMIFS(Trades!$X$2:$X$884,Trades!$D$2:$D$884,$A472,Trades!$X$2:$X$884,"&gt;0")</f>
        <v>168.18</v>
      </c>
      <c r="H472" s="30" t="n">
        <f aca="false">SUMIFS(Trades!$X$2:$X$884,Trades!$D$2:$D$884,$A472,Trades!$X$2:$X$884,"&lt;0")</f>
        <v>0</v>
      </c>
      <c r="I472" s="31" t="str">
        <f aca="false">IFERROR(G472/-H472,"no loss")</f>
        <v>no loss</v>
      </c>
      <c r="J472" s="30" t="n">
        <f aca="false">_xlfn.MAXIFS(Trades!$X$2:$X$884,Trades!$D$2:$D$884,$A472)</f>
        <v>168.18</v>
      </c>
      <c r="K472" s="30" t="n">
        <f aca="false">_xlfn.MINIFS(Trades!$X$2:$X$884,Trades!$D$2:$D$884,$A472)</f>
        <v>168.18</v>
      </c>
      <c r="L472" s="32" t="n">
        <f aca="false">SUMIFS(Trades!$Y$2:$Y$884,Trades!$D$2:$D$884,$A472)</f>
        <v>2.00443363844416</v>
      </c>
      <c r="M472" s="30" t="n">
        <f aca="false">P471</f>
        <v>111656.48</v>
      </c>
      <c r="N472" s="29" t="n">
        <f aca="false">IFERROR(F472/M472,0)</f>
        <v>0.0015062269561068</v>
      </c>
      <c r="O472" s="28" t="str">
        <f aca="false">IF(-N472&gt;=Summary!$C$7,"BREACH","")</f>
        <v/>
      </c>
      <c r="P472" s="30" t="n">
        <f aca="false">M472+F472</f>
        <v>111824.66</v>
      </c>
      <c r="Q472" s="30" t="n">
        <f aca="false">P472-Summary!$C$5</f>
        <v>11824.6600000001</v>
      </c>
      <c r="R472" s="2" t="str">
        <f aca="false">TEXT(A472,"ddd")</f>
        <v>Tue</v>
      </c>
    </row>
    <row r="473" customFormat="false" ht="15" hidden="false" customHeight="false" outlineLevel="0" collapsed="false">
      <c r="A473" s="42" t="n">
        <v>45805</v>
      </c>
      <c r="B473" s="28" t="n">
        <f aca="false">COUNTIFS(Trades!$D$2:$D$884,$A473)</f>
        <v>1</v>
      </c>
      <c r="C473" s="28" t="n">
        <f aca="false">COUNTIFS(Trades!$D$2:$D$884,$A473,Trades!$Z$2:$Z$884,"Win")</f>
        <v>1</v>
      </c>
      <c r="D473" s="28" t="n">
        <f aca="false">COUNTIFS(Trades!$D$2:$D$884,$A473,Trades!$Z$2:$Z$884,"Loss")</f>
        <v>0</v>
      </c>
      <c r="E473" s="29" t="n">
        <f aca="false">IFERROR(C473/B473,0)</f>
        <v>1</v>
      </c>
      <c r="F473" s="30" t="n">
        <f aca="false">SUMIFS(Trades!$X$2:$X$884,Trades!$D$2:$D$884,$A473)</f>
        <v>107.64</v>
      </c>
      <c r="G473" s="30" t="n">
        <f aca="false">SUMIFS(Trades!$X$2:$X$884,Trades!$D$2:$D$884,$A473,Trades!$X$2:$X$884,"&gt;0")</f>
        <v>107.64</v>
      </c>
      <c r="H473" s="30" t="n">
        <f aca="false">SUMIFS(Trades!$X$2:$X$884,Trades!$D$2:$D$884,$A473,Trades!$X$2:$X$884,"&lt;0")</f>
        <v>0</v>
      </c>
      <c r="I473" s="31" t="str">
        <f aca="false">IFERROR(G473/-H473,"no loss")</f>
        <v>no loss</v>
      </c>
      <c r="J473" s="30" t="n">
        <f aca="false">_xlfn.MAXIFS(Trades!$X$2:$X$884,Trades!$D$2:$D$884,$A473)</f>
        <v>107.64</v>
      </c>
      <c r="K473" s="30" t="n">
        <f aca="false">_xlfn.MINIFS(Trades!$X$2:$X$884,Trades!$D$2:$D$884,$A473)</f>
        <v>107.64</v>
      </c>
      <c r="L473" s="32" t="n">
        <f aca="false">SUMIFS(Trades!$Y$2:$Y$884,Trades!$D$2:$D$884,$A473)</f>
        <v>2.01030927835062</v>
      </c>
      <c r="M473" s="30" t="n">
        <f aca="false">P472</f>
        <v>111824.66</v>
      </c>
      <c r="N473" s="29" t="n">
        <f aca="false">IFERROR(F473/M473,0)</f>
        <v>0.000962578379402181</v>
      </c>
      <c r="O473" s="28" t="str">
        <f aca="false">IF(-N473&gt;=Summary!$C$7,"BREACH","")</f>
        <v/>
      </c>
      <c r="P473" s="30" t="n">
        <f aca="false">M473+F473</f>
        <v>111932.3</v>
      </c>
      <c r="Q473" s="30" t="n">
        <f aca="false">P473-Summary!$C$5</f>
        <v>11932.3000000001</v>
      </c>
      <c r="R473" s="2" t="str">
        <f aca="false">TEXT(A473,"ddd")</f>
        <v>Wed</v>
      </c>
    </row>
    <row r="474" customFormat="false" ht="15" hidden="false" customHeight="false" outlineLevel="0" collapsed="false">
      <c r="A474" s="42" t="n">
        <v>45806</v>
      </c>
      <c r="B474" s="28" t="n">
        <f aca="false">COUNTIFS(Trades!$D$2:$D$884,$A474)</f>
        <v>2</v>
      </c>
      <c r="C474" s="28" t="n">
        <f aca="false">COUNTIFS(Trades!$D$2:$D$884,$A474,Trades!$Z$2:$Z$884,"Win")</f>
        <v>1</v>
      </c>
      <c r="D474" s="28" t="n">
        <f aca="false">COUNTIFS(Trades!$D$2:$D$884,$A474,Trades!$Z$2:$Z$884,"Loss")</f>
        <v>1</v>
      </c>
      <c r="E474" s="29" t="n">
        <f aca="false">IFERROR(C474/B474,0)</f>
        <v>0.5</v>
      </c>
      <c r="F474" s="30" t="n">
        <f aca="false">SUMIFS(Trades!$X$2:$X$884,Trades!$D$2:$D$884,$A474)</f>
        <v>-110.17</v>
      </c>
      <c r="G474" s="30" t="n">
        <f aca="false">SUMIFS(Trades!$X$2:$X$884,Trades!$D$2:$D$884,$A474,Trades!$X$2:$X$884,"&gt;0")</f>
        <v>130.18</v>
      </c>
      <c r="H474" s="30" t="n">
        <f aca="false">SUMIFS(Trades!$X$2:$X$884,Trades!$D$2:$D$884,$A474,Trades!$X$2:$X$884,"&lt;0")</f>
        <v>-240.35</v>
      </c>
      <c r="I474" s="31" t="n">
        <f aca="false">IFERROR(G474/-H474,"no loss")</f>
        <v>0.541626794258373</v>
      </c>
      <c r="J474" s="30" t="n">
        <f aca="false">_xlfn.MAXIFS(Trades!$X$2:$X$884,Trades!$D$2:$D$884,$A474)</f>
        <v>130.18</v>
      </c>
      <c r="K474" s="30" t="n">
        <f aca="false">_xlfn.MINIFS(Trades!$X$2:$X$884,Trades!$D$2:$D$884,$A474)</f>
        <v>-240.35</v>
      </c>
      <c r="L474" s="32" t="n">
        <f aca="false">SUMIFS(Trades!$Y$2:$Y$884,Trades!$D$2:$D$884,$A474)</f>
        <v>1.05598559253144</v>
      </c>
      <c r="M474" s="30" t="n">
        <f aca="false">P473</f>
        <v>111932.3</v>
      </c>
      <c r="N474" s="29" t="n">
        <f aca="false">IFERROR(F474/M474,0)</f>
        <v>-0.000984255661681212</v>
      </c>
      <c r="O474" s="28" t="str">
        <f aca="false">IF(-N474&gt;=Summary!$C$7,"BREACH","")</f>
        <v/>
      </c>
      <c r="P474" s="30" t="n">
        <f aca="false">M474+F474</f>
        <v>111822.13</v>
      </c>
      <c r="Q474" s="30" t="n">
        <f aca="false">P474-Summary!$C$5</f>
        <v>11822.1300000001</v>
      </c>
      <c r="R474" s="2" t="str">
        <f aca="false">TEXT(A474,"ddd")</f>
        <v>Thu</v>
      </c>
    </row>
    <row r="475" customFormat="false" ht="15" hidden="false" customHeight="false" outlineLevel="0" collapsed="false">
      <c r="A475" s="42" t="n">
        <v>45807</v>
      </c>
      <c r="B475" s="28" t="n">
        <f aca="false">COUNTIFS(Trades!$D$2:$D$884,$A475)</f>
        <v>1</v>
      </c>
      <c r="C475" s="28" t="n">
        <f aca="false">COUNTIFS(Trades!$D$2:$D$884,$A475,Trades!$Z$2:$Z$884,"Win")</f>
        <v>0</v>
      </c>
      <c r="D475" s="28" t="n">
        <f aca="false">COUNTIFS(Trades!$D$2:$D$884,$A475,Trades!$Z$2:$Z$884,"Loss")</f>
        <v>1</v>
      </c>
      <c r="E475" s="29" t="n">
        <f aca="false">IFERROR(C475/B475,0)</f>
        <v>0</v>
      </c>
      <c r="F475" s="30" t="n">
        <f aca="false">SUMIFS(Trades!$X$2:$X$884,Trades!$D$2:$D$884,$A475)</f>
        <v>-99.27</v>
      </c>
      <c r="G475" s="30" t="n">
        <f aca="false">SUMIFS(Trades!$X$2:$X$884,Trades!$D$2:$D$884,$A475,Trades!$X$2:$X$884,"&gt;0")</f>
        <v>0</v>
      </c>
      <c r="H475" s="30" t="n">
        <f aca="false">SUMIFS(Trades!$X$2:$X$884,Trades!$D$2:$D$884,$A475,Trades!$X$2:$X$884,"&lt;0")</f>
        <v>-99.27</v>
      </c>
      <c r="I475" s="31" t="n">
        <f aca="false">IFERROR(G475/-H475,"no loss")</f>
        <v>0</v>
      </c>
      <c r="J475" s="30" t="n">
        <f aca="false">_xlfn.MAXIFS(Trades!$X$2:$X$884,Trades!$D$2:$D$884,$A475)</f>
        <v>-99.27</v>
      </c>
      <c r="K475" s="30" t="n">
        <f aca="false">_xlfn.MINIFS(Trades!$X$2:$X$884,Trades!$D$2:$D$884,$A475)</f>
        <v>-99.27</v>
      </c>
      <c r="L475" s="32" t="n">
        <f aca="false">SUMIFS(Trades!$Y$2:$Y$884,Trades!$D$2:$D$884,$A475)</f>
        <v>-1.00561205883549</v>
      </c>
      <c r="M475" s="30" t="n">
        <f aca="false">P474</f>
        <v>111822.13</v>
      </c>
      <c r="N475" s="29" t="n">
        <f aca="false">IFERROR(F475/M475,0)</f>
        <v>-0.000887749142320933</v>
      </c>
      <c r="O475" s="28" t="str">
        <f aca="false">IF(-N475&gt;=Summary!$C$7,"BREACH","")</f>
        <v/>
      </c>
      <c r="P475" s="30" t="n">
        <f aca="false">M475+F475</f>
        <v>111722.86</v>
      </c>
      <c r="Q475" s="30" t="n">
        <f aca="false">P475-Summary!$C$5</f>
        <v>11722.8600000001</v>
      </c>
      <c r="R475" s="2" t="str">
        <f aca="false">TEXT(A475,"ddd")</f>
        <v>Fri</v>
      </c>
    </row>
    <row r="476" customFormat="false" ht="15" hidden="false" customHeight="false" outlineLevel="0" collapsed="false">
      <c r="A476" s="42" t="n">
        <v>45810</v>
      </c>
      <c r="B476" s="28" t="n">
        <f aca="false">COUNTIFS(Trades!$D$2:$D$884,$A476)</f>
        <v>1</v>
      </c>
      <c r="C476" s="28" t="n">
        <f aca="false">COUNTIFS(Trades!$D$2:$D$884,$A476,Trades!$Z$2:$Z$884,"Win")</f>
        <v>0</v>
      </c>
      <c r="D476" s="28" t="n">
        <f aca="false">COUNTIFS(Trades!$D$2:$D$884,$A476,Trades!$Z$2:$Z$884,"Loss")</f>
        <v>1</v>
      </c>
      <c r="E476" s="29" t="n">
        <f aca="false">IFERROR(C476/B476,0)</f>
        <v>0</v>
      </c>
      <c r="F476" s="30" t="n">
        <f aca="false">SUMIFS(Trades!$X$2:$X$884,Trades!$D$2:$D$884,$A476)</f>
        <v>-245.04</v>
      </c>
      <c r="G476" s="30" t="n">
        <f aca="false">SUMIFS(Trades!$X$2:$X$884,Trades!$D$2:$D$884,$A476,Trades!$X$2:$X$884,"&gt;0")</f>
        <v>0</v>
      </c>
      <c r="H476" s="30" t="n">
        <f aca="false">SUMIFS(Trades!$X$2:$X$884,Trades!$D$2:$D$884,$A476,Trades!$X$2:$X$884,"&lt;0")</f>
        <v>-245.04</v>
      </c>
      <c r="I476" s="31" t="n">
        <f aca="false">IFERROR(G476/-H476,"no loss")</f>
        <v>0</v>
      </c>
      <c r="J476" s="30" t="n">
        <f aca="false">_xlfn.MAXIFS(Trades!$X$2:$X$884,Trades!$D$2:$D$884,$A476)</f>
        <v>-245.04</v>
      </c>
      <c r="K476" s="30" t="n">
        <f aca="false">_xlfn.MINIFS(Trades!$X$2:$X$884,Trades!$D$2:$D$884,$A476)</f>
        <v>-245.04</v>
      </c>
      <c r="L476" s="32" t="n">
        <f aca="false">SUMIFS(Trades!$Y$2:$Y$884,Trades!$D$2:$D$884,$A476)</f>
        <v>-1.01099952965255</v>
      </c>
      <c r="M476" s="30" t="n">
        <f aca="false">P475</f>
        <v>111722.86</v>
      </c>
      <c r="N476" s="29" t="n">
        <f aca="false">IFERROR(F476/M476,0)</f>
        <v>-0.00219328434664132</v>
      </c>
      <c r="O476" s="28" t="str">
        <f aca="false">IF(-N476&gt;=Summary!$C$7,"BREACH","")</f>
        <v/>
      </c>
      <c r="P476" s="30" t="n">
        <f aca="false">M476+F476</f>
        <v>111477.82</v>
      </c>
      <c r="Q476" s="30" t="n">
        <f aca="false">P476-Summary!$C$5</f>
        <v>11477.8200000001</v>
      </c>
      <c r="R476" s="2" t="str">
        <f aca="false">TEXT(A476,"ddd")</f>
        <v>Mon</v>
      </c>
    </row>
    <row r="477" customFormat="false" ht="15" hidden="false" customHeight="false" outlineLevel="0" collapsed="false">
      <c r="A477" s="42" t="n">
        <v>45811</v>
      </c>
      <c r="B477" s="28" t="n">
        <f aca="false">COUNTIFS(Trades!$D$2:$D$884,$A477)</f>
        <v>1</v>
      </c>
      <c r="C477" s="28" t="n">
        <f aca="false">COUNTIFS(Trades!$D$2:$D$884,$A477,Trades!$Z$2:$Z$884,"Win")</f>
        <v>0</v>
      </c>
      <c r="D477" s="28" t="n">
        <f aca="false">COUNTIFS(Trades!$D$2:$D$884,$A477,Trades!$Z$2:$Z$884,"Loss")</f>
        <v>1</v>
      </c>
      <c r="E477" s="29" t="n">
        <f aca="false">IFERROR(C477/B477,0)</f>
        <v>0</v>
      </c>
      <c r="F477" s="30" t="n">
        <f aca="false">SUMIFS(Trades!$X$2:$X$884,Trades!$D$2:$D$884,$A477)</f>
        <v>-117.07</v>
      </c>
      <c r="G477" s="30" t="n">
        <f aca="false">SUMIFS(Trades!$X$2:$X$884,Trades!$D$2:$D$884,$A477,Trades!$X$2:$X$884,"&gt;0")</f>
        <v>0</v>
      </c>
      <c r="H477" s="30" t="n">
        <f aca="false">SUMIFS(Trades!$X$2:$X$884,Trades!$D$2:$D$884,$A477,Trades!$X$2:$X$884,"&lt;0")</f>
        <v>-117.07</v>
      </c>
      <c r="I477" s="31" t="n">
        <f aca="false">IFERROR(G477/-H477,"no loss")</f>
        <v>0</v>
      </c>
      <c r="J477" s="30" t="n">
        <f aca="false">_xlfn.MAXIFS(Trades!$X$2:$X$884,Trades!$D$2:$D$884,$A477)</f>
        <v>-117.07</v>
      </c>
      <c r="K477" s="30" t="n">
        <f aca="false">_xlfn.MINIFS(Trades!$X$2:$X$884,Trades!$D$2:$D$884,$A477)</f>
        <v>-117.07</v>
      </c>
      <c r="L477" s="32" t="n">
        <f aca="false">SUMIFS(Trades!$Y$2:$Y$884,Trades!$D$2:$D$884,$A477)</f>
        <v>-1.01313694267505</v>
      </c>
      <c r="M477" s="30" t="n">
        <f aca="false">P476</f>
        <v>111477.82</v>
      </c>
      <c r="N477" s="29" t="n">
        <f aca="false">IFERROR(F477/M477,0)</f>
        <v>-0.00105016405954117</v>
      </c>
      <c r="O477" s="28" t="str">
        <f aca="false">IF(-N477&gt;=Summary!$C$7,"BREACH","")</f>
        <v/>
      </c>
      <c r="P477" s="30" t="n">
        <f aca="false">M477+F477</f>
        <v>111360.75</v>
      </c>
      <c r="Q477" s="30" t="n">
        <f aca="false">P477-Summary!$C$5</f>
        <v>11360.7500000001</v>
      </c>
      <c r="R477" s="2" t="str">
        <f aca="false">TEXT(A477,"ddd")</f>
        <v>Tue</v>
      </c>
    </row>
    <row r="478" customFormat="false" ht="15" hidden="false" customHeight="false" outlineLevel="0" collapsed="false">
      <c r="A478" s="42" t="n">
        <v>45812</v>
      </c>
      <c r="B478" s="28" t="n">
        <f aca="false">COUNTIFS(Trades!$D$2:$D$884,$A478)</f>
        <v>1</v>
      </c>
      <c r="C478" s="28" t="n">
        <f aca="false">COUNTIFS(Trades!$D$2:$D$884,$A478,Trades!$Z$2:$Z$884,"Win")</f>
        <v>0</v>
      </c>
      <c r="D478" s="28" t="n">
        <f aca="false">COUNTIFS(Trades!$D$2:$D$884,$A478,Trades!$Z$2:$Z$884,"Loss")</f>
        <v>1</v>
      </c>
      <c r="E478" s="29" t="n">
        <f aca="false">IFERROR(C478/B478,0)</f>
        <v>0</v>
      </c>
      <c r="F478" s="30" t="n">
        <f aca="false">SUMIFS(Trades!$X$2:$X$884,Trades!$D$2:$D$884,$A478)</f>
        <v>-0.28</v>
      </c>
      <c r="G478" s="30" t="n">
        <f aca="false">SUMIFS(Trades!$X$2:$X$884,Trades!$D$2:$D$884,$A478,Trades!$X$2:$X$884,"&gt;0")</f>
        <v>0</v>
      </c>
      <c r="H478" s="30" t="n">
        <f aca="false">SUMIFS(Trades!$X$2:$X$884,Trades!$D$2:$D$884,$A478,Trades!$X$2:$X$884,"&lt;0")</f>
        <v>-0.28</v>
      </c>
      <c r="I478" s="31" t="n">
        <f aca="false">IFERROR(G478/-H478,"no loss")</f>
        <v>0</v>
      </c>
      <c r="J478" s="30" t="n">
        <f aca="false">_xlfn.MAXIFS(Trades!$X$2:$X$884,Trades!$D$2:$D$884,$A478)</f>
        <v>-0.28</v>
      </c>
      <c r="K478" s="30" t="n">
        <f aca="false">_xlfn.MINIFS(Trades!$X$2:$X$884,Trades!$D$2:$D$884,$A478)</f>
        <v>-0.28</v>
      </c>
      <c r="L478" s="32" t="n">
        <f aca="false">SUMIFS(Trades!$Y$2:$Y$884,Trades!$D$2:$D$884,$A478)</f>
        <v>-0.00722058899376222</v>
      </c>
      <c r="M478" s="30" t="n">
        <f aca="false">P477</f>
        <v>111360.75</v>
      </c>
      <c r="N478" s="29" t="n">
        <f aca="false">IFERROR(F478/M478,0)</f>
        <v>-2.51435088215552E-006</v>
      </c>
      <c r="O478" s="28" t="str">
        <f aca="false">IF(-N478&gt;=Summary!$C$7,"BREACH","")</f>
        <v/>
      </c>
      <c r="P478" s="30" t="n">
        <f aca="false">M478+F478</f>
        <v>111360.47</v>
      </c>
      <c r="Q478" s="30" t="n">
        <f aca="false">P478-Summary!$C$5</f>
        <v>11360.4700000001</v>
      </c>
      <c r="R478" s="2" t="str">
        <f aca="false">TEXT(A478,"ddd")</f>
        <v>Wed</v>
      </c>
    </row>
    <row r="479" customFormat="false" ht="15" hidden="false" customHeight="false" outlineLevel="0" collapsed="false">
      <c r="A479" s="42" t="n">
        <v>45813</v>
      </c>
      <c r="B479" s="28" t="n">
        <f aca="false">COUNTIFS(Trades!$D$2:$D$884,$A479)</f>
        <v>2</v>
      </c>
      <c r="C479" s="28" t="n">
        <f aca="false">COUNTIFS(Trades!$D$2:$D$884,$A479,Trades!$Z$2:$Z$884,"Win")</f>
        <v>1</v>
      </c>
      <c r="D479" s="28" t="n">
        <f aca="false">COUNTIFS(Trades!$D$2:$D$884,$A479,Trades!$Z$2:$Z$884,"Loss")</f>
        <v>1</v>
      </c>
      <c r="E479" s="29" t="n">
        <f aca="false">IFERROR(C479/B479,0)</f>
        <v>0.5</v>
      </c>
      <c r="F479" s="30" t="n">
        <f aca="false">SUMIFS(Trades!$X$2:$X$884,Trades!$D$2:$D$884,$A479)</f>
        <v>-39.97</v>
      </c>
      <c r="G479" s="30" t="n">
        <f aca="false">SUMIFS(Trades!$X$2:$X$884,Trades!$D$2:$D$884,$A479,Trades!$X$2:$X$884,"&gt;0")</f>
        <v>144.95</v>
      </c>
      <c r="H479" s="30" t="n">
        <f aca="false">SUMIFS(Trades!$X$2:$X$884,Trades!$D$2:$D$884,$A479,Trades!$X$2:$X$884,"&lt;0")</f>
        <v>-184.92</v>
      </c>
      <c r="I479" s="31" t="n">
        <f aca="false">IFERROR(G479/-H479,"no loss")</f>
        <v>0.783852476746701</v>
      </c>
      <c r="J479" s="30" t="n">
        <f aca="false">_xlfn.MAXIFS(Trades!$X$2:$X$884,Trades!$D$2:$D$884,$A479)</f>
        <v>144.95</v>
      </c>
      <c r="K479" s="30" t="n">
        <f aca="false">_xlfn.MINIFS(Trades!$X$2:$X$884,Trades!$D$2:$D$884,$A479)</f>
        <v>-184.92</v>
      </c>
      <c r="L479" s="32" t="n">
        <f aca="false">SUMIFS(Trades!$Y$2:$Y$884,Trades!$D$2:$D$884,$A479)</f>
        <v>0.935017932262889</v>
      </c>
      <c r="M479" s="30" t="n">
        <f aca="false">P478</f>
        <v>111360.47</v>
      </c>
      <c r="N479" s="29" t="n">
        <f aca="false">IFERROR(F479/M479,0)</f>
        <v>-0.00035892449088981</v>
      </c>
      <c r="O479" s="28" t="str">
        <f aca="false">IF(-N479&gt;=Summary!$C$7,"BREACH","")</f>
        <v/>
      </c>
      <c r="P479" s="30" t="n">
        <f aca="false">M479+F479</f>
        <v>111320.5</v>
      </c>
      <c r="Q479" s="30" t="n">
        <f aca="false">P479-Summary!$C$5</f>
        <v>11320.5000000001</v>
      </c>
      <c r="R479" s="2" t="str">
        <f aca="false">TEXT(A479,"ddd")</f>
        <v>Thu</v>
      </c>
    </row>
    <row r="480" customFormat="false" ht="15" hidden="false" customHeight="false" outlineLevel="0" collapsed="false">
      <c r="A480" s="42" t="n">
        <v>45814</v>
      </c>
      <c r="B480" s="28" t="n">
        <f aca="false">COUNTIFS(Trades!$D$2:$D$884,$A480)</f>
        <v>1</v>
      </c>
      <c r="C480" s="28" t="n">
        <f aca="false">COUNTIFS(Trades!$D$2:$D$884,$A480,Trades!$Z$2:$Z$884,"Win")</f>
        <v>0</v>
      </c>
      <c r="D480" s="28" t="n">
        <f aca="false">COUNTIFS(Trades!$D$2:$D$884,$A480,Trades!$Z$2:$Z$884,"Loss")</f>
        <v>1</v>
      </c>
      <c r="E480" s="29" t="n">
        <f aca="false">IFERROR(C480/B480,0)</f>
        <v>0</v>
      </c>
      <c r="F480" s="30" t="n">
        <f aca="false">SUMIFS(Trades!$X$2:$X$884,Trades!$D$2:$D$884,$A480)</f>
        <v>-166.98</v>
      </c>
      <c r="G480" s="30" t="n">
        <f aca="false">SUMIFS(Trades!$X$2:$X$884,Trades!$D$2:$D$884,$A480,Trades!$X$2:$X$884,"&gt;0")</f>
        <v>0</v>
      </c>
      <c r="H480" s="30" t="n">
        <f aca="false">SUMIFS(Trades!$X$2:$X$884,Trades!$D$2:$D$884,$A480,Trades!$X$2:$X$884,"&lt;0")</f>
        <v>-166.98</v>
      </c>
      <c r="I480" s="31" t="n">
        <f aca="false">IFERROR(G480/-H480,"no loss")</f>
        <v>0</v>
      </c>
      <c r="J480" s="30" t="n">
        <f aca="false">_xlfn.MAXIFS(Trades!$X$2:$X$884,Trades!$D$2:$D$884,$A480)</f>
        <v>-166.98</v>
      </c>
      <c r="K480" s="30" t="n">
        <f aca="false">_xlfn.MINIFS(Trades!$X$2:$X$884,Trades!$D$2:$D$884,$A480)</f>
        <v>-166.98</v>
      </c>
      <c r="L480" s="32" t="n">
        <f aca="false">SUMIFS(Trades!$Y$2:$Y$884,Trades!$D$2:$D$884,$A480)</f>
        <v>-1.00276243093921</v>
      </c>
      <c r="M480" s="30" t="n">
        <f aca="false">P479</f>
        <v>111320.5</v>
      </c>
      <c r="N480" s="29" t="n">
        <f aca="false">IFERROR(F480/M480,0)</f>
        <v>-0.00149999326269645</v>
      </c>
      <c r="O480" s="28" t="str">
        <f aca="false">IF(-N480&gt;=Summary!$C$7,"BREACH","")</f>
        <v/>
      </c>
      <c r="P480" s="30" t="n">
        <f aca="false">M480+F480</f>
        <v>111153.52</v>
      </c>
      <c r="Q480" s="30" t="n">
        <f aca="false">P480-Summary!$C$5</f>
        <v>11153.5200000001</v>
      </c>
      <c r="R480" s="2" t="str">
        <f aca="false">TEXT(A480,"ddd")</f>
        <v>Fri</v>
      </c>
    </row>
    <row r="481" customFormat="false" ht="15" hidden="false" customHeight="false" outlineLevel="0" collapsed="false">
      <c r="A481" s="42" t="n">
        <v>45817</v>
      </c>
      <c r="B481" s="28" t="n">
        <f aca="false">COUNTIFS(Trades!$D$2:$D$884,$A481)</f>
        <v>1</v>
      </c>
      <c r="C481" s="28" t="n">
        <f aca="false">COUNTIFS(Trades!$D$2:$D$884,$A481,Trades!$Z$2:$Z$884,"Win")</f>
        <v>0</v>
      </c>
      <c r="D481" s="28" t="n">
        <f aca="false">COUNTIFS(Trades!$D$2:$D$884,$A481,Trades!$Z$2:$Z$884,"Loss")</f>
        <v>1</v>
      </c>
      <c r="E481" s="29" t="n">
        <f aca="false">IFERROR(C481/B481,0)</f>
        <v>0</v>
      </c>
      <c r="F481" s="30" t="n">
        <f aca="false">SUMIFS(Trades!$X$2:$X$884,Trades!$D$2:$D$884,$A481)</f>
        <v>-106.3</v>
      </c>
      <c r="G481" s="30" t="n">
        <f aca="false">SUMIFS(Trades!$X$2:$X$884,Trades!$D$2:$D$884,$A481,Trades!$X$2:$X$884,"&gt;0")</f>
        <v>0</v>
      </c>
      <c r="H481" s="30" t="n">
        <f aca="false">SUMIFS(Trades!$X$2:$X$884,Trades!$D$2:$D$884,$A481,Trades!$X$2:$X$884,"&lt;0")</f>
        <v>-106.3</v>
      </c>
      <c r="I481" s="31" t="n">
        <f aca="false">IFERROR(G481/-H481,"no loss")</f>
        <v>0</v>
      </c>
      <c r="J481" s="30" t="n">
        <f aca="false">_xlfn.MAXIFS(Trades!$X$2:$X$884,Trades!$D$2:$D$884,$A481)</f>
        <v>-106.3</v>
      </c>
      <c r="K481" s="30" t="n">
        <f aca="false">_xlfn.MINIFS(Trades!$X$2:$X$884,Trades!$D$2:$D$884,$A481)</f>
        <v>-106.3</v>
      </c>
      <c r="L481" s="32" t="n">
        <f aca="false">SUMIFS(Trades!$Y$2:$Y$884,Trades!$D$2:$D$884,$A481)</f>
        <v>-1.00037643515913</v>
      </c>
      <c r="M481" s="30" t="n">
        <f aca="false">P480</f>
        <v>111153.52</v>
      </c>
      <c r="N481" s="29" t="n">
        <f aca="false">IFERROR(F481/M481,0)</f>
        <v>-0.000956334986062519</v>
      </c>
      <c r="O481" s="28" t="str">
        <f aca="false">IF(-N481&gt;=Summary!$C$7,"BREACH","")</f>
        <v/>
      </c>
      <c r="P481" s="30" t="n">
        <f aca="false">M481+F481</f>
        <v>111047.22</v>
      </c>
      <c r="Q481" s="30" t="n">
        <f aca="false">P481-Summary!$C$5</f>
        <v>11047.2200000001</v>
      </c>
      <c r="R481" s="2" t="str">
        <f aca="false">TEXT(A481,"ddd")</f>
        <v>Mon</v>
      </c>
    </row>
    <row r="482" customFormat="false" ht="15" hidden="false" customHeight="false" outlineLevel="0" collapsed="false">
      <c r="A482" s="42" t="n">
        <v>45818</v>
      </c>
      <c r="B482" s="28" t="n">
        <f aca="false">COUNTIFS(Trades!$D$2:$D$884,$A482)</f>
        <v>1</v>
      </c>
      <c r="C482" s="28" t="n">
        <f aca="false">COUNTIFS(Trades!$D$2:$D$884,$A482,Trades!$Z$2:$Z$884,"Win")</f>
        <v>1</v>
      </c>
      <c r="D482" s="28" t="n">
        <f aca="false">COUNTIFS(Trades!$D$2:$D$884,$A482,Trades!$Z$2:$Z$884,"Loss")</f>
        <v>0</v>
      </c>
      <c r="E482" s="29" t="n">
        <f aca="false">IFERROR(C482/B482,0)</f>
        <v>1</v>
      </c>
      <c r="F482" s="30" t="n">
        <f aca="false">SUMIFS(Trades!$X$2:$X$884,Trades!$D$2:$D$884,$A482)</f>
        <v>87.12</v>
      </c>
      <c r="G482" s="30" t="n">
        <f aca="false">SUMIFS(Trades!$X$2:$X$884,Trades!$D$2:$D$884,$A482,Trades!$X$2:$X$884,"&gt;0")</f>
        <v>87.12</v>
      </c>
      <c r="H482" s="30" t="n">
        <f aca="false">SUMIFS(Trades!$X$2:$X$884,Trades!$D$2:$D$884,$A482,Trades!$X$2:$X$884,"&lt;0")</f>
        <v>0</v>
      </c>
      <c r="I482" s="31" t="str">
        <f aca="false">IFERROR(G482/-H482,"no loss")</f>
        <v>no loss</v>
      </c>
      <c r="J482" s="30" t="n">
        <f aca="false">_xlfn.MAXIFS(Trades!$X$2:$X$884,Trades!$D$2:$D$884,$A482)</f>
        <v>87.12</v>
      </c>
      <c r="K482" s="30" t="n">
        <f aca="false">_xlfn.MINIFS(Trades!$X$2:$X$884,Trades!$D$2:$D$884,$A482)</f>
        <v>87.12</v>
      </c>
      <c r="L482" s="32" t="n">
        <f aca="false">SUMIFS(Trades!$Y$2:$Y$884,Trades!$D$2:$D$884,$A482)</f>
        <v>2.04334365325105</v>
      </c>
      <c r="M482" s="30" t="n">
        <f aca="false">P481</f>
        <v>111047.22</v>
      </c>
      <c r="N482" s="29" t="n">
        <f aca="false">IFERROR(F482/M482,0)</f>
        <v>0.000784531121085246</v>
      </c>
      <c r="O482" s="28" t="str">
        <f aca="false">IF(-N482&gt;=Summary!$C$7,"BREACH","")</f>
        <v/>
      </c>
      <c r="P482" s="30" t="n">
        <f aca="false">M482+F482</f>
        <v>111134.34</v>
      </c>
      <c r="Q482" s="30" t="n">
        <f aca="false">P482-Summary!$C$5</f>
        <v>11134.3400000001</v>
      </c>
      <c r="R482" s="2" t="str">
        <f aca="false">TEXT(A482,"ddd")</f>
        <v>Tue</v>
      </c>
    </row>
    <row r="483" customFormat="false" ht="15" hidden="false" customHeight="false" outlineLevel="0" collapsed="false">
      <c r="A483" s="42" t="n">
        <v>45819</v>
      </c>
      <c r="B483" s="28" t="n">
        <f aca="false">COUNTIFS(Trades!$D$2:$D$884,$A483)</f>
        <v>1</v>
      </c>
      <c r="C483" s="28" t="n">
        <f aca="false">COUNTIFS(Trades!$D$2:$D$884,$A483,Trades!$Z$2:$Z$884,"Win")</f>
        <v>0</v>
      </c>
      <c r="D483" s="28" t="n">
        <f aca="false">COUNTIFS(Trades!$D$2:$D$884,$A483,Trades!$Z$2:$Z$884,"Loss")</f>
        <v>1</v>
      </c>
      <c r="E483" s="29" t="n">
        <f aca="false">IFERROR(C483/B483,0)</f>
        <v>0</v>
      </c>
      <c r="F483" s="30" t="n">
        <f aca="false">SUMIFS(Trades!$X$2:$X$884,Trades!$D$2:$D$884,$A483)</f>
        <v>-145.11</v>
      </c>
      <c r="G483" s="30" t="n">
        <f aca="false">SUMIFS(Trades!$X$2:$X$884,Trades!$D$2:$D$884,$A483,Trades!$X$2:$X$884,"&gt;0")</f>
        <v>0</v>
      </c>
      <c r="H483" s="30" t="n">
        <f aca="false">SUMIFS(Trades!$X$2:$X$884,Trades!$D$2:$D$884,$A483,Trades!$X$2:$X$884,"&lt;0")</f>
        <v>-145.11</v>
      </c>
      <c r="I483" s="31" t="n">
        <f aca="false">IFERROR(G483/-H483,"no loss")</f>
        <v>0</v>
      </c>
      <c r="J483" s="30" t="n">
        <f aca="false">_xlfn.MAXIFS(Trades!$X$2:$X$884,Trades!$D$2:$D$884,$A483)</f>
        <v>-145.11</v>
      </c>
      <c r="K483" s="30" t="n">
        <f aca="false">_xlfn.MINIFS(Trades!$X$2:$X$884,Trades!$D$2:$D$884,$A483)</f>
        <v>-145.11</v>
      </c>
      <c r="L483" s="32" t="n">
        <f aca="false">SUMIFS(Trades!$Y$2:$Y$884,Trades!$D$2:$D$884,$A483)</f>
        <v>-1.01946044681753</v>
      </c>
      <c r="M483" s="30" t="n">
        <f aca="false">P482</f>
        <v>111134.34</v>
      </c>
      <c r="N483" s="29" t="n">
        <f aca="false">IFERROR(F483/M483,0)</f>
        <v>-0.00130571702679838</v>
      </c>
      <c r="O483" s="28" t="str">
        <f aca="false">IF(-N483&gt;=Summary!$C$7,"BREACH","")</f>
        <v/>
      </c>
      <c r="P483" s="30" t="n">
        <f aca="false">M483+F483</f>
        <v>110989.23</v>
      </c>
      <c r="Q483" s="30" t="n">
        <f aca="false">P483-Summary!$C$5</f>
        <v>10989.2300000001</v>
      </c>
      <c r="R483" s="2" t="str">
        <f aca="false">TEXT(A483,"ddd")</f>
        <v>Wed</v>
      </c>
    </row>
    <row r="484" customFormat="false" ht="15" hidden="false" customHeight="false" outlineLevel="0" collapsed="false">
      <c r="A484" s="42" t="n">
        <v>45820</v>
      </c>
      <c r="B484" s="28" t="n">
        <f aca="false">COUNTIFS(Trades!$D$2:$D$884,$A484)</f>
        <v>1</v>
      </c>
      <c r="C484" s="28" t="n">
        <f aca="false">COUNTIFS(Trades!$D$2:$D$884,$A484,Trades!$Z$2:$Z$884,"Win")</f>
        <v>1</v>
      </c>
      <c r="D484" s="28" t="n">
        <f aca="false">COUNTIFS(Trades!$D$2:$D$884,$A484,Trades!$Z$2:$Z$884,"Loss")</f>
        <v>0</v>
      </c>
      <c r="E484" s="29" t="n">
        <f aca="false">IFERROR(C484/B484,0)</f>
        <v>1</v>
      </c>
      <c r="F484" s="30" t="n">
        <f aca="false">SUMIFS(Trades!$X$2:$X$884,Trades!$D$2:$D$884,$A484)</f>
        <v>135.83</v>
      </c>
      <c r="G484" s="30" t="n">
        <f aca="false">SUMIFS(Trades!$X$2:$X$884,Trades!$D$2:$D$884,$A484,Trades!$X$2:$X$884,"&gt;0")</f>
        <v>135.83</v>
      </c>
      <c r="H484" s="30" t="n">
        <f aca="false">SUMIFS(Trades!$X$2:$X$884,Trades!$D$2:$D$884,$A484,Trades!$X$2:$X$884,"&lt;0")</f>
        <v>0</v>
      </c>
      <c r="I484" s="31" t="str">
        <f aca="false">IFERROR(G484/-H484,"no loss")</f>
        <v>no loss</v>
      </c>
      <c r="J484" s="30" t="n">
        <f aca="false">_xlfn.MAXIFS(Trades!$X$2:$X$884,Trades!$D$2:$D$884,$A484)</f>
        <v>135.83</v>
      </c>
      <c r="K484" s="30" t="n">
        <f aca="false">_xlfn.MINIFS(Trades!$X$2:$X$884,Trades!$D$2:$D$884,$A484)</f>
        <v>135.83</v>
      </c>
      <c r="L484" s="32" t="n">
        <f aca="false">SUMIFS(Trades!$Y$2:$Y$884,Trades!$D$2:$D$884,$A484)</f>
        <v>2.04983097911417</v>
      </c>
      <c r="M484" s="30" t="n">
        <f aca="false">P483</f>
        <v>110989.23</v>
      </c>
      <c r="N484" s="29" t="n">
        <f aca="false">IFERROR(F484/M484,0)</f>
        <v>0.00122381243657605</v>
      </c>
      <c r="O484" s="28" t="str">
        <f aca="false">IF(-N484&gt;=Summary!$C$7,"BREACH","")</f>
        <v/>
      </c>
      <c r="P484" s="30" t="n">
        <f aca="false">M484+F484</f>
        <v>111125.06</v>
      </c>
      <c r="Q484" s="30" t="n">
        <f aca="false">P484-Summary!$C$5</f>
        <v>11125.0600000001</v>
      </c>
      <c r="R484" s="2" t="str">
        <f aca="false">TEXT(A484,"ddd")</f>
        <v>Thu</v>
      </c>
    </row>
    <row r="485" customFormat="false" ht="15" hidden="false" customHeight="false" outlineLevel="0" collapsed="false">
      <c r="A485" s="42" t="n">
        <v>45821</v>
      </c>
      <c r="B485" s="28" t="n">
        <f aca="false">COUNTIFS(Trades!$D$2:$D$884,$A485)</f>
        <v>1</v>
      </c>
      <c r="C485" s="28" t="n">
        <f aca="false">COUNTIFS(Trades!$D$2:$D$884,$A485,Trades!$Z$2:$Z$884,"Win")</f>
        <v>1</v>
      </c>
      <c r="D485" s="28" t="n">
        <f aca="false">COUNTIFS(Trades!$D$2:$D$884,$A485,Trades!$Z$2:$Z$884,"Loss")</f>
        <v>0</v>
      </c>
      <c r="E485" s="29" t="n">
        <f aca="false">IFERROR(C485/B485,0)</f>
        <v>1</v>
      </c>
      <c r="F485" s="30" t="n">
        <f aca="false">SUMIFS(Trades!$X$2:$X$884,Trades!$D$2:$D$884,$A485)</f>
        <v>489.76</v>
      </c>
      <c r="G485" s="30" t="n">
        <f aca="false">SUMIFS(Trades!$X$2:$X$884,Trades!$D$2:$D$884,$A485,Trades!$X$2:$X$884,"&gt;0")</f>
        <v>489.76</v>
      </c>
      <c r="H485" s="30" t="n">
        <f aca="false">SUMIFS(Trades!$X$2:$X$884,Trades!$D$2:$D$884,$A485,Trades!$X$2:$X$884,"&lt;0")</f>
        <v>0</v>
      </c>
      <c r="I485" s="31" t="str">
        <f aca="false">IFERROR(G485/-H485,"no loss")</f>
        <v>no loss</v>
      </c>
      <c r="J485" s="30" t="n">
        <f aca="false">_xlfn.MAXIFS(Trades!$X$2:$X$884,Trades!$D$2:$D$884,$A485)</f>
        <v>489.76</v>
      </c>
      <c r="K485" s="30" t="n">
        <f aca="false">_xlfn.MINIFS(Trades!$X$2:$X$884,Trades!$D$2:$D$884,$A485)</f>
        <v>489.76</v>
      </c>
      <c r="L485" s="32" t="n">
        <f aca="false">SUMIFS(Trades!$Y$2:$Y$884,Trades!$D$2:$D$884,$A485)</f>
        <v>2.02144608348941</v>
      </c>
      <c r="M485" s="30" t="n">
        <f aca="false">P484</f>
        <v>111125.06</v>
      </c>
      <c r="N485" s="29" t="n">
        <f aca="false">IFERROR(F485/M485,0)</f>
        <v>0.00440728670922652</v>
      </c>
      <c r="O485" s="28" t="str">
        <f aca="false">IF(-N485&gt;=Summary!$C$7,"BREACH","")</f>
        <v/>
      </c>
      <c r="P485" s="30" t="n">
        <f aca="false">M485+F485</f>
        <v>111614.82</v>
      </c>
      <c r="Q485" s="30" t="n">
        <f aca="false">P485-Summary!$C$5</f>
        <v>11614.8200000001</v>
      </c>
      <c r="R485" s="2" t="str">
        <f aca="false">TEXT(A485,"ddd")</f>
        <v>Fri</v>
      </c>
    </row>
    <row r="486" customFormat="false" ht="15" hidden="false" customHeight="false" outlineLevel="0" collapsed="false">
      <c r="A486" s="42" t="n">
        <v>45824</v>
      </c>
      <c r="B486" s="28" t="n">
        <f aca="false">COUNTIFS(Trades!$D$2:$D$884,$A486)</f>
        <v>1</v>
      </c>
      <c r="C486" s="28" t="n">
        <f aca="false">COUNTIFS(Trades!$D$2:$D$884,$A486,Trades!$Z$2:$Z$884,"Win")</f>
        <v>1</v>
      </c>
      <c r="D486" s="28" t="n">
        <f aca="false">COUNTIFS(Trades!$D$2:$D$884,$A486,Trades!$Z$2:$Z$884,"Loss")</f>
        <v>0</v>
      </c>
      <c r="E486" s="29" t="n">
        <f aca="false">IFERROR(C486/B486,0)</f>
        <v>1</v>
      </c>
      <c r="F486" s="30" t="n">
        <f aca="false">SUMIFS(Trades!$X$2:$X$884,Trades!$D$2:$D$884,$A486)</f>
        <v>380.73</v>
      </c>
      <c r="G486" s="30" t="n">
        <f aca="false">SUMIFS(Trades!$X$2:$X$884,Trades!$D$2:$D$884,$A486,Trades!$X$2:$X$884,"&gt;0")</f>
        <v>380.73</v>
      </c>
      <c r="H486" s="30" t="n">
        <f aca="false">SUMIFS(Trades!$X$2:$X$884,Trades!$D$2:$D$884,$A486,Trades!$X$2:$X$884,"&lt;0")</f>
        <v>0</v>
      </c>
      <c r="I486" s="31" t="str">
        <f aca="false">IFERROR(G486/-H486,"no loss")</f>
        <v>no loss</v>
      </c>
      <c r="J486" s="30" t="n">
        <f aca="false">_xlfn.MAXIFS(Trades!$X$2:$X$884,Trades!$D$2:$D$884,$A486)</f>
        <v>380.73</v>
      </c>
      <c r="K486" s="30" t="n">
        <f aca="false">_xlfn.MINIFS(Trades!$X$2:$X$884,Trades!$D$2:$D$884,$A486)</f>
        <v>380.73</v>
      </c>
      <c r="L486" s="32" t="n">
        <f aca="false">SUMIFS(Trades!$Y$2:$Y$884,Trades!$D$2:$D$884,$A486)</f>
        <v>2.26102810176495</v>
      </c>
      <c r="M486" s="30" t="n">
        <f aca="false">P485</f>
        <v>111614.82</v>
      </c>
      <c r="N486" s="29" t="n">
        <f aca="false">IFERROR(F486/M486,0)</f>
        <v>0.00341110615955838</v>
      </c>
      <c r="O486" s="28" t="str">
        <f aca="false">IF(-N486&gt;=Summary!$C$7,"BREACH","")</f>
        <v/>
      </c>
      <c r="P486" s="30" t="n">
        <f aca="false">M486+F486</f>
        <v>111995.55</v>
      </c>
      <c r="Q486" s="30" t="n">
        <f aca="false">P486-Summary!$C$5</f>
        <v>11995.5500000001</v>
      </c>
      <c r="R486" s="2" t="str">
        <f aca="false">TEXT(A486,"ddd")</f>
        <v>Mon</v>
      </c>
    </row>
    <row r="487" customFormat="false" ht="15" hidden="false" customHeight="false" outlineLevel="0" collapsed="false">
      <c r="A487" s="42" t="n">
        <v>45826</v>
      </c>
      <c r="B487" s="28" t="n">
        <f aca="false">COUNTIFS(Trades!$D$2:$D$884,$A487)</f>
        <v>1</v>
      </c>
      <c r="C487" s="28" t="n">
        <f aca="false">COUNTIFS(Trades!$D$2:$D$884,$A487,Trades!$Z$2:$Z$884,"Win")</f>
        <v>1</v>
      </c>
      <c r="D487" s="28" t="n">
        <f aca="false">COUNTIFS(Trades!$D$2:$D$884,$A487,Trades!$Z$2:$Z$884,"Loss")</f>
        <v>0</v>
      </c>
      <c r="E487" s="29" t="n">
        <f aca="false">IFERROR(C487/B487,0)</f>
        <v>1</v>
      </c>
      <c r="F487" s="30" t="n">
        <f aca="false">SUMIFS(Trades!$X$2:$X$884,Trades!$D$2:$D$884,$A487)</f>
        <v>147.11</v>
      </c>
      <c r="G487" s="30" t="n">
        <f aca="false">SUMIFS(Trades!$X$2:$X$884,Trades!$D$2:$D$884,$A487,Trades!$X$2:$X$884,"&gt;0")</f>
        <v>147.11</v>
      </c>
      <c r="H487" s="30" t="n">
        <f aca="false">SUMIFS(Trades!$X$2:$X$884,Trades!$D$2:$D$884,$A487,Trades!$X$2:$X$884,"&lt;0")</f>
        <v>0</v>
      </c>
      <c r="I487" s="31" t="str">
        <f aca="false">IFERROR(G487/-H487,"no loss")</f>
        <v>no loss</v>
      </c>
      <c r="J487" s="30" t="n">
        <f aca="false">_xlfn.MAXIFS(Trades!$X$2:$X$884,Trades!$D$2:$D$884,$A487)</f>
        <v>147.11</v>
      </c>
      <c r="K487" s="30" t="n">
        <f aca="false">_xlfn.MINIFS(Trades!$X$2:$X$884,Trades!$D$2:$D$884,$A487)</f>
        <v>147.11</v>
      </c>
      <c r="L487" s="32" t="n">
        <f aca="false">SUMIFS(Trades!$Y$2:$Y$884,Trades!$D$2:$D$884,$A487)</f>
        <v>2.02151926565166</v>
      </c>
      <c r="M487" s="30" t="n">
        <f aca="false">P486</f>
        <v>111995.55</v>
      </c>
      <c r="N487" s="29" t="n">
        <f aca="false">IFERROR(F487/M487,0)</f>
        <v>0.00131353433239088</v>
      </c>
      <c r="O487" s="28" t="str">
        <f aca="false">IF(-N487&gt;=Summary!$C$7,"BREACH","")</f>
        <v/>
      </c>
      <c r="P487" s="30" t="n">
        <f aca="false">M487+F487</f>
        <v>112142.66</v>
      </c>
      <c r="Q487" s="30" t="n">
        <f aca="false">P487-Summary!$C$5</f>
        <v>12142.6600000001</v>
      </c>
      <c r="R487" s="2" t="str">
        <f aca="false">TEXT(A487,"ddd")</f>
        <v>Wed</v>
      </c>
    </row>
    <row r="488" customFormat="false" ht="15" hidden="false" customHeight="false" outlineLevel="0" collapsed="false">
      <c r="A488" s="42" t="n">
        <v>45827</v>
      </c>
      <c r="B488" s="28" t="n">
        <f aca="false">COUNTIFS(Trades!$D$2:$D$884,$A488)</f>
        <v>1</v>
      </c>
      <c r="C488" s="28" t="n">
        <f aca="false">COUNTIFS(Trades!$D$2:$D$884,$A488,Trades!$Z$2:$Z$884,"Win")</f>
        <v>0</v>
      </c>
      <c r="D488" s="28" t="n">
        <f aca="false">COUNTIFS(Trades!$D$2:$D$884,$A488,Trades!$Z$2:$Z$884,"Loss")</f>
        <v>1</v>
      </c>
      <c r="E488" s="29" t="n">
        <f aca="false">IFERROR(C488/B488,0)</f>
        <v>0</v>
      </c>
      <c r="F488" s="30" t="n">
        <f aca="false">SUMIFS(Trades!$X$2:$X$884,Trades!$D$2:$D$884,$A488)</f>
        <v>-112.06</v>
      </c>
      <c r="G488" s="30" t="n">
        <f aca="false">SUMIFS(Trades!$X$2:$X$884,Trades!$D$2:$D$884,$A488,Trades!$X$2:$X$884,"&gt;0")</f>
        <v>0</v>
      </c>
      <c r="H488" s="30" t="n">
        <f aca="false">SUMIFS(Trades!$X$2:$X$884,Trades!$D$2:$D$884,$A488,Trades!$X$2:$X$884,"&lt;0")</f>
        <v>-112.06</v>
      </c>
      <c r="I488" s="31" t="n">
        <f aca="false">IFERROR(G488/-H488,"no loss")</f>
        <v>0</v>
      </c>
      <c r="J488" s="30" t="n">
        <f aca="false">_xlfn.MAXIFS(Trades!$X$2:$X$884,Trades!$D$2:$D$884,$A488)</f>
        <v>-112.06</v>
      </c>
      <c r="K488" s="30" t="n">
        <f aca="false">_xlfn.MINIFS(Trades!$X$2:$X$884,Trades!$D$2:$D$884,$A488)</f>
        <v>-112.06</v>
      </c>
      <c r="L488" s="32" t="n">
        <f aca="false">SUMIFS(Trades!$Y$2:$Y$884,Trades!$D$2:$D$884,$A488)</f>
        <v>-1.01292596944774</v>
      </c>
      <c r="M488" s="30" t="n">
        <f aca="false">P487</f>
        <v>112142.66</v>
      </c>
      <c r="N488" s="29" t="n">
        <f aca="false">IFERROR(F488/M488,0)</f>
        <v>-0.00099926290316281</v>
      </c>
      <c r="O488" s="28" t="str">
        <f aca="false">IF(-N488&gt;=Summary!$C$7,"BREACH","")</f>
        <v/>
      </c>
      <c r="P488" s="30" t="n">
        <f aca="false">M488+F488</f>
        <v>112030.6</v>
      </c>
      <c r="Q488" s="30" t="n">
        <f aca="false">P488-Summary!$C$5</f>
        <v>12030.6000000001</v>
      </c>
      <c r="R488" s="2" t="str">
        <f aca="false">TEXT(A488,"ddd")</f>
        <v>Thu</v>
      </c>
    </row>
    <row r="489" customFormat="false" ht="15" hidden="false" customHeight="false" outlineLevel="0" collapsed="false">
      <c r="A489" s="42" t="n">
        <v>45828</v>
      </c>
      <c r="B489" s="28" t="n">
        <f aca="false">COUNTIFS(Trades!$D$2:$D$884,$A489)</f>
        <v>1</v>
      </c>
      <c r="C489" s="28" t="n">
        <f aca="false">COUNTIFS(Trades!$D$2:$D$884,$A489,Trades!$Z$2:$Z$884,"Win")</f>
        <v>1</v>
      </c>
      <c r="D489" s="28" t="n">
        <f aca="false">COUNTIFS(Trades!$D$2:$D$884,$A489,Trades!$Z$2:$Z$884,"Loss")</f>
        <v>0</v>
      </c>
      <c r="E489" s="29" t="n">
        <f aca="false">IFERROR(C489/B489,0)</f>
        <v>1</v>
      </c>
      <c r="F489" s="30" t="n">
        <f aca="false">SUMIFS(Trades!$X$2:$X$884,Trades!$D$2:$D$884,$A489)</f>
        <v>107.36</v>
      </c>
      <c r="G489" s="30" t="n">
        <f aca="false">SUMIFS(Trades!$X$2:$X$884,Trades!$D$2:$D$884,$A489,Trades!$X$2:$X$884,"&gt;0")</f>
        <v>107.36</v>
      </c>
      <c r="H489" s="30" t="n">
        <f aca="false">SUMIFS(Trades!$X$2:$X$884,Trades!$D$2:$D$884,$A489,Trades!$X$2:$X$884,"&lt;0")</f>
        <v>0</v>
      </c>
      <c r="I489" s="31" t="str">
        <f aca="false">IFERROR(G489/-H489,"no loss")</f>
        <v>no loss</v>
      </c>
      <c r="J489" s="30" t="n">
        <f aca="false">_xlfn.MAXIFS(Trades!$X$2:$X$884,Trades!$D$2:$D$884,$A489)</f>
        <v>107.36</v>
      </c>
      <c r="K489" s="30" t="n">
        <f aca="false">_xlfn.MINIFS(Trades!$X$2:$X$884,Trades!$D$2:$D$884,$A489)</f>
        <v>107.36</v>
      </c>
      <c r="L489" s="32" t="n">
        <f aca="false">SUMIFS(Trades!$Y$2:$Y$884,Trades!$D$2:$D$884,$A489)</f>
        <v>1.17459136561569</v>
      </c>
      <c r="M489" s="30" t="n">
        <f aca="false">P488</f>
        <v>112030.6</v>
      </c>
      <c r="N489" s="29" t="n">
        <f aca="false">IFERROR(F489/M489,0)</f>
        <v>0.000958309604697287</v>
      </c>
      <c r="O489" s="28" t="str">
        <f aca="false">IF(-N489&gt;=Summary!$C$7,"BREACH","")</f>
        <v/>
      </c>
      <c r="P489" s="30" t="n">
        <f aca="false">M489+F489</f>
        <v>112137.96</v>
      </c>
      <c r="Q489" s="30" t="n">
        <f aca="false">P489-Summary!$C$5</f>
        <v>12137.9600000001</v>
      </c>
      <c r="R489" s="2" t="str">
        <f aca="false">TEXT(A489,"ddd")</f>
        <v>Fri</v>
      </c>
    </row>
    <row r="490" customFormat="false" ht="15" hidden="false" customHeight="false" outlineLevel="0" collapsed="false">
      <c r="A490" s="42" t="n">
        <v>45831</v>
      </c>
      <c r="B490" s="28" t="n">
        <f aca="false">COUNTIFS(Trades!$D$2:$D$884,$A490)</f>
        <v>1</v>
      </c>
      <c r="C490" s="28" t="n">
        <f aca="false">COUNTIFS(Trades!$D$2:$D$884,$A490,Trades!$Z$2:$Z$884,"Win")</f>
        <v>0</v>
      </c>
      <c r="D490" s="28" t="n">
        <f aca="false">COUNTIFS(Trades!$D$2:$D$884,$A490,Trades!$Z$2:$Z$884,"Loss")</f>
        <v>1</v>
      </c>
      <c r="E490" s="29" t="n">
        <f aca="false">IFERROR(C490/B490,0)</f>
        <v>0</v>
      </c>
      <c r="F490" s="30" t="n">
        <f aca="false">SUMIFS(Trades!$X$2:$X$884,Trades!$D$2:$D$884,$A490)</f>
        <v>-201.62</v>
      </c>
      <c r="G490" s="30" t="n">
        <f aca="false">SUMIFS(Trades!$X$2:$X$884,Trades!$D$2:$D$884,$A490,Trades!$X$2:$X$884,"&gt;0")</f>
        <v>0</v>
      </c>
      <c r="H490" s="30" t="n">
        <f aca="false">SUMIFS(Trades!$X$2:$X$884,Trades!$D$2:$D$884,$A490,Trades!$X$2:$X$884,"&lt;0")</f>
        <v>-201.62</v>
      </c>
      <c r="I490" s="31" t="n">
        <f aca="false">IFERROR(G490/-H490,"no loss")</f>
        <v>0</v>
      </c>
      <c r="J490" s="30" t="n">
        <f aca="false">_xlfn.MAXIFS(Trades!$X$2:$X$884,Trades!$D$2:$D$884,$A490)</f>
        <v>-201.62</v>
      </c>
      <c r="K490" s="30" t="n">
        <f aca="false">_xlfn.MINIFS(Trades!$X$2:$X$884,Trades!$D$2:$D$884,$A490)</f>
        <v>-201.62</v>
      </c>
      <c r="L490" s="32" t="n">
        <f aca="false">SUMIFS(Trades!$Y$2:$Y$884,Trades!$D$2:$D$884,$A490)</f>
        <v>-1.04209307614387</v>
      </c>
      <c r="M490" s="30" t="n">
        <f aca="false">P489</f>
        <v>112137.96</v>
      </c>
      <c r="N490" s="29" t="n">
        <f aca="false">IFERROR(F490/M490,0)</f>
        <v>-0.00179796386522458</v>
      </c>
      <c r="O490" s="28" t="str">
        <f aca="false">IF(-N490&gt;=Summary!$C$7,"BREACH","")</f>
        <v/>
      </c>
      <c r="P490" s="30" t="n">
        <f aca="false">M490+F490</f>
        <v>111936.34</v>
      </c>
      <c r="Q490" s="30" t="n">
        <f aca="false">P490-Summary!$C$5</f>
        <v>11936.3400000001</v>
      </c>
      <c r="R490" s="2" t="str">
        <f aca="false">TEXT(A490,"ddd")</f>
        <v>Mon</v>
      </c>
    </row>
    <row r="491" customFormat="false" ht="15" hidden="false" customHeight="false" outlineLevel="0" collapsed="false">
      <c r="A491" s="42" t="n">
        <v>45832</v>
      </c>
      <c r="B491" s="28" t="n">
        <f aca="false">COUNTIFS(Trades!$D$2:$D$884,$A491)</f>
        <v>1</v>
      </c>
      <c r="C491" s="28" t="n">
        <f aca="false">COUNTIFS(Trades!$D$2:$D$884,$A491,Trades!$Z$2:$Z$884,"Win")</f>
        <v>1</v>
      </c>
      <c r="D491" s="28" t="n">
        <f aca="false">COUNTIFS(Trades!$D$2:$D$884,$A491,Trades!$Z$2:$Z$884,"Loss")</f>
        <v>0</v>
      </c>
      <c r="E491" s="29" t="n">
        <f aca="false">IFERROR(C491/B491,0)</f>
        <v>1</v>
      </c>
      <c r="F491" s="30" t="n">
        <f aca="false">SUMIFS(Trades!$X$2:$X$884,Trades!$D$2:$D$884,$A491)</f>
        <v>199.58</v>
      </c>
      <c r="G491" s="30" t="n">
        <f aca="false">SUMIFS(Trades!$X$2:$X$884,Trades!$D$2:$D$884,$A491,Trades!$X$2:$X$884,"&gt;0")</f>
        <v>199.58</v>
      </c>
      <c r="H491" s="30" t="n">
        <f aca="false">SUMIFS(Trades!$X$2:$X$884,Trades!$D$2:$D$884,$A491,Trades!$X$2:$X$884,"&lt;0")</f>
        <v>0</v>
      </c>
      <c r="I491" s="31" t="str">
        <f aca="false">IFERROR(G491/-H491,"no loss")</f>
        <v>no loss</v>
      </c>
      <c r="J491" s="30" t="n">
        <f aca="false">_xlfn.MAXIFS(Trades!$X$2:$X$884,Trades!$D$2:$D$884,$A491)</f>
        <v>199.58</v>
      </c>
      <c r="K491" s="30" t="n">
        <f aca="false">_xlfn.MINIFS(Trades!$X$2:$X$884,Trades!$D$2:$D$884,$A491)</f>
        <v>199.58</v>
      </c>
      <c r="L491" s="32" t="n">
        <f aca="false">SUMIFS(Trades!$Y$2:$Y$884,Trades!$D$2:$D$884,$A491)</f>
        <v>2.03952746893413</v>
      </c>
      <c r="M491" s="30" t="n">
        <f aca="false">P490</f>
        <v>111936.34</v>
      </c>
      <c r="N491" s="29" t="n">
        <f aca="false">IFERROR(F491/M491,0)</f>
        <v>0.00178297771751336</v>
      </c>
      <c r="O491" s="28" t="str">
        <f aca="false">IF(-N491&gt;=Summary!$C$7,"BREACH","")</f>
        <v/>
      </c>
      <c r="P491" s="30" t="n">
        <f aca="false">M491+F491</f>
        <v>112135.92</v>
      </c>
      <c r="Q491" s="30" t="n">
        <f aca="false">P491-Summary!$C$5</f>
        <v>12135.9200000001</v>
      </c>
      <c r="R491" s="2" t="str">
        <f aca="false">TEXT(A491,"ddd")</f>
        <v>Tue</v>
      </c>
    </row>
    <row r="492" customFormat="false" ht="15" hidden="false" customHeight="false" outlineLevel="0" collapsed="false">
      <c r="A492" s="42" t="n">
        <v>45833</v>
      </c>
      <c r="B492" s="28" t="n">
        <f aca="false">COUNTIFS(Trades!$D$2:$D$884,$A492)</f>
        <v>1</v>
      </c>
      <c r="C492" s="28" t="n">
        <f aca="false">COUNTIFS(Trades!$D$2:$D$884,$A492,Trades!$Z$2:$Z$884,"Win")</f>
        <v>0</v>
      </c>
      <c r="D492" s="28" t="n">
        <f aca="false">COUNTIFS(Trades!$D$2:$D$884,$A492,Trades!$Z$2:$Z$884,"Loss")</f>
        <v>1</v>
      </c>
      <c r="E492" s="29" t="n">
        <f aca="false">IFERROR(C492/B492,0)</f>
        <v>0</v>
      </c>
      <c r="F492" s="30" t="n">
        <f aca="false">SUMIFS(Trades!$X$2:$X$884,Trades!$D$2:$D$884,$A492)</f>
        <v>-1.63</v>
      </c>
      <c r="G492" s="30" t="n">
        <f aca="false">SUMIFS(Trades!$X$2:$X$884,Trades!$D$2:$D$884,$A492,Trades!$X$2:$X$884,"&gt;0")</f>
        <v>0</v>
      </c>
      <c r="H492" s="30" t="n">
        <f aca="false">SUMIFS(Trades!$X$2:$X$884,Trades!$D$2:$D$884,$A492,Trades!$X$2:$X$884,"&lt;0")</f>
        <v>-1.63</v>
      </c>
      <c r="I492" s="31" t="n">
        <f aca="false">IFERROR(G492/-H492,"no loss")</f>
        <v>0</v>
      </c>
      <c r="J492" s="30" t="n">
        <f aca="false">_xlfn.MAXIFS(Trades!$X$2:$X$884,Trades!$D$2:$D$884,$A492)</f>
        <v>-1.63</v>
      </c>
      <c r="K492" s="30" t="n">
        <f aca="false">_xlfn.MINIFS(Trades!$X$2:$X$884,Trades!$D$2:$D$884,$A492)</f>
        <v>-1.63</v>
      </c>
      <c r="L492" s="32" t="n">
        <f aca="false">SUMIFS(Trades!$Y$2:$Y$884,Trades!$D$2:$D$884,$A492)</f>
        <v>-0.0518118245391131</v>
      </c>
      <c r="M492" s="30" t="n">
        <f aca="false">P491</f>
        <v>112135.92</v>
      </c>
      <c r="N492" s="29" t="n">
        <f aca="false">IFERROR(F492/M492,0)</f>
        <v>-1.4535931037976E-005</v>
      </c>
      <c r="O492" s="28" t="str">
        <f aca="false">IF(-N492&gt;=Summary!$C$7,"BREACH","")</f>
        <v/>
      </c>
      <c r="P492" s="30" t="n">
        <f aca="false">M492+F492</f>
        <v>112134.29</v>
      </c>
      <c r="Q492" s="30" t="n">
        <f aca="false">P492-Summary!$C$5</f>
        <v>12134.2900000001</v>
      </c>
      <c r="R492" s="2" t="str">
        <f aca="false">TEXT(A492,"ddd")</f>
        <v>Wed</v>
      </c>
    </row>
    <row r="493" customFormat="false" ht="15" hidden="false" customHeight="false" outlineLevel="0" collapsed="false">
      <c r="A493" s="42" t="n">
        <v>45834</v>
      </c>
      <c r="B493" s="28" t="n">
        <f aca="false">COUNTIFS(Trades!$D$2:$D$884,$A493)</f>
        <v>1</v>
      </c>
      <c r="C493" s="28" t="n">
        <f aca="false">COUNTIFS(Trades!$D$2:$D$884,$A493,Trades!$Z$2:$Z$884,"Win")</f>
        <v>0</v>
      </c>
      <c r="D493" s="28" t="n">
        <f aca="false">COUNTIFS(Trades!$D$2:$D$884,$A493,Trades!$Z$2:$Z$884,"Loss")</f>
        <v>0</v>
      </c>
      <c r="E493" s="29" t="n">
        <f aca="false">IFERROR(C493/B493,0)</f>
        <v>0</v>
      </c>
      <c r="F493" s="30" t="n">
        <f aca="false">SUMIFS(Trades!$X$2:$X$884,Trades!$D$2:$D$884,$A493)</f>
        <v>0</v>
      </c>
      <c r="G493" s="30" t="n">
        <f aca="false">SUMIFS(Trades!$X$2:$X$884,Trades!$D$2:$D$884,$A493,Trades!$X$2:$X$884,"&gt;0")</f>
        <v>0</v>
      </c>
      <c r="H493" s="30" t="n">
        <f aca="false">SUMIFS(Trades!$X$2:$X$884,Trades!$D$2:$D$884,$A493,Trades!$X$2:$X$884,"&lt;0")</f>
        <v>0</v>
      </c>
      <c r="I493" s="31" t="str">
        <f aca="false">IFERROR(G493/-H493,"no loss")</f>
        <v>no loss</v>
      </c>
      <c r="J493" s="30" t="n">
        <f aca="false">_xlfn.MAXIFS(Trades!$X$2:$X$884,Trades!$D$2:$D$884,$A493)</f>
        <v>0</v>
      </c>
      <c r="K493" s="30" t="n">
        <f aca="false">_xlfn.MINIFS(Trades!$X$2:$X$884,Trades!$D$2:$D$884,$A493)</f>
        <v>0</v>
      </c>
      <c r="L493" s="32" t="n">
        <f aca="false">SUMIFS(Trades!$Y$2:$Y$884,Trades!$D$2:$D$884,$A493)</f>
        <v>0</v>
      </c>
      <c r="M493" s="30" t="n">
        <f aca="false">P492</f>
        <v>112134.29</v>
      </c>
      <c r="N493" s="29" t="n">
        <f aca="false">IFERROR(F493/M493,0)</f>
        <v>0</v>
      </c>
      <c r="O493" s="28" t="str">
        <f aca="false">IF(-N493&gt;=Summary!$C$7,"BREACH","")</f>
        <v/>
      </c>
      <c r="P493" s="30" t="n">
        <f aca="false">M493+F493</f>
        <v>112134.29</v>
      </c>
      <c r="Q493" s="30" t="n">
        <f aca="false">P493-Summary!$C$5</f>
        <v>12134.2900000001</v>
      </c>
      <c r="R493" s="2" t="str">
        <f aca="false">TEXT(A493,"ddd")</f>
        <v>Thu</v>
      </c>
    </row>
    <row r="494" customFormat="false" ht="15" hidden="false" customHeight="false" outlineLevel="0" collapsed="false">
      <c r="A494" s="42" t="n">
        <v>45835</v>
      </c>
      <c r="B494" s="28" t="n">
        <f aca="false">COUNTIFS(Trades!$D$2:$D$884,$A494)</f>
        <v>1</v>
      </c>
      <c r="C494" s="28" t="n">
        <f aca="false">COUNTIFS(Trades!$D$2:$D$884,$A494,Trades!$Z$2:$Z$884,"Win")</f>
        <v>0</v>
      </c>
      <c r="D494" s="28" t="n">
        <f aca="false">COUNTIFS(Trades!$D$2:$D$884,$A494,Trades!$Z$2:$Z$884,"Loss")</f>
        <v>1</v>
      </c>
      <c r="E494" s="29" t="n">
        <f aca="false">IFERROR(C494/B494,0)</f>
        <v>0</v>
      </c>
      <c r="F494" s="30" t="n">
        <f aca="false">SUMIFS(Trades!$X$2:$X$884,Trades!$D$2:$D$884,$A494)</f>
        <v>-0.13</v>
      </c>
      <c r="G494" s="30" t="n">
        <f aca="false">SUMIFS(Trades!$X$2:$X$884,Trades!$D$2:$D$884,$A494,Trades!$X$2:$X$884,"&gt;0")</f>
        <v>0</v>
      </c>
      <c r="H494" s="30" t="n">
        <f aca="false">SUMIFS(Trades!$X$2:$X$884,Trades!$D$2:$D$884,$A494,Trades!$X$2:$X$884,"&lt;0")</f>
        <v>-0.13</v>
      </c>
      <c r="I494" s="31" t="n">
        <f aca="false">IFERROR(G494/-H494,"no loss")</f>
        <v>0</v>
      </c>
      <c r="J494" s="30" t="n">
        <f aca="false">_xlfn.MAXIFS(Trades!$X$2:$X$884,Trades!$D$2:$D$884,$A494)</f>
        <v>-0.13</v>
      </c>
      <c r="K494" s="30" t="n">
        <f aca="false">_xlfn.MINIFS(Trades!$X$2:$X$884,Trades!$D$2:$D$884,$A494)</f>
        <v>-0.13</v>
      </c>
      <c r="L494" s="32" t="n">
        <f aca="false">SUMIFS(Trades!$Y$2:$Y$884,Trades!$D$2:$D$884,$A494)</f>
        <v>-0.00194634087914717</v>
      </c>
      <c r="M494" s="30" t="n">
        <f aca="false">P493</f>
        <v>112134.29</v>
      </c>
      <c r="N494" s="29" t="n">
        <f aca="false">IFERROR(F494/M494,0)</f>
        <v>-1.159324235254E-006</v>
      </c>
      <c r="O494" s="28" t="str">
        <f aca="false">IF(-N494&gt;=Summary!$C$7,"BREACH","")</f>
        <v/>
      </c>
      <c r="P494" s="30" t="n">
        <f aca="false">M494+F494</f>
        <v>112134.16</v>
      </c>
      <c r="Q494" s="30" t="n">
        <f aca="false">P494-Summary!$C$5</f>
        <v>12134.1600000001</v>
      </c>
      <c r="R494" s="2" t="str">
        <f aca="false">TEXT(A494,"ddd")</f>
        <v>Fri</v>
      </c>
    </row>
    <row r="495" customFormat="false" ht="15" hidden="false" customHeight="false" outlineLevel="0" collapsed="false">
      <c r="A495" s="42" t="n">
        <v>45838</v>
      </c>
      <c r="B495" s="28" t="n">
        <f aca="false">COUNTIFS(Trades!$D$2:$D$884,$A495)</f>
        <v>1</v>
      </c>
      <c r="C495" s="28" t="n">
        <f aca="false">COUNTIFS(Trades!$D$2:$D$884,$A495,Trades!$Z$2:$Z$884,"Win")</f>
        <v>0</v>
      </c>
      <c r="D495" s="28" t="n">
        <f aca="false">COUNTIFS(Trades!$D$2:$D$884,$A495,Trades!$Z$2:$Z$884,"Loss")</f>
        <v>1</v>
      </c>
      <c r="E495" s="29" t="n">
        <f aca="false">IFERROR(C495/B495,0)</f>
        <v>0</v>
      </c>
      <c r="F495" s="30" t="n">
        <f aca="false">SUMIFS(Trades!$X$2:$X$884,Trades!$D$2:$D$884,$A495)</f>
        <v>-65.96</v>
      </c>
      <c r="G495" s="30" t="n">
        <f aca="false">SUMIFS(Trades!$X$2:$X$884,Trades!$D$2:$D$884,$A495,Trades!$X$2:$X$884,"&gt;0")</f>
        <v>0</v>
      </c>
      <c r="H495" s="30" t="n">
        <f aca="false">SUMIFS(Trades!$X$2:$X$884,Trades!$D$2:$D$884,$A495,Trades!$X$2:$X$884,"&lt;0")</f>
        <v>-65.96</v>
      </c>
      <c r="I495" s="31" t="n">
        <f aca="false">IFERROR(G495/-H495,"no loss")</f>
        <v>0</v>
      </c>
      <c r="J495" s="30" t="n">
        <f aca="false">_xlfn.MAXIFS(Trades!$X$2:$X$884,Trades!$D$2:$D$884,$A495)</f>
        <v>-65.96</v>
      </c>
      <c r="K495" s="30" t="n">
        <f aca="false">_xlfn.MINIFS(Trades!$X$2:$X$884,Trades!$D$2:$D$884,$A495)</f>
        <v>-65.96</v>
      </c>
      <c r="L495" s="32" t="n">
        <f aca="false">SUMIFS(Trades!$Y$2:$Y$884,Trades!$D$2:$D$884,$A495)</f>
        <v>-1.0170223263845</v>
      </c>
      <c r="M495" s="30" t="n">
        <f aca="false">P494</f>
        <v>112134.16</v>
      </c>
      <c r="N495" s="29" t="n">
        <f aca="false">IFERROR(F495/M495,0)</f>
        <v>-0.000588223963152709</v>
      </c>
      <c r="O495" s="28" t="str">
        <f aca="false">IF(-N495&gt;=Summary!$C$7,"BREACH","")</f>
        <v/>
      </c>
      <c r="P495" s="30" t="n">
        <f aca="false">M495+F495</f>
        <v>112068.2</v>
      </c>
      <c r="Q495" s="30" t="n">
        <f aca="false">P495-Summary!$C$5</f>
        <v>12068.2000000001</v>
      </c>
      <c r="R495" s="2" t="str">
        <f aca="false">TEXT(A495,"ddd")</f>
        <v>Mon</v>
      </c>
    </row>
    <row r="496" customFormat="false" ht="15" hidden="false" customHeight="false" outlineLevel="0" collapsed="false">
      <c r="A496" s="42" t="n">
        <v>45839</v>
      </c>
      <c r="B496" s="28" t="n">
        <f aca="false">COUNTIFS(Trades!$D$2:$D$884,$A496)</f>
        <v>1</v>
      </c>
      <c r="C496" s="28" t="n">
        <f aca="false">COUNTIFS(Trades!$D$2:$D$884,$A496,Trades!$Z$2:$Z$884,"Win")</f>
        <v>1</v>
      </c>
      <c r="D496" s="28" t="n">
        <f aca="false">COUNTIFS(Trades!$D$2:$D$884,$A496,Trades!$Z$2:$Z$884,"Loss")</f>
        <v>0</v>
      </c>
      <c r="E496" s="29" t="n">
        <f aca="false">IFERROR(C496/B496,0)</f>
        <v>1</v>
      </c>
      <c r="F496" s="30" t="n">
        <f aca="false">SUMIFS(Trades!$X$2:$X$884,Trades!$D$2:$D$884,$A496)</f>
        <v>277.86</v>
      </c>
      <c r="G496" s="30" t="n">
        <f aca="false">SUMIFS(Trades!$X$2:$X$884,Trades!$D$2:$D$884,$A496,Trades!$X$2:$X$884,"&gt;0")</f>
        <v>277.86</v>
      </c>
      <c r="H496" s="30" t="n">
        <f aca="false">SUMIFS(Trades!$X$2:$X$884,Trades!$D$2:$D$884,$A496,Trades!$X$2:$X$884,"&lt;0")</f>
        <v>0</v>
      </c>
      <c r="I496" s="31" t="str">
        <f aca="false">IFERROR(G496/-H496,"no loss")</f>
        <v>no loss</v>
      </c>
      <c r="J496" s="30" t="n">
        <f aca="false">_xlfn.MAXIFS(Trades!$X$2:$X$884,Trades!$D$2:$D$884,$A496)</f>
        <v>277.86</v>
      </c>
      <c r="K496" s="30" t="n">
        <f aca="false">_xlfn.MINIFS(Trades!$X$2:$X$884,Trades!$D$2:$D$884,$A496)</f>
        <v>277.86</v>
      </c>
      <c r="L496" s="32" t="n">
        <f aca="false">SUMIFS(Trades!$Y$2:$Y$884,Trades!$D$2:$D$884,$A496)</f>
        <v>2.01371173469384</v>
      </c>
      <c r="M496" s="30" t="n">
        <f aca="false">P495</f>
        <v>112068.2</v>
      </c>
      <c r="N496" s="29" t="n">
        <f aca="false">IFERROR(F496/M496,0)</f>
        <v>0.00247938308993987</v>
      </c>
      <c r="O496" s="28" t="str">
        <f aca="false">IF(-N496&gt;=Summary!$C$7,"BREACH","")</f>
        <v/>
      </c>
      <c r="P496" s="30" t="n">
        <f aca="false">M496+F496</f>
        <v>112346.06</v>
      </c>
      <c r="Q496" s="30" t="n">
        <f aca="false">P496-Summary!$C$5</f>
        <v>12346.0600000001</v>
      </c>
      <c r="R496" s="2" t="str">
        <f aca="false">TEXT(A496,"ddd")</f>
        <v>Tue</v>
      </c>
    </row>
    <row r="497" customFormat="false" ht="15" hidden="false" customHeight="false" outlineLevel="0" collapsed="false">
      <c r="A497" s="42" t="n">
        <v>45840</v>
      </c>
      <c r="B497" s="28" t="n">
        <f aca="false">COUNTIFS(Trades!$D$2:$D$884,$A497)</f>
        <v>1</v>
      </c>
      <c r="C497" s="28" t="n">
        <f aca="false">COUNTIFS(Trades!$D$2:$D$884,$A497,Trades!$Z$2:$Z$884,"Win")</f>
        <v>0</v>
      </c>
      <c r="D497" s="28" t="n">
        <f aca="false">COUNTIFS(Trades!$D$2:$D$884,$A497,Trades!$Z$2:$Z$884,"Loss")</f>
        <v>1</v>
      </c>
      <c r="E497" s="29" t="n">
        <f aca="false">IFERROR(C497/B497,0)</f>
        <v>0</v>
      </c>
      <c r="F497" s="30" t="n">
        <f aca="false">SUMIFS(Trades!$X$2:$X$884,Trades!$D$2:$D$884,$A497)</f>
        <v>-98.78</v>
      </c>
      <c r="G497" s="30" t="n">
        <f aca="false">SUMIFS(Trades!$X$2:$X$884,Trades!$D$2:$D$884,$A497,Trades!$X$2:$X$884,"&gt;0")</f>
        <v>0</v>
      </c>
      <c r="H497" s="30" t="n">
        <f aca="false">SUMIFS(Trades!$X$2:$X$884,Trades!$D$2:$D$884,$A497,Trades!$X$2:$X$884,"&lt;0")</f>
        <v>-98.78</v>
      </c>
      <c r="I497" s="31" t="n">
        <f aca="false">IFERROR(G497/-H497,"no loss")</f>
        <v>0</v>
      </c>
      <c r="J497" s="30" t="n">
        <f aca="false">_xlfn.MAXIFS(Trades!$X$2:$X$884,Trades!$D$2:$D$884,$A497)</f>
        <v>-98.78</v>
      </c>
      <c r="K497" s="30" t="n">
        <f aca="false">_xlfn.MINIFS(Trades!$X$2:$X$884,Trades!$D$2:$D$884,$A497)</f>
        <v>-98.78</v>
      </c>
      <c r="L497" s="32" t="n">
        <f aca="false">SUMIFS(Trades!$Y$2:$Y$884,Trades!$D$2:$D$884,$A497)</f>
        <v>-1.03503918856622</v>
      </c>
      <c r="M497" s="30" t="n">
        <f aca="false">P496</f>
        <v>112346.06</v>
      </c>
      <c r="N497" s="29" t="n">
        <f aca="false">IFERROR(F497/M497,0)</f>
        <v>-0.000879247567738468</v>
      </c>
      <c r="O497" s="28" t="str">
        <f aca="false">IF(-N497&gt;=Summary!$C$7,"BREACH","")</f>
        <v/>
      </c>
      <c r="P497" s="30" t="n">
        <f aca="false">M497+F497</f>
        <v>112247.28</v>
      </c>
      <c r="Q497" s="30" t="n">
        <f aca="false">P497-Summary!$C$5</f>
        <v>12247.2800000001</v>
      </c>
      <c r="R497" s="2" t="str">
        <f aca="false">TEXT(A497,"ddd")</f>
        <v>Wed</v>
      </c>
    </row>
    <row r="498" customFormat="false" ht="15" hidden="false" customHeight="false" outlineLevel="0" collapsed="false">
      <c r="A498" s="42" t="n">
        <v>45841</v>
      </c>
      <c r="B498" s="28" t="n">
        <f aca="false">COUNTIFS(Trades!$D$2:$D$884,$A498)</f>
        <v>1</v>
      </c>
      <c r="C498" s="28" t="n">
        <f aca="false">COUNTIFS(Trades!$D$2:$D$884,$A498,Trades!$Z$2:$Z$884,"Win")</f>
        <v>0</v>
      </c>
      <c r="D498" s="28" t="n">
        <f aca="false">COUNTIFS(Trades!$D$2:$D$884,$A498,Trades!$Z$2:$Z$884,"Loss")</f>
        <v>1</v>
      </c>
      <c r="E498" s="29" t="n">
        <f aca="false">IFERROR(C498/B498,0)</f>
        <v>0</v>
      </c>
      <c r="F498" s="30" t="n">
        <f aca="false">SUMIFS(Trades!$X$2:$X$884,Trades!$D$2:$D$884,$A498)</f>
        <v>-40.96</v>
      </c>
      <c r="G498" s="30" t="n">
        <f aca="false">SUMIFS(Trades!$X$2:$X$884,Trades!$D$2:$D$884,$A498,Trades!$X$2:$X$884,"&gt;0")</f>
        <v>0</v>
      </c>
      <c r="H498" s="30" t="n">
        <f aca="false">SUMIFS(Trades!$X$2:$X$884,Trades!$D$2:$D$884,$A498,Trades!$X$2:$X$884,"&lt;0")</f>
        <v>-40.96</v>
      </c>
      <c r="I498" s="31" t="n">
        <f aca="false">IFERROR(G498/-H498,"no loss")</f>
        <v>0</v>
      </c>
      <c r="J498" s="30" t="n">
        <f aca="false">_xlfn.MAXIFS(Trades!$X$2:$X$884,Trades!$D$2:$D$884,$A498)</f>
        <v>-40.96</v>
      </c>
      <c r="K498" s="30" t="n">
        <f aca="false">_xlfn.MINIFS(Trades!$X$2:$X$884,Trades!$D$2:$D$884,$A498)</f>
        <v>-40.96</v>
      </c>
      <c r="L498" s="32" t="n">
        <f aca="false">SUMIFS(Trades!$Y$2:$Y$884,Trades!$D$2:$D$884,$A498)</f>
        <v>-1.02410241024142</v>
      </c>
      <c r="M498" s="30" t="n">
        <f aca="false">P497</f>
        <v>112247.28</v>
      </c>
      <c r="N498" s="29" t="n">
        <f aca="false">IFERROR(F498/M498,0)</f>
        <v>-0.000364908619611985</v>
      </c>
      <c r="O498" s="28" t="str">
        <f aca="false">IF(-N498&gt;=Summary!$C$7,"BREACH","")</f>
        <v/>
      </c>
      <c r="P498" s="30" t="n">
        <f aca="false">M498+F498</f>
        <v>112206.32</v>
      </c>
      <c r="Q498" s="30" t="n">
        <f aca="false">P498-Summary!$C$5</f>
        <v>12206.3200000001</v>
      </c>
      <c r="R498" s="2" t="str">
        <f aca="false">TEXT(A498,"ddd")</f>
        <v>Thu</v>
      </c>
    </row>
    <row r="499" customFormat="false" ht="15" hidden="false" customHeight="false" outlineLevel="0" collapsed="false">
      <c r="A499" s="42" t="n">
        <v>45845</v>
      </c>
      <c r="B499" s="28" t="n">
        <f aca="false">COUNTIFS(Trades!$D$2:$D$884,$A499)</f>
        <v>1</v>
      </c>
      <c r="C499" s="28" t="n">
        <f aca="false">COUNTIFS(Trades!$D$2:$D$884,$A499,Trades!$Z$2:$Z$884,"Win")</f>
        <v>0</v>
      </c>
      <c r="D499" s="28" t="n">
        <f aca="false">COUNTIFS(Trades!$D$2:$D$884,$A499,Trades!$Z$2:$Z$884,"Loss")</f>
        <v>1</v>
      </c>
      <c r="E499" s="29" t="n">
        <f aca="false">IFERROR(C499/B499,0)</f>
        <v>0</v>
      </c>
      <c r="F499" s="30" t="n">
        <f aca="false">SUMIFS(Trades!$X$2:$X$884,Trades!$D$2:$D$884,$A499)</f>
        <v>-0.7</v>
      </c>
      <c r="G499" s="30" t="n">
        <f aca="false">SUMIFS(Trades!$X$2:$X$884,Trades!$D$2:$D$884,$A499,Trades!$X$2:$X$884,"&gt;0")</f>
        <v>0</v>
      </c>
      <c r="H499" s="30" t="n">
        <f aca="false">SUMIFS(Trades!$X$2:$X$884,Trades!$D$2:$D$884,$A499,Trades!$X$2:$X$884,"&lt;0")</f>
        <v>-0.7</v>
      </c>
      <c r="I499" s="31" t="n">
        <f aca="false">IFERROR(G499/-H499,"no loss")</f>
        <v>0</v>
      </c>
      <c r="J499" s="30" t="n">
        <f aca="false">_xlfn.MAXIFS(Trades!$X$2:$X$884,Trades!$D$2:$D$884,$A499)</f>
        <v>-0.7</v>
      </c>
      <c r="K499" s="30" t="n">
        <f aca="false">_xlfn.MINIFS(Trades!$X$2:$X$884,Trades!$D$2:$D$884,$A499)</f>
        <v>-0.7</v>
      </c>
      <c r="L499" s="32" t="n">
        <f aca="false">SUMIFS(Trades!$Y$2:$Y$884,Trades!$D$2:$D$884,$A499)</f>
        <v>-0.00420764107619463</v>
      </c>
      <c r="M499" s="30" t="n">
        <f aca="false">P498</f>
        <v>112206.32</v>
      </c>
      <c r="N499" s="29" t="n">
        <f aca="false">IFERROR(F499/M499,0)</f>
        <v>-6.23850777745852E-006</v>
      </c>
      <c r="O499" s="28" t="str">
        <f aca="false">IF(-N499&gt;=Summary!$C$7,"BREACH","")</f>
        <v/>
      </c>
      <c r="P499" s="30" t="n">
        <f aca="false">M499+F499</f>
        <v>112205.62</v>
      </c>
      <c r="Q499" s="30" t="n">
        <f aca="false">P499-Summary!$C$5</f>
        <v>12205.6200000001</v>
      </c>
      <c r="R499" s="2" t="str">
        <f aca="false">TEXT(A499,"ddd")</f>
        <v>Mon</v>
      </c>
    </row>
    <row r="500" customFormat="false" ht="15" hidden="false" customHeight="false" outlineLevel="0" collapsed="false">
      <c r="A500" s="42" t="n">
        <v>45847</v>
      </c>
      <c r="B500" s="28" t="n">
        <f aca="false">COUNTIFS(Trades!$D$2:$D$884,$A500)</f>
        <v>1</v>
      </c>
      <c r="C500" s="28" t="n">
        <f aca="false">COUNTIFS(Trades!$D$2:$D$884,$A500,Trades!$Z$2:$Z$884,"Win")</f>
        <v>1</v>
      </c>
      <c r="D500" s="28" t="n">
        <f aca="false">COUNTIFS(Trades!$D$2:$D$884,$A500,Trades!$Z$2:$Z$884,"Loss")</f>
        <v>0</v>
      </c>
      <c r="E500" s="29" t="n">
        <f aca="false">IFERROR(C500/B500,0)</f>
        <v>1</v>
      </c>
      <c r="F500" s="30" t="n">
        <f aca="false">SUMIFS(Trades!$X$2:$X$884,Trades!$D$2:$D$884,$A500)</f>
        <v>88.97</v>
      </c>
      <c r="G500" s="30" t="n">
        <f aca="false">SUMIFS(Trades!$X$2:$X$884,Trades!$D$2:$D$884,$A500,Trades!$X$2:$X$884,"&gt;0")</f>
        <v>88.97</v>
      </c>
      <c r="H500" s="30" t="n">
        <f aca="false">SUMIFS(Trades!$X$2:$X$884,Trades!$D$2:$D$884,$A500,Trades!$X$2:$X$884,"&lt;0")</f>
        <v>0</v>
      </c>
      <c r="I500" s="31" t="str">
        <f aca="false">IFERROR(G500/-H500,"no loss")</f>
        <v>no loss</v>
      </c>
      <c r="J500" s="30" t="n">
        <f aca="false">_xlfn.MAXIFS(Trades!$X$2:$X$884,Trades!$D$2:$D$884,$A500)</f>
        <v>88.97</v>
      </c>
      <c r="K500" s="30" t="n">
        <f aca="false">_xlfn.MINIFS(Trades!$X$2:$X$884,Trades!$D$2:$D$884,$A500)</f>
        <v>88.97</v>
      </c>
      <c r="L500" s="32" t="n">
        <f aca="false">SUMIFS(Trades!$Y$2:$Y$884,Trades!$D$2:$D$884,$A500)</f>
        <v>1.72382391691861</v>
      </c>
      <c r="M500" s="30" t="n">
        <f aca="false">P499</f>
        <v>112205.62</v>
      </c>
      <c r="N500" s="29" t="n">
        <f aca="false">IFERROR(F500/M500,0)</f>
        <v>0.000792919285148105</v>
      </c>
      <c r="O500" s="28" t="str">
        <f aca="false">IF(-N500&gt;=Summary!$C$7,"BREACH","")</f>
        <v/>
      </c>
      <c r="P500" s="30" t="n">
        <f aca="false">M500+F500</f>
        <v>112294.59</v>
      </c>
      <c r="Q500" s="30" t="n">
        <f aca="false">P500-Summary!$C$5</f>
        <v>12294.5900000001</v>
      </c>
      <c r="R500" s="2" t="str">
        <f aca="false">TEXT(A500,"ddd")</f>
        <v>Wed</v>
      </c>
    </row>
    <row r="501" customFormat="false" ht="15" hidden="false" customHeight="false" outlineLevel="0" collapsed="false">
      <c r="A501" s="42" t="n">
        <v>45849</v>
      </c>
      <c r="B501" s="28" t="n">
        <f aca="false">COUNTIFS(Trades!$D$2:$D$884,$A501)</f>
        <v>1</v>
      </c>
      <c r="C501" s="28" t="n">
        <f aca="false">COUNTIFS(Trades!$D$2:$D$884,$A501,Trades!$Z$2:$Z$884,"Win")</f>
        <v>0</v>
      </c>
      <c r="D501" s="28" t="n">
        <f aca="false">COUNTIFS(Trades!$D$2:$D$884,$A501,Trades!$Z$2:$Z$884,"Loss")</f>
        <v>1</v>
      </c>
      <c r="E501" s="29" t="n">
        <f aca="false">IFERROR(C501/B501,0)</f>
        <v>0</v>
      </c>
      <c r="F501" s="30" t="n">
        <f aca="false">SUMIFS(Trades!$X$2:$X$884,Trades!$D$2:$D$884,$A501)</f>
        <v>-2.02</v>
      </c>
      <c r="G501" s="30" t="n">
        <f aca="false">SUMIFS(Trades!$X$2:$X$884,Trades!$D$2:$D$884,$A501,Trades!$X$2:$X$884,"&gt;0")</f>
        <v>0</v>
      </c>
      <c r="H501" s="30" t="n">
        <f aca="false">SUMIFS(Trades!$X$2:$X$884,Trades!$D$2:$D$884,$A501,Trades!$X$2:$X$884,"&lt;0")</f>
        <v>-2.02</v>
      </c>
      <c r="I501" s="31" t="n">
        <f aca="false">IFERROR(G501/-H501,"no loss")</f>
        <v>0</v>
      </c>
      <c r="J501" s="30" t="n">
        <f aca="false">_xlfn.MAXIFS(Trades!$X$2:$X$884,Trades!$D$2:$D$884,$A501)</f>
        <v>-2.02</v>
      </c>
      <c r="K501" s="30" t="n">
        <f aca="false">_xlfn.MINIFS(Trades!$X$2:$X$884,Trades!$D$2:$D$884,$A501)</f>
        <v>-2.02</v>
      </c>
      <c r="L501" s="32" t="n">
        <f aca="false">SUMIFS(Trades!$Y$2:$Y$884,Trades!$D$2:$D$884,$A501)</f>
        <v>-0.0140480694336262</v>
      </c>
      <c r="M501" s="30" t="n">
        <f aca="false">P500</f>
        <v>112294.59</v>
      </c>
      <c r="N501" s="29" t="n">
        <f aca="false">IFERROR(F501/M501,0)</f>
        <v>-1.79883999754574E-005</v>
      </c>
      <c r="O501" s="28" t="str">
        <f aca="false">IF(-N501&gt;=Summary!$C$7,"BREACH","")</f>
        <v/>
      </c>
      <c r="P501" s="30" t="n">
        <f aca="false">M501+F501</f>
        <v>112292.57</v>
      </c>
      <c r="Q501" s="30" t="n">
        <f aca="false">P501-Summary!$C$5</f>
        <v>12292.5700000001</v>
      </c>
      <c r="R501" s="2" t="str">
        <f aca="false">TEXT(A501,"ddd")</f>
        <v>Fri</v>
      </c>
    </row>
    <row r="502" customFormat="false" ht="15" hidden="false" customHeight="false" outlineLevel="0" collapsed="false">
      <c r="A502" s="42" t="n">
        <v>45852</v>
      </c>
      <c r="B502" s="28" t="n">
        <f aca="false">COUNTIFS(Trades!$D$2:$D$884,$A502)</f>
        <v>2</v>
      </c>
      <c r="C502" s="28" t="n">
        <f aca="false">COUNTIFS(Trades!$D$2:$D$884,$A502,Trades!$Z$2:$Z$884,"Win")</f>
        <v>1</v>
      </c>
      <c r="D502" s="28" t="n">
        <f aca="false">COUNTIFS(Trades!$D$2:$D$884,$A502,Trades!$Z$2:$Z$884,"Loss")</f>
        <v>1</v>
      </c>
      <c r="E502" s="29" t="n">
        <f aca="false">IFERROR(C502/B502,0)</f>
        <v>0.5</v>
      </c>
      <c r="F502" s="30" t="n">
        <f aca="false">SUMIFS(Trades!$X$2:$X$884,Trades!$D$2:$D$884,$A502)</f>
        <v>-106.3</v>
      </c>
      <c r="G502" s="30" t="n">
        <f aca="false">SUMIFS(Trades!$X$2:$X$884,Trades!$D$2:$D$884,$A502,Trades!$X$2:$X$884,"&gt;0")</f>
        <v>73.22</v>
      </c>
      <c r="H502" s="30" t="n">
        <f aca="false">SUMIFS(Trades!$X$2:$X$884,Trades!$D$2:$D$884,$A502,Trades!$X$2:$X$884,"&lt;0")</f>
        <v>-179.52</v>
      </c>
      <c r="I502" s="31" t="n">
        <f aca="false">IFERROR(G502/-H502,"no loss")</f>
        <v>0.407865418894831</v>
      </c>
      <c r="J502" s="30" t="n">
        <f aca="false">_xlfn.MAXIFS(Trades!$X$2:$X$884,Trades!$D$2:$D$884,$A502)</f>
        <v>73.22</v>
      </c>
      <c r="K502" s="30" t="n">
        <f aca="false">_xlfn.MINIFS(Trades!$X$2:$X$884,Trades!$D$2:$D$884,$A502)</f>
        <v>-179.52</v>
      </c>
      <c r="L502" s="32" t="n">
        <f aca="false">SUMIFS(Trades!$Y$2:$Y$884,Trades!$D$2:$D$884,$A502)</f>
        <v>1.0005514995484</v>
      </c>
      <c r="M502" s="30" t="n">
        <f aca="false">P501</f>
        <v>112292.57</v>
      </c>
      <c r="N502" s="29" t="n">
        <f aca="false">IFERROR(F502/M502,0)</f>
        <v>-0.000946634314273865</v>
      </c>
      <c r="O502" s="28" t="str">
        <f aca="false">IF(-N502&gt;=Summary!$C$7,"BREACH","")</f>
        <v/>
      </c>
      <c r="P502" s="30" t="n">
        <f aca="false">M502+F502</f>
        <v>112186.27</v>
      </c>
      <c r="Q502" s="30" t="n">
        <f aca="false">P502-Summary!$C$5</f>
        <v>12186.2700000001</v>
      </c>
      <c r="R502" s="2" t="str">
        <f aca="false">TEXT(A502,"ddd")</f>
        <v>Mon</v>
      </c>
    </row>
    <row r="503" customFormat="false" ht="15" hidden="false" customHeight="false" outlineLevel="0" collapsed="false">
      <c r="A503" s="42" t="n">
        <v>45853</v>
      </c>
      <c r="B503" s="28" t="n">
        <f aca="false">COUNTIFS(Trades!$D$2:$D$884,$A503)</f>
        <v>1</v>
      </c>
      <c r="C503" s="28" t="n">
        <f aca="false">COUNTIFS(Trades!$D$2:$D$884,$A503,Trades!$Z$2:$Z$884,"Win")</f>
        <v>1</v>
      </c>
      <c r="D503" s="28" t="n">
        <f aca="false">COUNTIFS(Trades!$D$2:$D$884,$A503,Trades!$Z$2:$Z$884,"Loss")</f>
        <v>0</v>
      </c>
      <c r="E503" s="29" t="n">
        <f aca="false">IFERROR(C503/B503,0)</f>
        <v>1</v>
      </c>
      <c r="F503" s="30" t="n">
        <f aca="false">SUMIFS(Trades!$X$2:$X$884,Trades!$D$2:$D$884,$A503)</f>
        <v>177.85</v>
      </c>
      <c r="G503" s="30" t="n">
        <f aca="false">SUMIFS(Trades!$X$2:$X$884,Trades!$D$2:$D$884,$A503,Trades!$X$2:$X$884,"&gt;0")</f>
        <v>177.85</v>
      </c>
      <c r="H503" s="30" t="n">
        <f aca="false">SUMIFS(Trades!$X$2:$X$884,Trades!$D$2:$D$884,$A503,Trades!$X$2:$X$884,"&lt;0")</f>
        <v>0</v>
      </c>
      <c r="I503" s="31" t="str">
        <f aca="false">IFERROR(G503/-H503,"no loss")</f>
        <v>no loss</v>
      </c>
      <c r="J503" s="30" t="n">
        <f aca="false">_xlfn.MAXIFS(Trades!$X$2:$X$884,Trades!$D$2:$D$884,$A503)</f>
        <v>177.85</v>
      </c>
      <c r="K503" s="30" t="n">
        <f aca="false">_xlfn.MINIFS(Trades!$X$2:$X$884,Trades!$D$2:$D$884,$A503)</f>
        <v>177.85</v>
      </c>
      <c r="L503" s="32" t="n">
        <f aca="false">SUMIFS(Trades!$Y$2:$Y$884,Trades!$D$2:$D$884,$A503)</f>
        <v>2.02608794714087</v>
      </c>
      <c r="M503" s="30" t="n">
        <f aca="false">P502</f>
        <v>112186.27</v>
      </c>
      <c r="N503" s="29" t="n">
        <f aca="false">IFERROR(F503/M503,0)</f>
        <v>0.00158530986011033</v>
      </c>
      <c r="O503" s="28" t="str">
        <f aca="false">IF(-N503&gt;=Summary!$C$7,"BREACH","")</f>
        <v/>
      </c>
      <c r="P503" s="30" t="n">
        <f aca="false">M503+F503</f>
        <v>112364.12</v>
      </c>
      <c r="Q503" s="30" t="n">
        <f aca="false">P503-Summary!$C$5</f>
        <v>12364.1200000001</v>
      </c>
      <c r="R503" s="2" t="str">
        <f aca="false">TEXT(A503,"ddd")</f>
        <v>Tue</v>
      </c>
    </row>
    <row r="504" customFormat="false" ht="15" hidden="false" customHeight="false" outlineLevel="0" collapsed="false">
      <c r="A504" s="42" t="n">
        <v>45854</v>
      </c>
      <c r="B504" s="28" t="n">
        <f aca="false">COUNTIFS(Trades!$D$2:$D$884,$A504)</f>
        <v>1</v>
      </c>
      <c r="C504" s="28" t="n">
        <f aca="false">COUNTIFS(Trades!$D$2:$D$884,$A504,Trades!$Z$2:$Z$884,"Win")</f>
        <v>0</v>
      </c>
      <c r="D504" s="28" t="n">
        <f aca="false">COUNTIFS(Trades!$D$2:$D$884,$A504,Trades!$Z$2:$Z$884,"Loss")</f>
        <v>1</v>
      </c>
      <c r="E504" s="29" t="n">
        <f aca="false">IFERROR(C504/B504,0)</f>
        <v>0</v>
      </c>
      <c r="F504" s="30" t="n">
        <f aca="false">SUMIFS(Trades!$X$2:$X$884,Trades!$D$2:$D$884,$A504)</f>
        <v>-63.71</v>
      </c>
      <c r="G504" s="30" t="n">
        <f aca="false">SUMIFS(Trades!$X$2:$X$884,Trades!$D$2:$D$884,$A504,Trades!$X$2:$X$884,"&gt;0")</f>
        <v>0</v>
      </c>
      <c r="H504" s="30" t="n">
        <f aca="false">SUMIFS(Trades!$X$2:$X$884,Trades!$D$2:$D$884,$A504,Trades!$X$2:$X$884,"&lt;0")</f>
        <v>-63.71</v>
      </c>
      <c r="I504" s="31" t="n">
        <f aca="false">IFERROR(G504/-H504,"no loss")</f>
        <v>0</v>
      </c>
      <c r="J504" s="30" t="n">
        <f aca="false">_xlfn.MAXIFS(Trades!$X$2:$X$884,Trades!$D$2:$D$884,$A504)</f>
        <v>-63.71</v>
      </c>
      <c r="K504" s="30" t="n">
        <f aca="false">_xlfn.MINIFS(Trades!$X$2:$X$884,Trades!$D$2:$D$884,$A504)</f>
        <v>-63.71</v>
      </c>
      <c r="L504" s="32" t="n">
        <f aca="false">SUMIFS(Trades!$Y$2:$Y$884,Trades!$D$2:$D$884,$A504)</f>
        <v>-0.999968608739357</v>
      </c>
      <c r="M504" s="30" t="n">
        <f aca="false">P503</f>
        <v>112364.12</v>
      </c>
      <c r="N504" s="29" t="n">
        <f aca="false">IFERROR(F504/M504,0)</f>
        <v>-0.000566995941409055</v>
      </c>
      <c r="O504" s="28" t="str">
        <f aca="false">IF(-N504&gt;=Summary!$C$7,"BREACH","")</f>
        <v/>
      </c>
      <c r="P504" s="30" t="n">
        <f aca="false">M504+F504</f>
        <v>112300.41</v>
      </c>
      <c r="Q504" s="30" t="n">
        <f aca="false">P504-Summary!$C$5</f>
        <v>12300.4100000001</v>
      </c>
      <c r="R504" s="2" t="str">
        <f aca="false">TEXT(A504,"ddd")</f>
        <v>Wed</v>
      </c>
    </row>
    <row r="505" customFormat="false" ht="15" hidden="false" customHeight="false" outlineLevel="0" collapsed="false">
      <c r="A505" s="42" t="n">
        <v>45855</v>
      </c>
      <c r="B505" s="28" t="n">
        <f aca="false">COUNTIFS(Trades!$D$2:$D$884,$A505)</f>
        <v>1</v>
      </c>
      <c r="C505" s="28" t="n">
        <f aca="false">COUNTIFS(Trades!$D$2:$D$884,$A505,Trades!$Z$2:$Z$884,"Win")</f>
        <v>1</v>
      </c>
      <c r="D505" s="28" t="n">
        <f aca="false">COUNTIFS(Trades!$D$2:$D$884,$A505,Trades!$Z$2:$Z$884,"Loss")</f>
        <v>0</v>
      </c>
      <c r="E505" s="29" t="n">
        <f aca="false">IFERROR(C505/B505,0)</f>
        <v>1</v>
      </c>
      <c r="F505" s="30" t="n">
        <f aca="false">SUMIFS(Trades!$X$2:$X$884,Trades!$D$2:$D$884,$A505)</f>
        <v>68.24</v>
      </c>
      <c r="G505" s="30" t="n">
        <f aca="false">SUMIFS(Trades!$X$2:$X$884,Trades!$D$2:$D$884,$A505,Trades!$X$2:$X$884,"&gt;0")</f>
        <v>68.24</v>
      </c>
      <c r="H505" s="30" t="n">
        <f aca="false">SUMIFS(Trades!$X$2:$X$884,Trades!$D$2:$D$884,$A505,Trades!$X$2:$X$884,"&lt;0")</f>
        <v>0</v>
      </c>
      <c r="I505" s="31" t="str">
        <f aca="false">IFERROR(G505/-H505,"no loss")</f>
        <v>no loss</v>
      </c>
      <c r="J505" s="30" t="n">
        <f aca="false">_xlfn.MAXIFS(Trades!$X$2:$X$884,Trades!$D$2:$D$884,$A505)</f>
        <v>68.24</v>
      </c>
      <c r="K505" s="30" t="n">
        <f aca="false">_xlfn.MINIFS(Trades!$X$2:$X$884,Trades!$D$2:$D$884,$A505)</f>
        <v>68.24</v>
      </c>
      <c r="L505" s="32" t="n">
        <f aca="false">SUMIFS(Trades!$Y$2:$Y$884,Trades!$D$2:$D$884,$A505)</f>
        <v>2.02468549727039</v>
      </c>
      <c r="M505" s="30" t="n">
        <f aca="false">P504</f>
        <v>112300.41</v>
      </c>
      <c r="N505" s="29" t="n">
        <f aca="false">IFERROR(F505/M505,0)</f>
        <v>0.000607655840259176</v>
      </c>
      <c r="O505" s="28" t="str">
        <f aca="false">IF(-N505&gt;=Summary!$C$7,"BREACH","")</f>
        <v/>
      </c>
      <c r="P505" s="30" t="n">
        <f aca="false">M505+F505</f>
        <v>112368.65</v>
      </c>
      <c r="Q505" s="30" t="n">
        <f aca="false">P505-Summary!$C$5</f>
        <v>12368.6500000001</v>
      </c>
      <c r="R505" s="2" t="str">
        <f aca="false">TEXT(A505,"ddd")</f>
        <v>Thu</v>
      </c>
    </row>
    <row r="506" customFormat="false" ht="15" hidden="false" customHeight="false" outlineLevel="0" collapsed="false">
      <c r="A506" s="42" t="n">
        <v>45856</v>
      </c>
      <c r="B506" s="28" t="n">
        <f aca="false">COUNTIFS(Trades!$D$2:$D$884,$A506)</f>
        <v>1</v>
      </c>
      <c r="C506" s="28" t="n">
        <f aca="false">COUNTIFS(Trades!$D$2:$D$884,$A506,Trades!$Z$2:$Z$884,"Win")</f>
        <v>0</v>
      </c>
      <c r="D506" s="28" t="n">
        <f aca="false">COUNTIFS(Trades!$D$2:$D$884,$A506,Trades!$Z$2:$Z$884,"Loss")</f>
        <v>1</v>
      </c>
      <c r="E506" s="29" t="n">
        <f aca="false">IFERROR(C506/B506,0)</f>
        <v>0</v>
      </c>
      <c r="F506" s="30" t="n">
        <f aca="false">SUMIFS(Trades!$X$2:$X$884,Trades!$D$2:$D$884,$A506)</f>
        <v>-0.38</v>
      </c>
      <c r="G506" s="30" t="n">
        <f aca="false">SUMIFS(Trades!$X$2:$X$884,Trades!$D$2:$D$884,$A506,Trades!$X$2:$X$884,"&gt;0")</f>
        <v>0</v>
      </c>
      <c r="H506" s="30" t="n">
        <f aca="false">SUMIFS(Trades!$X$2:$X$884,Trades!$D$2:$D$884,$A506,Trades!$X$2:$X$884,"&lt;0")</f>
        <v>-0.38</v>
      </c>
      <c r="I506" s="31" t="n">
        <f aca="false">IFERROR(G506/-H506,"no loss")</f>
        <v>0</v>
      </c>
      <c r="J506" s="30" t="n">
        <f aca="false">_xlfn.MAXIFS(Trades!$X$2:$X$884,Trades!$D$2:$D$884,$A506)</f>
        <v>-0.38</v>
      </c>
      <c r="K506" s="30" t="n">
        <f aca="false">_xlfn.MINIFS(Trades!$X$2:$X$884,Trades!$D$2:$D$884,$A506)</f>
        <v>-0.38</v>
      </c>
      <c r="L506" s="32" t="n">
        <f aca="false">SUMIFS(Trades!$Y$2:$Y$884,Trades!$D$2:$D$884,$A506)</f>
        <v>-0.012906731879624</v>
      </c>
      <c r="M506" s="30" t="n">
        <f aca="false">P505</f>
        <v>112368.65</v>
      </c>
      <c r="N506" s="29" t="n">
        <f aca="false">IFERROR(F506/M506,0)</f>
        <v>-3.38172613090929E-006</v>
      </c>
      <c r="O506" s="28" t="str">
        <f aca="false">IF(-N506&gt;=Summary!$C$7,"BREACH","")</f>
        <v/>
      </c>
      <c r="P506" s="30" t="n">
        <f aca="false">M506+F506</f>
        <v>112368.27</v>
      </c>
      <c r="Q506" s="30" t="n">
        <f aca="false">P506-Summary!$C$5</f>
        <v>12368.2700000001</v>
      </c>
      <c r="R506" s="2" t="str">
        <f aca="false">TEXT(A506,"ddd")</f>
        <v>Fri</v>
      </c>
    </row>
    <row r="507" customFormat="false" ht="15" hidden="false" customHeight="false" outlineLevel="0" collapsed="false">
      <c r="A507" s="42" t="n">
        <v>45859</v>
      </c>
      <c r="B507" s="28" t="n">
        <f aca="false">COUNTIFS(Trades!$D$2:$D$884,$A507)</f>
        <v>1</v>
      </c>
      <c r="C507" s="28" t="n">
        <f aca="false">COUNTIFS(Trades!$D$2:$D$884,$A507,Trades!$Z$2:$Z$884,"Win")</f>
        <v>1</v>
      </c>
      <c r="D507" s="28" t="n">
        <f aca="false">COUNTIFS(Trades!$D$2:$D$884,$A507,Trades!$Z$2:$Z$884,"Loss")</f>
        <v>0</v>
      </c>
      <c r="E507" s="29" t="n">
        <f aca="false">IFERROR(C507/B507,0)</f>
        <v>1</v>
      </c>
      <c r="F507" s="30" t="n">
        <f aca="false">SUMIFS(Trades!$X$2:$X$884,Trades!$D$2:$D$884,$A507)</f>
        <v>204.08</v>
      </c>
      <c r="G507" s="30" t="n">
        <f aca="false">SUMIFS(Trades!$X$2:$X$884,Trades!$D$2:$D$884,$A507,Trades!$X$2:$X$884,"&gt;0")</f>
        <v>204.08</v>
      </c>
      <c r="H507" s="30" t="n">
        <f aca="false">SUMIFS(Trades!$X$2:$X$884,Trades!$D$2:$D$884,$A507,Trades!$X$2:$X$884,"&lt;0")</f>
        <v>0</v>
      </c>
      <c r="I507" s="31" t="str">
        <f aca="false">IFERROR(G507/-H507,"no loss")</f>
        <v>no loss</v>
      </c>
      <c r="J507" s="30" t="n">
        <f aca="false">_xlfn.MAXIFS(Trades!$X$2:$X$884,Trades!$D$2:$D$884,$A507)</f>
        <v>204.08</v>
      </c>
      <c r="K507" s="30" t="n">
        <f aca="false">_xlfn.MINIFS(Trades!$X$2:$X$884,Trades!$D$2:$D$884,$A507)</f>
        <v>204.08</v>
      </c>
      <c r="L507" s="32" t="n">
        <f aca="false">SUMIFS(Trades!$Y$2:$Y$884,Trades!$D$2:$D$884,$A507)</f>
        <v>2.00455759861687</v>
      </c>
      <c r="M507" s="30" t="n">
        <f aca="false">P506</f>
        <v>112368.27</v>
      </c>
      <c r="N507" s="29" t="n">
        <f aca="false">IFERROR(F507/M507,0)</f>
        <v>0.00181617105967726</v>
      </c>
      <c r="O507" s="28" t="str">
        <f aca="false">IF(-N507&gt;=Summary!$C$7,"BREACH","")</f>
        <v/>
      </c>
      <c r="P507" s="30" t="n">
        <f aca="false">M507+F507</f>
        <v>112572.35</v>
      </c>
      <c r="Q507" s="30" t="n">
        <f aca="false">P507-Summary!$C$5</f>
        <v>12572.3500000001</v>
      </c>
      <c r="R507" s="2" t="str">
        <f aca="false">TEXT(A507,"ddd")</f>
        <v>Mon</v>
      </c>
    </row>
    <row r="508" customFormat="false" ht="15" hidden="false" customHeight="false" outlineLevel="0" collapsed="false">
      <c r="A508" s="42" t="n">
        <v>45860</v>
      </c>
      <c r="B508" s="28" t="n">
        <f aca="false">COUNTIFS(Trades!$D$2:$D$884,$A508)</f>
        <v>1</v>
      </c>
      <c r="C508" s="28" t="n">
        <f aca="false">COUNTIFS(Trades!$D$2:$D$884,$A508,Trades!$Z$2:$Z$884,"Win")</f>
        <v>0</v>
      </c>
      <c r="D508" s="28" t="n">
        <f aca="false">COUNTIFS(Trades!$D$2:$D$884,$A508,Trades!$Z$2:$Z$884,"Loss")</f>
        <v>1</v>
      </c>
      <c r="E508" s="29" t="n">
        <f aca="false">IFERROR(C508/B508,0)</f>
        <v>0</v>
      </c>
      <c r="F508" s="30" t="n">
        <f aca="false">SUMIFS(Trades!$X$2:$X$884,Trades!$D$2:$D$884,$A508)</f>
        <v>-2.73</v>
      </c>
      <c r="G508" s="30" t="n">
        <f aca="false">SUMIFS(Trades!$X$2:$X$884,Trades!$D$2:$D$884,$A508,Trades!$X$2:$X$884,"&gt;0")</f>
        <v>0</v>
      </c>
      <c r="H508" s="30" t="n">
        <f aca="false">SUMIFS(Trades!$X$2:$X$884,Trades!$D$2:$D$884,$A508,Trades!$X$2:$X$884,"&lt;0")</f>
        <v>-2.73</v>
      </c>
      <c r="I508" s="31" t="n">
        <f aca="false">IFERROR(G508/-H508,"no loss")</f>
        <v>0</v>
      </c>
      <c r="J508" s="30" t="n">
        <f aca="false">_xlfn.MAXIFS(Trades!$X$2:$X$884,Trades!$D$2:$D$884,$A508)</f>
        <v>-2.73</v>
      </c>
      <c r="K508" s="30" t="n">
        <f aca="false">_xlfn.MINIFS(Trades!$X$2:$X$884,Trades!$D$2:$D$884,$A508)</f>
        <v>-2.73</v>
      </c>
      <c r="L508" s="32" t="n">
        <f aca="false">SUMIFS(Trades!$Y$2:$Y$884,Trades!$D$2:$D$884,$A508)</f>
        <v>-0.0154881314392057</v>
      </c>
      <c r="M508" s="30" t="n">
        <f aca="false">P507</f>
        <v>112572.35</v>
      </c>
      <c r="N508" s="29" t="n">
        <f aca="false">IFERROR(F508/M508,0)</f>
        <v>-2.42510705337501E-005</v>
      </c>
      <c r="O508" s="28" t="str">
        <f aca="false">IF(-N508&gt;=Summary!$C$7,"BREACH","")</f>
        <v/>
      </c>
      <c r="P508" s="30" t="n">
        <f aca="false">M508+F508</f>
        <v>112569.62</v>
      </c>
      <c r="Q508" s="30" t="n">
        <f aca="false">P508-Summary!$C$5</f>
        <v>12569.6200000001</v>
      </c>
      <c r="R508" s="2" t="str">
        <f aca="false">TEXT(A508,"ddd")</f>
        <v>Tue</v>
      </c>
    </row>
    <row r="509" customFormat="false" ht="15" hidden="false" customHeight="false" outlineLevel="0" collapsed="false">
      <c r="A509" s="42" t="n">
        <v>45861</v>
      </c>
      <c r="B509" s="28" t="n">
        <f aca="false">COUNTIFS(Trades!$D$2:$D$884,$A509)</f>
        <v>1</v>
      </c>
      <c r="C509" s="28" t="n">
        <f aca="false">COUNTIFS(Trades!$D$2:$D$884,$A509,Trades!$Z$2:$Z$884,"Win")</f>
        <v>0</v>
      </c>
      <c r="D509" s="28" t="n">
        <f aca="false">COUNTIFS(Trades!$D$2:$D$884,$A509,Trades!$Z$2:$Z$884,"Loss")</f>
        <v>1</v>
      </c>
      <c r="E509" s="29" t="n">
        <f aca="false">IFERROR(C509/B509,0)</f>
        <v>0</v>
      </c>
      <c r="F509" s="30" t="n">
        <f aca="false">SUMIFS(Trades!$X$2:$X$884,Trades!$D$2:$D$884,$A509)</f>
        <v>-173.12</v>
      </c>
      <c r="G509" s="30" t="n">
        <f aca="false">SUMIFS(Trades!$X$2:$X$884,Trades!$D$2:$D$884,$A509,Trades!$X$2:$X$884,"&gt;0")</f>
        <v>0</v>
      </c>
      <c r="H509" s="30" t="n">
        <f aca="false">SUMIFS(Trades!$X$2:$X$884,Trades!$D$2:$D$884,$A509,Trades!$X$2:$X$884,"&lt;0")</f>
        <v>-173.12</v>
      </c>
      <c r="I509" s="31" t="n">
        <f aca="false">IFERROR(G509/-H509,"no loss")</f>
        <v>0</v>
      </c>
      <c r="J509" s="30" t="n">
        <f aca="false">_xlfn.MAXIFS(Trades!$X$2:$X$884,Trades!$D$2:$D$884,$A509)</f>
        <v>-173.12</v>
      </c>
      <c r="K509" s="30" t="n">
        <f aca="false">_xlfn.MINIFS(Trades!$X$2:$X$884,Trades!$D$2:$D$884,$A509)</f>
        <v>-173.12</v>
      </c>
      <c r="L509" s="32" t="n">
        <f aca="false">SUMIFS(Trades!$Y$2:$Y$884,Trades!$D$2:$D$884,$A509)</f>
        <v>-1.08471177944862</v>
      </c>
      <c r="M509" s="30" t="n">
        <f aca="false">P508</f>
        <v>112569.62</v>
      </c>
      <c r="N509" s="29" t="n">
        <f aca="false">IFERROR(F509/M509,0)</f>
        <v>-0.00153789272807352</v>
      </c>
      <c r="O509" s="28" t="str">
        <f aca="false">IF(-N509&gt;=Summary!$C$7,"BREACH","")</f>
        <v/>
      </c>
      <c r="P509" s="30" t="n">
        <f aca="false">M509+F509</f>
        <v>112396.5</v>
      </c>
      <c r="Q509" s="30" t="n">
        <f aca="false">P509-Summary!$C$5</f>
        <v>12396.5000000001</v>
      </c>
      <c r="R509" s="2" t="str">
        <f aca="false">TEXT(A509,"ddd")</f>
        <v>Wed</v>
      </c>
    </row>
    <row r="510" customFormat="false" ht="15" hidden="false" customHeight="false" outlineLevel="0" collapsed="false">
      <c r="A510" s="42" t="n">
        <v>45862</v>
      </c>
      <c r="B510" s="28" t="n">
        <f aca="false">COUNTIFS(Trades!$D$2:$D$884,$A510)</f>
        <v>1</v>
      </c>
      <c r="C510" s="28" t="n">
        <f aca="false">COUNTIFS(Trades!$D$2:$D$884,$A510,Trades!$Z$2:$Z$884,"Win")</f>
        <v>0</v>
      </c>
      <c r="D510" s="28" t="n">
        <f aca="false">COUNTIFS(Trades!$D$2:$D$884,$A510,Trades!$Z$2:$Z$884,"Loss")</f>
        <v>1</v>
      </c>
      <c r="E510" s="29" t="n">
        <f aca="false">IFERROR(C510/B510,0)</f>
        <v>0</v>
      </c>
      <c r="F510" s="30" t="n">
        <f aca="false">SUMIFS(Trades!$X$2:$X$884,Trades!$D$2:$D$884,$A510)</f>
        <v>-23.56</v>
      </c>
      <c r="G510" s="30" t="n">
        <f aca="false">SUMIFS(Trades!$X$2:$X$884,Trades!$D$2:$D$884,$A510,Trades!$X$2:$X$884,"&gt;0")</f>
        <v>0</v>
      </c>
      <c r="H510" s="30" t="n">
        <f aca="false">SUMIFS(Trades!$X$2:$X$884,Trades!$D$2:$D$884,$A510,Trades!$X$2:$X$884,"&lt;0")</f>
        <v>-23.56</v>
      </c>
      <c r="I510" s="31" t="n">
        <f aca="false">IFERROR(G510/-H510,"no loss")</f>
        <v>0</v>
      </c>
      <c r="J510" s="30" t="n">
        <f aca="false">_xlfn.MAXIFS(Trades!$X$2:$X$884,Trades!$D$2:$D$884,$A510)</f>
        <v>-23.56</v>
      </c>
      <c r="K510" s="30" t="n">
        <f aca="false">_xlfn.MINIFS(Trades!$X$2:$X$884,Trades!$D$2:$D$884,$A510)</f>
        <v>-23.56</v>
      </c>
      <c r="L510" s="32" t="n">
        <f aca="false">SUMIFS(Trades!$Y$2:$Y$884,Trades!$D$2:$D$884,$A510)</f>
        <v>-1.06040147628032</v>
      </c>
      <c r="M510" s="30" t="n">
        <f aca="false">P509</f>
        <v>112396.5</v>
      </c>
      <c r="N510" s="29" t="n">
        <f aca="false">IFERROR(F510/M510,0)</f>
        <v>-0.00020961506808486</v>
      </c>
      <c r="O510" s="28" t="str">
        <f aca="false">IF(-N510&gt;=Summary!$C$7,"BREACH","")</f>
        <v/>
      </c>
      <c r="P510" s="30" t="n">
        <f aca="false">M510+F510</f>
        <v>112372.94</v>
      </c>
      <c r="Q510" s="30" t="n">
        <f aca="false">P510-Summary!$C$5</f>
        <v>12372.9400000001</v>
      </c>
      <c r="R510" s="2" t="str">
        <f aca="false">TEXT(A510,"ddd")</f>
        <v>Thu</v>
      </c>
    </row>
    <row r="511" customFormat="false" ht="15" hidden="false" customHeight="false" outlineLevel="0" collapsed="false">
      <c r="A511" s="42" t="n">
        <v>45863</v>
      </c>
      <c r="B511" s="28" t="n">
        <f aca="false">COUNTIFS(Trades!$D$2:$D$884,$A511)</f>
        <v>1</v>
      </c>
      <c r="C511" s="28" t="n">
        <f aca="false">COUNTIFS(Trades!$D$2:$D$884,$A511,Trades!$Z$2:$Z$884,"Win")</f>
        <v>0</v>
      </c>
      <c r="D511" s="28" t="n">
        <f aca="false">COUNTIFS(Trades!$D$2:$D$884,$A511,Trades!$Z$2:$Z$884,"Loss")</f>
        <v>1</v>
      </c>
      <c r="E511" s="29" t="n">
        <f aca="false">IFERROR(C511/B511,0)</f>
        <v>0</v>
      </c>
      <c r="F511" s="30" t="n">
        <f aca="false">SUMIFS(Trades!$X$2:$X$884,Trades!$D$2:$D$884,$A511)</f>
        <v>-39.9</v>
      </c>
      <c r="G511" s="30" t="n">
        <f aca="false">SUMIFS(Trades!$X$2:$X$884,Trades!$D$2:$D$884,$A511,Trades!$X$2:$X$884,"&gt;0")</f>
        <v>0</v>
      </c>
      <c r="H511" s="30" t="n">
        <f aca="false">SUMIFS(Trades!$X$2:$X$884,Trades!$D$2:$D$884,$A511,Trades!$X$2:$X$884,"&lt;0")</f>
        <v>-39.9</v>
      </c>
      <c r="I511" s="31" t="n">
        <f aca="false">IFERROR(G511/-H511,"no loss")</f>
        <v>0</v>
      </c>
      <c r="J511" s="30" t="n">
        <f aca="false">_xlfn.MAXIFS(Trades!$X$2:$X$884,Trades!$D$2:$D$884,$A511)</f>
        <v>-39.9</v>
      </c>
      <c r="K511" s="30" t="n">
        <f aca="false">_xlfn.MINIFS(Trades!$X$2:$X$884,Trades!$D$2:$D$884,$A511)</f>
        <v>-39.9</v>
      </c>
      <c r="L511" s="32" t="n">
        <f aca="false">SUMIFS(Trades!$Y$2:$Y$884,Trades!$D$2:$D$884,$A511)</f>
        <v>-1.0149572649572</v>
      </c>
      <c r="M511" s="30" t="n">
        <f aca="false">P510</f>
        <v>112372.94</v>
      </c>
      <c r="N511" s="29" t="n">
        <f aca="false">IFERROR(F511/M511,0)</f>
        <v>-0.000355067688003891</v>
      </c>
      <c r="O511" s="28" t="str">
        <f aca="false">IF(-N511&gt;=Summary!$C$7,"BREACH","")</f>
        <v/>
      </c>
      <c r="P511" s="30" t="n">
        <f aca="false">M511+F511</f>
        <v>112333.04</v>
      </c>
      <c r="Q511" s="30" t="n">
        <f aca="false">P511-Summary!$C$5</f>
        <v>12333.0400000001</v>
      </c>
      <c r="R511" s="2" t="str">
        <f aca="false">TEXT(A511,"ddd")</f>
        <v>Fri</v>
      </c>
    </row>
    <row r="512" customFormat="false" ht="15" hidden="false" customHeight="false" outlineLevel="0" collapsed="false">
      <c r="A512" s="42" t="n">
        <v>45866</v>
      </c>
      <c r="B512" s="28" t="n">
        <f aca="false">COUNTIFS(Trades!$D$2:$D$884,$A512)</f>
        <v>1</v>
      </c>
      <c r="C512" s="28" t="n">
        <f aca="false">COUNTIFS(Trades!$D$2:$D$884,$A512,Trades!$Z$2:$Z$884,"Win")</f>
        <v>1</v>
      </c>
      <c r="D512" s="28" t="n">
        <f aca="false">COUNTIFS(Trades!$D$2:$D$884,$A512,Trades!$Z$2:$Z$884,"Loss")</f>
        <v>0</v>
      </c>
      <c r="E512" s="29" t="n">
        <f aca="false">IFERROR(C512/B512,0)</f>
        <v>1</v>
      </c>
      <c r="F512" s="30" t="n">
        <f aca="false">SUMIFS(Trades!$X$2:$X$884,Trades!$D$2:$D$884,$A512)</f>
        <v>218.4</v>
      </c>
      <c r="G512" s="30" t="n">
        <f aca="false">SUMIFS(Trades!$X$2:$X$884,Trades!$D$2:$D$884,$A512,Trades!$X$2:$X$884,"&gt;0")</f>
        <v>218.4</v>
      </c>
      <c r="H512" s="30" t="n">
        <f aca="false">SUMIFS(Trades!$X$2:$X$884,Trades!$D$2:$D$884,$A512,Trades!$X$2:$X$884,"&lt;0")</f>
        <v>0</v>
      </c>
      <c r="I512" s="31" t="str">
        <f aca="false">IFERROR(G512/-H512,"no loss")</f>
        <v>no loss</v>
      </c>
      <c r="J512" s="30" t="n">
        <f aca="false">_xlfn.MAXIFS(Trades!$X$2:$X$884,Trades!$D$2:$D$884,$A512)</f>
        <v>218.4</v>
      </c>
      <c r="K512" s="30" t="n">
        <f aca="false">_xlfn.MINIFS(Trades!$X$2:$X$884,Trades!$D$2:$D$884,$A512)</f>
        <v>218.4</v>
      </c>
      <c r="L512" s="32" t="n">
        <f aca="false">SUMIFS(Trades!$Y$2:$Y$884,Trades!$D$2:$D$884,$A512)</f>
        <v>2</v>
      </c>
      <c r="M512" s="30" t="n">
        <f aca="false">P511</f>
        <v>112333.04</v>
      </c>
      <c r="N512" s="29" t="n">
        <f aca="false">IFERROR(F512/M512,0)</f>
        <v>0.00194421872674326</v>
      </c>
      <c r="O512" s="28" t="str">
        <f aca="false">IF(-N512&gt;=Summary!$C$7,"BREACH","")</f>
        <v/>
      </c>
      <c r="P512" s="30" t="n">
        <f aca="false">M512+F512</f>
        <v>112551.44</v>
      </c>
      <c r="Q512" s="30" t="n">
        <f aca="false">P512-Summary!$C$5</f>
        <v>12551.4400000001</v>
      </c>
      <c r="R512" s="2" t="str">
        <f aca="false">TEXT(A512,"ddd")</f>
        <v>Mon</v>
      </c>
    </row>
    <row r="513" customFormat="false" ht="15" hidden="false" customHeight="false" outlineLevel="0" collapsed="false">
      <c r="A513" s="42" t="n">
        <v>45867</v>
      </c>
      <c r="B513" s="28" t="n">
        <f aca="false">COUNTIFS(Trades!$D$2:$D$884,$A513)</f>
        <v>2</v>
      </c>
      <c r="C513" s="28" t="n">
        <f aca="false">COUNTIFS(Trades!$D$2:$D$884,$A513,Trades!$Z$2:$Z$884,"Win")</f>
        <v>1</v>
      </c>
      <c r="D513" s="28" t="n">
        <f aca="false">COUNTIFS(Trades!$D$2:$D$884,$A513,Trades!$Z$2:$Z$884,"Loss")</f>
        <v>1</v>
      </c>
      <c r="E513" s="29" t="n">
        <f aca="false">IFERROR(C513/B513,0)</f>
        <v>0.5</v>
      </c>
      <c r="F513" s="30" t="n">
        <f aca="false">SUMIFS(Trades!$X$2:$X$884,Trades!$D$2:$D$884,$A513)</f>
        <v>-9.54</v>
      </c>
      <c r="G513" s="30" t="n">
        <f aca="false">SUMIFS(Trades!$X$2:$X$884,Trades!$D$2:$D$884,$A513,Trades!$X$2:$X$884,"&gt;0")</f>
        <v>49.64</v>
      </c>
      <c r="H513" s="30" t="n">
        <f aca="false">SUMIFS(Trades!$X$2:$X$884,Trades!$D$2:$D$884,$A513,Trades!$X$2:$X$884,"&lt;0")</f>
        <v>-59.18</v>
      </c>
      <c r="I513" s="31" t="n">
        <f aca="false">IFERROR(G513/-H513,"no loss")</f>
        <v>0.838796890841501</v>
      </c>
      <c r="J513" s="30" t="n">
        <f aca="false">_xlfn.MAXIFS(Trades!$X$2:$X$884,Trades!$D$2:$D$884,$A513)</f>
        <v>49.64</v>
      </c>
      <c r="K513" s="30" t="n">
        <f aca="false">_xlfn.MINIFS(Trades!$X$2:$X$884,Trades!$D$2:$D$884,$A513)</f>
        <v>-59.18</v>
      </c>
      <c r="L513" s="32" t="n">
        <f aca="false">SUMIFS(Trades!$Y$2:$Y$884,Trades!$D$2:$D$884,$A513)</f>
        <v>0.993158432195716</v>
      </c>
      <c r="M513" s="30" t="n">
        <f aca="false">P512</f>
        <v>112551.44</v>
      </c>
      <c r="N513" s="29" t="n">
        <f aca="false">IFERROR(F513/M513,0)</f>
        <v>-8.47612433923546E-005</v>
      </c>
      <c r="O513" s="28" t="str">
        <f aca="false">IF(-N513&gt;=Summary!$C$7,"BREACH","")</f>
        <v/>
      </c>
      <c r="P513" s="30" t="n">
        <f aca="false">M513+F513</f>
        <v>112541.9</v>
      </c>
      <c r="Q513" s="30" t="n">
        <f aca="false">P513-Summary!$C$5</f>
        <v>12541.9000000001</v>
      </c>
      <c r="R513" s="2" t="str">
        <f aca="false">TEXT(A513,"ddd")</f>
        <v>Tue</v>
      </c>
    </row>
    <row r="514" customFormat="false" ht="15" hidden="false" customHeight="false" outlineLevel="0" collapsed="false">
      <c r="A514" s="42" t="n">
        <v>45868</v>
      </c>
      <c r="B514" s="28" t="n">
        <f aca="false">COUNTIFS(Trades!$D$2:$D$884,$A514)</f>
        <v>1</v>
      </c>
      <c r="C514" s="28" t="n">
        <f aca="false">COUNTIFS(Trades!$D$2:$D$884,$A514,Trades!$Z$2:$Z$884,"Win")</f>
        <v>0</v>
      </c>
      <c r="D514" s="28" t="n">
        <f aca="false">COUNTIFS(Trades!$D$2:$D$884,$A514,Trades!$Z$2:$Z$884,"Loss")</f>
        <v>1</v>
      </c>
      <c r="E514" s="29" t="n">
        <f aca="false">IFERROR(C514/B514,0)</f>
        <v>0</v>
      </c>
      <c r="F514" s="30" t="n">
        <f aca="false">SUMIFS(Trades!$X$2:$X$884,Trades!$D$2:$D$884,$A514)</f>
        <v>-232.18</v>
      </c>
      <c r="G514" s="30" t="n">
        <f aca="false">SUMIFS(Trades!$X$2:$X$884,Trades!$D$2:$D$884,$A514,Trades!$X$2:$X$884,"&gt;0")</f>
        <v>0</v>
      </c>
      <c r="H514" s="30" t="n">
        <f aca="false">SUMIFS(Trades!$X$2:$X$884,Trades!$D$2:$D$884,$A514,Trades!$X$2:$X$884,"&lt;0")</f>
        <v>-232.18</v>
      </c>
      <c r="I514" s="31" t="n">
        <f aca="false">IFERROR(G514/-H514,"no loss")</f>
        <v>0</v>
      </c>
      <c r="J514" s="30" t="n">
        <f aca="false">_xlfn.MAXIFS(Trades!$X$2:$X$884,Trades!$D$2:$D$884,$A514)</f>
        <v>-232.18</v>
      </c>
      <c r="K514" s="30" t="n">
        <f aca="false">_xlfn.MINIFS(Trades!$X$2:$X$884,Trades!$D$2:$D$884,$A514)</f>
        <v>-232.18</v>
      </c>
      <c r="L514" s="32" t="n">
        <f aca="false">SUMIFS(Trades!$Y$2:$Y$884,Trades!$D$2:$D$884,$A514)</f>
        <v>-1.0060227912821</v>
      </c>
      <c r="M514" s="30" t="n">
        <f aca="false">P513</f>
        <v>112541.9</v>
      </c>
      <c r="N514" s="29" t="n">
        <f aca="false">IFERROR(F514/M514,0)</f>
        <v>-0.00206305384927747</v>
      </c>
      <c r="O514" s="28" t="str">
        <f aca="false">IF(-N514&gt;=Summary!$C$7,"BREACH","")</f>
        <v/>
      </c>
      <c r="P514" s="30" t="n">
        <f aca="false">M514+F514</f>
        <v>112309.72</v>
      </c>
      <c r="Q514" s="30" t="n">
        <f aca="false">P514-Summary!$C$5</f>
        <v>12309.7200000001</v>
      </c>
      <c r="R514" s="2" t="str">
        <f aca="false">TEXT(A514,"ddd")</f>
        <v>Wed</v>
      </c>
    </row>
    <row r="515" customFormat="false" ht="15" hidden="false" customHeight="false" outlineLevel="0" collapsed="false">
      <c r="A515" s="42" t="n">
        <v>45869</v>
      </c>
      <c r="B515" s="28" t="n">
        <f aca="false">COUNTIFS(Trades!$D$2:$D$884,$A515)</f>
        <v>2</v>
      </c>
      <c r="C515" s="28" t="n">
        <f aca="false">COUNTIFS(Trades!$D$2:$D$884,$A515,Trades!$Z$2:$Z$884,"Win")</f>
        <v>1</v>
      </c>
      <c r="D515" s="28" t="n">
        <f aca="false">COUNTIFS(Trades!$D$2:$D$884,$A515,Trades!$Z$2:$Z$884,"Loss")</f>
        <v>1</v>
      </c>
      <c r="E515" s="29" t="n">
        <f aca="false">IFERROR(C515/B515,0)</f>
        <v>0.5</v>
      </c>
      <c r="F515" s="30" t="n">
        <f aca="false">SUMIFS(Trades!$X$2:$X$884,Trades!$D$2:$D$884,$A515)</f>
        <v>595.01</v>
      </c>
      <c r="G515" s="30" t="n">
        <f aca="false">SUMIFS(Trades!$X$2:$X$884,Trades!$D$2:$D$884,$A515,Trades!$X$2:$X$884,"&gt;0")</f>
        <v>596.31</v>
      </c>
      <c r="H515" s="30" t="n">
        <f aca="false">SUMIFS(Trades!$X$2:$X$884,Trades!$D$2:$D$884,$A515,Trades!$X$2:$X$884,"&lt;0")</f>
        <v>-1.3</v>
      </c>
      <c r="I515" s="31" t="n">
        <f aca="false">IFERROR(G515/-H515,"no loss")</f>
        <v>458.7</v>
      </c>
      <c r="J515" s="30" t="n">
        <f aca="false">_xlfn.MAXIFS(Trades!$X$2:$X$884,Trades!$D$2:$D$884,$A515)</f>
        <v>596.31</v>
      </c>
      <c r="K515" s="30" t="n">
        <f aca="false">_xlfn.MINIFS(Trades!$X$2:$X$884,Trades!$D$2:$D$884,$A515)</f>
        <v>-1.3</v>
      </c>
      <c r="L515" s="32" t="n">
        <f aca="false">SUMIFS(Trades!$Y$2:$Y$884,Trades!$D$2:$D$884,$A515)</f>
        <v>1.92678384677409</v>
      </c>
      <c r="M515" s="30" t="n">
        <f aca="false">P514</f>
        <v>112309.72</v>
      </c>
      <c r="N515" s="29" t="n">
        <f aca="false">IFERROR(F515/M515,0)</f>
        <v>0.00529793859338265</v>
      </c>
      <c r="O515" s="28" t="str">
        <f aca="false">IF(-N515&gt;=Summary!$C$7,"BREACH","")</f>
        <v/>
      </c>
      <c r="P515" s="30" t="n">
        <f aca="false">M515+F515</f>
        <v>112904.73</v>
      </c>
      <c r="Q515" s="30" t="n">
        <f aca="false">P515-Summary!$C$5</f>
        <v>12904.7300000001</v>
      </c>
      <c r="R515" s="2" t="str">
        <f aca="false">TEXT(A515,"ddd")</f>
        <v>Thu</v>
      </c>
    </row>
    <row r="516" customFormat="false" ht="15" hidden="false" customHeight="false" outlineLevel="0" collapsed="false">
      <c r="A516" s="42" t="n">
        <v>45870</v>
      </c>
      <c r="B516" s="28" t="n">
        <f aca="false">COUNTIFS(Trades!$D$2:$D$884,$A516)</f>
        <v>1</v>
      </c>
      <c r="C516" s="28" t="n">
        <f aca="false">COUNTIFS(Trades!$D$2:$D$884,$A516,Trades!$Z$2:$Z$884,"Win")</f>
        <v>1</v>
      </c>
      <c r="D516" s="28" t="n">
        <f aca="false">COUNTIFS(Trades!$D$2:$D$884,$A516,Trades!$Z$2:$Z$884,"Loss")</f>
        <v>0</v>
      </c>
      <c r="E516" s="29" t="n">
        <f aca="false">IFERROR(C516/B516,0)</f>
        <v>1</v>
      </c>
      <c r="F516" s="30" t="n">
        <f aca="false">SUMIFS(Trades!$X$2:$X$884,Trades!$D$2:$D$884,$A516)</f>
        <v>130.24</v>
      </c>
      <c r="G516" s="30" t="n">
        <f aca="false">SUMIFS(Trades!$X$2:$X$884,Trades!$D$2:$D$884,$A516,Trades!$X$2:$X$884,"&gt;0")</f>
        <v>130.24</v>
      </c>
      <c r="H516" s="30" t="n">
        <f aca="false">SUMIFS(Trades!$X$2:$X$884,Trades!$D$2:$D$884,$A516,Trades!$X$2:$X$884,"&lt;0")</f>
        <v>0</v>
      </c>
      <c r="I516" s="31" t="str">
        <f aca="false">IFERROR(G516/-H516,"no loss")</f>
        <v>no loss</v>
      </c>
      <c r="J516" s="30" t="n">
        <f aca="false">_xlfn.MAXIFS(Trades!$X$2:$X$884,Trades!$D$2:$D$884,$A516)</f>
        <v>130.24</v>
      </c>
      <c r="K516" s="30" t="n">
        <f aca="false">_xlfn.MINIFS(Trades!$X$2:$X$884,Trades!$D$2:$D$884,$A516)</f>
        <v>130.24</v>
      </c>
      <c r="L516" s="32" t="n">
        <f aca="false">SUMIFS(Trades!$Y$2:$Y$884,Trades!$D$2:$D$884,$A516)</f>
        <v>2.01753570654039</v>
      </c>
      <c r="M516" s="30" t="n">
        <f aca="false">P515</f>
        <v>112904.73</v>
      </c>
      <c r="N516" s="29" t="n">
        <f aca="false">IFERROR(F516/M516,0)</f>
        <v>0.00115353891728008</v>
      </c>
      <c r="O516" s="28" t="str">
        <f aca="false">IF(-N516&gt;=Summary!$C$7,"BREACH","")</f>
        <v/>
      </c>
      <c r="P516" s="30" t="n">
        <f aca="false">M516+F516</f>
        <v>113034.97</v>
      </c>
      <c r="Q516" s="30" t="n">
        <f aca="false">P516-Summary!$C$5</f>
        <v>13034.9700000001</v>
      </c>
      <c r="R516" s="2" t="str">
        <f aca="false">TEXT(A516,"ddd")</f>
        <v>Fri</v>
      </c>
    </row>
    <row r="517" customFormat="false" ht="15" hidden="false" customHeight="false" outlineLevel="0" collapsed="false">
      <c r="A517" s="42" t="n">
        <v>45874</v>
      </c>
      <c r="B517" s="28" t="n">
        <f aca="false">COUNTIFS(Trades!$D$2:$D$884,$A517)</f>
        <v>1</v>
      </c>
      <c r="C517" s="28" t="n">
        <f aca="false">COUNTIFS(Trades!$D$2:$D$884,$A517,Trades!$Z$2:$Z$884,"Win")</f>
        <v>0</v>
      </c>
      <c r="D517" s="28" t="n">
        <f aca="false">COUNTIFS(Trades!$D$2:$D$884,$A517,Trades!$Z$2:$Z$884,"Loss")</f>
        <v>1</v>
      </c>
      <c r="E517" s="29" t="n">
        <f aca="false">IFERROR(C517/B517,0)</f>
        <v>0</v>
      </c>
      <c r="F517" s="30" t="n">
        <f aca="false">SUMIFS(Trades!$X$2:$X$884,Trades!$D$2:$D$884,$A517)</f>
        <v>-20.77</v>
      </c>
      <c r="G517" s="30" t="n">
        <f aca="false">SUMIFS(Trades!$X$2:$X$884,Trades!$D$2:$D$884,$A517,Trades!$X$2:$X$884,"&gt;0")</f>
        <v>0</v>
      </c>
      <c r="H517" s="30" t="n">
        <f aca="false">SUMIFS(Trades!$X$2:$X$884,Trades!$D$2:$D$884,$A517,Trades!$X$2:$X$884,"&lt;0")</f>
        <v>-20.77</v>
      </c>
      <c r="I517" s="31" t="n">
        <f aca="false">IFERROR(G517/-H517,"no loss")</f>
        <v>0</v>
      </c>
      <c r="J517" s="30" t="n">
        <f aca="false">_xlfn.MAXIFS(Trades!$X$2:$X$884,Trades!$D$2:$D$884,$A517)</f>
        <v>-20.77</v>
      </c>
      <c r="K517" s="30" t="n">
        <f aca="false">_xlfn.MINIFS(Trades!$X$2:$X$884,Trades!$D$2:$D$884,$A517)</f>
        <v>-20.77</v>
      </c>
      <c r="L517" s="32" t="n">
        <f aca="false">SUMIFS(Trades!$Y$2:$Y$884,Trades!$D$2:$D$884,$A517)</f>
        <v>-0.183633052181138</v>
      </c>
      <c r="M517" s="30" t="n">
        <f aca="false">P516</f>
        <v>113034.97</v>
      </c>
      <c r="N517" s="29" t="n">
        <f aca="false">IFERROR(F517/M517,0)</f>
        <v>-0.000183748445282022</v>
      </c>
      <c r="O517" s="28" t="str">
        <f aca="false">IF(-N517&gt;=Summary!$C$7,"BREACH","")</f>
        <v/>
      </c>
      <c r="P517" s="30" t="n">
        <f aca="false">M517+F517</f>
        <v>113014.2</v>
      </c>
      <c r="Q517" s="30" t="n">
        <f aca="false">P517-Summary!$C$5</f>
        <v>13014.2000000001</v>
      </c>
      <c r="R517" s="2" t="str">
        <f aca="false">TEXT(A517,"ddd")</f>
        <v>Tue</v>
      </c>
    </row>
    <row r="518" customFormat="false" ht="15" hidden="false" customHeight="false" outlineLevel="0" collapsed="false">
      <c r="A518" s="42" t="n">
        <v>45875</v>
      </c>
      <c r="B518" s="28" t="n">
        <f aca="false">COUNTIFS(Trades!$D$2:$D$884,$A518)</f>
        <v>2</v>
      </c>
      <c r="C518" s="28" t="n">
        <f aca="false">COUNTIFS(Trades!$D$2:$D$884,$A518,Trades!$Z$2:$Z$884,"Win")</f>
        <v>1</v>
      </c>
      <c r="D518" s="28" t="n">
        <f aca="false">COUNTIFS(Trades!$D$2:$D$884,$A518,Trades!$Z$2:$Z$884,"Loss")</f>
        <v>1</v>
      </c>
      <c r="E518" s="29" t="n">
        <f aca="false">IFERROR(C518/B518,0)</f>
        <v>0.5</v>
      </c>
      <c r="F518" s="30" t="n">
        <f aca="false">SUMIFS(Trades!$X$2:$X$884,Trades!$D$2:$D$884,$A518)</f>
        <v>132.62</v>
      </c>
      <c r="G518" s="30" t="n">
        <f aca="false">SUMIFS(Trades!$X$2:$X$884,Trades!$D$2:$D$884,$A518,Trades!$X$2:$X$884,"&gt;0")</f>
        <v>132.97</v>
      </c>
      <c r="H518" s="30" t="n">
        <f aca="false">SUMIFS(Trades!$X$2:$X$884,Trades!$D$2:$D$884,$A518,Trades!$X$2:$X$884,"&lt;0")</f>
        <v>-0.35</v>
      </c>
      <c r="I518" s="31" t="n">
        <f aca="false">IFERROR(G518/-H518,"no loss")</f>
        <v>379.914285714286</v>
      </c>
      <c r="J518" s="30" t="n">
        <f aca="false">_xlfn.MAXIFS(Trades!$X$2:$X$884,Trades!$D$2:$D$884,$A518)</f>
        <v>132.97</v>
      </c>
      <c r="K518" s="30" t="n">
        <f aca="false">_xlfn.MINIFS(Trades!$X$2:$X$884,Trades!$D$2:$D$884,$A518)</f>
        <v>-0.35</v>
      </c>
      <c r="L518" s="32" t="n">
        <f aca="false">SUMIFS(Trades!$Y$2:$Y$884,Trades!$D$2:$D$884,$A518)</f>
        <v>1.99943694993981</v>
      </c>
      <c r="M518" s="30" t="n">
        <f aca="false">P517</f>
        <v>113014.2</v>
      </c>
      <c r="N518" s="29" t="n">
        <f aca="false">IFERROR(F518/M518,0)</f>
        <v>0.00117348085461827</v>
      </c>
      <c r="O518" s="28" t="str">
        <f aca="false">IF(-N518&gt;=Summary!$C$7,"BREACH","")</f>
        <v/>
      </c>
      <c r="P518" s="30" t="n">
        <f aca="false">M518+F518</f>
        <v>113146.82</v>
      </c>
      <c r="Q518" s="30" t="n">
        <f aca="false">P518-Summary!$C$5</f>
        <v>13146.8200000001</v>
      </c>
      <c r="R518" s="2" t="str">
        <f aca="false">TEXT(A518,"ddd")</f>
        <v>Wed</v>
      </c>
    </row>
    <row r="519" customFormat="false" ht="15" hidden="false" customHeight="false" outlineLevel="0" collapsed="false">
      <c r="A519" s="42" t="n">
        <v>45876</v>
      </c>
      <c r="B519" s="28" t="n">
        <f aca="false">COUNTIFS(Trades!$D$2:$D$884,$A519)</f>
        <v>1</v>
      </c>
      <c r="C519" s="28" t="n">
        <f aca="false">COUNTIFS(Trades!$D$2:$D$884,$A519,Trades!$Z$2:$Z$884,"Win")</f>
        <v>0</v>
      </c>
      <c r="D519" s="28" t="n">
        <f aca="false">COUNTIFS(Trades!$D$2:$D$884,$A519,Trades!$Z$2:$Z$884,"Loss")</f>
        <v>1</v>
      </c>
      <c r="E519" s="29" t="n">
        <f aca="false">IFERROR(C519/B519,0)</f>
        <v>0</v>
      </c>
      <c r="F519" s="30" t="n">
        <f aca="false">SUMIFS(Trades!$X$2:$X$884,Trades!$D$2:$D$884,$A519)</f>
        <v>-0.34</v>
      </c>
      <c r="G519" s="30" t="n">
        <f aca="false">SUMIFS(Trades!$X$2:$X$884,Trades!$D$2:$D$884,$A519,Trades!$X$2:$X$884,"&gt;0")</f>
        <v>0</v>
      </c>
      <c r="H519" s="30" t="n">
        <f aca="false">SUMIFS(Trades!$X$2:$X$884,Trades!$D$2:$D$884,$A519,Trades!$X$2:$X$884,"&lt;0")</f>
        <v>-0.34</v>
      </c>
      <c r="I519" s="31" t="n">
        <f aca="false">IFERROR(G519/-H519,"no loss")</f>
        <v>0</v>
      </c>
      <c r="J519" s="30" t="n">
        <f aca="false">_xlfn.MAXIFS(Trades!$X$2:$X$884,Trades!$D$2:$D$884,$A519)</f>
        <v>-0.34</v>
      </c>
      <c r="K519" s="30" t="n">
        <f aca="false">_xlfn.MINIFS(Trades!$X$2:$X$884,Trades!$D$2:$D$884,$A519)</f>
        <v>-0.34</v>
      </c>
      <c r="L519" s="32" t="n">
        <f aca="false">SUMIFS(Trades!$Y$2:$Y$884,Trades!$D$2:$D$884,$A519)</f>
        <v>-0.00617957106506794</v>
      </c>
      <c r="M519" s="30" t="n">
        <f aca="false">P518</f>
        <v>113146.82</v>
      </c>
      <c r="N519" s="29" t="n">
        <f aca="false">IFERROR(F519/M519,0)</f>
        <v>-3.00494525608408E-006</v>
      </c>
      <c r="O519" s="28" t="str">
        <f aca="false">IF(-N519&gt;=Summary!$C$7,"BREACH","")</f>
        <v/>
      </c>
      <c r="P519" s="30" t="n">
        <f aca="false">M519+F519</f>
        <v>113146.48</v>
      </c>
      <c r="Q519" s="30" t="n">
        <f aca="false">P519-Summary!$C$5</f>
        <v>13146.4800000001</v>
      </c>
      <c r="R519" s="2" t="str">
        <f aca="false">TEXT(A519,"ddd")</f>
        <v>Thu</v>
      </c>
    </row>
    <row r="520" customFormat="false" ht="15" hidden="false" customHeight="false" outlineLevel="0" collapsed="false">
      <c r="A520" s="42" t="n">
        <v>45877</v>
      </c>
      <c r="B520" s="28" t="n">
        <f aca="false">COUNTIFS(Trades!$D$2:$D$884,$A520)</f>
        <v>1</v>
      </c>
      <c r="C520" s="28" t="n">
        <f aca="false">COUNTIFS(Trades!$D$2:$D$884,$A520,Trades!$Z$2:$Z$884,"Win")</f>
        <v>0</v>
      </c>
      <c r="D520" s="28" t="n">
        <f aca="false">COUNTIFS(Trades!$D$2:$D$884,$A520,Trades!$Z$2:$Z$884,"Loss")</f>
        <v>1</v>
      </c>
      <c r="E520" s="29" t="n">
        <f aca="false">IFERROR(C520/B520,0)</f>
        <v>0</v>
      </c>
      <c r="F520" s="30" t="n">
        <f aca="false">SUMIFS(Trades!$X$2:$X$884,Trades!$D$2:$D$884,$A520)</f>
        <v>-112.73</v>
      </c>
      <c r="G520" s="30" t="n">
        <f aca="false">SUMIFS(Trades!$X$2:$X$884,Trades!$D$2:$D$884,$A520,Trades!$X$2:$X$884,"&gt;0")</f>
        <v>0</v>
      </c>
      <c r="H520" s="30" t="n">
        <f aca="false">SUMIFS(Trades!$X$2:$X$884,Trades!$D$2:$D$884,$A520,Trades!$X$2:$X$884,"&lt;0")</f>
        <v>-112.73</v>
      </c>
      <c r="I520" s="31" t="n">
        <f aca="false">IFERROR(G520/-H520,"no loss")</f>
        <v>0</v>
      </c>
      <c r="J520" s="30" t="n">
        <f aca="false">_xlfn.MAXIFS(Trades!$X$2:$X$884,Trades!$D$2:$D$884,$A520)</f>
        <v>-112.73</v>
      </c>
      <c r="K520" s="30" t="n">
        <f aca="false">_xlfn.MINIFS(Trades!$X$2:$X$884,Trades!$D$2:$D$884,$A520)</f>
        <v>-112.73</v>
      </c>
      <c r="L520" s="32" t="n">
        <f aca="false">SUMIFS(Trades!$Y$2:$Y$884,Trades!$D$2:$D$884,$A520)</f>
        <v>-1.00001774182102</v>
      </c>
      <c r="M520" s="30" t="n">
        <f aca="false">P519</f>
        <v>113146.48</v>
      </c>
      <c r="N520" s="29" t="n">
        <f aca="false">IFERROR(F520/M520,0)</f>
        <v>-0.000996319107761902</v>
      </c>
      <c r="O520" s="28" t="str">
        <f aca="false">IF(-N520&gt;=Summary!$C$7,"BREACH","")</f>
        <v/>
      </c>
      <c r="P520" s="30" t="n">
        <f aca="false">M520+F520</f>
        <v>113033.75</v>
      </c>
      <c r="Q520" s="30" t="n">
        <f aca="false">P520-Summary!$C$5</f>
        <v>13033.7500000001</v>
      </c>
      <c r="R520" s="2" t="str">
        <f aca="false">TEXT(A520,"ddd")</f>
        <v>Fri</v>
      </c>
    </row>
    <row r="521" customFormat="false" ht="15" hidden="false" customHeight="false" outlineLevel="0" collapsed="false">
      <c r="A521" s="42" t="n">
        <v>45880</v>
      </c>
      <c r="B521" s="28" t="n">
        <f aca="false">COUNTIFS(Trades!$D$2:$D$884,$A521)</f>
        <v>1</v>
      </c>
      <c r="C521" s="28" t="n">
        <f aca="false">COUNTIFS(Trades!$D$2:$D$884,$A521,Trades!$Z$2:$Z$884,"Win")</f>
        <v>0</v>
      </c>
      <c r="D521" s="28" t="n">
        <f aca="false">COUNTIFS(Trades!$D$2:$D$884,$A521,Trades!$Z$2:$Z$884,"Loss")</f>
        <v>1</v>
      </c>
      <c r="E521" s="29" t="n">
        <f aca="false">IFERROR(C521/B521,0)</f>
        <v>0</v>
      </c>
      <c r="F521" s="30" t="n">
        <f aca="false">SUMIFS(Trades!$X$2:$X$884,Trades!$D$2:$D$884,$A521)</f>
        <v>-24.02</v>
      </c>
      <c r="G521" s="30" t="n">
        <f aca="false">SUMIFS(Trades!$X$2:$X$884,Trades!$D$2:$D$884,$A521,Trades!$X$2:$X$884,"&gt;0")</f>
        <v>0</v>
      </c>
      <c r="H521" s="30" t="n">
        <f aca="false">SUMIFS(Trades!$X$2:$X$884,Trades!$D$2:$D$884,$A521,Trades!$X$2:$X$884,"&lt;0")</f>
        <v>-24.02</v>
      </c>
      <c r="I521" s="31" t="n">
        <f aca="false">IFERROR(G521/-H521,"no loss")</f>
        <v>0</v>
      </c>
      <c r="J521" s="30" t="n">
        <f aca="false">_xlfn.MAXIFS(Trades!$X$2:$X$884,Trades!$D$2:$D$884,$A521)</f>
        <v>-24.02</v>
      </c>
      <c r="K521" s="30" t="n">
        <f aca="false">_xlfn.MINIFS(Trades!$X$2:$X$884,Trades!$D$2:$D$884,$A521)</f>
        <v>-24.02</v>
      </c>
      <c r="L521" s="32" t="n">
        <f aca="false">SUMIFS(Trades!$Y$2:$Y$884,Trades!$D$2:$D$884,$A521)</f>
        <v>-1.07703344991454</v>
      </c>
      <c r="M521" s="30" t="n">
        <f aca="false">P520</f>
        <v>113033.75</v>
      </c>
      <c r="N521" s="29" t="n">
        <f aca="false">IFERROR(F521/M521,0)</f>
        <v>-0.000212502902894047</v>
      </c>
      <c r="O521" s="28" t="str">
        <f aca="false">IF(-N521&gt;=Summary!$C$7,"BREACH","")</f>
        <v/>
      </c>
      <c r="P521" s="30" t="n">
        <f aca="false">M521+F521</f>
        <v>113009.73</v>
      </c>
      <c r="Q521" s="30" t="n">
        <f aca="false">P521-Summary!$C$5</f>
        <v>13009.7300000001</v>
      </c>
      <c r="R521" s="2" t="str">
        <f aca="false">TEXT(A521,"ddd")</f>
        <v>Mon</v>
      </c>
    </row>
    <row r="522" customFormat="false" ht="15" hidden="false" customHeight="false" outlineLevel="0" collapsed="false">
      <c r="A522" s="42" t="n">
        <v>45881</v>
      </c>
      <c r="B522" s="28" t="n">
        <f aca="false">COUNTIFS(Trades!$D$2:$D$884,$A522)</f>
        <v>1</v>
      </c>
      <c r="C522" s="28" t="n">
        <f aca="false">COUNTIFS(Trades!$D$2:$D$884,$A522,Trades!$Z$2:$Z$884,"Win")</f>
        <v>0</v>
      </c>
      <c r="D522" s="28" t="n">
        <f aca="false">COUNTIFS(Trades!$D$2:$D$884,$A522,Trades!$Z$2:$Z$884,"Loss")</f>
        <v>1</v>
      </c>
      <c r="E522" s="29" t="n">
        <f aca="false">IFERROR(C522/B522,0)</f>
        <v>0</v>
      </c>
      <c r="F522" s="30" t="n">
        <f aca="false">SUMIFS(Trades!$X$2:$X$884,Trades!$D$2:$D$884,$A522)</f>
        <v>-150.11</v>
      </c>
      <c r="G522" s="30" t="n">
        <f aca="false">SUMIFS(Trades!$X$2:$X$884,Trades!$D$2:$D$884,$A522,Trades!$X$2:$X$884,"&gt;0")</f>
        <v>0</v>
      </c>
      <c r="H522" s="30" t="n">
        <f aca="false">SUMIFS(Trades!$X$2:$X$884,Trades!$D$2:$D$884,$A522,Trades!$X$2:$X$884,"&lt;0")</f>
        <v>-150.11</v>
      </c>
      <c r="I522" s="31" t="n">
        <f aca="false">IFERROR(G522/-H522,"no loss")</f>
        <v>0</v>
      </c>
      <c r="J522" s="30" t="n">
        <f aca="false">_xlfn.MAXIFS(Trades!$X$2:$X$884,Trades!$D$2:$D$884,$A522)</f>
        <v>-150.11</v>
      </c>
      <c r="K522" s="30" t="n">
        <f aca="false">_xlfn.MINIFS(Trades!$X$2:$X$884,Trades!$D$2:$D$884,$A522)</f>
        <v>-150.11</v>
      </c>
      <c r="L522" s="32" t="n">
        <f aca="false">SUMIFS(Trades!$Y$2:$Y$884,Trades!$D$2:$D$884,$A522)</f>
        <v>-1.09936869241704</v>
      </c>
      <c r="M522" s="30" t="n">
        <f aca="false">P521</f>
        <v>113009.73</v>
      </c>
      <c r="N522" s="29" t="n">
        <f aca="false">IFERROR(F522/M522,0)</f>
        <v>-0.00132829270541572</v>
      </c>
      <c r="O522" s="28" t="str">
        <f aca="false">IF(-N522&gt;=Summary!$C$7,"BREACH","")</f>
        <v/>
      </c>
      <c r="P522" s="30" t="n">
        <f aca="false">M522+F522</f>
        <v>112859.62</v>
      </c>
      <c r="Q522" s="30" t="n">
        <f aca="false">P522-Summary!$C$5</f>
        <v>12859.6200000001</v>
      </c>
      <c r="R522" s="2" t="str">
        <f aca="false">TEXT(A522,"ddd")</f>
        <v>Tue</v>
      </c>
    </row>
    <row r="523" customFormat="false" ht="15" hidden="false" customHeight="false" outlineLevel="0" collapsed="false">
      <c r="A523" s="42" t="n">
        <v>45882</v>
      </c>
      <c r="B523" s="28" t="n">
        <f aca="false">COUNTIFS(Trades!$D$2:$D$884,$A523)</f>
        <v>1</v>
      </c>
      <c r="C523" s="28" t="n">
        <f aca="false">COUNTIFS(Trades!$D$2:$D$884,$A523,Trades!$Z$2:$Z$884,"Win")</f>
        <v>0</v>
      </c>
      <c r="D523" s="28" t="n">
        <f aca="false">COUNTIFS(Trades!$D$2:$D$884,$A523,Trades!$Z$2:$Z$884,"Loss")</f>
        <v>1</v>
      </c>
      <c r="E523" s="29" t="n">
        <f aca="false">IFERROR(C523/B523,0)</f>
        <v>0</v>
      </c>
      <c r="F523" s="30" t="n">
        <f aca="false">SUMIFS(Trades!$X$2:$X$884,Trades!$D$2:$D$884,$A523)</f>
        <v>-21.04</v>
      </c>
      <c r="G523" s="30" t="n">
        <f aca="false">SUMIFS(Trades!$X$2:$X$884,Trades!$D$2:$D$884,$A523,Trades!$X$2:$X$884,"&gt;0")</f>
        <v>0</v>
      </c>
      <c r="H523" s="30" t="n">
        <f aca="false">SUMIFS(Trades!$X$2:$X$884,Trades!$D$2:$D$884,$A523,Trades!$X$2:$X$884,"&lt;0")</f>
        <v>-21.04</v>
      </c>
      <c r="I523" s="31" t="n">
        <f aca="false">IFERROR(G523/-H523,"no loss")</f>
        <v>0</v>
      </c>
      <c r="J523" s="30" t="n">
        <f aca="false">_xlfn.MAXIFS(Trades!$X$2:$X$884,Trades!$D$2:$D$884,$A523)</f>
        <v>-21.04</v>
      </c>
      <c r="K523" s="30" t="n">
        <f aca="false">_xlfn.MINIFS(Trades!$X$2:$X$884,Trades!$D$2:$D$884,$A523)</f>
        <v>-21.04</v>
      </c>
      <c r="L523" s="32" t="n">
        <f aca="false">SUMIFS(Trades!$Y$2:$Y$884,Trades!$D$2:$D$884,$A523)</f>
        <v>-0.99990495200108</v>
      </c>
      <c r="M523" s="30" t="n">
        <f aca="false">P522</f>
        <v>112859.62</v>
      </c>
      <c r="N523" s="29" t="n">
        <f aca="false">IFERROR(F523/M523,0)</f>
        <v>-0.000186426287807809</v>
      </c>
      <c r="O523" s="28" t="str">
        <f aca="false">IF(-N523&gt;=Summary!$C$7,"BREACH","")</f>
        <v/>
      </c>
      <c r="P523" s="30" t="n">
        <f aca="false">M523+F523</f>
        <v>112838.58</v>
      </c>
      <c r="Q523" s="30" t="n">
        <f aca="false">P523-Summary!$C$5</f>
        <v>12838.5800000001</v>
      </c>
      <c r="R523" s="2" t="str">
        <f aca="false">TEXT(A523,"ddd")</f>
        <v>Wed</v>
      </c>
    </row>
    <row r="524" customFormat="false" ht="15" hidden="false" customHeight="false" outlineLevel="0" collapsed="false">
      <c r="A524" s="42" t="n">
        <v>45883</v>
      </c>
      <c r="B524" s="28" t="n">
        <f aca="false">COUNTIFS(Trades!$D$2:$D$884,$A524)</f>
        <v>1</v>
      </c>
      <c r="C524" s="28" t="n">
        <f aca="false">COUNTIFS(Trades!$D$2:$D$884,$A524,Trades!$Z$2:$Z$884,"Win")</f>
        <v>1</v>
      </c>
      <c r="D524" s="28" t="n">
        <f aca="false">COUNTIFS(Trades!$D$2:$D$884,$A524,Trades!$Z$2:$Z$884,"Loss")</f>
        <v>0</v>
      </c>
      <c r="E524" s="29" t="n">
        <f aca="false">IFERROR(C524/B524,0)</f>
        <v>1</v>
      </c>
      <c r="F524" s="30" t="n">
        <f aca="false">SUMIFS(Trades!$X$2:$X$884,Trades!$D$2:$D$884,$A524)</f>
        <v>260.57</v>
      </c>
      <c r="G524" s="30" t="n">
        <f aca="false">SUMIFS(Trades!$X$2:$X$884,Trades!$D$2:$D$884,$A524,Trades!$X$2:$X$884,"&gt;0")</f>
        <v>260.57</v>
      </c>
      <c r="H524" s="30" t="n">
        <f aca="false">SUMIFS(Trades!$X$2:$X$884,Trades!$D$2:$D$884,$A524,Trades!$X$2:$X$884,"&lt;0")</f>
        <v>0</v>
      </c>
      <c r="I524" s="31" t="str">
        <f aca="false">IFERROR(G524/-H524,"no loss")</f>
        <v>no loss</v>
      </c>
      <c r="J524" s="30" t="n">
        <f aca="false">_xlfn.MAXIFS(Trades!$X$2:$X$884,Trades!$D$2:$D$884,$A524)</f>
        <v>260.57</v>
      </c>
      <c r="K524" s="30" t="n">
        <f aca="false">_xlfn.MINIFS(Trades!$X$2:$X$884,Trades!$D$2:$D$884,$A524)</f>
        <v>260.57</v>
      </c>
      <c r="L524" s="32" t="n">
        <f aca="false">SUMIFS(Trades!$Y$2:$Y$884,Trades!$D$2:$D$884,$A524)</f>
        <v>2.0038913498214</v>
      </c>
      <c r="M524" s="30" t="n">
        <f aca="false">P523</f>
        <v>112838.58</v>
      </c>
      <c r="N524" s="29" t="n">
        <f aca="false">IFERROR(F524/M524,0)</f>
        <v>0.00230922792541345</v>
      </c>
      <c r="O524" s="28" t="str">
        <f aca="false">IF(-N524&gt;=Summary!$C$7,"BREACH","")</f>
        <v/>
      </c>
      <c r="P524" s="30" t="n">
        <f aca="false">M524+F524</f>
        <v>113099.15</v>
      </c>
      <c r="Q524" s="30" t="n">
        <f aca="false">P524-Summary!$C$5</f>
        <v>13099.1500000001</v>
      </c>
      <c r="R524" s="2" t="str">
        <f aca="false">TEXT(A524,"ddd")</f>
        <v>Thu</v>
      </c>
    </row>
    <row r="525" customFormat="false" ht="15" hidden="false" customHeight="false" outlineLevel="0" collapsed="false">
      <c r="A525" s="42" t="n">
        <v>45884</v>
      </c>
      <c r="B525" s="28" t="n">
        <f aca="false">COUNTIFS(Trades!$D$2:$D$884,$A525)</f>
        <v>1</v>
      </c>
      <c r="C525" s="28" t="n">
        <f aca="false">COUNTIFS(Trades!$D$2:$D$884,$A525,Trades!$Z$2:$Z$884,"Win")</f>
        <v>0</v>
      </c>
      <c r="D525" s="28" t="n">
        <f aca="false">COUNTIFS(Trades!$D$2:$D$884,$A525,Trades!$Z$2:$Z$884,"Loss")</f>
        <v>1</v>
      </c>
      <c r="E525" s="29" t="n">
        <f aca="false">IFERROR(C525/B525,0)</f>
        <v>0</v>
      </c>
      <c r="F525" s="30" t="n">
        <f aca="false">SUMIFS(Trades!$X$2:$X$884,Trades!$D$2:$D$884,$A525)</f>
        <v>-167.79</v>
      </c>
      <c r="G525" s="30" t="n">
        <f aca="false">SUMIFS(Trades!$X$2:$X$884,Trades!$D$2:$D$884,$A525,Trades!$X$2:$X$884,"&gt;0")</f>
        <v>0</v>
      </c>
      <c r="H525" s="30" t="n">
        <f aca="false">SUMIFS(Trades!$X$2:$X$884,Trades!$D$2:$D$884,$A525,Trades!$X$2:$X$884,"&lt;0")</f>
        <v>-167.79</v>
      </c>
      <c r="I525" s="31" t="n">
        <f aca="false">IFERROR(G525/-H525,"no loss")</f>
        <v>0</v>
      </c>
      <c r="J525" s="30" t="n">
        <f aca="false">_xlfn.MAXIFS(Trades!$X$2:$X$884,Trades!$D$2:$D$884,$A525)</f>
        <v>-167.79</v>
      </c>
      <c r="K525" s="30" t="n">
        <f aca="false">_xlfn.MINIFS(Trades!$X$2:$X$884,Trades!$D$2:$D$884,$A525)</f>
        <v>-167.79</v>
      </c>
      <c r="L525" s="32" t="n">
        <f aca="false">SUMIFS(Trades!$Y$2:$Y$884,Trades!$D$2:$D$884,$A525)</f>
        <v>-1.00756620428757</v>
      </c>
      <c r="M525" s="30" t="n">
        <f aca="false">P524</f>
        <v>113099.15</v>
      </c>
      <c r="N525" s="29" t="n">
        <f aca="false">IFERROR(F525/M525,0)</f>
        <v>-0.00148356552635453</v>
      </c>
      <c r="O525" s="28" t="str">
        <f aca="false">IF(-N525&gt;=Summary!$C$7,"BREACH","")</f>
        <v/>
      </c>
      <c r="P525" s="30" t="n">
        <f aca="false">M525+F525</f>
        <v>112931.36</v>
      </c>
      <c r="Q525" s="30" t="n">
        <f aca="false">P525-Summary!$C$5</f>
        <v>12931.3600000001</v>
      </c>
      <c r="R525" s="2" t="str">
        <f aca="false">TEXT(A525,"ddd")</f>
        <v>Fri</v>
      </c>
    </row>
    <row r="526" customFormat="false" ht="15" hidden="false" customHeight="false" outlineLevel="0" collapsed="false">
      <c r="A526" s="42" t="n">
        <v>45887</v>
      </c>
      <c r="B526" s="28" t="n">
        <f aca="false">COUNTIFS(Trades!$D$2:$D$884,$A526)</f>
        <v>1</v>
      </c>
      <c r="C526" s="28" t="n">
        <f aca="false">COUNTIFS(Trades!$D$2:$D$884,$A526,Trades!$Z$2:$Z$884,"Win")</f>
        <v>0</v>
      </c>
      <c r="D526" s="28" t="n">
        <f aca="false">COUNTIFS(Trades!$D$2:$D$884,$A526,Trades!$Z$2:$Z$884,"Loss")</f>
        <v>1</v>
      </c>
      <c r="E526" s="29" t="n">
        <f aca="false">IFERROR(C526/B526,0)</f>
        <v>0</v>
      </c>
      <c r="F526" s="30" t="n">
        <f aca="false">SUMIFS(Trades!$X$2:$X$884,Trades!$D$2:$D$884,$A526)</f>
        <v>-95.59</v>
      </c>
      <c r="G526" s="30" t="n">
        <f aca="false">SUMIFS(Trades!$X$2:$X$884,Trades!$D$2:$D$884,$A526,Trades!$X$2:$X$884,"&gt;0")</f>
        <v>0</v>
      </c>
      <c r="H526" s="30" t="n">
        <f aca="false">SUMIFS(Trades!$X$2:$X$884,Trades!$D$2:$D$884,$A526,Trades!$X$2:$X$884,"&lt;0")</f>
        <v>-95.59</v>
      </c>
      <c r="I526" s="31" t="n">
        <f aca="false">IFERROR(G526/-H526,"no loss")</f>
        <v>0</v>
      </c>
      <c r="J526" s="30" t="n">
        <f aca="false">_xlfn.MAXIFS(Trades!$X$2:$X$884,Trades!$D$2:$D$884,$A526)</f>
        <v>-95.59</v>
      </c>
      <c r="K526" s="30" t="n">
        <f aca="false">_xlfn.MINIFS(Trades!$X$2:$X$884,Trades!$D$2:$D$884,$A526)</f>
        <v>-95.59</v>
      </c>
      <c r="L526" s="32" t="n">
        <f aca="false">SUMIFS(Trades!$Y$2:$Y$884,Trades!$D$2:$D$884,$A526)</f>
        <v>-1.01288490474066</v>
      </c>
      <c r="M526" s="30" t="n">
        <f aca="false">P525</f>
        <v>112931.36</v>
      </c>
      <c r="N526" s="29" t="n">
        <f aca="false">IFERROR(F526/M526,0)</f>
        <v>-0.000846443361702187</v>
      </c>
      <c r="O526" s="28" t="str">
        <f aca="false">IF(-N526&gt;=Summary!$C$7,"BREACH","")</f>
        <v/>
      </c>
      <c r="P526" s="30" t="n">
        <f aca="false">M526+F526</f>
        <v>112835.77</v>
      </c>
      <c r="Q526" s="30" t="n">
        <f aca="false">P526-Summary!$C$5</f>
        <v>12835.7700000001</v>
      </c>
      <c r="R526" s="2" t="str">
        <f aca="false">TEXT(A526,"ddd")</f>
        <v>Mon</v>
      </c>
    </row>
    <row r="527" customFormat="false" ht="15" hidden="false" customHeight="false" outlineLevel="0" collapsed="false">
      <c r="A527" s="42" t="n">
        <v>45888</v>
      </c>
      <c r="B527" s="28" t="n">
        <f aca="false">COUNTIFS(Trades!$D$2:$D$884,$A527)</f>
        <v>1</v>
      </c>
      <c r="C527" s="28" t="n">
        <f aca="false">COUNTIFS(Trades!$D$2:$D$884,$A527,Trades!$Z$2:$Z$884,"Win")</f>
        <v>0</v>
      </c>
      <c r="D527" s="28" t="n">
        <f aca="false">COUNTIFS(Trades!$D$2:$D$884,$A527,Trades!$Z$2:$Z$884,"Loss")</f>
        <v>1</v>
      </c>
      <c r="E527" s="29" t="n">
        <f aca="false">IFERROR(C527/B527,0)</f>
        <v>0</v>
      </c>
      <c r="F527" s="30" t="n">
        <f aca="false">SUMIFS(Trades!$X$2:$X$884,Trades!$D$2:$D$884,$A527)</f>
        <v>-4.66</v>
      </c>
      <c r="G527" s="30" t="n">
        <f aca="false">SUMIFS(Trades!$X$2:$X$884,Trades!$D$2:$D$884,$A527,Trades!$X$2:$X$884,"&gt;0")</f>
        <v>0</v>
      </c>
      <c r="H527" s="30" t="n">
        <f aca="false">SUMIFS(Trades!$X$2:$X$884,Trades!$D$2:$D$884,$A527,Trades!$X$2:$X$884,"&lt;0")</f>
        <v>-4.66</v>
      </c>
      <c r="I527" s="31" t="n">
        <f aca="false">IFERROR(G527/-H527,"no loss")</f>
        <v>0</v>
      </c>
      <c r="J527" s="30" t="n">
        <f aca="false">_xlfn.MAXIFS(Trades!$X$2:$X$884,Trades!$D$2:$D$884,$A527)</f>
        <v>-4.66</v>
      </c>
      <c r="K527" s="30" t="n">
        <f aca="false">_xlfn.MINIFS(Trades!$X$2:$X$884,Trades!$D$2:$D$884,$A527)</f>
        <v>-4.66</v>
      </c>
      <c r="L527" s="32" t="n">
        <f aca="false">SUMIFS(Trades!$Y$2:$Y$884,Trades!$D$2:$D$884,$A527)</f>
        <v>-0.0435107376283847</v>
      </c>
      <c r="M527" s="30" t="n">
        <f aca="false">P526</f>
        <v>112835.77</v>
      </c>
      <c r="N527" s="29" t="n">
        <f aca="false">IFERROR(F527/M527,0)</f>
        <v>-4.12989604271766E-005</v>
      </c>
      <c r="O527" s="28" t="str">
        <f aca="false">IF(-N527&gt;=Summary!$C$7,"BREACH","")</f>
        <v/>
      </c>
      <c r="P527" s="30" t="n">
        <f aca="false">M527+F527</f>
        <v>112831.11</v>
      </c>
      <c r="Q527" s="30" t="n">
        <f aca="false">P527-Summary!$C$5</f>
        <v>12831.1100000001</v>
      </c>
      <c r="R527" s="2" t="str">
        <f aca="false">TEXT(A527,"ddd")</f>
        <v>Tue</v>
      </c>
    </row>
    <row r="528" customFormat="false" ht="15" hidden="false" customHeight="false" outlineLevel="0" collapsed="false">
      <c r="A528" s="42" t="n">
        <v>45889</v>
      </c>
      <c r="B528" s="28" t="n">
        <f aca="false">COUNTIFS(Trades!$D$2:$D$884,$A528)</f>
        <v>1</v>
      </c>
      <c r="C528" s="28" t="n">
        <f aca="false">COUNTIFS(Trades!$D$2:$D$884,$A528,Trades!$Z$2:$Z$884,"Win")</f>
        <v>0</v>
      </c>
      <c r="D528" s="28" t="n">
        <f aca="false">COUNTIFS(Trades!$D$2:$D$884,$A528,Trades!$Z$2:$Z$884,"Loss")</f>
        <v>1</v>
      </c>
      <c r="E528" s="29" t="n">
        <f aca="false">IFERROR(C528/B528,0)</f>
        <v>0</v>
      </c>
      <c r="F528" s="30" t="n">
        <f aca="false">SUMIFS(Trades!$X$2:$X$884,Trades!$D$2:$D$884,$A528)</f>
        <v>-51.91</v>
      </c>
      <c r="G528" s="30" t="n">
        <f aca="false">SUMIFS(Trades!$X$2:$X$884,Trades!$D$2:$D$884,$A528,Trades!$X$2:$X$884,"&gt;0")</f>
        <v>0</v>
      </c>
      <c r="H528" s="30" t="n">
        <f aca="false">SUMIFS(Trades!$X$2:$X$884,Trades!$D$2:$D$884,$A528,Trades!$X$2:$X$884,"&lt;0")</f>
        <v>-51.91</v>
      </c>
      <c r="I528" s="31" t="n">
        <f aca="false">IFERROR(G528/-H528,"no loss")</f>
        <v>0</v>
      </c>
      <c r="J528" s="30" t="n">
        <f aca="false">_xlfn.MAXIFS(Trades!$X$2:$X$884,Trades!$D$2:$D$884,$A528)</f>
        <v>-51.91</v>
      </c>
      <c r="K528" s="30" t="n">
        <f aca="false">_xlfn.MINIFS(Trades!$X$2:$X$884,Trades!$D$2:$D$884,$A528)</f>
        <v>-51.91</v>
      </c>
      <c r="L528" s="32" t="n">
        <f aca="false">SUMIFS(Trades!$Y$2:$Y$884,Trades!$D$2:$D$884,$A528)</f>
        <v>-1.02060477370165</v>
      </c>
      <c r="M528" s="30" t="n">
        <f aca="false">P527</f>
        <v>112831.11</v>
      </c>
      <c r="N528" s="29" t="n">
        <f aca="false">IFERROR(F528/M528,0)</f>
        <v>-0.000460068149644189</v>
      </c>
      <c r="O528" s="28" t="str">
        <f aca="false">IF(-N528&gt;=Summary!$C$7,"BREACH","")</f>
        <v/>
      </c>
      <c r="P528" s="30" t="n">
        <f aca="false">M528+F528</f>
        <v>112779.2</v>
      </c>
      <c r="Q528" s="30" t="n">
        <f aca="false">P528-Summary!$C$5</f>
        <v>12779.2000000001</v>
      </c>
      <c r="R528" s="2" t="str">
        <f aca="false">TEXT(A528,"ddd")</f>
        <v>Wed</v>
      </c>
    </row>
    <row r="529" customFormat="false" ht="15" hidden="false" customHeight="false" outlineLevel="0" collapsed="false">
      <c r="A529" s="42" t="n">
        <v>45891</v>
      </c>
      <c r="B529" s="28" t="n">
        <f aca="false">COUNTIFS(Trades!$D$2:$D$884,$A529)</f>
        <v>2</v>
      </c>
      <c r="C529" s="28" t="n">
        <f aca="false">COUNTIFS(Trades!$D$2:$D$884,$A529,Trades!$Z$2:$Z$884,"Win")</f>
        <v>1</v>
      </c>
      <c r="D529" s="28" t="n">
        <f aca="false">COUNTIFS(Trades!$D$2:$D$884,$A529,Trades!$Z$2:$Z$884,"Loss")</f>
        <v>1</v>
      </c>
      <c r="E529" s="29" t="n">
        <f aca="false">IFERROR(C529/B529,0)</f>
        <v>0.5</v>
      </c>
      <c r="F529" s="30" t="n">
        <f aca="false">SUMIFS(Trades!$X$2:$X$884,Trades!$D$2:$D$884,$A529)</f>
        <v>420.17</v>
      </c>
      <c r="G529" s="30" t="n">
        <f aca="false">SUMIFS(Trades!$X$2:$X$884,Trades!$D$2:$D$884,$A529,Trades!$X$2:$X$884,"&gt;0")</f>
        <v>517.94</v>
      </c>
      <c r="H529" s="30" t="n">
        <f aca="false">SUMIFS(Trades!$X$2:$X$884,Trades!$D$2:$D$884,$A529,Trades!$X$2:$X$884,"&lt;0")</f>
        <v>-97.77</v>
      </c>
      <c r="I529" s="31" t="n">
        <f aca="false">IFERROR(G529/-H529,"no loss")</f>
        <v>5.29753503119566</v>
      </c>
      <c r="J529" s="30" t="n">
        <f aca="false">_xlfn.MAXIFS(Trades!$X$2:$X$884,Trades!$D$2:$D$884,$A529)</f>
        <v>517.94</v>
      </c>
      <c r="K529" s="30" t="n">
        <f aca="false">_xlfn.MINIFS(Trades!$X$2:$X$884,Trades!$D$2:$D$884,$A529)</f>
        <v>-97.77</v>
      </c>
      <c r="L529" s="32" t="n">
        <f aca="false">SUMIFS(Trades!$Y$2:$Y$884,Trades!$D$2:$D$884,$A529)</f>
        <v>1.03652207451246</v>
      </c>
      <c r="M529" s="30" t="n">
        <f aca="false">P528</f>
        <v>112779.2</v>
      </c>
      <c r="N529" s="29" t="n">
        <f aca="false">IFERROR(F529/M529,0)</f>
        <v>0.00372559833728205</v>
      </c>
      <c r="O529" s="28" t="str">
        <f aca="false">IF(-N529&gt;=Summary!$C$7,"BREACH","")</f>
        <v/>
      </c>
      <c r="P529" s="30" t="n">
        <f aca="false">M529+F529</f>
        <v>113199.37</v>
      </c>
      <c r="Q529" s="30" t="n">
        <f aca="false">P529-Summary!$C$5</f>
        <v>13199.3700000001</v>
      </c>
      <c r="R529" s="2" t="str">
        <f aca="false">TEXT(A529,"ddd")</f>
        <v>Fri</v>
      </c>
    </row>
    <row r="530" customFormat="false" ht="15" hidden="false" customHeight="false" outlineLevel="0" collapsed="false">
      <c r="A530" s="42" t="n">
        <v>45895</v>
      </c>
      <c r="B530" s="28" t="n">
        <f aca="false">COUNTIFS(Trades!$D$2:$D$884,$A530)</f>
        <v>1</v>
      </c>
      <c r="C530" s="28" t="n">
        <f aca="false">COUNTIFS(Trades!$D$2:$D$884,$A530,Trades!$Z$2:$Z$884,"Win")</f>
        <v>0</v>
      </c>
      <c r="D530" s="28" t="n">
        <f aca="false">COUNTIFS(Trades!$D$2:$D$884,$A530,Trades!$Z$2:$Z$884,"Loss")</f>
        <v>1</v>
      </c>
      <c r="E530" s="29" t="n">
        <f aca="false">IFERROR(C530/B530,0)</f>
        <v>0</v>
      </c>
      <c r="F530" s="30" t="n">
        <f aca="false">SUMIFS(Trades!$X$2:$X$884,Trades!$D$2:$D$884,$A530)</f>
        <v>-1.26</v>
      </c>
      <c r="G530" s="30" t="n">
        <f aca="false">SUMIFS(Trades!$X$2:$X$884,Trades!$D$2:$D$884,$A530,Trades!$X$2:$X$884,"&gt;0")</f>
        <v>0</v>
      </c>
      <c r="H530" s="30" t="n">
        <f aca="false">SUMIFS(Trades!$X$2:$X$884,Trades!$D$2:$D$884,$A530,Trades!$X$2:$X$884,"&lt;0")</f>
        <v>-1.26</v>
      </c>
      <c r="I530" s="31" t="n">
        <f aca="false">IFERROR(G530/-H530,"no loss")</f>
        <v>0</v>
      </c>
      <c r="J530" s="30" t="n">
        <f aca="false">_xlfn.MAXIFS(Trades!$X$2:$X$884,Trades!$D$2:$D$884,$A530)</f>
        <v>-1.26</v>
      </c>
      <c r="K530" s="30" t="n">
        <f aca="false">_xlfn.MINIFS(Trades!$X$2:$X$884,Trades!$D$2:$D$884,$A530)</f>
        <v>-1.26</v>
      </c>
      <c r="L530" s="32" t="n">
        <f aca="false">SUMIFS(Trades!$Y$2:$Y$884,Trades!$D$2:$D$884,$A530)</f>
        <v>-0.00833101916134444</v>
      </c>
      <c r="M530" s="30" t="n">
        <f aca="false">P529</f>
        <v>113199.37</v>
      </c>
      <c r="N530" s="29" t="n">
        <f aca="false">IFERROR(F530/M530,0)</f>
        <v>-1.1130803996524E-005</v>
      </c>
      <c r="O530" s="28" t="str">
        <f aca="false">IF(-N530&gt;=Summary!$C$7,"BREACH","")</f>
        <v/>
      </c>
      <c r="P530" s="30" t="n">
        <f aca="false">M530+F530</f>
        <v>113198.11</v>
      </c>
      <c r="Q530" s="30" t="n">
        <f aca="false">P530-Summary!$C$5</f>
        <v>13198.1100000001</v>
      </c>
      <c r="R530" s="2" t="str">
        <f aca="false">TEXT(A530,"ddd")</f>
        <v>Tue</v>
      </c>
    </row>
    <row r="531" customFormat="false" ht="15" hidden="false" customHeight="false" outlineLevel="0" collapsed="false">
      <c r="A531" s="42" t="n">
        <v>45896</v>
      </c>
      <c r="B531" s="28" t="n">
        <f aca="false">COUNTIFS(Trades!$D$2:$D$884,$A531)</f>
        <v>1</v>
      </c>
      <c r="C531" s="28" t="n">
        <f aca="false">COUNTIFS(Trades!$D$2:$D$884,$A531,Trades!$Z$2:$Z$884,"Win")</f>
        <v>0</v>
      </c>
      <c r="D531" s="28" t="n">
        <f aca="false">COUNTIFS(Trades!$D$2:$D$884,$A531,Trades!$Z$2:$Z$884,"Loss")</f>
        <v>1</v>
      </c>
      <c r="E531" s="29" t="n">
        <f aca="false">IFERROR(C531/B531,0)</f>
        <v>0</v>
      </c>
      <c r="F531" s="30" t="n">
        <f aca="false">SUMIFS(Trades!$X$2:$X$884,Trades!$D$2:$D$884,$A531)</f>
        <v>-41.2</v>
      </c>
      <c r="G531" s="30" t="n">
        <f aca="false">SUMIFS(Trades!$X$2:$X$884,Trades!$D$2:$D$884,$A531,Trades!$X$2:$X$884,"&gt;0")</f>
        <v>0</v>
      </c>
      <c r="H531" s="30" t="n">
        <f aca="false">SUMIFS(Trades!$X$2:$X$884,Trades!$D$2:$D$884,$A531,Trades!$X$2:$X$884,"&lt;0")</f>
        <v>-41.2</v>
      </c>
      <c r="I531" s="31" t="n">
        <f aca="false">IFERROR(G531/-H531,"no loss")</f>
        <v>0</v>
      </c>
      <c r="J531" s="30" t="n">
        <f aca="false">_xlfn.MAXIFS(Trades!$X$2:$X$884,Trades!$D$2:$D$884,$A531)</f>
        <v>-41.2</v>
      </c>
      <c r="K531" s="30" t="n">
        <f aca="false">_xlfn.MINIFS(Trades!$X$2:$X$884,Trades!$D$2:$D$884,$A531)</f>
        <v>-41.2</v>
      </c>
      <c r="L531" s="32" t="n">
        <f aca="false">SUMIFS(Trades!$Y$2:$Y$884,Trades!$D$2:$D$884,$A531)</f>
        <v>-1.03804484756858</v>
      </c>
      <c r="M531" s="30" t="n">
        <f aca="false">P530</f>
        <v>113198.11</v>
      </c>
      <c r="N531" s="29" t="n">
        <f aca="false">IFERROR(F531/M531,0)</f>
        <v>-0.0003639636739518</v>
      </c>
      <c r="O531" s="28" t="str">
        <f aca="false">IF(-N531&gt;=Summary!$C$7,"BREACH","")</f>
        <v/>
      </c>
      <c r="P531" s="30" t="n">
        <f aca="false">M531+F531</f>
        <v>113156.91</v>
      </c>
      <c r="Q531" s="30" t="n">
        <f aca="false">P531-Summary!$C$5</f>
        <v>13156.9100000001</v>
      </c>
      <c r="R531" s="2" t="str">
        <f aca="false">TEXT(A531,"ddd")</f>
        <v>Wed</v>
      </c>
    </row>
    <row r="532" customFormat="false" ht="15" hidden="false" customHeight="false" outlineLevel="0" collapsed="false">
      <c r="A532" s="42" t="n">
        <v>45897</v>
      </c>
      <c r="B532" s="28" t="n">
        <f aca="false">COUNTIFS(Trades!$D$2:$D$884,$A532)</f>
        <v>2</v>
      </c>
      <c r="C532" s="28" t="n">
        <f aca="false">COUNTIFS(Trades!$D$2:$D$884,$A532,Trades!$Z$2:$Z$884,"Win")</f>
        <v>0</v>
      </c>
      <c r="D532" s="28" t="n">
        <f aca="false">COUNTIFS(Trades!$D$2:$D$884,$A532,Trades!$Z$2:$Z$884,"Loss")</f>
        <v>2</v>
      </c>
      <c r="E532" s="29" t="n">
        <f aca="false">IFERROR(C532/B532,0)</f>
        <v>0</v>
      </c>
      <c r="F532" s="30" t="n">
        <f aca="false">SUMIFS(Trades!$X$2:$X$884,Trades!$D$2:$D$884,$A532)</f>
        <v>-180.51</v>
      </c>
      <c r="G532" s="30" t="n">
        <f aca="false">SUMIFS(Trades!$X$2:$X$884,Trades!$D$2:$D$884,$A532,Trades!$X$2:$X$884,"&gt;0")</f>
        <v>0</v>
      </c>
      <c r="H532" s="30" t="n">
        <f aca="false">SUMIFS(Trades!$X$2:$X$884,Trades!$D$2:$D$884,$A532,Trades!$X$2:$X$884,"&lt;0")</f>
        <v>-180.51</v>
      </c>
      <c r="I532" s="31" t="n">
        <f aca="false">IFERROR(G532/-H532,"no loss")</f>
        <v>0</v>
      </c>
      <c r="J532" s="30" t="n">
        <f aca="false">_xlfn.MAXIFS(Trades!$X$2:$X$884,Trades!$D$2:$D$884,$A532)</f>
        <v>-46.7</v>
      </c>
      <c r="K532" s="30" t="n">
        <f aca="false">_xlfn.MINIFS(Trades!$X$2:$X$884,Trades!$D$2:$D$884,$A532)</f>
        <v>-133.81</v>
      </c>
      <c r="L532" s="32" t="n">
        <f aca="false">SUMIFS(Trades!$Y$2:$Y$884,Trades!$D$2:$D$884,$A532)</f>
        <v>-2.00686183827969</v>
      </c>
      <c r="M532" s="30" t="n">
        <f aca="false">P531</f>
        <v>113156.91</v>
      </c>
      <c r="N532" s="29" t="n">
        <f aca="false">IFERROR(F532/M532,0)</f>
        <v>-0.00159521853327384</v>
      </c>
      <c r="O532" s="28" t="str">
        <f aca="false">IF(-N532&gt;=Summary!$C$7,"BREACH","")</f>
        <v/>
      </c>
      <c r="P532" s="30" t="n">
        <f aca="false">M532+F532</f>
        <v>112976.4</v>
      </c>
      <c r="Q532" s="30" t="n">
        <f aca="false">P532-Summary!$C$5</f>
        <v>12976.4000000001</v>
      </c>
      <c r="R532" s="2" t="str">
        <f aca="false">TEXT(A532,"ddd")</f>
        <v>Thu</v>
      </c>
    </row>
    <row r="533" customFormat="false" ht="15" hidden="false" customHeight="false" outlineLevel="0" collapsed="false">
      <c r="A533" s="42" t="n">
        <v>45898</v>
      </c>
      <c r="B533" s="28" t="n">
        <f aca="false">COUNTIFS(Trades!$D$2:$D$884,$A533)</f>
        <v>1</v>
      </c>
      <c r="C533" s="28" t="n">
        <f aca="false">COUNTIFS(Trades!$D$2:$D$884,$A533,Trades!$Z$2:$Z$884,"Win")</f>
        <v>0</v>
      </c>
      <c r="D533" s="28" t="n">
        <f aca="false">COUNTIFS(Trades!$D$2:$D$884,$A533,Trades!$Z$2:$Z$884,"Loss")</f>
        <v>1</v>
      </c>
      <c r="E533" s="29" t="n">
        <f aca="false">IFERROR(C533/B533,0)</f>
        <v>0</v>
      </c>
      <c r="F533" s="30" t="n">
        <f aca="false">SUMIFS(Trades!$X$2:$X$884,Trades!$D$2:$D$884,$A533)</f>
        <v>-212.31</v>
      </c>
      <c r="G533" s="30" t="n">
        <f aca="false">SUMIFS(Trades!$X$2:$X$884,Trades!$D$2:$D$884,$A533,Trades!$X$2:$X$884,"&gt;0")</f>
        <v>0</v>
      </c>
      <c r="H533" s="30" t="n">
        <f aca="false">SUMIFS(Trades!$X$2:$X$884,Trades!$D$2:$D$884,$A533,Trades!$X$2:$X$884,"&lt;0")</f>
        <v>-212.31</v>
      </c>
      <c r="I533" s="31" t="n">
        <f aca="false">IFERROR(G533/-H533,"no loss")</f>
        <v>0</v>
      </c>
      <c r="J533" s="30" t="n">
        <f aca="false">_xlfn.MAXIFS(Trades!$X$2:$X$884,Trades!$D$2:$D$884,$A533)</f>
        <v>-212.31</v>
      </c>
      <c r="K533" s="30" t="n">
        <f aca="false">_xlfn.MINIFS(Trades!$X$2:$X$884,Trades!$D$2:$D$884,$A533)</f>
        <v>-212.31</v>
      </c>
      <c r="L533" s="32" t="n">
        <f aca="false">SUMIFS(Trades!$Y$2:$Y$884,Trades!$D$2:$D$884,$A533)</f>
        <v>-1.011</v>
      </c>
      <c r="M533" s="30" t="n">
        <f aca="false">P532</f>
        <v>112976.4</v>
      </c>
      <c r="N533" s="29" t="n">
        <f aca="false">IFERROR(F533/M533,0)</f>
        <v>-0.0018792420363899</v>
      </c>
      <c r="O533" s="28" t="str">
        <f aca="false">IF(-N533&gt;=Summary!$C$7,"BREACH","")</f>
        <v/>
      </c>
      <c r="P533" s="30" t="n">
        <f aca="false">M533+F533</f>
        <v>112764.09</v>
      </c>
      <c r="Q533" s="30" t="n">
        <f aca="false">P533-Summary!$C$5</f>
        <v>12764.0900000001</v>
      </c>
      <c r="R533" s="2" t="str">
        <f aca="false">TEXT(A533,"ddd")</f>
        <v>Fri</v>
      </c>
    </row>
    <row r="534" customFormat="false" ht="15" hidden="false" customHeight="false" outlineLevel="0" collapsed="false">
      <c r="A534" s="42" t="n">
        <v>45901</v>
      </c>
      <c r="B534" s="28" t="n">
        <f aca="false">COUNTIFS(Trades!$D$2:$D$884,$A534)</f>
        <v>1</v>
      </c>
      <c r="C534" s="28" t="n">
        <f aca="false">COUNTIFS(Trades!$D$2:$D$884,$A534,Trades!$Z$2:$Z$884,"Win")</f>
        <v>0</v>
      </c>
      <c r="D534" s="28" t="n">
        <f aca="false">COUNTIFS(Trades!$D$2:$D$884,$A534,Trades!$Z$2:$Z$884,"Loss")</f>
        <v>1</v>
      </c>
      <c r="E534" s="29" t="n">
        <f aca="false">IFERROR(C534/B534,0)</f>
        <v>0</v>
      </c>
      <c r="F534" s="30" t="n">
        <f aca="false">SUMIFS(Trades!$X$2:$X$884,Trades!$D$2:$D$884,$A534)</f>
        <v>-1.01</v>
      </c>
      <c r="G534" s="30" t="n">
        <f aca="false">SUMIFS(Trades!$X$2:$X$884,Trades!$D$2:$D$884,$A534,Trades!$X$2:$X$884,"&gt;0")</f>
        <v>0</v>
      </c>
      <c r="H534" s="30" t="n">
        <f aca="false">SUMIFS(Trades!$X$2:$X$884,Trades!$D$2:$D$884,$A534,Trades!$X$2:$X$884,"&lt;0")</f>
        <v>-1.01</v>
      </c>
      <c r="I534" s="31" t="n">
        <f aca="false">IFERROR(G534/-H534,"no loss")</f>
        <v>0</v>
      </c>
      <c r="J534" s="30" t="n">
        <f aca="false">_xlfn.MAXIFS(Trades!$X$2:$X$884,Trades!$D$2:$D$884,$A534)</f>
        <v>-1.01</v>
      </c>
      <c r="K534" s="30" t="n">
        <f aca="false">_xlfn.MINIFS(Trades!$X$2:$X$884,Trades!$D$2:$D$884,$A534)</f>
        <v>-1.01</v>
      </c>
      <c r="L534" s="32" t="n">
        <f aca="false">SUMIFS(Trades!$Y$2:$Y$884,Trades!$D$2:$D$884,$A534)</f>
        <v>-0.0161610343061945</v>
      </c>
      <c r="M534" s="30" t="n">
        <f aca="false">P533</f>
        <v>112764.09</v>
      </c>
      <c r="N534" s="29" t="n">
        <f aca="false">IFERROR(F534/M534,0)</f>
        <v>-8.95675210077959E-006</v>
      </c>
      <c r="O534" s="28" t="str">
        <f aca="false">IF(-N534&gt;=Summary!$C$7,"BREACH","")</f>
        <v/>
      </c>
      <c r="P534" s="30" t="n">
        <f aca="false">M534+F534</f>
        <v>112763.08</v>
      </c>
      <c r="Q534" s="30" t="n">
        <f aca="false">P534-Summary!$C$5</f>
        <v>12763.0800000001</v>
      </c>
      <c r="R534" s="2" t="str">
        <f aca="false">TEXT(A534,"ddd")</f>
        <v>Mon</v>
      </c>
    </row>
    <row r="535" customFormat="false" ht="15" hidden="false" customHeight="false" outlineLevel="0" collapsed="false">
      <c r="A535" s="42" t="n">
        <v>45902</v>
      </c>
      <c r="B535" s="28" t="n">
        <f aca="false">COUNTIFS(Trades!$D$2:$D$884,$A535)</f>
        <v>1</v>
      </c>
      <c r="C535" s="28" t="n">
        <f aca="false">COUNTIFS(Trades!$D$2:$D$884,$A535,Trades!$Z$2:$Z$884,"Win")</f>
        <v>1</v>
      </c>
      <c r="D535" s="28" t="n">
        <f aca="false">COUNTIFS(Trades!$D$2:$D$884,$A535,Trades!$Z$2:$Z$884,"Loss")</f>
        <v>0</v>
      </c>
      <c r="E535" s="29" t="n">
        <f aca="false">IFERROR(C535/B535,0)</f>
        <v>1</v>
      </c>
      <c r="F535" s="30" t="n">
        <f aca="false">SUMIFS(Trades!$X$2:$X$884,Trades!$D$2:$D$884,$A535)</f>
        <v>166.4</v>
      </c>
      <c r="G535" s="30" t="n">
        <f aca="false">SUMIFS(Trades!$X$2:$X$884,Trades!$D$2:$D$884,$A535,Trades!$X$2:$X$884,"&gt;0")</f>
        <v>166.4</v>
      </c>
      <c r="H535" s="30" t="n">
        <f aca="false">SUMIFS(Trades!$X$2:$X$884,Trades!$D$2:$D$884,$A535,Trades!$X$2:$X$884,"&lt;0")</f>
        <v>0</v>
      </c>
      <c r="I535" s="31" t="str">
        <f aca="false">IFERROR(G535/-H535,"no loss")</f>
        <v>no loss</v>
      </c>
      <c r="J535" s="30" t="n">
        <f aca="false">_xlfn.MAXIFS(Trades!$X$2:$X$884,Trades!$D$2:$D$884,$A535)</f>
        <v>166.4</v>
      </c>
      <c r="K535" s="30" t="n">
        <f aca="false">_xlfn.MINIFS(Trades!$X$2:$X$884,Trades!$D$2:$D$884,$A535)</f>
        <v>166.4</v>
      </c>
      <c r="L535" s="32" t="n">
        <f aca="false">SUMIFS(Trades!$Y$2:$Y$884,Trades!$D$2:$D$884,$A535)</f>
        <v>2.00501253132848</v>
      </c>
      <c r="M535" s="30" t="n">
        <f aca="false">P534</f>
        <v>112763.08</v>
      </c>
      <c r="N535" s="29" t="n">
        <f aca="false">IFERROR(F535/M535,0)</f>
        <v>0.00147566029590536</v>
      </c>
      <c r="O535" s="28" t="str">
        <f aca="false">IF(-N535&gt;=Summary!$C$7,"BREACH","")</f>
        <v/>
      </c>
      <c r="P535" s="30" t="n">
        <f aca="false">M535+F535</f>
        <v>112929.48</v>
      </c>
      <c r="Q535" s="30" t="n">
        <f aca="false">P535-Summary!$C$5</f>
        <v>12929.4800000001</v>
      </c>
      <c r="R535" s="2" t="str">
        <f aca="false">TEXT(A535,"ddd")</f>
        <v>Tue</v>
      </c>
    </row>
    <row r="536" customFormat="false" ht="15" hidden="false" customHeight="false" outlineLevel="0" collapsed="false">
      <c r="A536" s="42" t="n">
        <v>45903</v>
      </c>
      <c r="B536" s="28" t="n">
        <f aca="false">COUNTIFS(Trades!$D$2:$D$884,$A536)</f>
        <v>1</v>
      </c>
      <c r="C536" s="28" t="n">
        <f aca="false">COUNTIFS(Trades!$D$2:$D$884,$A536,Trades!$Z$2:$Z$884,"Win")</f>
        <v>0</v>
      </c>
      <c r="D536" s="28" t="n">
        <f aca="false">COUNTIFS(Trades!$D$2:$D$884,$A536,Trades!$Z$2:$Z$884,"Loss")</f>
        <v>1</v>
      </c>
      <c r="E536" s="29" t="n">
        <f aca="false">IFERROR(C536/B536,0)</f>
        <v>0</v>
      </c>
      <c r="F536" s="30" t="n">
        <f aca="false">SUMIFS(Trades!$X$2:$X$884,Trades!$D$2:$D$884,$A536)</f>
        <v>-86.48</v>
      </c>
      <c r="G536" s="30" t="n">
        <f aca="false">SUMIFS(Trades!$X$2:$X$884,Trades!$D$2:$D$884,$A536,Trades!$X$2:$X$884,"&gt;0")</f>
        <v>0</v>
      </c>
      <c r="H536" s="30" t="n">
        <f aca="false">SUMIFS(Trades!$X$2:$X$884,Trades!$D$2:$D$884,$A536,Trades!$X$2:$X$884,"&lt;0")</f>
        <v>-86.48</v>
      </c>
      <c r="I536" s="31" t="n">
        <f aca="false">IFERROR(G536/-H536,"no loss")</f>
        <v>0</v>
      </c>
      <c r="J536" s="30" t="n">
        <f aca="false">_xlfn.MAXIFS(Trades!$X$2:$X$884,Trades!$D$2:$D$884,$A536)</f>
        <v>-86.48</v>
      </c>
      <c r="K536" s="30" t="n">
        <f aca="false">_xlfn.MINIFS(Trades!$X$2:$X$884,Trades!$D$2:$D$884,$A536)</f>
        <v>-86.48</v>
      </c>
      <c r="L536" s="32" t="n">
        <f aca="false">SUMIFS(Trades!$Y$2:$Y$884,Trades!$D$2:$D$884,$A536)</f>
        <v>-1.07973131570406</v>
      </c>
      <c r="M536" s="30" t="n">
        <f aca="false">P535</f>
        <v>112929.48</v>
      </c>
      <c r="N536" s="29" t="n">
        <f aca="false">IFERROR(F536/M536,0)</f>
        <v>-0.000765787640215823</v>
      </c>
      <c r="O536" s="28" t="str">
        <f aca="false">IF(-N536&gt;=Summary!$C$7,"BREACH","")</f>
        <v/>
      </c>
      <c r="P536" s="30" t="n">
        <f aca="false">M536+F536</f>
        <v>112843</v>
      </c>
      <c r="Q536" s="30" t="n">
        <f aca="false">P536-Summary!$C$5</f>
        <v>12843.0000000001</v>
      </c>
      <c r="R536" s="2" t="str">
        <f aca="false">TEXT(A536,"ddd")</f>
        <v>Wed</v>
      </c>
    </row>
    <row r="537" customFormat="false" ht="15" hidden="false" customHeight="false" outlineLevel="0" collapsed="false">
      <c r="A537" s="42" t="n">
        <v>45904</v>
      </c>
      <c r="B537" s="28" t="n">
        <f aca="false">COUNTIFS(Trades!$D$2:$D$884,$A537)</f>
        <v>1</v>
      </c>
      <c r="C537" s="28" t="n">
        <f aca="false">COUNTIFS(Trades!$D$2:$D$884,$A537,Trades!$Z$2:$Z$884,"Win")</f>
        <v>0</v>
      </c>
      <c r="D537" s="28" t="n">
        <f aca="false">COUNTIFS(Trades!$D$2:$D$884,$A537,Trades!$Z$2:$Z$884,"Loss")</f>
        <v>1</v>
      </c>
      <c r="E537" s="29" t="n">
        <f aca="false">IFERROR(C537/B537,0)</f>
        <v>0</v>
      </c>
      <c r="F537" s="30" t="n">
        <f aca="false">SUMIFS(Trades!$X$2:$X$884,Trades!$D$2:$D$884,$A537)</f>
        <v>-51.37</v>
      </c>
      <c r="G537" s="30" t="n">
        <f aca="false">SUMIFS(Trades!$X$2:$X$884,Trades!$D$2:$D$884,$A537,Trades!$X$2:$X$884,"&gt;0")</f>
        <v>0</v>
      </c>
      <c r="H537" s="30" t="n">
        <f aca="false">SUMIFS(Trades!$X$2:$X$884,Trades!$D$2:$D$884,$A537,Trades!$X$2:$X$884,"&lt;0")</f>
        <v>-51.37</v>
      </c>
      <c r="I537" s="31" t="n">
        <f aca="false">IFERROR(G537/-H537,"no loss")</f>
        <v>0</v>
      </c>
      <c r="J537" s="30" t="n">
        <f aca="false">_xlfn.MAXIFS(Trades!$X$2:$X$884,Trades!$D$2:$D$884,$A537)</f>
        <v>-51.37</v>
      </c>
      <c r="K537" s="30" t="n">
        <f aca="false">_xlfn.MINIFS(Trades!$X$2:$X$884,Trades!$D$2:$D$884,$A537)</f>
        <v>-51.37</v>
      </c>
      <c r="L537" s="32" t="n">
        <f aca="false">SUMIFS(Trades!$Y$2:$Y$884,Trades!$D$2:$D$884,$A537)</f>
        <v>-1.03740054121726</v>
      </c>
      <c r="M537" s="30" t="n">
        <f aca="false">P536</f>
        <v>112843</v>
      </c>
      <c r="N537" s="29" t="n">
        <f aca="false">IFERROR(F537/M537,0)</f>
        <v>-0.000455234263534291</v>
      </c>
      <c r="O537" s="28" t="str">
        <f aca="false">IF(-N537&gt;=Summary!$C$7,"BREACH","")</f>
        <v/>
      </c>
      <c r="P537" s="30" t="n">
        <f aca="false">M537+F537</f>
        <v>112791.63</v>
      </c>
      <c r="Q537" s="30" t="n">
        <f aca="false">P537-Summary!$C$5</f>
        <v>12791.6300000001</v>
      </c>
      <c r="R537" s="2" t="str">
        <f aca="false">TEXT(A537,"ddd")</f>
        <v>Thu</v>
      </c>
    </row>
    <row r="538" customFormat="false" ht="15" hidden="false" customHeight="false" outlineLevel="0" collapsed="false">
      <c r="A538" s="42" t="n">
        <v>45905</v>
      </c>
      <c r="B538" s="28" t="n">
        <f aca="false">COUNTIFS(Trades!$D$2:$D$884,$A538)</f>
        <v>1</v>
      </c>
      <c r="C538" s="28" t="n">
        <f aca="false">COUNTIFS(Trades!$D$2:$D$884,$A538,Trades!$Z$2:$Z$884,"Win")</f>
        <v>1</v>
      </c>
      <c r="D538" s="28" t="n">
        <f aca="false">COUNTIFS(Trades!$D$2:$D$884,$A538,Trades!$Z$2:$Z$884,"Loss")</f>
        <v>0</v>
      </c>
      <c r="E538" s="29" t="n">
        <f aca="false">IFERROR(C538/B538,0)</f>
        <v>1</v>
      </c>
      <c r="F538" s="30" t="n">
        <f aca="false">SUMIFS(Trades!$X$2:$X$884,Trades!$D$2:$D$884,$A538)</f>
        <v>149.48</v>
      </c>
      <c r="G538" s="30" t="n">
        <f aca="false">SUMIFS(Trades!$X$2:$X$884,Trades!$D$2:$D$884,$A538,Trades!$X$2:$X$884,"&gt;0")</f>
        <v>149.48</v>
      </c>
      <c r="H538" s="30" t="n">
        <f aca="false">SUMIFS(Trades!$X$2:$X$884,Trades!$D$2:$D$884,$A538,Trades!$X$2:$X$884,"&lt;0")</f>
        <v>0</v>
      </c>
      <c r="I538" s="31" t="str">
        <f aca="false">IFERROR(G538/-H538,"no loss")</f>
        <v>no loss</v>
      </c>
      <c r="J538" s="30" t="n">
        <f aca="false">_xlfn.MAXIFS(Trades!$X$2:$X$884,Trades!$D$2:$D$884,$A538)</f>
        <v>149.48</v>
      </c>
      <c r="K538" s="30" t="n">
        <f aca="false">_xlfn.MINIFS(Trades!$X$2:$X$884,Trades!$D$2:$D$884,$A538)</f>
        <v>149.48</v>
      </c>
      <c r="L538" s="32" t="n">
        <f aca="false">SUMIFS(Trades!$Y$2:$Y$884,Trades!$D$2:$D$884,$A538)</f>
        <v>2.03490429905548</v>
      </c>
      <c r="M538" s="30" t="n">
        <f aca="false">P537</f>
        <v>112791.63</v>
      </c>
      <c r="N538" s="29" t="n">
        <f aca="false">IFERROR(F538/M538,0)</f>
        <v>0.001325275643237</v>
      </c>
      <c r="O538" s="28" t="str">
        <f aca="false">IF(-N538&gt;=Summary!$C$7,"BREACH","")</f>
        <v/>
      </c>
      <c r="P538" s="30" t="n">
        <f aca="false">M538+F538</f>
        <v>112941.11</v>
      </c>
      <c r="Q538" s="30" t="n">
        <f aca="false">P538-Summary!$C$5</f>
        <v>12941.1100000001</v>
      </c>
      <c r="R538" s="2" t="str">
        <f aca="false">TEXT(A538,"ddd")</f>
        <v>Fri</v>
      </c>
    </row>
    <row r="539" customFormat="false" ht="15" hidden="false" customHeight="false" outlineLevel="0" collapsed="false">
      <c r="A539" s="42" t="n">
        <v>45909</v>
      </c>
      <c r="B539" s="28" t="n">
        <f aca="false">COUNTIFS(Trades!$D$2:$D$884,$A539)</f>
        <v>1</v>
      </c>
      <c r="C539" s="28" t="n">
        <f aca="false">COUNTIFS(Trades!$D$2:$D$884,$A539,Trades!$Z$2:$Z$884,"Win")</f>
        <v>0</v>
      </c>
      <c r="D539" s="28" t="n">
        <f aca="false">COUNTIFS(Trades!$D$2:$D$884,$A539,Trades!$Z$2:$Z$884,"Loss")</f>
        <v>1</v>
      </c>
      <c r="E539" s="29" t="n">
        <f aca="false">IFERROR(C539/B539,0)</f>
        <v>0</v>
      </c>
      <c r="F539" s="30" t="n">
        <f aca="false">SUMIFS(Trades!$X$2:$X$884,Trades!$D$2:$D$884,$A539)</f>
        <v>-66.11</v>
      </c>
      <c r="G539" s="30" t="n">
        <f aca="false">SUMIFS(Trades!$X$2:$X$884,Trades!$D$2:$D$884,$A539,Trades!$X$2:$X$884,"&gt;0")</f>
        <v>0</v>
      </c>
      <c r="H539" s="30" t="n">
        <f aca="false">SUMIFS(Trades!$X$2:$X$884,Trades!$D$2:$D$884,$A539,Trades!$X$2:$X$884,"&lt;0")</f>
        <v>-66.11</v>
      </c>
      <c r="I539" s="31" t="n">
        <f aca="false">IFERROR(G539/-H539,"no loss")</f>
        <v>0</v>
      </c>
      <c r="J539" s="30" t="n">
        <f aca="false">_xlfn.MAXIFS(Trades!$X$2:$X$884,Trades!$D$2:$D$884,$A539)</f>
        <v>-66.11</v>
      </c>
      <c r="K539" s="30" t="n">
        <f aca="false">_xlfn.MINIFS(Trades!$X$2:$X$884,Trades!$D$2:$D$884,$A539)</f>
        <v>-66.11</v>
      </c>
      <c r="L539" s="32" t="n">
        <f aca="false">SUMIFS(Trades!$Y$2:$Y$884,Trades!$D$2:$D$884,$A539)</f>
        <v>-1.00003025352443</v>
      </c>
      <c r="M539" s="30" t="n">
        <f aca="false">P538</f>
        <v>112941.11</v>
      </c>
      <c r="N539" s="29" t="n">
        <f aca="false">IFERROR(F539/M539,0)</f>
        <v>-0.000585349302835787</v>
      </c>
      <c r="O539" s="28" t="str">
        <f aca="false">IF(-N539&gt;=Summary!$C$7,"BREACH","")</f>
        <v/>
      </c>
      <c r="P539" s="30" t="n">
        <f aca="false">M539+F539</f>
        <v>112875</v>
      </c>
      <c r="Q539" s="30" t="n">
        <f aca="false">P539-Summary!$C$5</f>
        <v>12875.0000000001</v>
      </c>
      <c r="R539" s="2" t="str">
        <f aca="false">TEXT(A539,"ddd")</f>
        <v>Tue</v>
      </c>
    </row>
    <row r="540" customFormat="false" ht="15" hidden="false" customHeight="false" outlineLevel="0" collapsed="false">
      <c r="A540" s="42" t="n">
        <v>45910</v>
      </c>
      <c r="B540" s="28" t="n">
        <f aca="false">COUNTIFS(Trades!$D$2:$D$884,$A540)</f>
        <v>1</v>
      </c>
      <c r="C540" s="28" t="n">
        <f aca="false">COUNTIFS(Trades!$D$2:$D$884,$A540,Trades!$Z$2:$Z$884,"Win")</f>
        <v>0</v>
      </c>
      <c r="D540" s="28" t="n">
        <f aca="false">COUNTIFS(Trades!$D$2:$D$884,$A540,Trades!$Z$2:$Z$884,"Loss")</f>
        <v>1</v>
      </c>
      <c r="E540" s="29" t="n">
        <f aca="false">IFERROR(C540/B540,0)</f>
        <v>0</v>
      </c>
      <c r="F540" s="30" t="n">
        <f aca="false">SUMIFS(Trades!$X$2:$X$884,Trades!$D$2:$D$884,$A540)</f>
        <v>-69.38</v>
      </c>
      <c r="G540" s="30" t="n">
        <f aca="false">SUMIFS(Trades!$X$2:$X$884,Trades!$D$2:$D$884,$A540,Trades!$X$2:$X$884,"&gt;0")</f>
        <v>0</v>
      </c>
      <c r="H540" s="30" t="n">
        <f aca="false">SUMIFS(Trades!$X$2:$X$884,Trades!$D$2:$D$884,$A540,Trades!$X$2:$X$884,"&lt;0")</f>
        <v>-69.38</v>
      </c>
      <c r="I540" s="31" t="n">
        <f aca="false">IFERROR(G540/-H540,"no loss")</f>
        <v>0</v>
      </c>
      <c r="J540" s="30" t="n">
        <f aca="false">_xlfn.MAXIFS(Trades!$X$2:$X$884,Trades!$D$2:$D$884,$A540)</f>
        <v>-69.38</v>
      </c>
      <c r="K540" s="30" t="n">
        <f aca="false">_xlfn.MINIFS(Trades!$X$2:$X$884,Trades!$D$2:$D$884,$A540)</f>
        <v>-69.38</v>
      </c>
      <c r="L540" s="32" t="n">
        <f aca="false">SUMIFS(Trades!$Y$2:$Y$884,Trades!$D$2:$D$884,$A540)</f>
        <v>-1.01033930391715</v>
      </c>
      <c r="M540" s="30" t="n">
        <f aca="false">P539</f>
        <v>112875</v>
      </c>
      <c r="N540" s="29" t="n">
        <f aca="false">IFERROR(F540/M540,0)</f>
        <v>-0.000614662236987818</v>
      </c>
      <c r="O540" s="28" t="str">
        <f aca="false">IF(-N540&gt;=Summary!$C$7,"BREACH","")</f>
        <v/>
      </c>
      <c r="P540" s="30" t="n">
        <f aca="false">M540+F540</f>
        <v>112805.62</v>
      </c>
      <c r="Q540" s="30" t="n">
        <f aca="false">P540-Summary!$C$5</f>
        <v>12805.6200000001</v>
      </c>
      <c r="R540" s="2" t="str">
        <f aca="false">TEXT(A540,"ddd")</f>
        <v>Wed</v>
      </c>
    </row>
    <row r="541" customFormat="false" ht="15" hidden="false" customHeight="false" outlineLevel="0" collapsed="false">
      <c r="A541" s="42" t="n">
        <v>45911</v>
      </c>
      <c r="B541" s="28" t="n">
        <f aca="false">COUNTIFS(Trades!$D$2:$D$884,$A541)</f>
        <v>1</v>
      </c>
      <c r="C541" s="28" t="n">
        <f aca="false">COUNTIFS(Trades!$D$2:$D$884,$A541,Trades!$Z$2:$Z$884,"Win")</f>
        <v>0</v>
      </c>
      <c r="D541" s="28" t="n">
        <f aca="false">COUNTIFS(Trades!$D$2:$D$884,$A541,Trades!$Z$2:$Z$884,"Loss")</f>
        <v>1</v>
      </c>
      <c r="E541" s="29" t="n">
        <f aca="false">IFERROR(C541/B541,0)</f>
        <v>0</v>
      </c>
      <c r="F541" s="30" t="n">
        <f aca="false">SUMIFS(Trades!$X$2:$X$884,Trades!$D$2:$D$884,$A541)</f>
        <v>-65.1</v>
      </c>
      <c r="G541" s="30" t="n">
        <f aca="false">SUMIFS(Trades!$X$2:$X$884,Trades!$D$2:$D$884,$A541,Trades!$X$2:$X$884,"&gt;0")</f>
        <v>0</v>
      </c>
      <c r="H541" s="30" t="n">
        <f aca="false">SUMIFS(Trades!$X$2:$X$884,Trades!$D$2:$D$884,$A541,Trades!$X$2:$X$884,"&lt;0")</f>
        <v>-65.1</v>
      </c>
      <c r="I541" s="31" t="n">
        <f aca="false">IFERROR(G541/-H541,"no loss")</f>
        <v>0</v>
      </c>
      <c r="J541" s="30" t="n">
        <f aca="false">_xlfn.MAXIFS(Trades!$X$2:$X$884,Trades!$D$2:$D$884,$A541)</f>
        <v>-65.1</v>
      </c>
      <c r="K541" s="30" t="n">
        <f aca="false">_xlfn.MINIFS(Trades!$X$2:$X$884,Trades!$D$2:$D$884,$A541)</f>
        <v>-65.1</v>
      </c>
      <c r="L541" s="32" t="n">
        <f aca="false">SUMIFS(Trades!$Y$2:$Y$884,Trades!$D$2:$D$884,$A541)</f>
        <v>-1.00518806744499</v>
      </c>
      <c r="M541" s="30" t="n">
        <f aca="false">P540</f>
        <v>112805.62</v>
      </c>
      <c r="N541" s="29" t="n">
        <f aca="false">IFERROR(F541/M541,0)</f>
        <v>-0.000577098906951621</v>
      </c>
      <c r="O541" s="28" t="str">
        <f aca="false">IF(-N541&gt;=Summary!$C$7,"BREACH","")</f>
        <v/>
      </c>
      <c r="P541" s="30" t="n">
        <f aca="false">M541+F541</f>
        <v>112740.52</v>
      </c>
      <c r="Q541" s="30" t="n">
        <f aca="false">P541-Summary!$C$5</f>
        <v>12740.5200000001</v>
      </c>
      <c r="R541" s="2" t="str">
        <f aca="false">TEXT(A541,"ddd")</f>
        <v>Thu</v>
      </c>
    </row>
    <row r="542" customFormat="false" ht="15" hidden="false" customHeight="false" outlineLevel="0" collapsed="false">
      <c r="A542" s="42" t="n">
        <v>45912</v>
      </c>
      <c r="B542" s="28" t="n">
        <f aca="false">COUNTIFS(Trades!$D$2:$D$884,$A542)</f>
        <v>1</v>
      </c>
      <c r="C542" s="28" t="n">
        <f aca="false">COUNTIFS(Trades!$D$2:$D$884,$A542,Trades!$Z$2:$Z$884,"Win")</f>
        <v>0</v>
      </c>
      <c r="D542" s="28" t="n">
        <f aca="false">COUNTIFS(Trades!$D$2:$D$884,$A542,Trades!$Z$2:$Z$884,"Loss")</f>
        <v>1</v>
      </c>
      <c r="E542" s="29" t="n">
        <f aca="false">IFERROR(C542/B542,0)</f>
        <v>0</v>
      </c>
      <c r="F542" s="30" t="n">
        <f aca="false">SUMIFS(Trades!$X$2:$X$884,Trades!$D$2:$D$884,$A542)</f>
        <v>-17.93</v>
      </c>
      <c r="G542" s="30" t="n">
        <f aca="false">SUMIFS(Trades!$X$2:$X$884,Trades!$D$2:$D$884,$A542,Trades!$X$2:$X$884,"&gt;0")</f>
        <v>0</v>
      </c>
      <c r="H542" s="30" t="n">
        <f aca="false">SUMIFS(Trades!$X$2:$X$884,Trades!$D$2:$D$884,$A542,Trades!$X$2:$X$884,"&lt;0")</f>
        <v>-17.93</v>
      </c>
      <c r="I542" s="31" t="n">
        <f aca="false">IFERROR(G542/-H542,"no loss")</f>
        <v>0</v>
      </c>
      <c r="J542" s="30" t="n">
        <f aca="false">_xlfn.MAXIFS(Trades!$X$2:$X$884,Trades!$D$2:$D$884,$A542)</f>
        <v>-17.93</v>
      </c>
      <c r="K542" s="30" t="n">
        <f aca="false">_xlfn.MINIFS(Trades!$X$2:$X$884,Trades!$D$2:$D$884,$A542)</f>
        <v>-17.93</v>
      </c>
      <c r="L542" s="32" t="n">
        <f aca="false">SUMIFS(Trades!$Y$2:$Y$884,Trades!$D$2:$D$884,$A542)</f>
        <v>-1.01643990929688</v>
      </c>
      <c r="M542" s="30" t="n">
        <f aca="false">P541</f>
        <v>112740.52</v>
      </c>
      <c r="N542" s="29" t="n">
        <f aca="false">IFERROR(F542/M542,0)</f>
        <v>-0.00015903776211073</v>
      </c>
      <c r="O542" s="28" t="str">
        <f aca="false">IF(-N542&gt;=Summary!$C$7,"BREACH","")</f>
        <v/>
      </c>
      <c r="P542" s="30" t="n">
        <f aca="false">M542+F542</f>
        <v>112722.59</v>
      </c>
      <c r="Q542" s="30" t="n">
        <f aca="false">P542-Summary!$C$5</f>
        <v>12722.5900000001</v>
      </c>
      <c r="R542" s="2" t="str">
        <f aca="false">TEXT(A542,"ddd")</f>
        <v>Fri</v>
      </c>
    </row>
    <row r="543" customFormat="false" ht="15" hidden="false" customHeight="false" outlineLevel="0" collapsed="false">
      <c r="A543" s="42" t="n">
        <v>45915</v>
      </c>
      <c r="B543" s="28" t="n">
        <f aca="false">COUNTIFS(Trades!$D$2:$D$884,$A543)</f>
        <v>1</v>
      </c>
      <c r="C543" s="28" t="n">
        <f aca="false">COUNTIFS(Trades!$D$2:$D$884,$A543,Trades!$Z$2:$Z$884,"Win")</f>
        <v>0</v>
      </c>
      <c r="D543" s="28" t="n">
        <f aca="false">COUNTIFS(Trades!$D$2:$D$884,$A543,Trades!$Z$2:$Z$884,"Loss")</f>
        <v>1</v>
      </c>
      <c r="E543" s="29" t="n">
        <f aca="false">IFERROR(C543/B543,0)</f>
        <v>0</v>
      </c>
      <c r="F543" s="30" t="n">
        <f aca="false">SUMIFS(Trades!$X$2:$X$884,Trades!$D$2:$D$884,$A543)</f>
        <v>-29.61</v>
      </c>
      <c r="G543" s="30" t="n">
        <f aca="false">SUMIFS(Trades!$X$2:$X$884,Trades!$D$2:$D$884,$A543,Trades!$X$2:$X$884,"&gt;0")</f>
        <v>0</v>
      </c>
      <c r="H543" s="30" t="n">
        <f aca="false">SUMIFS(Trades!$X$2:$X$884,Trades!$D$2:$D$884,$A543,Trades!$X$2:$X$884,"&lt;0")</f>
        <v>-29.61</v>
      </c>
      <c r="I543" s="31" t="n">
        <f aca="false">IFERROR(G543/-H543,"no loss")</f>
        <v>0</v>
      </c>
      <c r="J543" s="30" t="n">
        <f aca="false">_xlfn.MAXIFS(Trades!$X$2:$X$884,Trades!$D$2:$D$884,$A543)</f>
        <v>-29.61</v>
      </c>
      <c r="K543" s="30" t="n">
        <f aca="false">_xlfn.MINIFS(Trades!$X$2:$X$884,Trades!$D$2:$D$884,$A543)</f>
        <v>-29.61</v>
      </c>
      <c r="L543" s="32" t="n">
        <f aca="false">SUMIFS(Trades!$Y$2:$Y$884,Trades!$D$2:$D$884,$A543)</f>
        <v>-1.01878612716735</v>
      </c>
      <c r="M543" s="30" t="n">
        <f aca="false">P542</f>
        <v>112722.59</v>
      </c>
      <c r="N543" s="29" t="n">
        <f aca="false">IFERROR(F543/M543,0)</f>
        <v>-0.000262680266661722</v>
      </c>
      <c r="O543" s="28" t="str">
        <f aca="false">IF(-N543&gt;=Summary!$C$7,"BREACH","")</f>
        <v/>
      </c>
      <c r="P543" s="30" t="n">
        <f aca="false">M543+F543</f>
        <v>112692.98</v>
      </c>
      <c r="Q543" s="30" t="n">
        <f aca="false">P543-Summary!$C$5</f>
        <v>12692.9800000001</v>
      </c>
      <c r="R543" s="2" t="str">
        <f aca="false">TEXT(A543,"ddd")</f>
        <v>Mon</v>
      </c>
    </row>
    <row r="544" customFormat="false" ht="15" hidden="false" customHeight="false" outlineLevel="0" collapsed="false">
      <c r="A544" s="42" t="n">
        <v>45916</v>
      </c>
      <c r="B544" s="28" t="n">
        <f aca="false">COUNTIFS(Trades!$D$2:$D$884,$A544)</f>
        <v>1</v>
      </c>
      <c r="C544" s="28" t="n">
        <f aca="false">COUNTIFS(Trades!$D$2:$D$884,$A544,Trades!$Z$2:$Z$884,"Win")</f>
        <v>0</v>
      </c>
      <c r="D544" s="28" t="n">
        <f aca="false">COUNTIFS(Trades!$D$2:$D$884,$A544,Trades!$Z$2:$Z$884,"Loss")</f>
        <v>1</v>
      </c>
      <c r="E544" s="29" t="n">
        <f aca="false">IFERROR(C544/B544,0)</f>
        <v>0</v>
      </c>
      <c r="F544" s="30" t="n">
        <f aca="false">SUMIFS(Trades!$X$2:$X$884,Trades!$D$2:$D$884,$A544)</f>
        <v>-0.44</v>
      </c>
      <c r="G544" s="30" t="n">
        <f aca="false">SUMIFS(Trades!$X$2:$X$884,Trades!$D$2:$D$884,$A544,Trades!$X$2:$X$884,"&gt;0")</f>
        <v>0</v>
      </c>
      <c r="H544" s="30" t="n">
        <f aca="false">SUMIFS(Trades!$X$2:$X$884,Trades!$D$2:$D$884,$A544,Trades!$X$2:$X$884,"&lt;0")</f>
        <v>-0.44</v>
      </c>
      <c r="I544" s="31" t="n">
        <f aca="false">IFERROR(G544/-H544,"no loss")</f>
        <v>0</v>
      </c>
      <c r="J544" s="30" t="n">
        <f aca="false">_xlfn.MAXIFS(Trades!$X$2:$X$884,Trades!$D$2:$D$884,$A544)</f>
        <v>-0.44</v>
      </c>
      <c r="K544" s="30" t="n">
        <f aca="false">_xlfn.MINIFS(Trades!$X$2:$X$884,Trades!$D$2:$D$884,$A544)</f>
        <v>-0.44</v>
      </c>
      <c r="L544" s="32" t="n">
        <f aca="false">SUMIFS(Trades!$Y$2:$Y$884,Trades!$D$2:$D$884,$A544)</f>
        <v>-0.0286458333333322</v>
      </c>
      <c r="M544" s="30" t="n">
        <f aca="false">P543</f>
        <v>112692.98</v>
      </c>
      <c r="N544" s="29" t="n">
        <f aca="false">IFERROR(F544/M544,0)</f>
        <v>-3.90441356684329E-006</v>
      </c>
      <c r="O544" s="28" t="str">
        <f aca="false">IF(-N544&gt;=Summary!$C$7,"BREACH","")</f>
        <v/>
      </c>
      <c r="P544" s="30" t="n">
        <f aca="false">M544+F544</f>
        <v>112692.54</v>
      </c>
      <c r="Q544" s="30" t="n">
        <f aca="false">P544-Summary!$C$5</f>
        <v>12692.5400000001</v>
      </c>
      <c r="R544" s="2" t="str">
        <f aca="false">TEXT(A544,"ddd")</f>
        <v>Tue</v>
      </c>
    </row>
    <row r="545" customFormat="false" ht="15" hidden="false" customHeight="false" outlineLevel="0" collapsed="false">
      <c r="A545" s="42" t="n">
        <v>45917</v>
      </c>
      <c r="B545" s="28" t="n">
        <f aca="false">COUNTIFS(Trades!$D$2:$D$884,$A545)</f>
        <v>1</v>
      </c>
      <c r="C545" s="28" t="n">
        <f aca="false">COUNTIFS(Trades!$D$2:$D$884,$A545,Trades!$Z$2:$Z$884,"Win")</f>
        <v>0</v>
      </c>
      <c r="D545" s="28" t="n">
        <f aca="false">COUNTIFS(Trades!$D$2:$D$884,$A545,Trades!$Z$2:$Z$884,"Loss")</f>
        <v>1</v>
      </c>
      <c r="E545" s="29" t="n">
        <f aca="false">IFERROR(C545/B545,0)</f>
        <v>0</v>
      </c>
      <c r="F545" s="30" t="n">
        <f aca="false">SUMIFS(Trades!$X$2:$X$884,Trades!$D$2:$D$884,$A545)</f>
        <v>-66.72</v>
      </c>
      <c r="G545" s="30" t="n">
        <f aca="false">SUMIFS(Trades!$X$2:$X$884,Trades!$D$2:$D$884,$A545,Trades!$X$2:$X$884,"&gt;0")</f>
        <v>0</v>
      </c>
      <c r="H545" s="30" t="n">
        <f aca="false">SUMIFS(Trades!$X$2:$X$884,Trades!$D$2:$D$884,$A545,Trades!$X$2:$X$884,"&lt;0")</f>
        <v>-66.72</v>
      </c>
      <c r="I545" s="31" t="n">
        <f aca="false">IFERROR(G545/-H545,"no loss")</f>
        <v>0</v>
      </c>
      <c r="J545" s="30" t="n">
        <f aca="false">_xlfn.MAXIFS(Trades!$X$2:$X$884,Trades!$D$2:$D$884,$A545)</f>
        <v>-66.72</v>
      </c>
      <c r="K545" s="30" t="n">
        <f aca="false">_xlfn.MINIFS(Trades!$X$2:$X$884,Trades!$D$2:$D$884,$A545)</f>
        <v>-66.72</v>
      </c>
      <c r="L545" s="32" t="n">
        <f aca="false">SUMIFS(Trades!$Y$2:$Y$884,Trades!$D$2:$D$884,$A545)</f>
        <v>-1.01459854014607</v>
      </c>
      <c r="M545" s="30" t="n">
        <f aca="false">P544</f>
        <v>112692.54</v>
      </c>
      <c r="N545" s="29" t="n">
        <f aca="false">IFERROR(F545/M545,0)</f>
        <v>-0.000592053387029877</v>
      </c>
      <c r="O545" s="28" t="str">
        <f aca="false">IF(-N545&gt;=Summary!$C$7,"BREACH","")</f>
        <v/>
      </c>
      <c r="P545" s="30" t="n">
        <f aca="false">M545+F545</f>
        <v>112625.82</v>
      </c>
      <c r="Q545" s="30" t="n">
        <f aca="false">P545-Summary!$C$5</f>
        <v>12625.8200000001</v>
      </c>
      <c r="R545" s="2" t="str">
        <f aca="false">TEXT(A545,"ddd")</f>
        <v>Wed</v>
      </c>
    </row>
    <row r="546" customFormat="false" ht="15" hidden="false" customHeight="false" outlineLevel="0" collapsed="false">
      <c r="A546" s="42" t="n">
        <v>45918</v>
      </c>
      <c r="B546" s="28" t="n">
        <f aca="false">COUNTIFS(Trades!$D$2:$D$884,$A546)</f>
        <v>1</v>
      </c>
      <c r="C546" s="28" t="n">
        <f aca="false">COUNTIFS(Trades!$D$2:$D$884,$A546,Trades!$Z$2:$Z$884,"Win")</f>
        <v>1</v>
      </c>
      <c r="D546" s="28" t="n">
        <f aca="false">COUNTIFS(Trades!$D$2:$D$884,$A546,Trades!$Z$2:$Z$884,"Loss")</f>
        <v>0</v>
      </c>
      <c r="E546" s="29" t="n">
        <f aca="false">IFERROR(C546/B546,0)</f>
        <v>1</v>
      </c>
      <c r="F546" s="30" t="n">
        <f aca="false">SUMIFS(Trades!$X$2:$X$884,Trades!$D$2:$D$884,$A546)</f>
        <v>68.12</v>
      </c>
      <c r="G546" s="30" t="n">
        <f aca="false">SUMIFS(Trades!$X$2:$X$884,Trades!$D$2:$D$884,$A546,Trades!$X$2:$X$884,"&gt;0")</f>
        <v>68.12</v>
      </c>
      <c r="H546" s="30" t="n">
        <f aca="false">SUMIFS(Trades!$X$2:$X$884,Trades!$D$2:$D$884,$A546,Trades!$X$2:$X$884,"&lt;0")</f>
        <v>0</v>
      </c>
      <c r="I546" s="31" t="str">
        <f aca="false">IFERROR(G546/-H546,"no loss")</f>
        <v>no loss</v>
      </c>
      <c r="J546" s="30" t="n">
        <f aca="false">_xlfn.MAXIFS(Trades!$X$2:$X$884,Trades!$D$2:$D$884,$A546)</f>
        <v>68.12</v>
      </c>
      <c r="K546" s="30" t="n">
        <f aca="false">_xlfn.MINIFS(Trades!$X$2:$X$884,Trades!$D$2:$D$884,$A546)</f>
        <v>68.12</v>
      </c>
      <c r="L546" s="32" t="n">
        <f aca="false">SUMIFS(Trades!$Y$2:$Y$884,Trades!$D$2:$D$884,$A546)</f>
        <v>2.16391359593421</v>
      </c>
      <c r="M546" s="30" t="n">
        <f aca="false">P545</f>
        <v>112625.82</v>
      </c>
      <c r="N546" s="29" t="n">
        <f aca="false">IFERROR(F546/M546,0)</f>
        <v>0.000604834664022867</v>
      </c>
      <c r="O546" s="28" t="str">
        <f aca="false">IF(-N546&gt;=Summary!$C$7,"BREACH","")</f>
        <v/>
      </c>
      <c r="P546" s="30" t="n">
        <f aca="false">M546+F546</f>
        <v>112693.94</v>
      </c>
      <c r="Q546" s="30" t="n">
        <f aca="false">P546-Summary!$C$5</f>
        <v>12693.9400000001</v>
      </c>
      <c r="R546" s="2" t="str">
        <f aca="false">TEXT(A546,"ddd")</f>
        <v>Thu</v>
      </c>
    </row>
    <row r="547" customFormat="false" ht="15" hidden="false" customHeight="false" outlineLevel="0" collapsed="false">
      <c r="A547" s="42" t="n">
        <v>45919</v>
      </c>
      <c r="B547" s="28" t="n">
        <f aca="false">COUNTIFS(Trades!$D$2:$D$884,$A547)</f>
        <v>1</v>
      </c>
      <c r="C547" s="28" t="n">
        <f aca="false">COUNTIFS(Trades!$D$2:$D$884,$A547,Trades!$Z$2:$Z$884,"Win")</f>
        <v>0</v>
      </c>
      <c r="D547" s="28" t="n">
        <f aca="false">COUNTIFS(Trades!$D$2:$D$884,$A547,Trades!$Z$2:$Z$884,"Loss")</f>
        <v>1</v>
      </c>
      <c r="E547" s="29" t="n">
        <f aca="false">IFERROR(C547/B547,0)</f>
        <v>0</v>
      </c>
      <c r="F547" s="30" t="n">
        <f aca="false">SUMIFS(Trades!$X$2:$X$884,Trades!$D$2:$D$884,$A547)</f>
        <v>-139.68</v>
      </c>
      <c r="G547" s="30" t="n">
        <f aca="false">SUMIFS(Trades!$X$2:$X$884,Trades!$D$2:$D$884,$A547,Trades!$X$2:$X$884,"&gt;0")</f>
        <v>0</v>
      </c>
      <c r="H547" s="30" t="n">
        <f aca="false">SUMIFS(Trades!$X$2:$X$884,Trades!$D$2:$D$884,$A547,Trades!$X$2:$X$884,"&lt;0")</f>
        <v>-139.68</v>
      </c>
      <c r="I547" s="31" t="n">
        <f aca="false">IFERROR(G547/-H547,"no loss")</f>
        <v>0</v>
      </c>
      <c r="J547" s="30" t="n">
        <f aca="false">_xlfn.MAXIFS(Trades!$X$2:$X$884,Trades!$D$2:$D$884,$A547)</f>
        <v>-139.68</v>
      </c>
      <c r="K547" s="30" t="n">
        <f aca="false">_xlfn.MINIFS(Trades!$X$2:$X$884,Trades!$D$2:$D$884,$A547)</f>
        <v>-139.68</v>
      </c>
      <c r="L547" s="32" t="n">
        <f aca="false">SUMIFS(Trades!$Y$2:$Y$884,Trades!$D$2:$D$884,$A547)</f>
        <v>-1.00634005763687</v>
      </c>
      <c r="M547" s="30" t="n">
        <f aca="false">P546</f>
        <v>112693.94</v>
      </c>
      <c r="N547" s="29" t="n">
        <f aca="false">IFERROR(F547/M547,0)</f>
        <v>-0.00123946327548757</v>
      </c>
      <c r="O547" s="28" t="str">
        <f aca="false">IF(-N547&gt;=Summary!$C$7,"BREACH","")</f>
        <v/>
      </c>
      <c r="P547" s="30" t="n">
        <f aca="false">M547+F547</f>
        <v>112554.26</v>
      </c>
      <c r="Q547" s="30" t="n">
        <f aca="false">P547-Summary!$C$5</f>
        <v>12554.2600000001</v>
      </c>
      <c r="R547" s="2" t="str">
        <f aca="false">TEXT(A547,"ddd")</f>
        <v>Fri</v>
      </c>
    </row>
    <row r="548" customFormat="false" ht="15" hidden="false" customHeight="false" outlineLevel="0" collapsed="false">
      <c r="A548" s="42" t="n">
        <v>45922</v>
      </c>
      <c r="B548" s="28" t="n">
        <f aca="false">COUNTIFS(Trades!$D$2:$D$884,$A548)</f>
        <v>1</v>
      </c>
      <c r="C548" s="28" t="n">
        <f aca="false">COUNTIFS(Trades!$D$2:$D$884,$A548,Trades!$Z$2:$Z$884,"Win")</f>
        <v>0</v>
      </c>
      <c r="D548" s="28" t="n">
        <f aca="false">COUNTIFS(Trades!$D$2:$D$884,$A548,Trades!$Z$2:$Z$884,"Loss")</f>
        <v>1</v>
      </c>
      <c r="E548" s="29" t="n">
        <f aca="false">IFERROR(C548/B548,0)</f>
        <v>0</v>
      </c>
      <c r="F548" s="30" t="n">
        <f aca="false">SUMIFS(Trades!$X$2:$X$884,Trades!$D$2:$D$884,$A548)</f>
        <v>-82</v>
      </c>
      <c r="G548" s="30" t="n">
        <f aca="false">SUMIFS(Trades!$X$2:$X$884,Trades!$D$2:$D$884,$A548,Trades!$X$2:$X$884,"&gt;0")</f>
        <v>0</v>
      </c>
      <c r="H548" s="30" t="n">
        <f aca="false">SUMIFS(Trades!$X$2:$X$884,Trades!$D$2:$D$884,$A548,Trades!$X$2:$X$884,"&lt;0")</f>
        <v>-82</v>
      </c>
      <c r="I548" s="31" t="n">
        <f aca="false">IFERROR(G548/-H548,"no loss")</f>
        <v>0</v>
      </c>
      <c r="J548" s="30" t="n">
        <f aca="false">_xlfn.MAXIFS(Trades!$X$2:$X$884,Trades!$D$2:$D$884,$A548)</f>
        <v>-82</v>
      </c>
      <c r="K548" s="30" t="n">
        <f aca="false">_xlfn.MINIFS(Trades!$X$2:$X$884,Trades!$D$2:$D$884,$A548)</f>
        <v>-82</v>
      </c>
      <c r="L548" s="32" t="n">
        <f aca="false">SUMIFS(Trades!$Y$2:$Y$884,Trades!$D$2:$D$884,$A548)</f>
        <v>-1.0004880429477</v>
      </c>
      <c r="M548" s="30" t="n">
        <f aca="false">P547</f>
        <v>112554.26</v>
      </c>
      <c r="N548" s="29" t="n">
        <f aca="false">IFERROR(F548/M548,0)</f>
        <v>-0.000728537507154327</v>
      </c>
      <c r="O548" s="28" t="str">
        <f aca="false">IF(-N548&gt;=Summary!$C$7,"BREACH","")</f>
        <v/>
      </c>
      <c r="P548" s="30" t="n">
        <f aca="false">M548+F548</f>
        <v>112472.26</v>
      </c>
      <c r="Q548" s="30" t="n">
        <f aca="false">P548-Summary!$C$5</f>
        <v>12472.2600000001</v>
      </c>
      <c r="R548" s="2" t="str">
        <f aca="false">TEXT(A548,"ddd")</f>
        <v>Mon</v>
      </c>
    </row>
    <row r="549" customFormat="false" ht="15" hidden="false" customHeight="false" outlineLevel="0" collapsed="false">
      <c r="A549" s="42" t="n">
        <v>45923</v>
      </c>
      <c r="B549" s="28" t="n">
        <f aca="false">COUNTIFS(Trades!$D$2:$D$884,$A549)</f>
        <v>1</v>
      </c>
      <c r="C549" s="28" t="n">
        <f aca="false">COUNTIFS(Trades!$D$2:$D$884,$A549,Trades!$Z$2:$Z$884,"Win")</f>
        <v>0</v>
      </c>
      <c r="D549" s="28" t="n">
        <f aca="false">COUNTIFS(Trades!$D$2:$D$884,$A549,Trades!$Z$2:$Z$884,"Loss")</f>
        <v>1</v>
      </c>
      <c r="E549" s="29" t="n">
        <f aca="false">IFERROR(C549/B549,0)</f>
        <v>0</v>
      </c>
      <c r="F549" s="30" t="n">
        <f aca="false">SUMIFS(Trades!$X$2:$X$884,Trades!$D$2:$D$884,$A549)</f>
        <v>-32.76</v>
      </c>
      <c r="G549" s="30" t="n">
        <f aca="false">SUMIFS(Trades!$X$2:$X$884,Trades!$D$2:$D$884,$A549,Trades!$X$2:$X$884,"&gt;0")</f>
        <v>0</v>
      </c>
      <c r="H549" s="30" t="n">
        <f aca="false">SUMIFS(Trades!$X$2:$X$884,Trades!$D$2:$D$884,$A549,Trades!$X$2:$X$884,"&lt;0")</f>
        <v>-32.76</v>
      </c>
      <c r="I549" s="31" t="n">
        <f aca="false">IFERROR(G549/-H549,"no loss")</f>
        <v>0</v>
      </c>
      <c r="J549" s="30" t="n">
        <f aca="false">_xlfn.MAXIFS(Trades!$X$2:$X$884,Trades!$D$2:$D$884,$A549)</f>
        <v>-32.76</v>
      </c>
      <c r="K549" s="30" t="n">
        <f aca="false">_xlfn.MINIFS(Trades!$X$2:$X$884,Trades!$D$2:$D$884,$A549)</f>
        <v>-32.76</v>
      </c>
      <c r="L549" s="32" t="n">
        <f aca="false">SUMIFS(Trades!$Y$2:$Y$884,Trades!$D$2:$D$884,$A549)</f>
        <v>-1.10675675675654</v>
      </c>
      <c r="M549" s="30" t="n">
        <f aca="false">P548</f>
        <v>112472.26</v>
      </c>
      <c r="N549" s="29" t="n">
        <f aca="false">IFERROR(F549/M549,0)</f>
        <v>-0.00029127182115839</v>
      </c>
      <c r="O549" s="28" t="str">
        <f aca="false">IF(-N549&gt;=Summary!$C$7,"BREACH","")</f>
        <v/>
      </c>
      <c r="P549" s="30" t="n">
        <f aca="false">M549+F549</f>
        <v>112439.5</v>
      </c>
      <c r="Q549" s="30" t="n">
        <f aca="false">P549-Summary!$C$5</f>
        <v>12439.5000000001</v>
      </c>
      <c r="R549" s="2" t="str">
        <f aca="false">TEXT(A549,"ddd")</f>
        <v>Tue</v>
      </c>
    </row>
    <row r="550" customFormat="false" ht="15" hidden="false" customHeight="false" outlineLevel="0" collapsed="false">
      <c r="A550" s="42" t="n">
        <v>45924</v>
      </c>
      <c r="B550" s="28" t="n">
        <f aca="false">COUNTIFS(Trades!$D$2:$D$884,$A550)</f>
        <v>1</v>
      </c>
      <c r="C550" s="28" t="n">
        <f aca="false">COUNTIFS(Trades!$D$2:$D$884,$A550,Trades!$Z$2:$Z$884,"Win")</f>
        <v>1</v>
      </c>
      <c r="D550" s="28" t="n">
        <f aca="false">COUNTIFS(Trades!$D$2:$D$884,$A550,Trades!$Z$2:$Z$884,"Loss")</f>
        <v>0</v>
      </c>
      <c r="E550" s="29" t="n">
        <f aca="false">IFERROR(C550/B550,0)</f>
        <v>1</v>
      </c>
      <c r="F550" s="30" t="n">
        <f aca="false">SUMIFS(Trades!$X$2:$X$884,Trades!$D$2:$D$884,$A550)</f>
        <v>130.8</v>
      </c>
      <c r="G550" s="30" t="n">
        <f aca="false">SUMIFS(Trades!$X$2:$X$884,Trades!$D$2:$D$884,$A550,Trades!$X$2:$X$884,"&gt;0")</f>
        <v>130.8</v>
      </c>
      <c r="H550" s="30" t="n">
        <f aca="false">SUMIFS(Trades!$X$2:$X$884,Trades!$D$2:$D$884,$A550,Trades!$X$2:$X$884,"&lt;0")</f>
        <v>0</v>
      </c>
      <c r="I550" s="31" t="str">
        <f aca="false">IFERROR(G550/-H550,"no loss")</f>
        <v>no loss</v>
      </c>
      <c r="J550" s="30" t="n">
        <f aca="false">_xlfn.MAXIFS(Trades!$X$2:$X$884,Trades!$D$2:$D$884,$A550)</f>
        <v>130.8</v>
      </c>
      <c r="K550" s="30" t="n">
        <f aca="false">_xlfn.MINIFS(Trades!$X$2:$X$884,Trades!$D$2:$D$884,$A550)</f>
        <v>130.8</v>
      </c>
      <c r="L550" s="32" t="n">
        <f aca="false">SUMIFS(Trades!$Y$2:$Y$884,Trades!$D$2:$D$884,$A550)</f>
        <v>2.15415019762842</v>
      </c>
      <c r="M550" s="30" t="n">
        <f aca="false">P549</f>
        <v>112439.5</v>
      </c>
      <c r="N550" s="29" t="n">
        <f aca="false">IFERROR(F550/M550,0)</f>
        <v>0.00116329225939283</v>
      </c>
      <c r="O550" s="28" t="str">
        <f aca="false">IF(-N550&gt;=Summary!$C$7,"BREACH","")</f>
        <v/>
      </c>
      <c r="P550" s="30" t="n">
        <f aca="false">M550+F550</f>
        <v>112570.3</v>
      </c>
      <c r="Q550" s="30" t="n">
        <f aca="false">P550-Summary!$C$5</f>
        <v>12570.3000000001</v>
      </c>
      <c r="R550" s="2" t="str">
        <f aca="false">TEXT(A550,"ddd")</f>
        <v>Wed</v>
      </c>
    </row>
    <row r="551" customFormat="false" ht="15" hidden="false" customHeight="false" outlineLevel="0" collapsed="false">
      <c r="A551" s="42" t="n">
        <v>45925</v>
      </c>
      <c r="B551" s="28" t="n">
        <f aca="false">COUNTIFS(Trades!$D$2:$D$884,$A551)</f>
        <v>1</v>
      </c>
      <c r="C551" s="28" t="n">
        <f aca="false">COUNTIFS(Trades!$D$2:$D$884,$A551,Trades!$Z$2:$Z$884,"Win")</f>
        <v>0</v>
      </c>
      <c r="D551" s="28" t="n">
        <f aca="false">COUNTIFS(Trades!$D$2:$D$884,$A551,Trades!$Z$2:$Z$884,"Loss")</f>
        <v>1</v>
      </c>
      <c r="E551" s="29" t="n">
        <f aca="false">IFERROR(C551/B551,0)</f>
        <v>0</v>
      </c>
      <c r="F551" s="30" t="n">
        <f aca="false">SUMIFS(Trades!$X$2:$X$884,Trades!$D$2:$D$884,$A551)</f>
        <v>-0.96</v>
      </c>
      <c r="G551" s="30" t="n">
        <f aca="false">SUMIFS(Trades!$X$2:$X$884,Trades!$D$2:$D$884,$A551,Trades!$X$2:$X$884,"&gt;0")</f>
        <v>0</v>
      </c>
      <c r="H551" s="30" t="n">
        <f aca="false">SUMIFS(Trades!$X$2:$X$884,Trades!$D$2:$D$884,$A551,Trades!$X$2:$X$884,"&lt;0")</f>
        <v>-0.96</v>
      </c>
      <c r="I551" s="31" t="n">
        <f aca="false">IFERROR(G551/-H551,"no loss")</f>
        <v>0</v>
      </c>
      <c r="J551" s="30" t="n">
        <f aca="false">_xlfn.MAXIFS(Trades!$X$2:$X$884,Trades!$D$2:$D$884,$A551)</f>
        <v>-0.96</v>
      </c>
      <c r="K551" s="30" t="n">
        <f aca="false">_xlfn.MINIFS(Trades!$X$2:$X$884,Trades!$D$2:$D$884,$A551)</f>
        <v>-0.96</v>
      </c>
      <c r="L551" s="32" t="n">
        <f aca="false">SUMIFS(Trades!$Y$2:$Y$884,Trades!$D$2:$D$884,$A551)</f>
        <v>-0.0199004975124357</v>
      </c>
      <c r="M551" s="30" t="n">
        <f aca="false">P550</f>
        <v>112570.3</v>
      </c>
      <c r="N551" s="29" t="n">
        <f aca="false">IFERROR(F551/M551,0)</f>
        <v>-8.52800427821547E-006</v>
      </c>
      <c r="O551" s="28" t="str">
        <f aca="false">IF(-N551&gt;=Summary!$C$7,"BREACH","")</f>
        <v/>
      </c>
      <c r="P551" s="30" t="n">
        <f aca="false">M551+F551</f>
        <v>112569.34</v>
      </c>
      <c r="Q551" s="30" t="n">
        <f aca="false">P551-Summary!$C$5</f>
        <v>12569.3400000001</v>
      </c>
      <c r="R551" s="2" t="str">
        <f aca="false">TEXT(A551,"ddd")</f>
        <v>Thu</v>
      </c>
    </row>
    <row r="552" customFormat="false" ht="15" hidden="false" customHeight="false" outlineLevel="0" collapsed="false">
      <c r="A552" s="42" t="n">
        <v>45929</v>
      </c>
      <c r="B552" s="28" t="n">
        <f aca="false">COUNTIFS(Trades!$D$2:$D$884,$A552)</f>
        <v>1</v>
      </c>
      <c r="C552" s="28" t="n">
        <f aca="false">COUNTIFS(Trades!$D$2:$D$884,$A552,Trades!$Z$2:$Z$884,"Win")</f>
        <v>1</v>
      </c>
      <c r="D552" s="28" t="n">
        <f aca="false">COUNTIFS(Trades!$D$2:$D$884,$A552,Trades!$Z$2:$Z$884,"Loss")</f>
        <v>0</v>
      </c>
      <c r="E552" s="29" t="n">
        <f aca="false">IFERROR(C552/B552,0)</f>
        <v>1</v>
      </c>
      <c r="F552" s="30" t="n">
        <f aca="false">SUMIFS(Trades!$X$2:$X$884,Trades!$D$2:$D$884,$A552)</f>
        <v>98.84</v>
      </c>
      <c r="G552" s="30" t="n">
        <f aca="false">SUMIFS(Trades!$X$2:$X$884,Trades!$D$2:$D$884,$A552,Trades!$X$2:$X$884,"&gt;0")</f>
        <v>98.84</v>
      </c>
      <c r="H552" s="30" t="n">
        <f aca="false">SUMIFS(Trades!$X$2:$X$884,Trades!$D$2:$D$884,$A552,Trades!$X$2:$X$884,"&lt;0")</f>
        <v>0</v>
      </c>
      <c r="I552" s="31" t="str">
        <f aca="false">IFERROR(G552/-H552,"no loss")</f>
        <v>no loss</v>
      </c>
      <c r="J552" s="30" t="n">
        <f aca="false">_xlfn.MAXIFS(Trades!$X$2:$X$884,Trades!$D$2:$D$884,$A552)</f>
        <v>98.84</v>
      </c>
      <c r="K552" s="30" t="n">
        <f aca="false">_xlfn.MINIFS(Trades!$X$2:$X$884,Trades!$D$2:$D$884,$A552)</f>
        <v>98.84</v>
      </c>
      <c r="L552" s="32" t="n">
        <f aca="false">SUMIFS(Trades!$Y$2:$Y$884,Trades!$D$2:$D$884,$A552)</f>
        <v>2.00568181818187</v>
      </c>
      <c r="M552" s="30" t="n">
        <f aca="false">P551</f>
        <v>112569.34</v>
      </c>
      <c r="N552" s="29" t="n">
        <f aca="false">IFERROR(F552/M552,0)</f>
        <v>0.00087803659504444</v>
      </c>
      <c r="O552" s="28" t="str">
        <f aca="false">IF(-N552&gt;=Summary!$C$7,"BREACH","")</f>
        <v/>
      </c>
      <c r="P552" s="30" t="n">
        <f aca="false">M552+F552</f>
        <v>112668.18</v>
      </c>
      <c r="Q552" s="30" t="n">
        <f aca="false">P552-Summary!$C$5</f>
        <v>12668.1800000001</v>
      </c>
      <c r="R552" s="2" t="str">
        <f aca="false">TEXT(A552,"ddd")</f>
        <v>Mon</v>
      </c>
    </row>
    <row r="553" customFormat="false" ht="15" hidden="false" customHeight="false" outlineLevel="0" collapsed="false">
      <c r="A553" s="42" t="n">
        <v>45931</v>
      </c>
      <c r="B553" s="28" t="n">
        <f aca="false">COUNTIFS(Trades!$D$2:$D$884,$A553)</f>
        <v>2</v>
      </c>
      <c r="C553" s="28" t="n">
        <f aca="false">COUNTIFS(Trades!$D$2:$D$884,$A553,Trades!$Z$2:$Z$884,"Win")</f>
        <v>1</v>
      </c>
      <c r="D553" s="28" t="n">
        <f aca="false">COUNTIFS(Trades!$D$2:$D$884,$A553,Trades!$Z$2:$Z$884,"Loss")</f>
        <v>1</v>
      </c>
      <c r="E553" s="29" t="n">
        <f aca="false">IFERROR(C553/B553,0)</f>
        <v>0.5</v>
      </c>
      <c r="F553" s="30" t="n">
        <f aca="false">SUMIFS(Trades!$X$2:$X$884,Trades!$D$2:$D$884,$A553)</f>
        <v>40.2</v>
      </c>
      <c r="G553" s="30" t="n">
        <f aca="false">SUMIFS(Trades!$X$2:$X$884,Trades!$D$2:$D$884,$A553,Trades!$X$2:$X$884,"&gt;0")</f>
        <v>118.24</v>
      </c>
      <c r="H553" s="30" t="n">
        <f aca="false">SUMIFS(Trades!$X$2:$X$884,Trades!$D$2:$D$884,$A553,Trades!$X$2:$X$884,"&lt;0")</f>
        <v>-78.04</v>
      </c>
      <c r="I553" s="31" t="n">
        <f aca="false">IFERROR(G553/-H553,"no loss")</f>
        <v>1.51512045105074</v>
      </c>
      <c r="J553" s="30" t="n">
        <f aca="false">_xlfn.MAXIFS(Trades!$X$2:$X$884,Trades!$D$2:$D$884,$A553)</f>
        <v>118.24</v>
      </c>
      <c r="K553" s="30" t="n">
        <f aca="false">_xlfn.MINIFS(Trades!$X$2:$X$884,Trades!$D$2:$D$884,$A553)</f>
        <v>-78.04</v>
      </c>
      <c r="L553" s="32" t="n">
        <f aca="false">SUMIFS(Trades!$Y$2:$Y$884,Trades!$D$2:$D$884,$A553)</f>
        <v>1.30961924868879</v>
      </c>
      <c r="M553" s="30" t="n">
        <f aca="false">P552</f>
        <v>112668.18</v>
      </c>
      <c r="N553" s="29" t="n">
        <f aca="false">IFERROR(F553/M553,0)</f>
        <v>0.00035679994120789</v>
      </c>
      <c r="O553" s="28" t="str">
        <f aca="false">IF(-N553&gt;=Summary!$C$7,"BREACH","")</f>
        <v/>
      </c>
      <c r="P553" s="30" t="n">
        <f aca="false">M553+F553</f>
        <v>112708.38</v>
      </c>
      <c r="Q553" s="30" t="n">
        <f aca="false">P553-Summary!$C$5</f>
        <v>12708.3800000001</v>
      </c>
      <c r="R553" s="2" t="str">
        <f aca="false">TEXT(A553,"ddd")</f>
        <v>Wed</v>
      </c>
    </row>
    <row r="554" customFormat="false" ht="15" hidden="false" customHeight="false" outlineLevel="0" collapsed="false">
      <c r="A554" s="42" t="n">
        <v>45932</v>
      </c>
      <c r="B554" s="28" t="n">
        <f aca="false">COUNTIFS(Trades!$D$2:$D$884,$A554)</f>
        <v>1</v>
      </c>
      <c r="C554" s="28" t="n">
        <f aca="false">COUNTIFS(Trades!$D$2:$D$884,$A554,Trades!$Z$2:$Z$884,"Win")</f>
        <v>1</v>
      </c>
      <c r="D554" s="28" t="n">
        <f aca="false">COUNTIFS(Trades!$D$2:$D$884,$A554,Trades!$Z$2:$Z$884,"Loss")</f>
        <v>0</v>
      </c>
      <c r="E554" s="29" t="n">
        <f aca="false">IFERROR(C554/B554,0)</f>
        <v>1</v>
      </c>
      <c r="F554" s="30" t="n">
        <f aca="false">SUMIFS(Trades!$X$2:$X$884,Trades!$D$2:$D$884,$A554)</f>
        <v>90.96</v>
      </c>
      <c r="G554" s="30" t="n">
        <f aca="false">SUMIFS(Trades!$X$2:$X$884,Trades!$D$2:$D$884,$A554,Trades!$X$2:$X$884,"&gt;0")</f>
        <v>90.96</v>
      </c>
      <c r="H554" s="30" t="n">
        <f aca="false">SUMIFS(Trades!$X$2:$X$884,Trades!$D$2:$D$884,$A554,Trades!$X$2:$X$884,"&lt;0")</f>
        <v>0</v>
      </c>
      <c r="I554" s="31" t="str">
        <f aca="false">IFERROR(G554/-H554,"no loss")</f>
        <v>no loss</v>
      </c>
      <c r="J554" s="30" t="n">
        <f aca="false">_xlfn.MAXIFS(Trades!$X$2:$X$884,Trades!$D$2:$D$884,$A554)</f>
        <v>90.96</v>
      </c>
      <c r="K554" s="30" t="n">
        <f aca="false">_xlfn.MINIFS(Trades!$X$2:$X$884,Trades!$D$2:$D$884,$A554)</f>
        <v>90.96</v>
      </c>
      <c r="L554" s="32" t="n">
        <f aca="false">SUMIFS(Trades!$Y$2:$Y$884,Trades!$D$2:$D$884,$A554)</f>
        <v>2.02313167259823</v>
      </c>
      <c r="M554" s="30" t="n">
        <f aca="false">P553</f>
        <v>112708.38</v>
      </c>
      <c r="N554" s="29" t="n">
        <f aca="false">IFERROR(F554/M554,0)</f>
        <v>0.000807038482852827</v>
      </c>
      <c r="O554" s="28" t="str">
        <f aca="false">IF(-N554&gt;=Summary!$C$7,"BREACH","")</f>
        <v/>
      </c>
      <c r="P554" s="30" t="n">
        <f aca="false">M554+F554</f>
        <v>112799.34</v>
      </c>
      <c r="Q554" s="30" t="n">
        <f aca="false">P554-Summary!$C$5</f>
        <v>12799.3400000001</v>
      </c>
      <c r="R554" s="2" t="str">
        <f aca="false">TEXT(A554,"ddd")</f>
        <v>Thu</v>
      </c>
    </row>
    <row r="555" customFormat="false" ht="15" hidden="false" customHeight="false" outlineLevel="0" collapsed="false">
      <c r="A555" s="42" t="n">
        <v>45933</v>
      </c>
      <c r="B555" s="28" t="n">
        <f aca="false">COUNTIFS(Trades!$D$2:$D$884,$A555)</f>
        <v>2</v>
      </c>
      <c r="C555" s="28" t="n">
        <f aca="false">COUNTIFS(Trades!$D$2:$D$884,$A555,Trades!$Z$2:$Z$884,"Win")</f>
        <v>1</v>
      </c>
      <c r="D555" s="28" t="n">
        <f aca="false">COUNTIFS(Trades!$D$2:$D$884,$A555,Trades!$Z$2:$Z$884,"Loss")</f>
        <v>1</v>
      </c>
      <c r="E555" s="29" t="n">
        <f aca="false">IFERROR(C555/B555,0)</f>
        <v>0.5</v>
      </c>
      <c r="F555" s="30" t="n">
        <f aca="false">SUMIFS(Trades!$X$2:$X$884,Trades!$D$2:$D$884,$A555)</f>
        <v>227.64</v>
      </c>
      <c r="G555" s="30" t="n">
        <f aca="false">SUMIFS(Trades!$X$2:$X$884,Trades!$D$2:$D$884,$A555,Trades!$X$2:$X$884,"&gt;0")</f>
        <v>249.72</v>
      </c>
      <c r="H555" s="30" t="n">
        <f aca="false">SUMIFS(Trades!$X$2:$X$884,Trades!$D$2:$D$884,$A555,Trades!$X$2:$X$884,"&lt;0")</f>
        <v>-22.08</v>
      </c>
      <c r="I555" s="31" t="n">
        <f aca="false">IFERROR(G555/-H555,"no loss")</f>
        <v>11.3097826086957</v>
      </c>
      <c r="J555" s="30" t="n">
        <f aca="false">_xlfn.MAXIFS(Trades!$X$2:$X$884,Trades!$D$2:$D$884,$A555)</f>
        <v>249.72</v>
      </c>
      <c r="K555" s="30" t="n">
        <f aca="false">_xlfn.MINIFS(Trades!$X$2:$X$884,Trades!$D$2:$D$884,$A555)</f>
        <v>-22.08</v>
      </c>
      <c r="L555" s="32" t="n">
        <f aca="false">SUMIFS(Trades!$Y$2:$Y$884,Trades!$D$2:$D$884,$A555)</f>
        <v>1.21945590657768</v>
      </c>
      <c r="M555" s="30" t="n">
        <f aca="false">P554</f>
        <v>112799.34</v>
      </c>
      <c r="N555" s="29" t="n">
        <f aca="false">IFERROR(F555/M555,0)</f>
        <v>0.00201809691439684</v>
      </c>
      <c r="O555" s="28" t="str">
        <f aca="false">IF(-N555&gt;=Summary!$C$7,"BREACH","")</f>
        <v/>
      </c>
      <c r="P555" s="30" t="n">
        <f aca="false">M555+F555</f>
        <v>113026.98</v>
      </c>
      <c r="Q555" s="30" t="n">
        <f aca="false">P555-Summary!$C$5</f>
        <v>13026.9800000001</v>
      </c>
      <c r="R555" s="2" t="str">
        <f aca="false">TEXT(A555,"ddd")</f>
        <v>Fri</v>
      </c>
    </row>
    <row r="556" customFormat="false" ht="15" hidden="false" customHeight="false" outlineLevel="0" collapsed="false">
      <c r="A556" s="42" t="n">
        <v>45936</v>
      </c>
      <c r="B556" s="28" t="n">
        <f aca="false">COUNTIFS(Trades!$D$2:$D$884,$A556)</f>
        <v>1</v>
      </c>
      <c r="C556" s="28" t="n">
        <f aca="false">COUNTIFS(Trades!$D$2:$D$884,$A556,Trades!$Z$2:$Z$884,"Win")</f>
        <v>1</v>
      </c>
      <c r="D556" s="28" t="n">
        <f aca="false">COUNTIFS(Trades!$D$2:$D$884,$A556,Trades!$Z$2:$Z$884,"Loss")</f>
        <v>0</v>
      </c>
      <c r="E556" s="29" t="n">
        <f aca="false">IFERROR(C556/B556,0)</f>
        <v>1</v>
      </c>
      <c r="F556" s="30" t="n">
        <f aca="false">SUMIFS(Trades!$X$2:$X$884,Trades!$D$2:$D$884,$A556)</f>
        <v>80.72</v>
      </c>
      <c r="G556" s="30" t="n">
        <f aca="false">SUMIFS(Trades!$X$2:$X$884,Trades!$D$2:$D$884,$A556,Trades!$X$2:$X$884,"&gt;0")</f>
        <v>80.72</v>
      </c>
      <c r="H556" s="30" t="n">
        <f aca="false">SUMIFS(Trades!$X$2:$X$884,Trades!$D$2:$D$884,$A556,Trades!$X$2:$X$884,"&lt;0")</f>
        <v>0</v>
      </c>
      <c r="I556" s="31" t="str">
        <f aca="false">IFERROR(G556/-H556,"no loss")</f>
        <v>no loss</v>
      </c>
      <c r="J556" s="30" t="n">
        <f aca="false">_xlfn.MAXIFS(Trades!$X$2:$X$884,Trades!$D$2:$D$884,$A556)</f>
        <v>80.72</v>
      </c>
      <c r="K556" s="30" t="n">
        <f aca="false">_xlfn.MINIFS(Trades!$X$2:$X$884,Trades!$D$2:$D$884,$A556)</f>
        <v>80.72</v>
      </c>
      <c r="L556" s="32" t="n">
        <f aca="false">SUMIFS(Trades!$Y$2:$Y$884,Trades!$D$2:$D$884,$A556)</f>
        <v>2.00596421471147</v>
      </c>
      <c r="M556" s="30" t="n">
        <f aca="false">P555</f>
        <v>113026.98</v>
      </c>
      <c r="N556" s="29" t="n">
        <f aca="false">IFERROR(F556/M556,0)</f>
        <v>0.000714165768208616</v>
      </c>
      <c r="O556" s="28" t="str">
        <f aca="false">IF(-N556&gt;=Summary!$C$7,"BREACH","")</f>
        <v/>
      </c>
      <c r="P556" s="30" t="n">
        <f aca="false">M556+F556</f>
        <v>113107.7</v>
      </c>
      <c r="Q556" s="30" t="n">
        <f aca="false">P556-Summary!$C$5</f>
        <v>13107.7000000001</v>
      </c>
      <c r="R556" s="2" t="str">
        <f aca="false">TEXT(A556,"ddd")</f>
        <v>Mon</v>
      </c>
    </row>
    <row r="557" customFormat="false" ht="15" hidden="false" customHeight="false" outlineLevel="0" collapsed="false">
      <c r="A557" s="42" t="n">
        <v>45937</v>
      </c>
      <c r="B557" s="28" t="n">
        <f aca="false">COUNTIFS(Trades!$D$2:$D$884,$A557)</f>
        <v>2</v>
      </c>
      <c r="C557" s="28" t="n">
        <f aca="false">COUNTIFS(Trades!$D$2:$D$884,$A557,Trades!$Z$2:$Z$884,"Win")</f>
        <v>1</v>
      </c>
      <c r="D557" s="28" t="n">
        <f aca="false">COUNTIFS(Trades!$D$2:$D$884,$A557,Trades!$Z$2:$Z$884,"Loss")</f>
        <v>1</v>
      </c>
      <c r="E557" s="29" t="n">
        <f aca="false">IFERROR(C557/B557,0)</f>
        <v>0.5</v>
      </c>
      <c r="F557" s="30" t="n">
        <f aca="false">SUMIFS(Trades!$X$2:$X$884,Trades!$D$2:$D$884,$A557)</f>
        <v>-81.36</v>
      </c>
      <c r="G557" s="30" t="n">
        <f aca="false">SUMIFS(Trades!$X$2:$X$884,Trades!$D$2:$D$884,$A557,Trades!$X$2:$X$884,"&gt;0")</f>
        <v>84.88</v>
      </c>
      <c r="H557" s="30" t="n">
        <f aca="false">SUMIFS(Trades!$X$2:$X$884,Trades!$D$2:$D$884,$A557,Trades!$X$2:$X$884,"&lt;0")</f>
        <v>-166.24</v>
      </c>
      <c r="I557" s="31" t="n">
        <f aca="false">IFERROR(G557/-H557,"no loss")</f>
        <v>0.510587102983638</v>
      </c>
      <c r="J557" s="30" t="n">
        <f aca="false">_xlfn.MAXIFS(Trades!$X$2:$X$884,Trades!$D$2:$D$884,$A557)</f>
        <v>84.88</v>
      </c>
      <c r="K557" s="30" t="n">
        <f aca="false">_xlfn.MINIFS(Trades!$X$2:$X$884,Trades!$D$2:$D$884,$A557)</f>
        <v>-166.24</v>
      </c>
      <c r="L557" s="32" t="n">
        <f aca="false">SUMIFS(Trades!$Y$2:$Y$884,Trades!$D$2:$D$884,$A557)</f>
        <v>1.01300299387161</v>
      </c>
      <c r="M557" s="30" t="n">
        <f aca="false">P556</f>
        <v>113107.7</v>
      </c>
      <c r="N557" s="29" t="n">
        <f aca="false">IFERROR(F557/M557,0)</f>
        <v>-0.000719314423332805</v>
      </c>
      <c r="O557" s="28" t="str">
        <f aca="false">IF(-N557&gt;=Summary!$C$7,"BREACH","")</f>
        <v/>
      </c>
      <c r="P557" s="30" t="n">
        <f aca="false">M557+F557</f>
        <v>113026.34</v>
      </c>
      <c r="Q557" s="30" t="n">
        <f aca="false">P557-Summary!$C$5</f>
        <v>13026.3400000001</v>
      </c>
      <c r="R557" s="2" t="str">
        <f aca="false">TEXT(A557,"ddd")</f>
        <v>Tue</v>
      </c>
    </row>
    <row r="558" customFormat="false" ht="15" hidden="false" customHeight="false" outlineLevel="0" collapsed="false">
      <c r="A558" s="42" t="n">
        <v>45938</v>
      </c>
      <c r="B558" s="28" t="n">
        <f aca="false">COUNTIFS(Trades!$D$2:$D$884,$A558)</f>
        <v>1</v>
      </c>
      <c r="C558" s="28" t="n">
        <f aca="false">COUNTIFS(Trades!$D$2:$D$884,$A558,Trades!$Z$2:$Z$884,"Win")</f>
        <v>0</v>
      </c>
      <c r="D558" s="28" t="n">
        <f aca="false">COUNTIFS(Trades!$D$2:$D$884,$A558,Trades!$Z$2:$Z$884,"Loss")</f>
        <v>1</v>
      </c>
      <c r="E558" s="29" t="n">
        <f aca="false">IFERROR(C558/B558,0)</f>
        <v>0</v>
      </c>
      <c r="F558" s="30" t="n">
        <f aca="false">SUMIFS(Trades!$X$2:$X$884,Trades!$D$2:$D$884,$A558)</f>
        <v>-0.16</v>
      </c>
      <c r="G558" s="30" t="n">
        <f aca="false">SUMIFS(Trades!$X$2:$X$884,Trades!$D$2:$D$884,$A558,Trades!$X$2:$X$884,"&gt;0")</f>
        <v>0</v>
      </c>
      <c r="H558" s="30" t="n">
        <f aca="false">SUMIFS(Trades!$X$2:$X$884,Trades!$D$2:$D$884,$A558,Trades!$X$2:$X$884,"&lt;0")</f>
        <v>-0.16</v>
      </c>
      <c r="I558" s="31" t="n">
        <f aca="false">IFERROR(G558/-H558,"no loss")</f>
        <v>0</v>
      </c>
      <c r="J558" s="30" t="n">
        <f aca="false">_xlfn.MAXIFS(Trades!$X$2:$X$884,Trades!$D$2:$D$884,$A558)</f>
        <v>-0.16</v>
      </c>
      <c r="K558" s="30" t="n">
        <f aca="false">_xlfn.MINIFS(Trades!$X$2:$X$884,Trades!$D$2:$D$884,$A558)</f>
        <v>-0.16</v>
      </c>
      <c r="L558" s="32" t="n">
        <f aca="false">SUMIFS(Trades!$Y$2:$Y$884,Trades!$D$2:$D$884,$A558)</f>
        <v>-0.00462427745664662</v>
      </c>
      <c r="M558" s="30" t="n">
        <f aca="false">P557</f>
        <v>113026.34</v>
      </c>
      <c r="N558" s="29" t="n">
        <f aca="false">IFERROR(F558/M558,0)</f>
        <v>-1.41559923111728E-006</v>
      </c>
      <c r="O558" s="28" t="str">
        <f aca="false">IF(-N558&gt;=Summary!$C$7,"BREACH","")</f>
        <v/>
      </c>
      <c r="P558" s="30" t="n">
        <f aca="false">M558+F558</f>
        <v>113026.18</v>
      </c>
      <c r="Q558" s="30" t="n">
        <f aca="false">P558-Summary!$C$5</f>
        <v>13026.1800000001</v>
      </c>
      <c r="R558" s="2" t="str">
        <f aca="false">TEXT(A558,"ddd")</f>
        <v>Wed</v>
      </c>
    </row>
    <row r="559" customFormat="false" ht="15" hidden="false" customHeight="false" outlineLevel="0" collapsed="false">
      <c r="A559" s="42" t="n">
        <v>45939</v>
      </c>
      <c r="B559" s="28" t="n">
        <f aca="false">COUNTIFS(Trades!$D$2:$D$884,$A559)</f>
        <v>1</v>
      </c>
      <c r="C559" s="28" t="n">
        <f aca="false">COUNTIFS(Trades!$D$2:$D$884,$A559,Trades!$Z$2:$Z$884,"Win")</f>
        <v>1</v>
      </c>
      <c r="D559" s="28" t="n">
        <f aca="false">COUNTIFS(Trades!$D$2:$D$884,$A559,Trades!$Z$2:$Z$884,"Loss")</f>
        <v>0</v>
      </c>
      <c r="E559" s="29" t="n">
        <f aca="false">IFERROR(C559/B559,0)</f>
        <v>1</v>
      </c>
      <c r="F559" s="30" t="n">
        <f aca="false">SUMIFS(Trades!$X$2:$X$884,Trades!$D$2:$D$884,$A559)</f>
        <v>73.52</v>
      </c>
      <c r="G559" s="30" t="n">
        <f aca="false">SUMIFS(Trades!$X$2:$X$884,Trades!$D$2:$D$884,$A559,Trades!$X$2:$X$884,"&gt;0")</f>
        <v>73.52</v>
      </c>
      <c r="H559" s="30" t="n">
        <f aca="false">SUMIFS(Trades!$X$2:$X$884,Trades!$D$2:$D$884,$A559,Trades!$X$2:$X$884,"&lt;0")</f>
        <v>0</v>
      </c>
      <c r="I559" s="31" t="str">
        <f aca="false">IFERROR(G559/-H559,"no loss")</f>
        <v>no loss</v>
      </c>
      <c r="J559" s="30" t="n">
        <f aca="false">_xlfn.MAXIFS(Trades!$X$2:$X$884,Trades!$D$2:$D$884,$A559)</f>
        <v>73.52</v>
      </c>
      <c r="K559" s="30" t="n">
        <f aca="false">_xlfn.MINIFS(Trades!$X$2:$X$884,Trades!$D$2:$D$884,$A559)</f>
        <v>73.52</v>
      </c>
      <c r="L559" s="32" t="n">
        <f aca="false">SUMIFS(Trades!$Y$2:$Y$884,Trades!$D$2:$D$884,$A559)</f>
        <v>1.79317073170732</v>
      </c>
      <c r="M559" s="30" t="n">
        <f aca="false">P558</f>
        <v>113026.18</v>
      </c>
      <c r="N559" s="29" t="n">
        <f aca="false">IFERROR(F559/M559,0)</f>
        <v>0.000650468767501476</v>
      </c>
      <c r="O559" s="28" t="str">
        <f aca="false">IF(-N559&gt;=Summary!$C$7,"BREACH","")</f>
        <v/>
      </c>
      <c r="P559" s="30" t="n">
        <f aca="false">M559+F559</f>
        <v>113099.7</v>
      </c>
      <c r="Q559" s="30" t="n">
        <f aca="false">P559-Summary!$C$5</f>
        <v>13099.7000000001</v>
      </c>
      <c r="R559" s="2" t="str">
        <f aca="false">TEXT(A559,"ddd")</f>
        <v>Thu</v>
      </c>
    </row>
    <row r="560" customFormat="false" ht="15" hidden="false" customHeight="false" outlineLevel="0" collapsed="false">
      <c r="A560" s="42" t="n">
        <v>45940</v>
      </c>
      <c r="B560" s="28" t="n">
        <f aca="false">COUNTIFS(Trades!$D$2:$D$884,$A560)</f>
        <v>2</v>
      </c>
      <c r="C560" s="28" t="n">
        <f aca="false">COUNTIFS(Trades!$D$2:$D$884,$A560,Trades!$Z$2:$Z$884,"Win")</f>
        <v>1</v>
      </c>
      <c r="D560" s="28" t="n">
        <f aca="false">COUNTIFS(Trades!$D$2:$D$884,$A560,Trades!$Z$2:$Z$884,"Loss")</f>
        <v>1</v>
      </c>
      <c r="E560" s="29" t="n">
        <f aca="false">IFERROR(C560/B560,0)</f>
        <v>0.5</v>
      </c>
      <c r="F560" s="30" t="n">
        <f aca="false">SUMIFS(Trades!$X$2:$X$884,Trades!$D$2:$D$884,$A560)</f>
        <v>422.16</v>
      </c>
      <c r="G560" s="30" t="n">
        <f aca="false">SUMIFS(Trades!$X$2:$X$884,Trades!$D$2:$D$884,$A560,Trades!$X$2:$X$884,"&gt;0")</f>
        <v>587.68</v>
      </c>
      <c r="H560" s="30" t="n">
        <f aca="false">SUMIFS(Trades!$X$2:$X$884,Trades!$D$2:$D$884,$A560,Trades!$X$2:$X$884,"&lt;0")</f>
        <v>-165.52</v>
      </c>
      <c r="I560" s="31" t="n">
        <f aca="false">IFERROR(G560/-H560,"no loss")</f>
        <v>3.55050749154181</v>
      </c>
      <c r="J560" s="30" t="n">
        <f aca="false">_xlfn.MAXIFS(Trades!$X$2:$X$884,Trades!$D$2:$D$884,$A560)</f>
        <v>587.68</v>
      </c>
      <c r="K560" s="30" t="n">
        <f aca="false">_xlfn.MINIFS(Trades!$X$2:$X$884,Trades!$D$2:$D$884,$A560)</f>
        <v>-165.52</v>
      </c>
      <c r="L560" s="32" t="n">
        <f aca="false">SUMIFS(Trades!$Y$2:$Y$884,Trades!$D$2:$D$884,$A560)</f>
        <v>0.614824055543281</v>
      </c>
      <c r="M560" s="30" t="n">
        <f aca="false">P559</f>
        <v>113099.7</v>
      </c>
      <c r="N560" s="29" t="n">
        <f aca="false">IFERROR(F560/M560,0)</f>
        <v>0.00373263589558593</v>
      </c>
      <c r="O560" s="28" t="str">
        <f aca="false">IF(-N560&gt;=Summary!$C$7,"BREACH","")</f>
        <v/>
      </c>
      <c r="P560" s="30" t="n">
        <f aca="false">M560+F560</f>
        <v>113521.86</v>
      </c>
      <c r="Q560" s="30" t="n">
        <f aca="false">P560-Summary!$C$5</f>
        <v>13521.8600000001</v>
      </c>
      <c r="R560" s="2" t="str">
        <f aca="false">TEXT(A560,"ddd")</f>
        <v>Fri</v>
      </c>
    </row>
    <row r="561" customFormat="false" ht="15" hidden="false" customHeight="false" outlineLevel="0" collapsed="false">
      <c r="A561" s="42" t="n">
        <v>45944</v>
      </c>
      <c r="B561" s="28" t="n">
        <f aca="false">COUNTIFS(Trades!$D$2:$D$884,$A561)</f>
        <v>2</v>
      </c>
      <c r="C561" s="28" t="n">
        <f aca="false">COUNTIFS(Trades!$D$2:$D$884,$A561,Trades!$Z$2:$Z$884,"Win")</f>
        <v>1</v>
      </c>
      <c r="D561" s="28" t="n">
        <f aca="false">COUNTIFS(Trades!$D$2:$D$884,$A561,Trades!$Z$2:$Z$884,"Loss")</f>
        <v>1</v>
      </c>
      <c r="E561" s="29" t="n">
        <f aca="false">IFERROR(C561/B561,0)</f>
        <v>0.5</v>
      </c>
      <c r="F561" s="30" t="n">
        <f aca="false">SUMIFS(Trades!$X$2:$X$884,Trades!$D$2:$D$884,$A561)</f>
        <v>137.92</v>
      </c>
      <c r="G561" s="30" t="n">
        <f aca="false">SUMIFS(Trades!$X$2:$X$884,Trades!$D$2:$D$884,$A561,Trades!$X$2:$X$884,"&gt;0")</f>
        <v>138.2</v>
      </c>
      <c r="H561" s="30" t="n">
        <f aca="false">SUMIFS(Trades!$X$2:$X$884,Trades!$D$2:$D$884,$A561,Trades!$X$2:$X$884,"&lt;0")</f>
        <v>-0.28</v>
      </c>
      <c r="I561" s="31" t="n">
        <f aca="false">IFERROR(G561/-H561,"no loss")</f>
        <v>493.571428571429</v>
      </c>
      <c r="J561" s="30" t="n">
        <f aca="false">_xlfn.MAXIFS(Trades!$X$2:$X$884,Trades!$D$2:$D$884,$A561)</f>
        <v>138.2</v>
      </c>
      <c r="K561" s="30" t="n">
        <f aca="false">_xlfn.MINIFS(Trades!$X$2:$X$884,Trades!$D$2:$D$884,$A561)</f>
        <v>-0.28</v>
      </c>
      <c r="L561" s="32" t="n">
        <f aca="false">SUMIFS(Trades!$Y$2:$Y$884,Trades!$D$2:$D$884,$A561)</f>
        <v>2.09551992387033</v>
      </c>
      <c r="M561" s="30" t="n">
        <f aca="false">P560</f>
        <v>113521.86</v>
      </c>
      <c r="N561" s="29" t="n">
        <f aca="false">IFERROR(F561/M561,0)</f>
        <v>0.00121492019246337</v>
      </c>
      <c r="O561" s="28" t="str">
        <f aca="false">IF(-N561&gt;=Summary!$C$7,"BREACH","")</f>
        <v/>
      </c>
      <c r="P561" s="30" t="n">
        <f aca="false">M561+F561</f>
        <v>113659.78</v>
      </c>
      <c r="Q561" s="30" t="n">
        <f aca="false">P561-Summary!$C$5</f>
        <v>13659.7800000001</v>
      </c>
      <c r="R561" s="2" t="str">
        <f aca="false">TEXT(A561,"ddd")</f>
        <v>Tue</v>
      </c>
    </row>
    <row r="562" customFormat="false" ht="15" hidden="false" customHeight="false" outlineLevel="0" collapsed="false">
      <c r="A562" s="42" t="n">
        <v>45945</v>
      </c>
      <c r="B562" s="28" t="n">
        <f aca="false">COUNTIFS(Trades!$D$2:$D$884,$A562)</f>
        <v>1</v>
      </c>
      <c r="C562" s="28" t="n">
        <f aca="false">COUNTIFS(Trades!$D$2:$D$884,$A562,Trades!$Z$2:$Z$884,"Win")</f>
        <v>0</v>
      </c>
      <c r="D562" s="28" t="n">
        <f aca="false">COUNTIFS(Trades!$D$2:$D$884,$A562,Trades!$Z$2:$Z$884,"Loss")</f>
        <v>1</v>
      </c>
      <c r="E562" s="29" t="n">
        <f aca="false">IFERROR(C562/B562,0)</f>
        <v>0</v>
      </c>
      <c r="F562" s="30" t="n">
        <f aca="false">SUMIFS(Trades!$X$2:$X$884,Trades!$D$2:$D$884,$A562)</f>
        <v>-0.08</v>
      </c>
      <c r="G562" s="30" t="n">
        <f aca="false">SUMIFS(Trades!$X$2:$X$884,Trades!$D$2:$D$884,$A562,Trades!$X$2:$X$884,"&gt;0")</f>
        <v>0</v>
      </c>
      <c r="H562" s="30" t="n">
        <f aca="false">SUMIFS(Trades!$X$2:$X$884,Trades!$D$2:$D$884,$A562,Trades!$X$2:$X$884,"&lt;0")</f>
        <v>-0.08</v>
      </c>
      <c r="I562" s="31" t="n">
        <f aca="false">IFERROR(G562/-H562,"no loss")</f>
        <v>0</v>
      </c>
      <c r="J562" s="30" t="n">
        <f aca="false">_xlfn.MAXIFS(Trades!$X$2:$X$884,Trades!$D$2:$D$884,$A562)</f>
        <v>-0.08</v>
      </c>
      <c r="K562" s="30" t="n">
        <f aca="false">_xlfn.MINIFS(Trades!$X$2:$X$884,Trades!$D$2:$D$884,$A562)</f>
        <v>-0.08</v>
      </c>
      <c r="L562" s="32" t="n">
        <f aca="false">SUMIFS(Trades!$Y$2:$Y$884,Trades!$D$2:$D$884,$A562)</f>
        <v>-0.000656598818122146</v>
      </c>
      <c r="M562" s="30" t="n">
        <f aca="false">P561</f>
        <v>113659.78</v>
      </c>
      <c r="N562" s="29" t="n">
        <f aca="false">IFERROR(F562/M562,0)</f>
        <v>-7.03854960831351E-007</v>
      </c>
      <c r="O562" s="28" t="str">
        <f aca="false">IF(-N562&gt;=Summary!$C$7,"BREACH","")</f>
        <v/>
      </c>
      <c r="P562" s="30" t="n">
        <f aca="false">M562+F562</f>
        <v>113659.7</v>
      </c>
      <c r="Q562" s="30" t="n">
        <f aca="false">P562-Summary!$C$5</f>
        <v>13659.7000000001</v>
      </c>
      <c r="R562" s="2" t="str">
        <f aca="false">TEXT(A562,"ddd")</f>
        <v>Wed</v>
      </c>
    </row>
    <row r="563" customFormat="false" ht="15" hidden="false" customHeight="false" outlineLevel="0" collapsed="false">
      <c r="A563" s="42" t="n">
        <v>45946</v>
      </c>
      <c r="B563" s="28" t="n">
        <f aca="false">COUNTIFS(Trades!$D$2:$D$884,$A563)</f>
        <v>2</v>
      </c>
      <c r="C563" s="28" t="n">
        <f aca="false">COUNTIFS(Trades!$D$2:$D$884,$A563,Trades!$Z$2:$Z$884,"Win")</f>
        <v>0</v>
      </c>
      <c r="D563" s="28" t="n">
        <f aca="false">COUNTIFS(Trades!$D$2:$D$884,$A563,Trades!$Z$2:$Z$884,"Loss")</f>
        <v>2</v>
      </c>
      <c r="E563" s="29" t="n">
        <f aca="false">IFERROR(C563/B563,0)</f>
        <v>0</v>
      </c>
      <c r="F563" s="30" t="n">
        <f aca="false">SUMIFS(Trades!$X$2:$X$884,Trades!$D$2:$D$884,$A563)</f>
        <v>-381</v>
      </c>
      <c r="G563" s="30" t="n">
        <f aca="false">SUMIFS(Trades!$X$2:$X$884,Trades!$D$2:$D$884,$A563,Trades!$X$2:$X$884,"&gt;0")</f>
        <v>0</v>
      </c>
      <c r="H563" s="30" t="n">
        <f aca="false">SUMIFS(Trades!$X$2:$X$884,Trades!$D$2:$D$884,$A563,Trades!$X$2:$X$884,"&lt;0")</f>
        <v>-381</v>
      </c>
      <c r="I563" s="31" t="n">
        <f aca="false">IFERROR(G563/-H563,"no loss")</f>
        <v>0</v>
      </c>
      <c r="J563" s="30" t="n">
        <f aca="false">_xlfn.MAXIFS(Trades!$X$2:$X$884,Trades!$D$2:$D$884,$A563)</f>
        <v>-187.72</v>
      </c>
      <c r="K563" s="30" t="n">
        <f aca="false">_xlfn.MINIFS(Trades!$X$2:$X$884,Trades!$D$2:$D$884,$A563)</f>
        <v>-193.28</v>
      </c>
      <c r="L563" s="32" t="n">
        <f aca="false">SUMIFS(Trades!$Y$2:$Y$884,Trades!$D$2:$D$884,$A563)</f>
        <v>-2.00837024394312</v>
      </c>
      <c r="M563" s="30" t="n">
        <f aca="false">P562</f>
        <v>113659.7</v>
      </c>
      <c r="N563" s="29" t="n">
        <f aca="false">IFERROR(F563/M563,0)</f>
        <v>-0.00335211161035969</v>
      </c>
      <c r="O563" s="28" t="str">
        <f aca="false">IF(-N563&gt;=Summary!$C$7,"BREACH","")</f>
        <v/>
      </c>
      <c r="P563" s="30" t="n">
        <f aca="false">M563+F563</f>
        <v>113278.7</v>
      </c>
      <c r="Q563" s="30" t="n">
        <f aca="false">P563-Summary!$C$5</f>
        <v>13278.7000000001</v>
      </c>
      <c r="R563" s="2" t="str">
        <f aca="false">TEXT(A563,"ddd")</f>
        <v>Thu</v>
      </c>
    </row>
    <row r="564" customFormat="false" ht="15" hidden="false" customHeight="false" outlineLevel="0" collapsed="false">
      <c r="A564" s="42" t="n">
        <v>45947</v>
      </c>
      <c r="B564" s="28" t="n">
        <f aca="false">COUNTIFS(Trades!$D$2:$D$884,$A564)</f>
        <v>1</v>
      </c>
      <c r="C564" s="28" t="n">
        <f aca="false">COUNTIFS(Trades!$D$2:$D$884,$A564,Trades!$Z$2:$Z$884,"Win")</f>
        <v>0</v>
      </c>
      <c r="D564" s="28" t="n">
        <f aca="false">COUNTIFS(Trades!$D$2:$D$884,$A564,Trades!$Z$2:$Z$884,"Loss")</f>
        <v>1</v>
      </c>
      <c r="E564" s="29" t="n">
        <f aca="false">IFERROR(C564/B564,0)</f>
        <v>0</v>
      </c>
      <c r="F564" s="30" t="n">
        <f aca="false">SUMIFS(Trades!$X$2:$X$884,Trades!$D$2:$D$884,$A564)</f>
        <v>-82.48</v>
      </c>
      <c r="G564" s="30" t="n">
        <f aca="false">SUMIFS(Trades!$X$2:$X$884,Trades!$D$2:$D$884,$A564,Trades!$X$2:$X$884,"&gt;0")</f>
        <v>0</v>
      </c>
      <c r="H564" s="30" t="n">
        <f aca="false">SUMIFS(Trades!$X$2:$X$884,Trades!$D$2:$D$884,$A564,Trades!$X$2:$X$884,"&lt;0")</f>
        <v>-82.48</v>
      </c>
      <c r="I564" s="31" t="n">
        <f aca="false">IFERROR(G564/-H564,"no loss")</f>
        <v>0</v>
      </c>
      <c r="J564" s="30" t="n">
        <f aca="false">_xlfn.MAXIFS(Trades!$X$2:$X$884,Trades!$D$2:$D$884,$A564)</f>
        <v>-82.48</v>
      </c>
      <c r="K564" s="30" t="n">
        <f aca="false">_xlfn.MINIFS(Trades!$X$2:$X$884,Trades!$D$2:$D$884,$A564)</f>
        <v>-82.48</v>
      </c>
      <c r="L564" s="32" t="n">
        <f aca="false">SUMIFS(Trades!$Y$2:$Y$884,Trades!$D$2:$D$884,$A564)</f>
        <v>-1.00536323744505</v>
      </c>
      <c r="M564" s="30" t="n">
        <f aca="false">P563</f>
        <v>113278.7</v>
      </c>
      <c r="N564" s="29" t="n">
        <f aca="false">IFERROR(F564/M564,0)</f>
        <v>-0.000728115700480319</v>
      </c>
      <c r="O564" s="28" t="str">
        <f aca="false">IF(-N564&gt;=Summary!$C$7,"BREACH","")</f>
        <v/>
      </c>
      <c r="P564" s="30" t="n">
        <f aca="false">M564+F564</f>
        <v>113196.22</v>
      </c>
      <c r="Q564" s="30" t="n">
        <f aca="false">P564-Summary!$C$5</f>
        <v>13196.2200000001</v>
      </c>
      <c r="R564" s="2" t="str">
        <f aca="false">TEXT(A564,"ddd")</f>
        <v>Fri</v>
      </c>
    </row>
    <row r="565" customFormat="false" ht="15" hidden="false" customHeight="false" outlineLevel="0" collapsed="false">
      <c r="A565" s="42" t="n">
        <v>45950</v>
      </c>
      <c r="B565" s="28" t="n">
        <f aca="false">COUNTIFS(Trades!$D$2:$D$884,$A565)</f>
        <v>1</v>
      </c>
      <c r="C565" s="28" t="n">
        <f aca="false">COUNTIFS(Trades!$D$2:$D$884,$A565,Trades!$Z$2:$Z$884,"Win")</f>
        <v>0</v>
      </c>
      <c r="D565" s="28" t="n">
        <f aca="false">COUNTIFS(Trades!$D$2:$D$884,$A565,Trades!$Z$2:$Z$884,"Loss")</f>
        <v>1</v>
      </c>
      <c r="E565" s="29" t="n">
        <f aca="false">IFERROR(C565/B565,0)</f>
        <v>0</v>
      </c>
      <c r="F565" s="30" t="n">
        <f aca="false">SUMIFS(Trades!$X$2:$X$884,Trades!$D$2:$D$884,$A565)</f>
        <v>-108.28</v>
      </c>
      <c r="G565" s="30" t="n">
        <f aca="false">SUMIFS(Trades!$X$2:$X$884,Trades!$D$2:$D$884,$A565,Trades!$X$2:$X$884,"&gt;0")</f>
        <v>0</v>
      </c>
      <c r="H565" s="30" t="n">
        <f aca="false">SUMIFS(Trades!$X$2:$X$884,Trades!$D$2:$D$884,$A565,Trades!$X$2:$X$884,"&lt;0")</f>
        <v>-108.28</v>
      </c>
      <c r="I565" s="31" t="n">
        <f aca="false">IFERROR(G565/-H565,"no loss")</f>
        <v>0</v>
      </c>
      <c r="J565" s="30" t="n">
        <f aca="false">_xlfn.MAXIFS(Trades!$X$2:$X$884,Trades!$D$2:$D$884,$A565)</f>
        <v>-108.28</v>
      </c>
      <c r="K565" s="30" t="n">
        <f aca="false">_xlfn.MINIFS(Trades!$X$2:$X$884,Trades!$D$2:$D$884,$A565)</f>
        <v>-108.28</v>
      </c>
      <c r="L565" s="32" t="n">
        <f aca="false">SUMIFS(Trades!$Y$2:$Y$884,Trades!$D$2:$D$884,$A565)</f>
        <v>-1.01347809809064</v>
      </c>
      <c r="M565" s="30" t="n">
        <f aca="false">P564</f>
        <v>113196.22</v>
      </c>
      <c r="N565" s="29" t="n">
        <f aca="false">IFERROR(F565/M565,0)</f>
        <v>-0.000956569044443356</v>
      </c>
      <c r="O565" s="28" t="str">
        <f aca="false">IF(-N565&gt;=Summary!$C$7,"BREACH","")</f>
        <v/>
      </c>
      <c r="P565" s="30" t="n">
        <f aca="false">M565+F565</f>
        <v>113087.94</v>
      </c>
      <c r="Q565" s="30" t="n">
        <f aca="false">P565-Summary!$C$5</f>
        <v>13087.9400000001</v>
      </c>
      <c r="R565" s="2" t="str">
        <f aca="false">TEXT(A565,"ddd")</f>
        <v>Mon</v>
      </c>
    </row>
    <row r="566" customFormat="false" ht="15" hidden="false" customHeight="false" outlineLevel="0" collapsed="false">
      <c r="A566" s="42" t="n">
        <v>45951</v>
      </c>
      <c r="B566" s="28" t="n">
        <f aca="false">COUNTIFS(Trades!$D$2:$D$884,$A566)</f>
        <v>1</v>
      </c>
      <c r="C566" s="28" t="n">
        <f aca="false">COUNTIFS(Trades!$D$2:$D$884,$A566,Trades!$Z$2:$Z$884,"Win")</f>
        <v>0</v>
      </c>
      <c r="D566" s="28" t="n">
        <f aca="false">COUNTIFS(Trades!$D$2:$D$884,$A566,Trades!$Z$2:$Z$884,"Loss")</f>
        <v>1</v>
      </c>
      <c r="E566" s="29" t="n">
        <f aca="false">IFERROR(C566/B566,0)</f>
        <v>0</v>
      </c>
      <c r="F566" s="30" t="n">
        <f aca="false">SUMIFS(Trades!$X$2:$X$884,Trades!$D$2:$D$884,$A566)</f>
        <v>-2</v>
      </c>
      <c r="G566" s="30" t="n">
        <f aca="false">SUMIFS(Trades!$X$2:$X$884,Trades!$D$2:$D$884,$A566,Trades!$X$2:$X$884,"&gt;0")</f>
        <v>0</v>
      </c>
      <c r="H566" s="30" t="n">
        <f aca="false">SUMIFS(Trades!$X$2:$X$884,Trades!$D$2:$D$884,$A566,Trades!$X$2:$X$884,"&lt;0")</f>
        <v>-2</v>
      </c>
      <c r="I566" s="31" t="n">
        <f aca="false">IFERROR(G566/-H566,"no loss")</f>
        <v>0</v>
      </c>
      <c r="J566" s="30" t="n">
        <f aca="false">_xlfn.MAXIFS(Trades!$X$2:$X$884,Trades!$D$2:$D$884,$A566)</f>
        <v>-2</v>
      </c>
      <c r="K566" s="30" t="n">
        <f aca="false">_xlfn.MINIFS(Trades!$X$2:$X$884,Trades!$D$2:$D$884,$A566)</f>
        <v>-2</v>
      </c>
      <c r="L566" s="32" t="n">
        <f aca="false">SUMIFS(Trades!$Y$2:$Y$884,Trades!$D$2:$D$884,$A566)</f>
        <v>-0.0798722044728175</v>
      </c>
      <c r="M566" s="30" t="n">
        <f aca="false">P565</f>
        <v>113087.94</v>
      </c>
      <c r="N566" s="29" t="n">
        <f aca="false">IFERROR(F566/M566,0)</f>
        <v>-1.76853517713737E-005</v>
      </c>
      <c r="O566" s="28" t="str">
        <f aca="false">IF(-N566&gt;=Summary!$C$7,"BREACH","")</f>
        <v/>
      </c>
      <c r="P566" s="30" t="n">
        <f aca="false">M566+F566</f>
        <v>113085.94</v>
      </c>
      <c r="Q566" s="30" t="n">
        <f aca="false">P566-Summary!$C$5</f>
        <v>13085.9400000001</v>
      </c>
      <c r="R566" s="2" t="str">
        <f aca="false">TEXT(A566,"ddd")</f>
        <v>Tue</v>
      </c>
    </row>
    <row r="567" customFormat="false" ht="15" hidden="false" customHeight="false" outlineLevel="0" collapsed="false">
      <c r="A567" s="42" t="n">
        <v>45952</v>
      </c>
      <c r="B567" s="28" t="n">
        <f aca="false">COUNTIFS(Trades!$D$2:$D$884,$A567)</f>
        <v>1</v>
      </c>
      <c r="C567" s="28" t="n">
        <f aca="false">COUNTIFS(Trades!$D$2:$D$884,$A567,Trades!$Z$2:$Z$884,"Win")</f>
        <v>0</v>
      </c>
      <c r="D567" s="28" t="n">
        <f aca="false">COUNTIFS(Trades!$D$2:$D$884,$A567,Trades!$Z$2:$Z$884,"Loss")</f>
        <v>1</v>
      </c>
      <c r="E567" s="29" t="n">
        <f aca="false">IFERROR(C567/B567,0)</f>
        <v>0</v>
      </c>
      <c r="F567" s="30" t="n">
        <f aca="false">SUMIFS(Trades!$X$2:$X$884,Trades!$D$2:$D$884,$A567)</f>
        <v>-118.28</v>
      </c>
      <c r="G567" s="30" t="n">
        <f aca="false">SUMIFS(Trades!$X$2:$X$884,Trades!$D$2:$D$884,$A567,Trades!$X$2:$X$884,"&gt;0")</f>
        <v>0</v>
      </c>
      <c r="H567" s="30" t="n">
        <f aca="false">SUMIFS(Trades!$X$2:$X$884,Trades!$D$2:$D$884,$A567,Trades!$X$2:$X$884,"&lt;0")</f>
        <v>-118.28</v>
      </c>
      <c r="I567" s="31" t="n">
        <f aca="false">IFERROR(G567/-H567,"no loss")</f>
        <v>0</v>
      </c>
      <c r="J567" s="30" t="n">
        <f aca="false">_xlfn.MAXIFS(Trades!$X$2:$X$884,Trades!$D$2:$D$884,$A567)</f>
        <v>-118.28</v>
      </c>
      <c r="K567" s="30" t="n">
        <f aca="false">_xlfn.MINIFS(Trades!$X$2:$X$884,Trades!$D$2:$D$884,$A567)</f>
        <v>-118.28</v>
      </c>
      <c r="L567" s="32" t="n">
        <f aca="false">SUMIFS(Trades!$Y$2:$Y$884,Trades!$D$2:$D$884,$A567)</f>
        <v>-1.00000000000001</v>
      </c>
      <c r="M567" s="30" t="n">
        <f aca="false">P566</f>
        <v>113085.94</v>
      </c>
      <c r="N567" s="29" t="n">
        <f aca="false">IFERROR(F567/M567,0)</f>
        <v>-0.00104593020140258</v>
      </c>
      <c r="O567" s="28" t="str">
        <f aca="false">IF(-N567&gt;=Summary!$C$7,"BREACH","")</f>
        <v/>
      </c>
      <c r="P567" s="30" t="n">
        <f aca="false">M567+F567</f>
        <v>112967.66</v>
      </c>
      <c r="Q567" s="30" t="n">
        <f aca="false">P567-Summary!$C$5</f>
        <v>12967.6600000001</v>
      </c>
      <c r="R567" s="2" t="str">
        <f aca="false">TEXT(A567,"ddd")</f>
        <v>Wed</v>
      </c>
    </row>
    <row r="568" customFormat="false" ht="15" hidden="false" customHeight="false" outlineLevel="0" collapsed="false">
      <c r="A568" s="42" t="n">
        <v>45954</v>
      </c>
      <c r="B568" s="28" t="n">
        <f aca="false">COUNTIFS(Trades!$D$2:$D$884,$A568)</f>
        <v>1</v>
      </c>
      <c r="C568" s="28" t="n">
        <f aca="false">COUNTIFS(Trades!$D$2:$D$884,$A568,Trades!$Z$2:$Z$884,"Win")</f>
        <v>1</v>
      </c>
      <c r="D568" s="28" t="n">
        <f aca="false">COUNTIFS(Trades!$D$2:$D$884,$A568,Trades!$Z$2:$Z$884,"Loss")</f>
        <v>0</v>
      </c>
      <c r="E568" s="29" t="n">
        <f aca="false">IFERROR(C568/B568,0)</f>
        <v>1</v>
      </c>
      <c r="F568" s="30" t="n">
        <f aca="false">SUMIFS(Trades!$X$2:$X$884,Trades!$D$2:$D$884,$A568)</f>
        <v>149.6</v>
      </c>
      <c r="G568" s="30" t="n">
        <f aca="false">SUMIFS(Trades!$X$2:$X$884,Trades!$D$2:$D$884,$A568,Trades!$X$2:$X$884,"&gt;0")</f>
        <v>149.6</v>
      </c>
      <c r="H568" s="30" t="n">
        <f aca="false">SUMIFS(Trades!$X$2:$X$884,Trades!$D$2:$D$884,$A568,Trades!$X$2:$X$884,"&lt;0")</f>
        <v>0</v>
      </c>
      <c r="I568" s="31" t="str">
        <f aca="false">IFERROR(G568/-H568,"no loss")</f>
        <v>no loss</v>
      </c>
      <c r="J568" s="30" t="n">
        <f aca="false">_xlfn.MAXIFS(Trades!$X$2:$X$884,Trades!$D$2:$D$884,$A568)</f>
        <v>149.6</v>
      </c>
      <c r="K568" s="30" t="n">
        <f aca="false">_xlfn.MINIFS(Trades!$X$2:$X$884,Trades!$D$2:$D$884,$A568)</f>
        <v>149.6</v>
      </c>
      <c r="L568" s="32" t="n">
        <f aca="false">SUMIFS(Trades!$Y$2:$Y$884,Trades!$D$2:$D$884,$A568)</f>
        <v>2.01183431952661</v>
      </c>
      <c r="M568" s="30" t="n">
        <f aca="false">P567</f>
        <v>112967.66</v>
      </c>
      <c r="N568" s="29" t="n">
        <f aca="false">IFERROR(F568/M568,0)</f>
        <v>0.00132427280515503</v>
      </c>
      <c r="O568" s="28" t="str">
        <f aca="false">IF(-N568&gt;=Summary!$C$7,"BREACH","")</f>
        <v/>
      </c>
      <c r="P568" s="30" t="n">
        <f aca="false">M568+F568</f>
        <v>113117.26</v>
      </c>
      <c r="Q568" s="30" t="n">
        <f aca="false">P568-Summary!$C$5</f>
        <v>13117.2600000001</v>
      </c>
      <c r="R568" s="2" t="str">
        <f aca="false">TEXT(A568,"ddd")</f>
        <v>Fri</v>
      </c>
    </row>
    <row r="569" customFormat="false" ht="15" hidden="false" customHeight="false" outlineLevel="0" collapsed="false">
      <c r="A569" s="42" t="n">
        <v>45957</v>
      </c>
      <c r="B569" s="28" t="n">
        <f aca="false">COUNTIFS(Trades!$D$2:$D$884,$A569)</f>
        <v>1</v>
      </c>
      <c r="C569" s="28" t="n">
        <f aca="false">COUNTIFS(Trades!$D$2:$D$884,$A569,Trades!$Z$2:$Z$884,"Win")</f>
        <v>1</v>
      </c>
      <c r="D569" s="28" t="n">
        <f aca="false">COUNTIFS(Trades!$D$2:$D$884,$A569,Trades!$Z$2:$Z$884,"Loss")</f>
        <v>0</v>
      </c>
      <c r="E569" s="29" t="n">
        <f aca="false">IFERROR(C569/B569,0)</f>
        <v>1</v>
      </c>
      <c r="F569" s="30" t="n">
        <f aca="false">SUMIFS(Trades!$X$2:$X$884,Trades!$D$2:$D$884,$A569)</f>
        <v>453.34</v>
      </c>
      <c r="G569" s="30" t="n">
        <f aca="false">SUMIFS(Trades!$X$2:$X$884,Trades!$D$2:$D$884,$A569,Trades!$X$2:$X$884,"&gt;0")</f>
        <v>453.34</v>
      </c>
      <c r="H569" s="30" t="n">
        <f aca="false">SUMIFS(Trades!$X$2:$X$884,Trades!$D$2:$D$884,$A569,Trades!$X$2:$X$884,"&lt;0")</f>
        <v>0</v>
      </c>
      <c r="I569" s="31" t="str">
        <f aca="false">IFERROR(G569/-H569,"no loss")</f>
        <v>no loss</v>
      </c>
      <c r="J569" s="30" t="n">
        <f aca="false">_xlfn.MAXIFS(Trades!$X$2:$X$884,Trades!$D$2:$D$884,$A569)</f>
        <v>453.34</v>
      </c>
      <c r="K569" s="30" t="n">
        <f aca="false">_xlfn.MINIFS(Trades!$X$2:$X$884,Trades!$D$2:$D$884,$A569)</f>
        <v>453.34</v>
      </c>
      <c r="L569" s="32" t="n">
        <f aca="false">SUMIFS(Trades!$Y$2:$Y$884,Trades!$D$2:$D$884,$A569)</f>
        <v>1.97647448641483</v>
      </c>
      <c r="M569" s="30" t="n">
        <f aca="false">P568</f>
        <v>113117.26</v>
      </c>
      <c r="N569" s="29" t="n">
        <f aca="false">IFERROR(F569/M569,0)</f>
        <v>0.00400769962072985</v>
      </c>
      <c r="O569" s="28" t="str">
        <f aca="false">IF(-N569&gt;=Summary!$C$7,"BREACH","")</f>
        <v/>
      </c>
      <c r="P569" s="30" t="n">
        <f aca="false">M569+F569</f>
        <v>113570.6</v>
      </c>
      <c r="Q569" s="30" t="n">
        <f aca="false">P569-Summary!$C$5</f>
        <v>13570.6000000001</v>
      </c>
      <c r="R569" s="2" t="str">
        <f aca="false">TEXT(A569,"ddd")</f>
        <v>Mon</v>
      </c>
    </row>
    <row r="570" customFormat="false" ht="15" hidden="false" customHeight="false" outlineLevel="0" collapsed="false">
      <c r="A570" s="42" t="n">
        <v>45958</v>
      </c>
      <c r="B570" s="28" t="n">
        <f aca="false">COUNTIFS(Trades!$D$2:$D$884,$A570)</f>
        <v>1</v>
      </c>
      <c r="C570" s="28" t="n">
        <f aca="false">COUNTIFS(Trades!$D$2:$D$884,$A570,Trades!$Z$2:$Z$884,"Win")</f>
        <v>0</v>
      </c>
      <c r="D570" s="28" t="n">
        <f aca="false">COUNTIFS(Trades!$D$2:$D$884,$A570,Trades!$Z$2:$Z$884,"Loss")</f>
        <v>1</v>
      </c>
      <c r="E570" s="29" t="n">
        <f aca="false">IFERROR(C570/B570,0)</f>
        <v>0</v>
      </c>
      <c r="F570" s="30" t="n">
        <f aca="false">SUMIFS(Trades!$X$2:$X$884,Trades!$D$2:$D$884,$A570)</f>
        <v>-0.38</v>
      </c>
      <c r="G570" s="30" t="n">
        <f aca="false">SUMIFS(Trades!$X$2:$X$884,Trades!$D$2:$D$884,$A570,Trades!$X$2:$X$884,"&gt;0")</f>
        <v>0</v>
      </c>
      <c r="H570" s="30" t="n">
        <f aca="false">SUMIFS(Trades!$X$2:$X$884,Trades!$D$2:$D$884,$A570,Trades!$X$2:$X$884,"&lt;0")</f>
        <v>-0.38</v>
      </c>
      <c r="I570" s="31" t="n">
        <f aca="false">IFERROR(G570/-H570,"no loss")</f>
        <v>0</v>
      </c>
      <c r="J570" s="30" t="n">
        <f aca="false">_xlfn.MAXIFS(Trades!$X$2:$X$884,Trades!$D$2:$D$884,$A570)</f>
        <v>-0.38</v>
      </c>
      <c r="K570" s="30" t="n">
        <f aca="false">_xlfn.MINIFS(Trades!$X$2:$X$884,Trades!$D$2:$D$884,$A570)</f>
        <v>-0.38</v>
      </c>
      <c r="L570" s="32" t="n">
        <f aca="false">SUMIFS(Trades!$Y$2:$Y$884,Trades!$D$2:$D$884,$A570)</f>
        <v>-0.0078064012490234</v>
      </c>
      <c r="M570" s="30" t="n">
        <f aca="false">P569</f>
        <v>113570.6</v>
      </c>
      <c r="N570" s="29" t="n">
        <f aca="false">IFERROR(F570/M570,0)</f>
        <v>-3.34593636029042E-006</v>
      </c>
      <c r="O570" s="28" t="str">
        <f aca="false">IF(-N570&gt;=Summary!$C$7,"BREACH","")</f>
        <v/>
      </c>
      <c r="P570" s="30" t="n">
        <f aca="false">M570+F570</f>
        <v>113570.22</v>
      </c>
      <c r="Q570" s="30" t="n">
        <f aca="false">P570-Summary!$C$5</f>
        <v>13570.2200000001</v>
      </c>
      <c r="R570" s="2" t="str">
        <f aca="false">TEXT(A570,"ddd")</f>
        <v>Tue</v>
      </c>
    </row>
    <row r="571" customFormat="false" ht="15" hidden="false" customHeight="false" outlineLevel="0" collapsed="false">
      <c r="A571" s="42" t="n">
        <v>45959</v>
      </c>
      <c r="B571" s="28" t="n">
        <f aca="false">COUNTIFS(Trades!$D$2:$D$884,$A571)</f>
        <v>1</v>
      </c>
      <c r="C571" s="28" t="n">
        <f aca="false">COUNTIFS(Trades!$D$2:$D$884,$A571,Trades!$Z$2:$Z$884,"Win")</f>
        <v>0</v>
      </c>
      <c r="D571" s="28" t="n">
        <f aca="false">COUNTIFS(Trades!$D$2:$D$884,$A571,Trades!$Z$2:$Z$884,"Loss")</f>
        <v>1</v>
      </c>
      <c r="E571" s="29" t="n">
        <f aca="false">IFERROR(C571/B571,0)</f>
        <v>0</v>
      </c>
      <c r="F571" s="30" t="n">
        <f aca="false">SUMIFS(Trades!$X$2:$X$884,Trades!$D$2:$D$884,$A571)</f>
        <v>-0.04</v>
      </c>
      <c r="G571" s="30" t="n">
        <f aca="false">SUMIFS(Trades!$X$2:$X$884,Trades!$D$2:$D$884,$A571,Trades!$X$2:$X$884,"&gt;0")</f>
        <v>0</v>
      </c>
      <c r="H571" s="30" t="n">
        <f aca="false">SUMIFS(Trades!$X$2:$X$884,Trades!$D$2:$D$884,$A571,Trades!$X$2:$X$884,"&lt;0")</f>
        <v>-0.04</v>
      </c>
      <c r="I571" s="31" t="n">
        <f aca="false">IFERROR(G571/-H571,"no loss")</f>
        <v>0</v>
      </c>
      <c r="J571" s="30" t="n">
        <f aca="false">_xlfn.MAXIFS(Trades!$X$2:$X$884,Trades!$D$2:$D$884,$A571)</f>
        <v>-0.04</v>
      </c>
      <c r="K571" s="30" t="n">
        <f aca="false">_xlfn.MINIFS(Trades!$X$2:$X$884,Trades!$D$2:$D$884,$A571)</f>
        <v>-0.04</v>
      </c>
      <c r="L571" s="32" t="n">
        <f aca="false">SUMIFS(Trades!$Y$2:$Y$884,Trades!$D$2:$D$884,$A571)</f>
        <v>-0.000675630024998393</v>
      </c>
      <c r="M571" s="30" t="n">
        <f aca="false">P570</f>
        <v>113570.22</v>
      </c>
      <c r="N571" s="29" t="n">
        <f aca="false">IFERROR(F571/M571,0)</f>
        <v>-3.52205005854527E-007</v>
      </c>
      <c r="O571" s="28" t="str">
        <f aca="false">IF(-N571&gt;=Summary!$C$7,"BREACH","")</f>
        <v/>
      </c>
      <c r="P571" s="30" t="n">
        <f aca="false">M571+F571</f>
        <v>113570.18</v>
      </c>
      <c r="Q571" s="30" t="n">
        <f aca="false">P571-Summary!$C$5</f>
        <v>13570.1800000001</v>
      </c>
      <c r="R571" s="2" t="str">
        <f aca="false">TEXT(A571,"ddd")</f>
        <v>Wed</v>
      </c>
    </row>
    <row r="572" customFormat="false" ht="15" hidden="false" customHeight="false" outlineLevel="0" collapsed="false">
      <c r="A572" s="42" t="n">
        <v>45960</v>
      </c>
      <c r="B572" s="28" t="n">
        <f aca="false">COUNTIFS(Trades!$D$2:$D$884,$A572)</f>
        <v>2</v>
      </c>
      <c r="C572" s="28" t="n">
        <f aca="false">COUNTIFS(Trades!$D$2:$D$884,$A572,Trades!$Z$2:$Z$884,"Win")</f>
        <v>1</v>
      </c>
      <c r="D572" s="28" t="n">
        <f aca="false">COUNTIFS(Trades!$D$2:$D$884,$A572,Trades!$Z$2:$Z$884,"Loss")</f>
        <v>1</v>
      </c>
      <c r="E572" s="29" t="n">
        <f aca="false">IFERROR(C572/B572,0)</f>
        <v>0.5</v>
      </c>
      <c r="F572" s="30" t="n">
        <f aca="false">SUMIFS(Trades!$X$2:$X$884,Trades!$D$2:$D$884,$A572)</f>
        <v>319.66</v>
      </c>
      <c r="G572" s="30" t="n">
        <f aca="false">SUMIFS(Trades!$X$2:$X$884,Trades!$D$2:$D$884,$A572,Trades!$X$2:$X$884,"&gt;0")</f>
        <v>355.76</v>
      </c>
      <c r="H572" s="30" t="n">
        <f aca="false">SUMIFS(Trades!$X$2:$X$884,Trades!$D$2:$D$884,$A572,Trades!$X$2:$X$884,"&lt;0")</f>
        <v>-36.1</v>
      </c>
      <c r="I572" s="31" t="n">
        <f aca="false">IFERROR(G572/-H572,"no loss")</f>
        <v>9.85484764542936</v>
      </c>
      <c r="J572" s="30" t="n">
        <f aca="false">_xlfn.MAXIFS(Trades!$X$2:$X$884,Trades!$D$2:$D$884,$A572)</f>
        <v>355.76</v>
      </c>
      <c r="K572" s="30" t="n">
        <f aca="false">_xlfn.MINIFS(Trades!$X$2:$X$884,Trades!$D$2:$D$884,$A572)</f>
        <v>-36.1</v>
      </c>
      <c r="L572" s="32" t="n">
        <f aca="false">SUMIFS(Trades!$Y$2:$Y$884,Trades!$D$2:$D$884,$A572)</f>
        <v>0.99188009230537</v>
      </c>
      <c r="M572" s="30" t="n">
        <f aca="false">P571</f>
        <v>113570.18</v>
      </c>
      <c r="N572" s="29" t="n">
        <f aca="false">IFERROR(F572/M572,0)</f>
        <v>0.00281464729561932</v>
      </c>
      <c r="O572" s="28" t="str">
        <f aca="false">IF(-N572&gt;=Summary!$C$7,"BREACH","")</f>
        <v/>
      </c>
      <c r="P572" s="30" t="n">
        <f aca="false">M572+F572</f>
        <v>113889.84</v>
      </c>
      <c r="Q572" s="30" t="n">
        <f aca="false">P572-Summary!$C$5</f>
        <v>13889.8400000001</v>
      </c>
      <c r="R572" s="2" t="str">
        <f aca="false">TEXT(A572,"ddd")</f>
        <v>Thu</v>
      </c>
    </row>
    <row r="573" customFormat="false" ht="15" hidden="false" customHeight="false" outlineLevel="0" collapsed="false">
      <c r="A573" s="42" t="n">
        <v>45965</v>
      </c>
      <c r="B573" s="28" t="n">
        <f aca="false">COUNTIFS(Trades!$D$2:$D$884,$A573)</f>
        <v>1</v>
      </c>
      <c r="C573" s="28" t="n">
        <f aca="false">COUNTIFS(Trades!$D$2:$D$884,$A573,Trades!$Z$2:$Z$884,"Win")</f>
        <v>0</v>
      </c>
      <c r="D573" s="28" t="n">
        <f aca="false">COUNTIFS(Trades!$D$2:$D$884,$A573,Trades!$Z$2:$Z$884,"Loss")</f>
        <v>1</v>
      </c>
      <c r="E573" s="29" t="n">
        <f aca="false">IFERROR(C573/B573,0)</f>
        <v>0</v>
      </c>
      <c r="F573" s="30" t="n">
        <f aca="false">SUMIFS(Trades!$X$2:$X$884,Trades!$D$2:$D$884,$A573)</f>
        <v>-0.11</v>
      </c>
      <c r="G573" s="30" t="n">
        <f aca="false">SUMIFS(Trades!$X$2:$X$884,Trades!$D$2:$D$884,$A573,Trades!$X$2:$X$884,"&gt;0")</f>
        <v>0</v>
      </c>
      <c r="H573" s="30" t="n">
        <f aca="false">SUMIFS(Trades!$X$2:$X$884,Trades!$D$2:$D$884,$A573,Trades!$X$2:$X$884,"&lt;0")</f>
        <v>-0.11</v>
      </c>
      <c r="I573" s="31" t="n">
        <f aca="false">IFERROR(G573/-H573,"no loss")</f>
        <v>0</v>
      </c>
      <c r="J573" s="30" t="n">
        <f aca="false">_xlfn.MAXIFS(Trades!$X$2:$X$884,Trades!$D$2:$D$884,$A573)</f>
        <v>-0.11</v>
      </c>
      <c r="K573" s="30" t="n">
        <f aca="false">_xlfn.MINIFS(Trades!$X$2:$X$884,Trades!$D$2:$D$884,$A573)</f>
        <v>-0.11</v>
      </c>
      <c r="L573" s="32" t="n">
        <f aca="false">SUMIFS(Trades!$Y$2:$Y$884,Trades!$D$2:$D$884,$A573)</f>
        <v>-0.00189322226429372</v>
      </c>
      <c r="M573" s="30" t="n">
        <f aca="false">P572</f>
        <v>113889.84</v>
      </c>
      <c r="N573" s="29" t="n">
        <f aca="false">IFERROR(F573/M573,0)</f>
        <v>-9.65845592548026E-007</v>
      </c>
      <c r="O573" s="28" t="str">
        <f aca="false">IF(-N573&gt;=Summary!$C$7,"BREACH","")</f>
        <v/>
      </c>
      <c r="P573" s="30" t="n">
        <f aca="false">M573+F573</f>
        <v>113889.73</v>
      </c>
      <c r="Q573" s="30" t="n">
        <f aca="false">P573-Summary!$C$5</f>
        <v>13889.7300000001</v>
      </c>
      <c r="R573" s="2" t="str">
        <f aca="false">TEXT(A573,"ddd")</f>
        <v>Tue</v>
      </c>
    </row>
    <row r="574" customFormat="false" ht="15" hidden="false" customHeight="false" outlineLevel="0" collapsed="false">
      <c r="A574" s="42" t="n">
        <v>45966</v>
      </c>
      <c r="B574" s="28" t="n">
        <f aca="false">COUNTIFS(Trades!$D$2:$D$884,$A574)</f>
        <v>1</v>
      </c>
      <c r="C574" s="28" t="n">
        <f aca="false">COUNTIFS(Trades!$D$2:$D$884,$A574,Trades!$Z$2:$Z$884,"Win")</f>
        <v>1</v>
      </c>
      <c r="D574" s="28" t="n">
        <f aca="false">COUNTIFS(Trades!$D$2:$D$884,$A574,Trades!$Z$2:$Z$884,"Loss")</f>
        <v>0</v>
      </c>
      <c r="E574" s="29" t="n">
        <f aca="false">IFERROR(C574/B574,0)</f>
        <v>1</v>
      </c>
      <c r="F574" s="30" t="n">
        <f aca="false">SUMIFS(Trades!$X$2:$X$884,Trades!$D$2:$D$884,$A574)</f>
        <v>192.4</v>
      </c>
      <c r="G574" s="30" t="n">
        <f aca="false">SUMIFS(Trades!$X$2:$X$884,Trades!$D$2:$D$884,$A574,Trades!$X$2:$X$884,"&gt;0")</f>
        <v>192.4</v>
      </c>
      <c r="H574" s="30" t="n">
        <f aca="false">SUMIFS(Trades!$X$2:$X$884,Trades!$D$2:$D$884,$A574,Trades!$X$2:$X$884,"&lt;0")</f>
        <v>0</v>
      </c>
      <c r="I574" s="31" t="str">
        <f aca="false">IFERROR(G574/-H574,"no loss")</f>
        <v>no loss</v>
      </c>
      <c r="J574" s="30" t="n">
        <f aca="false">_xlfn.MAXIFS(Trades!$X$2:$X$884,Trades!$D$2:$D$884,$A574)</f>
        <v>192.4</v>
      </c>
      <c r="K574" s="30" t="n">
        <f aca="false">_xlfn.MINIFS(Trades!$X$2:$X$884,Trades!$D$2:$D$884,$A574)</f>
        <v>192.4</v>
      </c>
      <c r="L574" s="32" t="n">
        <f aca="false">SUMIFS(Trades!$Y$2:$Y$884,Trades!$D$2:$D$884,$A574)</f>
        <v>2.04593789876631</v>
      </c>
      <c r="M574" s="30" t="n">
        <f aca="false">P573</f>
        <v>113889.73</v>
      </c>
      <c r="N574" s="29" t="n">
        <f aca="false">IFERROR(F574/M574,0)</f>
        <v>0.00168935337716579</v>
      </c>
      <c r="O574" s="28" t="str">
        <f aca="false">IF(-N574&gt;=Summary!$C$7,"BREACH","")</f>
        <v/>
      </c>
      <c r="P574" s="30" t="n">
        <f aca="false">M574+F574</f>
        <v>114082.13</v>
      </c>
      <c r="Q574" s="30" t="n">
        <f aca="false">P574-Summary!$C$5</f>
        <v>14082.1300000001</v>
      </c>
      <c r="R574" s="2" t="str">
        <f aca="false">TEXT(A574,"ddd")</f>
        <v>Wed</v>
      </c>
    </row>
    <row r="575" customFormat="false" ht="15" hidden="false" customHeight="false" outlineLevel="0" collapsed="false">
      <c r="A575" s="42" t="n">
        <v>45967</v>
      </c>
      <c r="B575" s="28" t="n">
        <f aca="false">COUNTIFS(Trades!$D$2:$D$884,$A575)</f>
        <v>1</v>
      </c>
      <c r="C575" s="28" t="n">
        <f aca="false">COUNTIFS(Trades!$D$2:$D$884,$A575,Trades!$Z$2:$Z$884,"Win")</f>
        <v>0</v>
      </c>
      <c r="D575" s="28" t="n">
        <f aca="false">COUNTIFS(Trades!$D$2:$D$884,$A575,Trades!$Z$2:$Z$884,"Loss")</f>
        <v>1</v>
      </c>
      <c r="E575" s="29" t="n">
        <f aca="false">IFERROR(C575/B575,0)</f>
        <v>0</v>
      </c>
      <c r="F575" s="30" t="n">
        <f aca="false">SUMIFS(Trades!$X$2:$X$884,Trades!$D$2:$D$884,$A575)</f>
        <v>-212.08</v>
      </c>
      <c r="G575" s="30" t="n">
        <f aca="false">SUMIFS(Trades!$X$2:$X$884,Trades!$D$2:$D$884,$A575,Trades!$X$2:$X$884,"&gt;0")</f>
        <v>0</v>
      </c>
      <c r="H575" s="30" t="n">
        <f aca="false">SUMIFS(Trades!$X$2:$X$884,Trades!$D$2:$D$884,$A575,Trades!$X$2:$X$884,"&lt;0")</f>
        <v>-212.08</v>
      </c>
      <c r="I575" s="31" t="n">
        <f aca="false">IFERROR(G575/-H575,"no loss")</f>
        <v>0</v>
      </c>
      <c r="J575" s="30" t="n">
        <f aca="false">_xlfn.MAXIFS(Trades!$X$2:$X$884,Trades!$D$2:$D$884,$A575)</f>
        <v>-212.08</v>
      </c>
      <c r="K575" s="30" t="n">
        <f aca="false">_xlfn.MINIFS(Trades!$X$2:$X$884,Trades!$D$2:$D$884,$A575)</f>
        <v>-212.08</v>
      </c>
      <c r="L575" s="32" t="n">
        <f aca="false">SUMIFS(Trades!$Y$2:$Y$884,Trades!$D$2:$D$884,$A575)</f>
        <v>-1.0035964414159</v>
      </c>
      <c r="M575" s="30" t="n">
        <f aca="false">P574</f>
        <v>114082.13</v>
      </c>
      <c r="N575" s="29" t="n">
        <f aca="false">IFERROR(F575/M575,0)</f>
        <v>-0.0018590115735041</v>
      </c>
      <c r="O575" s="28" t="str">
        <f aca="false">IF(-N575&gt;=Summary!$C$7,"BREACH","")</f>
        <v/>
      </c>
      <c r="P575" s="30" t="n">
        <f aca="false">M575+F575</f>
        <v>113870.05</v>
      </c>
      <c r="Q575" s="30" t="n">
        <f aca="false">P575-Summary!$C$5</f>
        <v>13870.0500000001</v>
      </c>
      <c r="R575" s="2" t="str">
        <f aca="false">TEXT(A575,"ddd")</f>
        <v>Thu</v>
      </c>
    </row>
    <row r="576" customFormat="false" ht="15" hidden="false" customHeight="false" outlineLevel="0" collapsed="false">
      <c r="A576" s="42" t="n">
        <v>45968</v>
      </c>
      <c r="B576" s="28" t="n">
        <f aca="false">COUNTIFS(Trades!$D$2:$D$884,$A576)</f>
        <v>1</v>
      </c>
      <c r="C576" s="28" t="n">
        <f aca="false">COUNTIFS(Trades!$D$2:$D$884,$A576,Trades!$Z$2:$Z$884,"Win")</f>
        <v>0</v>
      </c>
      <c r="D576" s="28" t="n">
        <f aca="false">COUNTIFS(Trades!$D$2:$D$884,$A576,Trades!$Z$2:$Z$884,"Loss")</f>
        <v>1</v>
      </c>
      <c r="E576" s="29" t="n">
        <f aca="false">IFERROR(C576/B576,0)</f>
        <v>0</v>
      </c>
      <c r="F576" s="30" t="n">
        <f aca="false">SUMIFS(Trades!$X$2:$X$884,Trades!$D$2:$D$884,$A576)</f>
        <v>-97</v>
      </c>
      <c r="G576" s="30" t="n">
        <f aca="false">SUMIFS(Trades!$X$2:$X$884,Trades!$D$2:$D$884,$A576,Trades!$X$2:$X$884,"&gt;0")</f>
        <v>0</v>
      </c>
      <c r="H576" s="30" t="n">
        <f aca="false">SUMIFS(Trades!$X$2:$X$884,Trades!$D$2:$D$884,$A576,Trades!$X$2:$X$884,"&lt;0")</f>
        <v>-97</v>
      </c>
      <c r="I576" s="31" t="n">
        <f aca="false">IFERROR(G576/-H576,"no loss")</f>
        <v>0</v>
      </c>
      <c r="J576" s="30" t="n">
        <f aca="false">_xlfn.MAXIFS(Trades!$X$2:$X$884,Trades!$D$2:$D$884,$A576)</f>
        <v>-97</v>
      </c>
      <c r="K576" s="30" t="n">
        <f aca="false">_xlfn.MINIFS(Trades!$X$2:$X$884,Trades!$D$2:$D$884,$A576)</f>
        <v>-97</v>
      </c>
      <c r="L576" s="32" t="n">
        <f aca="false">SUMIFS(Trades!$Y$2:$Y$884,Trades!$D$2:$D$884,$A576)</f>
        <v>-1.03147596767324</v>
      </c>
      <c r="M576" s="30" t="n">
        <f aca="false">P575</f>
        <v>113870.05</v>
      </c>
      <c r="N576" s="29" t="n">
        <f aca="false">IFERROR(F576/M576,0)</f>
        <v>-0.000851848225235695</v>
      </c>
      <c r="O576" s="28" t="str">
        <f aca="false">IF(-N576&gt;=Summary!$C$7,"BREACH","")</f>
        <v/>
      </c>
      <c r="P576" s="30" t="n">
        <f aca="false">M576+F576</f>
        <v>113773.05</v>
      </c>
      <c r="Q576" s="30" t="n">
        <f aca="false">P576-Summary!$C$5</f>
        <v>13773.0500000001</v>
      </c>
      <c r="R576" s="2" t="str">
        <f aca="false">TEXT(A576,"ddd")</f>
        <v>Fri</v>
      </c>
    </row>
    <row r="577" customFormat="false" ht="15" hidden="false" customHeight="false" outlineLevel="0" collapsed="false">
      <c r="A577" s="42" t="n">
        <v>45971</v>
      </c>
      <c r="B577" s="28" t="n">
        <f aca="false">COUNTIFS(Trades!$D$2:$D$884,$A577)</f>
        <v>1</v>
      </c>
      <c r="C577" s="28" t="n">
        <f aca="false">COUNTIFS(Trades!$D$2:$D$884,$A577,Trades!$Z$2:$Z$884,"Win")</f>
        <v>0</v>
      </c>
      <c r="D577" s="28" t="n">
        <f aca="false">COUNTIFS(Trades!$D$2:$D$884,$A577,Trades!$Z$2:$Z$884,"Loss")</f>
        <v>1</v>
      </c>
      <c r="E577" s="29" t="n">
        <f aca="false">IFERROR(C577/B577,0)</f>
        <v>0</v>
      </c>
      <c r="F577" s="30" t="n">
        <f aca="false">SUMIFS(Trades!$X$2:$X$884,Trades!$D$2:$D$884,$A577)</f>
        <v>-201.64</v>
      </c>
      <c r="G577" s="30" t="n">
        <f aca="false">SUMIFS(Trades!$X$2:$X$884,Trades!$D$2:$D$884,$A577,Trades!$X$2:$X$884,"&gt;0")</f>
        <v>0</v>
      </c>
      <c r="H577" s="30" t="n">
        <f aca="false">SUMIFS(Trades!$X$2:$X$884,Trades!$D$2:$D$884,$A577,Trades!$X$2:$X$884,"&lt;0")</f>
        <v>-201.64</v>
      </c>
      <c r="I577" s="31" t="n">
        <f aca="false">IFERROR(G577/-H577,"no loss")</f>
        <v>0</v>
      </c>
      <c r="J577" s="30" t="n">
        <f aca="false">_xlfn.MAXIFS(Trades!$X$2:$X$884,Trades!$D$2:$D$884,$A577)</f>
        <v>-201.64</v>
      </c>
      <c r="K577" s="30" t="n">
        <f aca="false">_xlfn.MINIFS(Trades!$X$2:$X$884,Trades!$D$2:$D$884,$A577)</f>
        <v>-201.64</v>
      </c>
      <c r="L577" s="32" t="n">
        <f aca="false">SUMIFS(Trades!$Y$2:$Y$884,Trades!$D$2:$D$884,$A577)</f>
        <v>-1.00578611332803</v>
      </c>
      <c r="M577" s="30" t="n">
        <f aca="false">P576</f>
        <v>113773.05</v>
      </c>
      <c r="N577" s="29" t="n">
        <f aca="false">IFERROR(F577/M577,0)</f>
        <v>-0.00177230020641971</v>
      </c>
      <c r="O577" s="28" t="str">
        <f aca="false">IF(-N577&gt;=Summary!$C$7,"BREACH","")</f>
        <v/>
      </c>
      <c r="P577" s="30" t="n">
        <f aca="false">M577+F577</f>
        <v>113571.41</v>
      </c>
      <c r="Q577" s="30" t="n">
        <f aca="false">P577-Summary!$C$5</f>
        <v>13571.4100000001</v>
      </c>
      <c r="R577" s="2" t="str">
        <f aca="false">TEXT(A577,"ddd")</f>
        <v>Mon</v>
      </c>
    </row>
    <row r="578" customFormat="false" ht="15" hidden="false" customHeight="false" outlineLevel="0" collapsed="false">
      <c r="A578" s="42" t="n">
        <v>45972</v>
      </c>
      <c r="B578" s="28" t="n">
        <f aca="false">COUNTIFS(Trades!$D$2:$D$884,$A578)</f>
        <v>1</v>
      </c>
      <c r="C578" s="28" t="n">
        <f aca="false">COUNTIFS(Trades!$D$2:$D$884,$A578,Trades!$Z$2:$Z$884,"Win")</f>
        <v>0</v>
      </c>
      <c r="D578" s="28" t="n">
        <f aca="false">COUNTIFS(Trades!$D$2:$D$884,$A578,Trades!$Z$2:$Z$884,"Loss")</f>
        <v>1</v>
      </c>
      <c r="E578" s="29" t="n">
        <f aca="false">IFERROR(C578/B578,0)</f>
        <v>0</v>
      </c>
      <c r="F578" s="30" t="n">
        <f aca="false">SUMIFS(Trades!$X$2:$X$884,Trades!$D$2:$D$884,$A578)</f>
        <v>-56.2</v>
      </c>
      <c r="G578" s="30" t="n">
        <f aca="false">SUMIFS(Trades!$X$2:$X$884,Trades!$D$2:$D$884,$A578,Trades!$X$2:$X$884,"&gt;0")</f>
        <v>0</v>
      </c>
      <c r="H578" s="30" t="n">
        <f aca="false">SUMIFS(Trades!$X$2:$X$884,Trades!$D$2:$D$884,$A578,Trades!$X$2:$X$884,"&lt;0")</f>
        <v>-56.2</v>
      </c>
      <c r="I578" s="31" t="n">
        <f aca="false">IFERROR(G578/-H578,"no loss")</f>
        <v>0</v>
      </c>
      <c r="J578" s="30" t="n">
        <f aca="false">_xlfn.MAXIFS(Trades!$X$2:$X$884,Trades!$D$2:$D$884,$A578)</f>
        <v>-56.2</v>
      </c>
      <c r="K578" s="30" t="n">
        <f aca="false">_xlfn.MINIFS(Trades!$X$2:$X$884,Trades!$D$2:$D$884,$A578)</f>
        <v>-56.2</v>
      </c>
      <c r="L578" s="32" t="n">
        <f aca="false">SUMIFS(Trades!$Y$2:$Y$884,Trades!$D$2:$D$884,$A578)</f>
        <v>-1.00267618198037</v>
      </c>
      <c r="M578" s="30" t="n">
        <f aca="false">P577</f>
        <v>113571.41</v>
      </c>
      <c r="N578" s="29" t="n">
        <f aca="false">IFERROR(F578/M578,0)</f>
        <v>-0.000494842848213295</v>
      </c>
      <c r="O578" s="28" t="str">
        <f aca="false">IF(-N578&gt;=Summary!$C$7,"BREACH","")</f>
        <v/>
      </c>
      <c r="P578" s="30" t="n">
        <f aca="false">M578+F578</f>
        <v>113515.21</v>
      </c>
      <c r="Q578" s="30" t="n">
        <f aca="false">P578-Summary!$C$5</f>
        <v>13515.2100000001</v>
      </c>
      <c r="R578" s="2" t="str">
        <f aca="false">TEXT(A578,"ddd")</f>
        <v>Tue</v>
      </c>
    </row>
    <row r="579" customFormat="false" ht="15" hidden="false" customHeight="false" outlineLevel="0" collapsed="false">
      <c r="A579" s="42" t="n">
        <v>45973</v>
      </c>
      <c r="B579" s="28" t="n">
        <f aca="false">COUNTIFS(Trades!$D$2:$D$884,$A579)</f>
        <v>1</v>
      </c>
      <c r="C579" s="28" t="n">
        <f aca="false">COUNTIFS(Trades!$D$2:$D$884,$A579,Trades!$Z$2:$Z$884,"Win")</f>
        <v>1</v>
      </c>
      <c r="D579" s="28" t="n">
        <f aca="false">COUNTIFS(Trades!$D$2:$D$884,$A579,Trades!$Z$2:$Z$884,"Loss")</f>
        <v>0</v>
      </c>
      <c r="E579" s="29" t="n">
        <f aca="false">IFERROR(C579/B579,0)</f>
        <v>1</v>
      </c>
      <c r="F579" s="30" t="n">
        <f aca="false">SUMIFS(Trades!$X$2:$X$884,Trades!$D$2:$D$884,$A579)</f>
        <v>65.97</v>
      </c>
      <c r="G579" s="30" t="n">
        <f aca="false">SUMIFS(Trades!$X$2:$X$884,Trades!$D$2:$D$884,$A579,Trades!$X$2:$X$884,"&gt;0")</f>
        <v>65.97</v>
      </c>
      <c r="H579" s="30" t="n">
        <f aca="false">SUMIFS(Trades!$X$2:$X$884,Trades!$D$2:$D$884,$A579,Trades!$X$2:$X$884,"&lt;0")</f>
        <v>0</v>
      </c>
      <c r="I579" s="31" t="str">
        <f aca="false">IFERROR(G579/-H579,"no loss")</f>
        <v>no loss</v>
      </c>
      <c r="J579" s="30" t="n">
        <f aca="false">_xlfn.MAXIFS(Trades!$X$2:$X$884,Trades!$D$2:$D$884,$A579)</f>
        <v>65.97</v>
      </c>
      <c r="K579" s="30" t="n">
        <f aca="false">_xlfn.MINIFS(Trades!$X$2:$X$884,Trades!$D$2:$D$884,$A579)</f>
        <v>65.97</v>
      </c>
      <c r="L579" s="32" t="n">
        <f aca="false">SUMIFS(Trades!$Y$2:$Y$884,Trades!$D$2:$D$884,$A579)</f>
        <v>2.11198616980471</v>
      </c>
      <c r="M579" s="30" t="n">
        <f aca="false">P578</f>
        <v>113515.21</v>
      </c>
      <c r="N579" s="29" t="n">
        <f aca="false">IFERROR(F579/M579,0)</f>
        <v>0.00058115560020547</v>
      </c>
      <c r="O579" s="28" t="str">
        <f aca="false">IF(-N579&gt;=Summary!$C$7,"BREACH","")</f>
        <v/>
      </c>
      <c r="P579" s="30" t="n">
        <f aca="false">M579+F579</f>
        <v>113581.18</v>
      </c>
      <c r="Q579" s="30" t="n">
        <f aca="false">P579-Summary!$C$5</f>
        <v>13581.1800000001</v>
      </c>
      <c r="R579" s="2" t="str">
        <f aca="false">TEXT(A579,"ddd")</f>
        <v>Wed</v>
      </c>
    </row>
    <row r="580" customFormat="false" ht="15" hidden="false" customHeight="false" outlineLevel="0" collapsed="false">
      <c r="A580" s="42" t="n">
        <v>45974</v>
      </c>
      <c r="B580" s="28" t="n">
        <f aca="false">COUNTIFS(Trades!$D$2:$D$884,$A580)</f>
        <v>1</v>
      </c>
      <c r="C580" s="28" t="n">
        <f aca="false">COUNTIFS(Trades!$D$2:$D$884,$A580,Trades!$Z$2:$Z$884,"Win")</f>
        <v>0</v>
      </c>
      <c r="D580" s="28" t="n">
        <f aca="false">COUNTIFS(Trades!$D$2:$D$884,$A580,Trades!$Z$2:$Z$884,"Loss")</f>
        <v>1</v>
      </c>
      <c r="E580" s="29" t="n">
        <f aca="false">IFERROR(C580/B580,0)</f>
        <v>0</v>
      </c>
      <c r="F580" s="30" t="n">
        <f aca="false">SUMIFS(Trades!$X$2:$X$884,Trades!$D$2:$D$884,$A580)</f>
        <v>-4.92</v>
      </c>
      <c r="G580" s="30" t="n">
        <f aca="false">SUMIFS(Trades!$X$2:$X$884,Trades!$D$2:$D$884,$A580,Trades!$X$2:$X$884,"&gt;0")</f>
        <v>0</v>
      </c>
      <c r="H580" s="30" t="n">
        <f aca="false">SUMIFS(Trades!$X$2:$X$884,Trades!$D$2:$D$884,$A580,Trades!$X$2:$X$884,"&lt;0")</f>
        <v>-4.92</v>
      </c>
      <c r="I580" s="31" t="n">
        <f aca="false">IFERROR(G580/-H580,"no loss")</f>
        <v>0</v>
      </c>
      <c r="J580" s="30" t="n">
        <f aca="false">_xlfn.MAXIFS(Trades!$X$2:$X$884,Trades!$D$2:$D$884,$A580)</f>
        <v>-4.92</v>
      </c>
      <c r="K580" s="30" t="n">
        <f aca="false">_xlfn.MINIFS(Trades!$X$2:$X$884,Trades!$D$2:$D$884,$A580)</f>
        <v>-4.92</v>
      </c>
      <c r="L580" s="32" t="n">
        <f aca="false">SUMIFS(Trades!$Y$2:$Y$884,Trades!$D$2:$D$884,$A580)</f>
        <v>-0.0478785519657411</v>
      </c>
      <c r="M580" s="30" t="n">
        <f aca="false">P579</f>
        <v>113581.18</v>
      </c>
      <c r="N580" s="29" t="n">
        <f aca="false">IFERROR(F580/M580,0)</f>
        <v>-4.33170354454848E-005</v>
      </c>
      <c r="O580" s="28" t="str">
        <f aca="false">IF(-N580&gt;=Summary!$C$7,"BREACH","")</f>
        <v/>
      </c>
      <c r="P580" s="30" t="n">
        <f aca="false">M580+F580</f>
        <v>113576.26</v>
      </c>
      <c r="Q580" s="30" t="n">
        <f aca="false">P580-Summary!$C$5</f>
        <v>13576.2600000001</v>
      </c>
      <c r="R580" s="2" t="str">
        <f aca="false">TEXT(A580,"ddd")</f>
        <v>Thu</v>
      </c>
    </row>
    <row r="581" customFormat="false" ht="15" hidden="false" customHeight="false" outlineLevel="0" collapsed="false">
      <c r="A581" s="42" t="n">
        <v>45975</v>
      </c>
      <c r="B581" s="28" t="n">
        <f aca="false">COUNTIFS(Trades!$D$2:$D$884,$A581)</f>
        <v>1</v>
      </c>
      <c r="C581" s="28" t="n">
        <f aca="false">COUNTIFS(Trades!$D$2:$D$884,$A581,Trades!$Z$2:$Z$884,"Win")</f>
        <v>0</v>
      </c>
      <c r="D581" s="28" t="n">
        <f aca="false">COUNTIFS(Trades!$D$2:$D$884,$A581,Trades!$Z$2:$Z$884,"Loss")</f>
        <v>1</v>
      </c>
      <c r="E581" s="29" t="n">
        <f aca="false">IFERROR(C581/B581,0)</f>
        <v>0</v>
      </c>
      <c r="F581" s="30" t="n">
        <f aca="false">SUMIFS(Trades!$X$2:$X$884,Trades!$D$2:$D$884,$A581)</f>
        <v>-105.16</v>
      </c>
      <c r="G581" s="30" t="n">
        <f aca="false">SUMIFS(Trades!$X$2:$X$884,Trades!$D$2:$D$884,$A581,Trades!$X$2:$X$884,"&gt;0")</f>
        <v>0</v>
      </c>
      <c r="H581" s="30" t="n">
        <f aca="false">SUMIFS(Trades!$X$2:$X$884,Trades!$D$2:$D$884,$A581,Trades!$X$2:$X$884,"&lt;0")</f>
        <v>-105.16</v>
      </c>
      <c r="I581" s="31" t="n">
        <f aca="false">IFERROR(G581/-H581,"no loss")</f>
        <v>0</v>
      </c>
      <c r="J581" s="30" t="n">
        <f aca="false">_xlfn.MAXIFS(Trades!$X$2:$X$884,Trades!$D$2:$D$884,$A581)</f>
        <v>-105.16</v>
      </c>
      <c r="K581" s="30" t="n">
        <f aca="false">_xlfn.MINIFS(Trades!$X$2:$X$884,Trades!$D$2:$D$884,$A581)</f>
        <v>-105.16</v>
      </c>
      <c r="L581" s="32" t="n">
        <f aca="false">SUMIFS(Trades!$Y$2:$Y$884,Trades!$D$2:$D$884,$A581)</f>
        <v>-1.00496941896025</v>
      </c>
      <c r="M581" s="30" t="n">
        <f aca="false">P580</f>
        <v>113576.26</v>
      </c>
      <c r="N581" s="29" t="n">
        <f aca="false">IFERROR(F581/M581,0)</f>
        <v>-0.000925897718414041</v>
      </c>
      <c r="O581" s="28" t="str">
        <f aca="false">IF(-N581&gt;=Summary!$C$7,"BREACH","")</f>
        <v/>
      </c>
      <c r="P581" s="30" t="n">
        <f aca="false">M581+F581</f>
        <v>113471.1</v>
      </c>
      <c r="Q581" s="30" t="n">
        <f aca="false">P581-Summary!$C$5</f>
        <v>13471.1000000001</v>
      </c>
      <c r="R581" s="2" t="str">
        <f aca="false">TEXT(A581,"ddd")</f>
        <v>Fri</v>
      </c>
    </row>
    <row r="582" customFormat="false" ht="15" hidden="false" customHeight="false" outlineLevel="0" collapsed="false">
      <c r="A582" s="42" t="n">
        <v>45978</v>
      </c>
      <c r="B582" s="28" t="n">
        <f aca="false">COUNTIFS(Trades!$D$2:$D$884,$A582)</f>
        <v>1</v>
      </c>
      <c r="C582" s="28" t="n">
        <f aca="false">COUNTIFS(Trades!$D$2:$D$884,$A582,Trades!$Z$2:$Z$884,"Win")</f>
        <v>1</v>
      </c>
      <c r="D582" s="28" t="n">
        <f aca="false">COUNTIFS(Trades!$D$2:$D$884,$A582,Trades!$Z$2:$Z$884,"Loss")</f>
        <v>0</v>
      </c>
      <c r="E582" s="29" t="n">
        <f aca="false">IFERROR(C582/B582,0)</f>
        <v>1</v>
      </c>
      <c r="F582" s="30" t="n">
        <f aca="false">SUMIFS(Trades!$X$2:$X$884,Trades!$D$2:$D$884,$A582)</f>
        <v>147.4</v>
      </c>
      <c r="G582" s="30" t="n">
        <f aca="false">SUMIFS(Trades!$X$2:$X$884,Trades!$D$2:$D$884,$A582,Trades!$X$2:$X$884,"&gt;0")</f>
        <v>147.4</v>
      </c>
      <c r="H582" s="30" t="n">
        <f aca="false">SUMIFS(Trades!$X$2:$X$884,Trades!$D$2:$D$884,$A582,Trades!$X$2:$X$884,"&lt;0")</f>
        <v>0</v>
      </c>
      <c r="I582" s="31" t="str">
        <f aca="false">IFERROR(G582/-H582,"no loss")</f>
        <v>no loss</v>
      </c>
      <c r="J582" s="30" t="n">
        <f aca="false">_xlfn.MAXIFS(Trades!$X$2:$X$884,Trades!$D$2:$D$884,$A582)</f>
        <v>147.4</v>
      </c>
      <c r="K582" s="30" t="n">
        <f aca="false">_xlfn.MINIFS(Trades!$X$2:$X$884,Trades!$D$2:$D$884,$A582)</f>
        <v>147.4</v>
      </c>
      <c r="L582" s="32" t="n">
        <f aca="false">SUMIFS(Trades!$Y$2:$Y$884,Trades!$D$2:$D$884,$A582)</f>
        <v>2.00271739130419</v>
      </c>
      <c r="M582" s="30" t="n">
        <f aca="false">P581</f>
        <v>113471.1</v>
      </c>
      <c r="N582" s="29" t="n">
        <f aca="false">IFERROR(F582/M582,0)</f>
        <v>0.00129900917502342</v>
      </c>
      <c r="O582" s="28" t="str">
        <f aca="false">IF(-N582&gt;=Summary!$C$7,"BREACH","")</f>
        <v/>
      </c>
      <c r="P582" s="30" t="n">
        <f aca="false">M582+F582</f>
        <v>113618.5</v>
      </c>
      <c r="Q582" s="30" t="n">
        <f aca="false">P582-Summary!$C$5</f>
        <v>13618.5000000001</v>
      </c>
      <c r="R582" s="2" t="str">
        <f aca="false">TEXT(A582,"ddd")</f>
        <v>Mon</v>
      </c>
    </row>
    <row r="583" customFormat="false" ht="15" hidden="false" customHeight="false" outlineLevel="0" collapsed="false">
      <c r="A583" s="42" t="n">
        <v>45979</v>
      </c>
      <c r="B583" s="28" t="n">
        <f aca="false">COUNTIFS(Trades!$D$2:$D$884,$A583)</f>
        <v>1</v>
      </c>
      <c r="C583" s="28" t="n">
        <f aca="false">COUNTIFS(Trades!$D$2:$D$884,$A583,Trades!$Z$2:$Z$884,"Win")</f>
        <v>1</v>
      </c>
      <c r="D583" s="28" t="n">
        <f aca="false">COUNTIFS(Trades!$D$2:$D$884,$A583,Trades!$Z$2:$Z$884,"Loss")</f>
        <v>0</v>
      </c>
      <c r="E583" s="29" t="n">
        <f aca="false">IFERROR(C583/B583,0)</f>
        <v>1</v>
      </c>
      <c r="F583" s="30" t="n">
        <f aca="false">SUMIFS(Trades!$X$2:$X$884,Trades!$D$2:$D$884,$A583)</f>
        <v>207.84</v>
      </c>
      <c r="G583" s="30" t="n">
        <f aca="false">SUMIFS(Trades!$X$2:$X$884,Trades!$D$2:$D$884,$A583,Trades!$X$2:$X$884,"&gt;0")</f>
        <v>207.84</v>
      </c>
      <c r="H583" s="30" t="n">
        <f aca="false">SUMIFS(Trades!$X$2:$X$884,Trades!$D$2:$D$884,$A583,Trades!$X$2:$X$884,"&lt;0")</f>
        <v>0</v>
      </c>
      <c r="I583" s="31" t="str">
        <f aca="false">IFERROR(G583/-H583,"no loss")</f>
        <v>no loss</v>
      </c>
      <c r="J583" s="30" t="n">
        <f aca="false">_xlfn.MAXIFS(Trades!$X$2:$X$884,Trades!$D$2:$D$884,$A583)</f>
        <v>207.84</v>
      </c>
      <c r="K583" s="30" t="n">
        <f aca="false">_xlfn.MINIFS(Trades!$X$2:$X$884,Trades!$D$2:$D$884,$A583)</f>
        <v>207.84</v>
      </c>
      <c r="L583" s="32" t="n">
        <f aca="false">SUMIFS(Trades!$Y$2:$Y$884,Trades!$D$2:$D$884,$A583)</f>
        <v>2.37477148080428</v>
      </c>
      <c r="M583" s="30" t="n">
        <f aca="false">P582</f>
        <v>113618.5</v>
      </c>
      <c r="N583" s="29" t="n">
        <f aca="false">IFERROR(F583/M583,0)</f>
        <v>0.00182927956274726</v>
      </c>
      <c r="O583" s="28" t="str">
        <f aca="false">IF(-N583&gt;=Summary!$C$7,"BREACH","")</f>
        <v/>
      </c>
      <c r="P583" s="30" t="n">
        <f aca="false">M583+F583</f>
        <v>113826.34</v>
      </c>
      <c r="Q583" s="30" t="n">
        <f aca="false">P583-Summary!$C$5</f>
        <v>13826.3400000001</v>
      </c>
      <c r="R583" s="2" t="str">
        <f aca="false">TEXT(A583,"ddd")</f>
        <v>Tue</v>
      </c>
    </row>
    <row r="584" customFormat="false" ht="15" hidden="false" customHeight="false" outlineLevel="0" collapsed="false">
      <c r="A584" s="42" t="n">
        <v>45980</v>
      </c>
      <c r="B584" s="28" t="n">
        <f aca="false">COUNTIFS(Trades!$D$2:$D$884,$A584)</f>
        <v>1</v>
      </c>
      <c r="C584" s="28" t="n">
        <f aca="false">COUNTIFS(Trades!$D$2:$D$884,$A584,Trades!$Z$2:$Z$884,"Win")</f>
        <v>0</v>
      </c>
      <c r="D584" s="28" t="n">
        <f aca="false">COUNTIFS(Trades!$D$2:$D$884,$A584,Trades!$Z$2:$Z$884,"Loss")</f>
        <v>1</v>
      </c>
      <c r="E584" s="29" t="n">
        <f aca="false">IFERROR(C584/B584,0)</f>
        <v>0</v>
      </c>
      <c r="F584" s="30" t="n">
        <f aca="false">SUMIFS(Trades!$X$2:$X$884,Trades!$D$2:$D$884,$A584)</f>
        <v>-174.24</v>
      </c>
      <c r="G584" s="30" t="n">
        <f aca="false">SUMIFS(Trades!$X$2:$X$884,Trades!$D$2:$D$884,$A584,Trades!$X$2:$X$884,"&gt;0")</f>
        <v>0</v>
      </c>
      <c r="H584" s="30" t="n">
        <f aca="false">SUMIFS(Trades!$X$2:$X$884,Trades!$D$2:$D$884,$A584,Trades!$X$2:$X$884,"&lt;0")</f>
        <v>-174.24</v>
      </c>
      <c r="I584" s="31" t="n">
        <f aca="false">IFERROR(G584/-H584,"no loss")</f>
        <v>0</v>
      </c>
      <c r="J584" s="30" t="n">
        <f aca="false">_xlfn.MAXIFS(Trades!$X$2:$X$884,Trades!$D$2:$D$884,$A584)</f>
        <v>-174.24</v>
      </c>
      <c r="K584" s="30" t="n">
        <f aca="false">_xlfn.MINIFS(Trades!$X$2:$X$884,Trades!$D$2:$D$884,$A584)</f>
        <v>-174.24</v>
      </c>
      <c r="L584" s="32" t="n">
        <f aca="false">SUMIFS(Trades!$Y$2:$Y$884,Trades!$D$2:$D$884,$A584)</f>
        <v>-1.02133645955448</v>
      </c>
      <c r="M584" s="30" t="n">
        <f aca="false">P583</f>
        <v>113826.34</v>
      </c>
      <c r="N584" s="29" t="n">
        <f aca="false">IFERROR(F584/M584,0)</f>
        <v>-0.00153075289954856</v>
      </c>
      <c r="O584" s="28" t="str">
        <f aca="false">IF(-N584&gt;=Summary!$C$7,"BREACH","")</f>
        <v/>
      </c>
      <c r="P584" s="30" t="n">
        <f aca="false">M584+F584</f>
        <v>113652.1</v>
      </c>
      <c r="Q584" s="30" t="n">
        <f aca="false">P584-Summary!$C$5</f>
        <v>13652.1000000001</v>
      </c>
      <c r="R584" s="2" t="str">
        <f aca="false">TEXT(A584,"ddd")</f>
        <v>Wed</v>
      </c>
    </row>
    <row r="585" customFormat="false" ht="15" hidden="false" customHeight="false" outlineLevel="0" collapsed="false">
      <c r="A585" s="42" t="n">
        <v>45981</v>
      </c>
      <c r="B585" s="28" t="n">
        <f aca="false">COUNTIFS(Trades!$D$2:$D$884,$A585)</f>
        <v>2</v>
      </c>
      <c r="C585" s="28" t="n">
        <f aca="false">COUNTIFS(Trades!$D$2:$D$884,$A585,Trades!$Z$2:$Z$884,"Win")</f>
        <v>1</v>
      </c>
      <c r="D585" s="28" t="n">
        <f aca="false">COUNTIFS(Trades!$D$2:$D$884,$A585,Trades!$Z$2:$Z$884,"Loss")</f>
        <v>1</v>
      </c>
      <c r="E585" s="29" t="n">
        <f aca="false">IFERROR(C585/B585,0)</f>
        <v>0.5</v>
      </c>
      <c r="F585" s="30" t="n">
        <f aca="false">SUMIFS(Trades!$X$2:$X$884,Trades!$D$2:$D$884,$A585)</f>
        <v>700.24</v>
      </c>
      <c r="G585" s="30" t="n">
        <f aca="false">SUMIFS(Trades!$X$2:$X$884,Trades!$D$2:$D$884,$A585,Trades!$X$2:$X$884,"&gt;0")</f>
        <v>700.32</v>
      </c>
      <c r="H585" s="30" t="n">
        <f aca="false">SUMIFS(Trades!$X$2:$X$884,Trades!$D$2:$D$884,$A585,Trades!$X$2:$X$884,"&lt;0")</f>
        <v>-0.08</v>
      </c>
      <c r="I585" s="31" t="n">
        <f aca="false">IFERROR(G585/-H585,"no loss")</f>
        <v>8754</v>
      </c>
      <c r="J585" s="30" t="n">
        <f aca="false">_xlfn.MAXIFS(Trades!$X$2:$X$884,Trades!$D$2:$D$884,$A585)</f>
        <v>700.32</v>
      </c>
      <c r="K585" s="30" t="n">
        <f aca="false">_xlfn.MINIFS(Trades!$X$2:$X$884,Trades!$D$2:$D$884,$A585)</f>
        <v>-0.08</v>
      </c>
      <c r="L585" s="32" t="n">
        <f aca="false">SUMIFS(Trades!$Y$2:$Y$884,Trades!$D$2:$D$884,$A585)</f>
        <v>2.0076232879888</v>
      </c>
      <c r="M585" s="30" t="n">
        <f aca="false">P584</f>
        <v>113652.1</v>
      </c>
      <c r="N585" s="29" t="n">
        <f aca="false">IFERROR(F585/M585,0)</f>
        <v>0.00616125878888291</v>
      </c>
      <c r="O585" s="28" t="str">
        <f aca="false">IF(-N585&gt;=Summary!$C$7,"BREACH","")</f>
        <v/>
      </c>
      <c r="P585" s="30" t="n">
        <f aca="false">M585+F585</f>
        <v>114352.34</v>
      </c>
      <c r="Q585" s="30" t="n">
        <f aca="false">P585-Summary!$C$5</f>
        <v>14352.3400000001</v>
      </c>
      <c r="R585" s="2" t="str">
        <f aca="false">TEXT(A585,"ddd")</f>
        <v>Thu</v>
      </c>
    </row>
    <row r="586" customFormat="false" ht="15" hidden="false" customHeight="false" outlineLevel="0" collapsed="false">
      <c r="A586" s="42" t="n">
        <v>45982</v>
      </c>
      <c r="B586" s="28" t="n">
        <f aca="false">COUNTIFS(Trades!$D$2:$D$884,$A586)</f>
        <v>1</v>
      </c>
      <c r="C586" s="28" t="n">
        <f aca="false">COUNTIFS(Trades!$D$2:$D$884,$A586,Trades!$Z$2:$Z$884,"Win")</f>
        <v>0</v>
      </c>
      <c r="D586" s="28" t="n">
        <f aca="false">COUNTIFS(Trades!$D$2:$D$884,$A586,Trades!$Z$2:$Z$884,"Loss")</f>
        <v>1</v>
      </c>
      <c r="E586" s="29" t="n">
        <f aca="false">IFERROR(C586/B586,0)</f>
        <v>0</v>
      </c>
      <c r="F586" s="30" t="n">
        <f aca="false">SUMIFS(Trades!$X$2:$X$884,Trades!$D$2:$D$884,$A586)</f>
        <v>-187.91</v>
      </c>
      <c r="G586" s="30" t="n">
        <f aca="false">SUMIFS(Trades!$X$2:$X$884,Trades!$D$2:$D$884,$A586,Trades!$X$2:$X$884,"&gt;0")</f>
        <v>0</v>
      </c>
      <c r="H586" s="30" t="n">
        <f aca="false">SUMIFS(Trades!$X$2:$X$884,Trades!$D$2:$D$884,$A586,Trades!$X$2:$X$884,"&lt;0")</f>
        <v>-187.91</v>
      </c>
      <c r="I586" s="31" t="n">
        <f aca="false">IFERROR(G586/-H586,"no loss")</f>
        <v>0</v>
      </c>
      <c r="J586" s="30" t="n">
        <f aca="false">_xlfn.MAXIFS(Trades!$X$2:$X$884,Trades!$D$2:$D$884,$A586)</f>
        <v>-187.91</v>
      </c>
      <c r="K586" s="30" t="n">
        <f aca="false">_xlfn.MINIFS(Trades!$X$2:$X$884,Trades!$D$2:$D$884,$A586)</f>
        <v>-187.91</v>
      </c>
      <c r="L586" s="32" t="n">
        <f aca="false">SUMIFS(Trades!$Y$2:$Y$884,Trades!$D$2:$D$884,$A586)</f>
        <v>-1.00045787545785</v>
      </c>
      <c r="M586" s="30" t="n">
        <f aca="false">P585</f>
        <v>114352.34</v>
      </c>
      <c r="N586" s="29" t="n">
        <f aca="false">IFERROR(F586/M586,0)</f>
        <v>-0.00164325452369405</v>
      </c>
      <c r="O586" s="28" t="str">
        <f aca="false">IF(-N586&gt;=Summary!$C$7,"BREACH","")</f>
        <v/>
      </c>
      <c r="P586" s="30" t="n">
        <f aca="false">M586+F586</f>
        <v>114164.43</v>
      </c>
      <c r="Q586" s="30" t="n">
        <f aca="false">P586-Summary!$C$5</f>
        <v>14164.4300000001</v>
      </c>
      <c r="R586" s="2" t="str">
        <f aca="false">TEXT(A586,"ddd")</f>
        <v>Fri</v>
      </c>
    </row>
    <row r="587" customFormat="false" ht="15" hidden="false" customHeight="false" outlineLevel="0" collapsed="false">
      <c r="A587" s="42" t="n">
        <v>45985</v>
      </c>
      <c r="B587" s="28" t="n">
        <f aca="false">COUNTIFS(Trades!$D$2:$D$884,$A587)</f>
        <v>1</v>
      </c>
      <c r="C587" s="28" t="n">
        <f aca="false">COUNTIFS(Trades!$D$2:$D$884,$A587,Trades!$Z$2:$Z$884,"Win")</f>
        <v>1</v>
      </c>
      <c r="D587" s="28" t="n">
        <f aca="false">COUNTIFS(Trades!$D$2:$D$884,$A587,Trades!$Z$2:$Z$884,"Loss")</f>
        <v>0</v>
      </c>
      <c r="E587" s="29" t="n">
        <f aca="false">IFERROR(C587/B587,0)</f>
        <v>1</v>
      </c>
      <c r="F587" s="30" t="n">
        <f aca="false">SUMIFS(Trades!$X$2:$X$884,Trades!$D$2:$D$884,$A587)</f>
        <v>314.44</v>
      </c>
      <c r="G587" s="30" t="n">
        <f aca="false">SUMIFS(Trades!$X$2:$X$884,Trades!$D$2:$D$884,$A587,Trades!$X$2:$X$884,"&gt;0")</f>
        <v>314.44</v>
      </c>
      <c r="H587" s="30" t="n">
        <f aca="false">SUMIFS(Trades!$X$2:$X$884,Trades!$D$2:$D$884,$A587,Trades!$X$2:$X$884,"&lt;0")</f>
        <v>0</v>
      </c>
      <c r="I587" s="31" t="str">
        <f aca="false">IFERROR(G587/-H587,"no loss")</f>
        <v>no loss</v>
      </c>
      <c r="J587" s="30" t="n">
        <f aca="false">_xlfn.MAXIFS(Trades!$X$2:$X$884,Trades!$D$2:$D$884,$A587)</f>
        <v>314.44</v>
      </c>
      <c r="K587" s="30" t="n">
        <f aca="false">_xlfn.MINIFS(Trades!$X$2:$X$884,Trades!$D$2:$D$884,$A587)</f>
        <v>314.44</v>
      </c>
      <c r="L587" s="32" t="n">
        <f aca="false">SUMIFS(Trades!$Y$2:$Y$884,Trades!$D$2:$D$884,$A587)</f>
        <v>2.03284199637952</v>
      </c>
      <c r="M587" s="30" t="n">
        <f aca="false">P586</f>
        <v>114164.43</v>
      </c>
      <c r="N587" s="29" t="n">
        <f aca="false">IFERROR(F587/M587,0)</f>
        <v>0.00275427293772675</v>
      </c>
      <c r="O587" s="28" t="str">
        <f aca="false">IF(-N587&gt;=Summary!$C$7,"BREACH","")</f>
        <v/>
      </c>
      <c r="P587" s="30" t="n">
        <f aca="false">M587+F587</f>
        <v>114478.87</v>
      </c>
      <c r="Q587" s="30" t="n">
        <f aca="false">P587-Summary!$C$5</f>
        <v>14478.8700000001</v>
      </c>
      <c r="R587" s="2" t="str">
        <f aca="false">TEXT(A587,"ddd")</f>
        <v>Mon</v>
      </c>
    </row>
    <row r="588" customFormat="false" ht="15" hidden="false" customHeight="false" outlineLevel="0" collapsed="false">
      <c r="A588" s="42" t="n">
        <v>45986</v>
      </c>
      <c r="B588" s="28" t="n">
        <f aca="false">COUNTIFS(Trades!$D$2:$D$884,$A588)</f>
        <v>1</v>
      </c>
      <c r="C588" s="28" t="n">
        <f aca="false">COUNTIFS(Trades!$D$2:$D$884,$A588,Trades!$Z$2:$Z$884,"Win")</f>
        <v>1</v>
      </c>
      <c r="D588" s="28" t="n">
        <f aca="false">COUNTIFS(Trades!$D$2:$D$884,$A588,Trades!$Z$2:$Z$884,"Loss")</f>
        <v>0</v>
      </c>
      <c r="E588" s="29" t="n">
        <f aca="false">IFERROR(C588/B588,0)</f>
        <v>1</v>
      </c>
      <c r="F588" s="30" t="n">
        <f aca="false">SUMIFS(Trades!$X$2:$X$884,Trades!$D$2:$D$884,$A588)</f>
        <v>200.12</v>
      </c>
      <c r="G588" s="30" t="n">
        <f aca="false">SUMIFS(Trades!$X$2:$X$884,Trades!$D$2:$D$884,$A588,Trades!$X$2:$X$884,"&gt;0")</f>
        <v>200.12</v>
      </c>
      <c r="H588" s="30" t="n">
        <f aca="false">SUMIFS(Trades!$X$2:$X$884,Trades!$D$2:$D$884,$A588,Trades!$X$2:$X$884,"&lt;0")</f>
        <v>0</v>
      </c>
      <c r="I588" s="31" t="str">
        <f aca="false">IFERROR(G588/-H588,"no loss")</f>
        <v>no loss</v>
      </c>
      <c r="J588" s="30" t="n">
        <f aca="false">_xlfn.MAXIFS(Trades!$X$2:$X$884,Trades!$D$2:$D$884,$A588)</f>
        <v>200.12</v>
      </c>
      <c r="K588" s="30" t="n">
        <f aca="false">_xlfn.MINIFS(Trades!$X$2:$X$884,Trades!$D$2:$D$884,$A588)</f>
        <v>200.12</v>
      </c>
      <c r="L588" s="32" t="n">
        <f aca="false">SUMIFS(Trades!$Y$2:$Y$884,Trades!$D$2:$D$884,$A588)</f>
        <v>2.01085209003237</v>
      </c>
      <c r="M588" s="30" t="n">
        <f aca="false">P587</f>
        <v>114478.87</v>
      </c>
      <c r="N588" s="29" t="n">
        <f aca="false">IFERROR(F588/M588,0)</f>
        <v>0.00174809552190723</v>
      </c>
      <c r="O588" s="28" t="str">
        <f aca="false">IF(-N588&gt;=Summary!$C$7,"BREACH","")</f>
        <v/>
      </c>
      <c r="P588" s="30" t="n">
        <f aca="false">M588+F588</f>
        <v>114678.99</v>
      </c>
      <c r="Q588" s="30" t="n">
        <f aca="false">P588-Summary!$C$5</f>
        <v>14678.9900000001</v>
      </c>
      <c r="R588" s="2" t="str">
        <f aca="false">TEXT(A588,"ddd")</f>
        <v>Tue</v>
      </c>
    </row>
    <row r="589" customFormat="false" ht="15" hidden="false" customHeight="false" outlineLevel="0" collapsed="false">
      <c r="A589" s="42" t="n">
        <v>45987</v>
      </c>
      <c r="B589" s="28" t="n">
        <f aca="false">COUNTIFS(Trades!$D$2:$D$884,$A589)</f>
        <v>1</v>
      </c>
      <c r="C589" s="28" t="n">
        <f aca="false">COUNTIFS(Trades!$D$2:$D$884,$A589,Trades!$Z$2:$Z$884,"Win")</f>
        <v>1</v>
      </c>
      <c r="D589" s="28" t="n">
        <f aca="false">COUNTIFS(Trades!$D$2:$D$884,$A589,Trades!$Z$2:$Z$884,"Loss")</f>
        <v>0</v>
      </c>
      <c r="E589" s="29" t="n">
        <f aca="false">IFERROR(C589/B589,0)</f>
        <v>1</v>
      </c>
      <c r="F589" s="30" t="n">
        <f aca="false">SUMIFS(Trades!$X$2:$X$884,Trades!$D$2:$D$884,$A589)</f>
        <v>82.28</v>
      </c>
      <c r="G589" s="30" t="n">
        <f aca="false">SUMIFS(Trades!$X$2:$X$884,Trades!$D$2:$D$884,$A589,Trades!$X$2:$X$884,"&gt;0")</f>
        <v>82.28</v>
      </c>
      <c r="H589" s="30" t="n">
        <f aca="false">SUMIFS(Trades!$X$2:$X$884,Trades!$D$2:$D$884,$A589,Trades!$X$2:$X$884,"&lt;0")</f>
        <v>0</v>
      </c>
      <c r="I589" s="31" t="str">
        <f aca="false">IFERROR(G589/-H589,"no loss")</f>
        <v>no loss</v>
      </c>
      <c r="J589" s="30" t="n">
        <f aca="false">_xlfn.MAXIFS(Trades!$X$2:$X$884,Trades!$D$2:$D$884,$A589)</f>
        <v>82.28</v>
      </c>
      <c r="K589" s="30" t="n">
        <f aca="false">_xlfn.MINIFS(Trades!$X$2:$X$884,Trades!$D$2:$D$884,$A589)</f>
        <v>82.28</v>
      </c>
      <c r="L589" s="32" t="n">
        <f aca="false">SUMIFS(Trades!$Y$2:$Y$884,Trades!$D$2:$D$884,$A589)</f>
        <v>2.00878906249969</v>
      </c>
      <c r="M589" s="30" t="n">
        <f aca="false">P588</f>
        <v>114678.99</v>
      </c>
      <c r="N589" s="29" t="n">
        <f aca="false">IFERROR(F589/M589,0)</f>
        <v>0.000717481031181038</v>
      </c>
      <c r="O589" s="28" t="str">
        <f aca="false">IF(-N589&gt;=Summary!$C$7,"BREACH","")</f>
        <v/>
      </c>
      <c r="P589" s="30" t="n">
        <f aca="false">M589+F589</f>
        <v>114761.27</v>
      </c>
      <c r="Q589" s="30" t="n">
        <f aca="false">P589-Summary!$C$5</f>
        <v>14761.2700000001</v>
      </c>
      <c r="R589" s="2" t="str">
        <f aca="false">TEXT(A589,"ddd")</f>
        <v>Wed</v>
      </c>
    </row>
    <row r="590" customFormat="false" ht="15" hidden="false" customHeight="false" outlineLevel="0" collapsed="false">
      <c r="A590" s="42" t="n">
        <v>45989</v>
      </c>
      <c r="B590" s="28" t="n">
        <f aca="false">COUNTIFS(Trades!$D$2:$D$884,$A590)</f>
        <v>1</v>
      </c>
      <c r="C590" s="28" t="n">
        <f aca="false">COUNTIFS(Trades!$D$2:$D$884,$A590,Trades!$Z$2:$Z$884,"Win")</f>
        <v>1</v>
      </c>
      <c r="D590" s="28" t="n">
        <f aca="false">COUNTIFS(Trades!$D$2:$D$884,$A590,Trades!$Z$2:$Z$884,"Loss")</f>
        <v>0</v>
      </c>
      <c r="E590" s="29" t="n">
        <f aca="false">IFERROR(C590/B590,0)</f>
        <v>1</v>
      </c>
      <c r="F590" s="30" t="n">
        <f aca="false">SUMIFS(Trades!$X$2:$X$884,Trades!$D$2:$D$884,$A590)</f>
        <v>51.84</v>
      </c>
      <c r="G590" s="30" t="n">
        <f aca="false">SUMIFS(Trades!$X$2:$X$884,Trades!$D$2:$D$884,$A590,Trades!$X$2:$X$884,"&gt;0")</f>
        <v>51.84</v>
      </c>
      <c r="H590" s="30" t="n">
        <f aca="false">SUMIFS(Trades!$X$2:$X$884,Trades!$D$2:$D$884,$A590,Trades!$X$2:$X$884,"&lt;0")</f>
        <v>0</v>
      </c>
      <c r="I590" s="31" t="str">
        <f aca="false">IFERROR(G590/-H590,"no loss")</f>
        <v>no loss</v>
      </c>
      <c r="J590" s="30" t="n">
        <f aca="false">_xlfn.MAXIFS(Trades!$X$2:$X$884,Trades!$D$2:$D$884,$A590)</f>
        <v>51.84</v>
      </c>
      <c r="K590" s="30" t="n">
        <f aca="false">_xlfn.MINIFS(Trades!$X$2:$X$884,Trades!$D$2:$D$884,$A590)</f>
        <v>51.84</v>
      </c>
      <c r="L590" s="32" t="n">
        <f aca="false">SUMIFS(Trades!$Y$2:$Y$884,Trades!$D$2:$D$884,$A590)</f>
        <v>2.02499999999954</v>
      </c>
      <c r="M590" s="30" t="n">
        <f aca="false">P589</f>
        <v>114761.27</v>
      </c>
      <c r="N590" s="29" t="n">
        <f aca="false">IFERROR(F590/M590,0)</f>
        <v>0.000451720340843213</v>
      </c>
      <c r="O590" s="28" t="str">
        <f aca="false">IF(-N590&gt;=Summary!$C$7,"BREACH","")</f>
        <v/>
      </c>
      <c r="P590" s="30" t="n">
        <f aca="false">M590+F590</f>
        <v>114813.11</v>
      </c>
      <c r="Q590" s="30" t="n">
        <f aca="false">P590-Summary!$C$5</f>
        <v>14813.1100000001</v>
      </c>
      <c r="R590" s="2" t="str">
        <f aca="false">TEXT(A590,"ddd")</f>
        <v>Fri</v>
      </c>
    </row>
    <row r="591" customFormat="false" ht="15" hidden="false" customHeight="false" outlineLevel="0" collapsed="false">
      <c r="A591" s="42" t="n">
        <v>45992</v>
      </c>
      <c r="B591" s="28" t="n">
        <f aca="false">COUNTIFS(Trades!$D$2:$D$884,$A591)</f>
        <v>2</v>
      </c>
      <c r="C591" s="28" t="n">
        <f aca="false">COUNTIFS(Trades!$D$2:$D$884,$A591,Trades!$Z$2:$Z$884,"Win")</f>
        <v>0</v>
      </c>
      <c r="D591" s="28" t="n">
        <f aca="false">COUNTIFS(Trades!$D$2:$D$884,$A591,Trades!$Z$2:$Z$884,"Loss")</f>
        <v>2</v>
      </c>
      <c r="E591" s="29" t="n">
        <f aca="false">IFERROR(C591/B591,0)</f>
        <v>0</v>
      </c>
      <c r="F591" s="30" t="n">
        <f aca="false">SUMIFS(Trades!$X$2:$X$884,Trades!$D$2:$D$884,$A591)</f>
        <v>-217.72</v>
      </c>
      <c r="G591" s="30" t="n">
        <f aca="false">SUMIFS(Trades!$X$2:$X$884,Trades!$D$2:$D$884,$A591,Trades!$X$2:$X$884,"&gt;0")</f>
        <v>0</v>
      </c>
      <c r="H591" s="30" t="n">
        <f aca="false">SUMIFS(Trades!$X$2:$X$884,Trades!$D$2:$D$884,$A591,Trades!$X$2:$X$884,"&lt;0")</f>
        <v>-217.72</v>
      </c>
      <c r="I591" s="31" t="n">
        <f aca="false">IFERROR(G591/-H591,"no loss")</f>
        <v>0</v>
      </c>
      <c r="J591" s="30" t="n">
        <f aca="false">_xlfn.MAXIFS(Trades!$X$2:$X$884,Trades!$D$2:$D$884,$A591)</f>
        <v>-108.8</v>
      </c>
      <c r="K591" s="30" t="n">
        <f aca="false">_xlfn.MINIFS(Trades!$X$2:$X$884,Trades!$D$2:$D$884,$A591)</f>
        <v>-108.92</v>
      </c>
      <c r="L591" s="32" t="n">
        <f aca="false">SUMIFS(Trades!$Y$2:$Y$884,Trades!$D$2:$D$884,$A591)</f>
        <v>-2.0111130951698</v>
      </c>
      <c r="M591" s="30" t="n">
        <f aca="false">P590</f>
        <v>114813.11</v>
      </c>
      <c r="N591" s="29" t="n">
        <f aca="false">IFERROR(F591/M591,0)</f>
        <v>-0.00189629912472539</v>
      </c>
      <c r="O591" s="28" t="str">
        <f aca="false">IF(-N591&gt;=Summary!$C$7,"BREACH","")</f>
        <v/>
      </c>
      <c r="P591" s="30" t="n">
        <f aca="false">M591+F591</f>
        <v>114595.39</v>
      </c>
      <c r="Q591" s="30" t="n">
        <f aca="false">P591-Summary!$C$5</f>
        <v>14595.3900000001</v>
      </c>
      <c r="R591" s="2" t="str">
        <f aca="false">TEXT(A591,"ddd")</f>
        <v>Mon</v>
      </c>
    </row>
    <row r="592" customFormat="false" ht="15" hidden="false" customHeight="false" outlineLevel="0" collapsed="false">
      <c r="A592" s="42" t="n">
        <v>45993</v>
      </c>
      <c r="B592" s="28" t="n">
        <f aca="false">COUNTIFS(Trades!$D$2:$D$884,$A592)</f>
        <v>1</v>
      </c>
      <c r="C592" s="28" t="n">
        <f aca="false">COUNTIFS(Trades!$D$2:$D$884,$A592,Trades!$Z$2:$Z$884,"Win")</f>
        <v>1</v>
      </c>
      <c r="D592" s="28" t="n">
        <f aca="false">COUNTIFS(Trades!$D$2:$D$884,$A592,Trades!$Z$2:$Z$884,"Loss")</f>
        <v>0</v>
      </c>
      <c r="E592" s="29" t="n">
        <f aca="false">IFERROR(C592/B592,0)</f>
        <v>1</v>
      </c>
      <c r="F592" s="30" t="n">
        <f aca="false">SUMIFS(Trades!$X$2:$X$884,Trades!$D$2:$D$884,$A592)</f>
        <v>305.36</v>
      </c>
      <c r="G592" s="30" t="n">
        <f aca="false">SUMIFS(Trades!$X$2:$X$884,Trades!$D$2:$D$884,$A592,Trades!$X$2:$X$884,"&gt;0")</f>
        <v>305.36</v>
      </c>
      <c r="H592" s="30" t="n">
        <f aca="false">SUMIFS(Trades!$X$2:$X$884,Trades!$D$2:$D$884,$A592,Trades!$X$2:$X$884,"&lt;0")</f>
        <v>0</v>
      </c>
      <c r="I592" s="31" t="str">
        <f aca="false">IFERROR(G592/-H592,"no loss")</f>
        <v>no loss</v>
      </c>
      <c r="J592" s="30" t="n">
        <f aca="false">_xlfn.MAXIFS(Trades!$X$2:$X$884,Trades!$D$2:$D$884,$A592)</f>
        <v>305.36</v>
      </c>
      <c r="K592" s="30" t="n">
        <f aca="false">_xlfn.MINIFS(Trades!$X$2:$X$884,Trades!$D$2:$D$884,$A592)</f>
        <v>305.36</v>
      </c>
      <c r="L592" s="32" t="n">
        <f aca="false">SUMIFS(Trades!$Y$2:$Y$884,Trades!$D$2:$D$884,$A592)</f>
        <v>2.06771397616457</v>
      </c>
      <c r="M592" s="30" t="n">
        <f aca="false">P591</f>
        <v>114595.39</v>
      </c>
      <c r="N592" s="29" t="n">
        <f aca="false">IFERROR(F592/M592,0)</f>
        <v>0.00266467961756577</v>
      </c>
      <c r="O592" s="28" t="str">
        <f aca="false">IF(-N592&gt;=Summary!$C$7,"BREACH","")</f>
        <v/>
      </c>
      <c r="P592" s="30" t="n">
        <f aca="false">M592+F592</f>
        <v>114900.75</v>
      </c>
      <c r="Q592" s="30" t="n">
        <f aca="false">P592-Summary!$C$5</f>
        <v>14900.7500000001</v>
      </c>
      <c r="R592" s="2" t="str">
        <f aca="false">TEXT(A592,"ddd")</f>
        <v>Tue</v>
      </c>
    </row>
    <row r="593" customFormat="false" ht="15" hidden="false" customHeight="false" outlineLevel="0" collapsed="false">
      <c r="A593" s="42" t="n">
        <v>45994</v>
      </c>
      <c r="B593" s="28" t="n">
        <f aca="false">COUNTIFS(Trades!$D$2:$D$884,$A593)</f>
        <v>1</v>
      </c>
      <c r="C593" s="28" t="n">
        <f aca="false">COUNTIFS(Trades!$D$2:$D$884,$A593,Trades!$Z$2:$Z$884,"Win")</f>
        <v>0</v>
      </c>
      <c r="D593" s="28" t="n">
        <f aca="false">COUNTIFS(Trades!$D$2:$D$884,$A593,Trades!$Z$2:$Z$884,"Loss")</f>
        <v>1</v>
      </c>
      <c r="E593" s="29" t="n">
        <f aca="false">IFERROR(C593/B593,0)</f>
        <v>0</v>
      </c>
      <c r="F593" s="30" t="n">
        <f aca="false">SUMIFS(Trades!$X$2:$X$884,Trades!$D$2:$D$884,$A593)</f>
        <v>-31.08</v>
      </c>
      <c r="G593" s="30" t="n">
        <f aca="false">SUMIFS(Trades!$X$2:$X$884,Trades!$D$2:$D$884,$A593,Trades!$X$2:$X$884,"&gt;0")</f>
        <v>0</v>
      </c>
      <c r="H593" s="30" t="n">
        <f aca="false">SUMIFS(Trades!$X$2:$X$884,Trades!$D$2:$D$884,$A593,Trades!$X$2:$X$884,"&lt;0")</f>
        <v>-31.08</v>
      </c>
      <c r="I593" s="31" t="n">
        <f aca="false">IFERROR(G593/-H593,"no loss")</f>
        <v>0</v>
      </c>
      <c r="J593" s="30" t="n">
        <f aca="false">_xlfn.MAXIFS(Trades!$X$2:$X$884,Trades!$D$2:$D$884,$A593)</f>
        <v>-31.08</v>
      </c>
      <c r="K593" s="30" t="n">
        <f aca="false">_xlfn.MINIFS(Trades!$X$2:$X$884,Trades!$D$2:$D$884,$A593)</f>
        <v>-31.08</v>
      </c>
      <c r="L593" s="32" t="n">
        <f aca="false">SUMIFS(Trades!$Y$2:$Y$884,Trades!$D$2:$D$884,$A593)</f>
        <v>-1.00909090909129</v>
      </c>
      <c r="M593" s="30" t="n">
        <f aca="false">P592</f>
        <v>114900.75</v>
      </c>
      <c r="N593" s="29" t="n">
        <f aca="false">IFERROR(F593/M593,0)</f>
        <v>-0.000270494317922207</v>
      </c>
      <c r="O593" s="28" t="str">
        <f aca="false">IF(-N593&gt;=Summary!$C$7,"BREACH","")</f>
        <v/>
      </c>
      <c r="P593" s="30" t="n">
        <f aca="false">M593+F593</f>
        <v>114869.67</v>
      </c>
      <c r="Q593" s="30" t="n">
        <f aca="false">P593-Summary!$C$5</f>
        <v>14869.6700000001</v>
      </c>
      <c r="R593" s="2" t="str">
        <f aca="false">TEXT(A593,"ddd")</f>
        <v>Wed</v>
      </c>
    </row>
    <row r="594" customFormat="false" ht="15" hidden="false" customHeight="false" outlineLevel="0" collapsed="false">
      <c r="A594" s="42" t="n">
        <v>45995</v>
      </c>
      <c r="B594" s="28" t="n">
        <f aca="false">COUNTIFS(Trades!$D$2:$D$884,$A594)</f>
        <v>1</v>
      </c>
      <c r="C594" s="28" t="n">
        <f aca="false">COUNTIFS(Trades!$D$2:$D$884,$A594,Trades!$Z$2:$Z$884,"Win")</f>
        <v>0</v>
      </c>
      <c r="D594" s="28" t="n">
        <f aca="false">COUNTIFS(Trades!$D$2:$D$884,$A594,Trades!$Z$2:$Z$884,"Loss")</f>
        <v>1</v>
      </c>
      <c r="E594" s="29" t="n">
        <f aca="false">IFERROR(C594/B594,0)</f>
        <v>0</v>
      </c>
      <c r="F594" s="30" t="n">
        <f aca="false">SUMIFS(Trades!$X$2:$X$884,Trades!$D$2:$D$884,$A594)</f>
        <v>-60.4</v>
      </c>
      <c r="G594" s="30" t="n">
        <f aca="false">SUMIFS(Trades!$X$2:$X$884,Trades!$D$2:$D$884,$A594,Trades!$X$2:$X$884,"&gt;0")</f>
        <v>0</v>
      </c>
      <c r="H594" s="30" t="n">
        <f aca="false">SUMIFS(Trades!$X$2:$X$884,Trades!$D$2:$D$884,$A594,Trades!$X$2:$X$884,"&lt;0")</f>
        <v>-60.4</v>
      </c>
      <c r="I594" s="31" t="n">
        <f aca="false">IFERROR(G594/-H594,"no loss")</f>
        <v>0</v>
      </c>
      <c r="J594" s="30" t="n">
        <f aca="false">_xlfn.MAXIFS(Trades!$X$2:$X$884,Trades!$D$2:$D$884,$A594)</f>
        <v>-60.4</v>
      </c>
      <c r="K594" s="30" t="n">
        <f aca="false">_xlfn.MINIFS(Trades!$X$2:$X$884,Trades!$D$2:$D$884,$A594)</f>
        <v>-60.4</v>
      </c>
      <c r="L594" s="32" t="n">
        <f aca="false">SUMIFS(Trades!$Y$2:$Y$884,Trades!$D$2:$D$884,$A594)</f>
        <v>-1.00199071001993</v>
      </c>
      <c r="M594" s="30" t="n">
        <f aca="false">P593</f>
        <v>114869.67</v>
      </c>
      <c r="N594" s="29" t="n">
        <f aca="false">IFERROR(F594/M594,0)</f>
        <v>-0.00052581329780089</v>
      </c>
      <c r="O594" s="28" t="str">
        <f aca="false">IF(-N594&gt;=Summary!$C$7,"BREACH","")</f>
        <v/>
      </c>
      <c r="P594" s="30" t="n">
        <f aca="false">M594+F594</f>
        <v>114809.27</v>
      </c>
      <c r="Q594" s="30" t="n">
        <f aca="false">P594-Summary!$C$5</f>
        <v>14809.2700000001</v>
      </c>
      <c r="R594" s="2" t="str">
        <f aca="false">TEXT(A594,"ddd")</f>
        <v>Thu</v>
      </c>
    </row>
    <row r="595" customFormat="false" ht="15" hidden="false" customHeight="false" outlineLevel="0" collapsed="false">
      <c r="A595" s="42" t="n">
        <v>45996</v>
      </c>
      <c r="B595" s="28" t="n">
        <f aca="false">COUNTIFS(Trades!$D$2:$D$884,$A595)</f>
        <v>1</v>
      </c>
      <c r="C595" s="28" t="n">
        <f aca="false">COUNTIFS(Trades!$D$2:$D$884,$A595,Trades!$Z$2:$Z$884,"Win")</f>
        <v>0</v>
      </c>
      <c r="D595" s="28" t="n">
        <f aca="false">COUNTIFS(Trades!$D$2:$D$884,$A595,Trades!$Z$2:$Z$884,"Loss")</f>
        <v>1</v>
      </c>
      <c r="E595" s="29" t="n">
        <f aca="false">IFERROR(C595/B595,0)</f>
        <v>0</v>
      </c>
      <c r="F595" s="30" t="n">
        <f aca="false">SUMIFS(Trades!$X$2:$X$884,Trades!$D$2:$D$884,$A595)</f>
        <v>-24.48</v>
      </c>
      <c r="G595" s="30" t="n">
        <f aca="false">SUMIFS(Trades!$X$2:$X$884,Trades!$D$2:$D$884,$A595,Trades!$X$2:$X$884,"&gt;0")</f>
        <v>0</v>
      </c>
      <c r="H595" s="30" t="n">
        <f aca="false">SUMIFS(Trades!$X$2:$X$884,Trades!$D$2:$D$884,$A595,Trades!$X$2:$X$884,"&lt;0")</f>
        <v>-24.48</v>
      </c>
      <c r="I595" s="31" t="n">
        <f aca="false">IFERROR(G595/-H595,"no loss")</f>
        <v>0</v>
      </c>
      <c r="J595" s="30" t="n">
        <f aca="false">_xlfn.MAXIFS(Trades!$X$2:$X$884,Trades!$D$2:$D$884,$A595)</f>
        <v>-24.48</v>
      </c>
      <c r="K595" s="30" t="n">
        <f aca="false">_xlfn.MINIFS(Trades!$X$2:$X$884,Trades!$D$2:$D$884,$A595)</f>
        <v>-24.48</v>
      </c>
      <c r="L595" s="32" t="n">
        <f aca="false">SUMIFS(Trades!$Y$2:$Y$884,Trades!$D$2:$D$884,$A595)</f>
        <v>-1.01492537313452</v>
      </c>
      <c r="M595" s="30" t="n">
        <f aca="false">P594</f>
        <v>114809.27</v>
      </c>
      <c r="N595" s="29" t="n">
        <f aca="false">IFERROR(F595/M595,0)</f>
        <v>-0.000213223200530758</v>
      </c>
      <c r="O595" s="28" t="str">
        <f aca="false">IF(-N595&gt;=Summary!$C$7,"BREACH","")</f>
        <v/>
      </c>
      <c r="P595" s="30" t="n">
        <f aca="false">M595+F595</f>
        <v>114784.79</v>
      </c>
      <c r="Q595" s="30" t="n">
        <f aca="false">P595-Summary!$C$5</f>
        <v>14784.7900000001</v>
      </c>
      <c r="R595" s="2" t="str">
        <f aca="false">TEXT(A595,"ddd")</f>
        <v>Fri</v>
      </c>
    </row>
    <row r="596" customFormat="false" ht="15" hidden="false" customHeight="false" outlineLevel="0" collapsed="false">
      <c r="A596" s="42" t="n">
        <v>45999</v>
      </c>
      <c r="B596" s="28" t="n">
        <f aca="false">COUNTIFS(Trades!$D$2:$D$884,$A596)</f>
        <v>1</v>
      </c>
      <c r="C596" s="28" t="n">
        <f aca="false">COUNTIFS(Trades!$D$2:$D$884,$A596,Trades!$Z$2:$Z$884,"Win")</f>
        <v>0</v>
      </c>
      <c r="D596" s="28" t="n">
        <f aca="false">COUNTIFS(Trades!$D$2:$D$884,$A596,Trades!$Z$2:$Z$884,"Loss")</f>
        <v>1</v>
      </c>
      <c r="E596" s="29" t="n">
        <f aca="false">IFERROR(C596/B596,0)</f>
        <v>0</v>
      </c>
      <c r="F596" s="30" t="n">
        <f aca="false">SUMIFS(Trades!$X$2:$X$884,Trades!$D$2:$D$884,$A596)</f>
        <v>-102.88</v>
      </c>
      <c r="G596" s="30" t="n">
        <f aca="false">SUMIFS(Trades!$X$2:$X$884,Trades!$D$2:$D$884,$A596,Trades!$X$2:$X$884,"&gt;0")</f>
        <v>0</v>
      </c>
      <c r="H596" s="30" t="n">
        <f aca="false">SUMIFS(Trades!$X$2:$X$884,Trades!$D$2:$D$884,$A596,Trades!$X$2:$X$884,"&lt;0")</f>
        <v>-102.88</v>
      </c>
      <c r="I596" s="31" t="n">
        <f aca="false">IFERROR(G596/-H596,"no loss")</f>
        <v>0</v>
      </c>
      <c r="J596" s="30" t="n">
        <f aca="false">_xlfn.MAXIFS(Trades!$X$2:$X$884,Trades!$D$2:$D$884,$A596)</f>
        <v>-102.88</v>
      </c>
      <c r="K596" s="30" t="n">
        <f aca="false">_xlfn.MINIFS(Trades!$X$2:$X$884,Trades!$D$2:$D$884,$A596)</f>
        <v>-102.88</v>
      </c>
      <c r="L596" s="32" t="n">
        <f aca="false">SUMIFS(Trades!$Y$2:$Y$884,Trades!$D$2:$D$884,$A596)</f>
        <v>-1.03293172690757</v>
      </c>
      <c r="M596" s="30" t="n">
        <f aca="false">P595</f>
        <v>114784.79</v>
      </c>
      <c r="N596" s="29" t="n">
        <f aca="false">IFERROR(F596/M596,0)</f>
        <v>-0.000896285997474055</v>
      </c>
      <c r="O596" s="28" t="str">
        <f aca="false">IF(-N596&gt;=Summary!$C$7,"BREACH","")</f>
        <v/>
      </c>
      <c r="P596" s="30" t="n">
        <f aca="false">M596+F596</f>
        <v>114681.91</v>
      </c>
      <c r="Q596" s="30" t="n">
        <f aca="false">P596-Summary!$C$5</f>
        <v>14681.9100000001</v>
      </c>
      <c r="R596" s="2" t="str">
        <f aca="false">TEXT(A596,"ddd")</f>
        <v>Mon</v>
      </c>
    </row>
    <row r="597" customFormat="false" ht="15" hidden="false" customHeight="false" outlineLevel="0" collapsed="false">
      <c r="A597" s="42" t="n">
        <v>46001</v>
      </c>
      <c r="B597" s="28" t="n">
        <f aca="false">COUNTIFS(Trades!$D$2:$D$884,$A597)</f>
        <v>2</v>
      </c>
      <c r="C597" s="28" t="n">
        <f aca="false">COUNTIFS(Trades!$D$2:$D$884,$A597,Trades!$Z$2:$Z$884,"Win")</f>
        <v>0</v>
      </c>
      <c r="D597" s="28" t="n">
        <f aca="false">COUNTIFS(Trades!$D$2:$D$884,$A597,Trades!$Z$2:$Z$884,"Loss")</f>
        <v>2</v>
      </c>
      <c r="E597" s="29" t="n">
        <f aca="false">IFERROR(C597/B597,0)</f>
        <v>0</v>
      </c>
      <c r="F597" s="30" t="n">
        <f aca="false">SUMIFS(Trades!$X$2:$X$884,Trades!$D$2:$D$884,$A597)</f>
        <v>-128.52</v>
      </c>
      <c r="G597" s="30" t="n">
        <f aca="false">SUMIFS(Trades!$X$2:$X$884,Trades!$D$2:$D$884,$A597,Trades!$X$2:$X$884,"&gt;0")</f>
        <v>0</v>
      </c>
      <c r="H597" s="30" t="n">
        <f aca="false">SUMIFS(Trades!$X$2:$X$884,Trades!$D$2:$D$884,$A597,Trades!$X$2:$X$884,"&lt;0")</f>
        <v>-128.52</v>
      </c>
      <c r="I597" s="31" t="n">
        <f aca="false">IFERROR(G597/-H597,"no loss")</f>
        <v>0</v>
      </c>
      <c r="J597" s="30" t="n">
        <f aca="false">_xlfn.MAXIFS(Trades!$X$2:$X$884,Trades!$D$2:$D$884,$A597)</f>
        <v>-0.24</v>
      </c>
      <c r="K597" s="30" t="n">
        <f aca="false">_xlfn.MINIFS(Trades!$X$2:$X$884,Trades!$D$2:$D$884,$A597)</f>
        <v>-128.28</v>
      </c>
      <c r="L597" s="32" t="n">
        <f aca="false">SUMIFS(Trades!$Y$2:$Y$884,Trades!$D$2:$D$884,$A597)</f>
        <v>-1.02073909124204</v>
      </c>
      <c r="M597" s="30" t="n">
        <f aca="false">P596</f>
        <v>114681.91</v>
      </c>
      <c r="N597" s="29" t="n">
        <f aca="false">IFERROR(F597/M597,0)</f>
        <v>-0.0011206649767169</v>
      </c>
      <c r="O597" s="28" t="str">
        <f aca="false">IF(-N597&gt;=Summary!$C$7,"BREACH","")</f>
        <v/>
      </c>
      <c r="P597" s="30" t="n">
        <f aca="false">M597+F597</f>
        <v>114553.39</v>
      </c>
      <c r="Q597" s="30" t="n">
        <f aca="false">P597-Summary!$C$5</f>
        <v>14553.3900000001</v>
      </c>
      <c r="R597" s="2" t="str">
        <f aca="false">TEXT(A597,"ddd")</f>
        <v>Wed</v>
      </c>
    </row>
    <row r="598" customFormat="false" ht="15" hidden="false" customHeight="false" outlineLevel="0" collapsed="false">
      <c r="A598" s="42" t="n">
        <v>46002</v>
      </c>
      <c r="B598" s="28" t="n">
        <f aca="false">COUNTIFS(Trades!$D$2:$D$884,$A598)</f>
        <v>1</v>
      </c>
      <c r="C598" s="28" t="n">
        <f aca="false">COUNTIFS(Trades!$D$2:$D$884,$A598,Trades!$Z$2:$Z$884,"Win")</f>
        <v>1</v>
      </c>
      <c r="D598" s="28" t="n">
        <f aca="false">COUNTIFS(Trades!$D$2:$D$884,$A598,Trades!$Z$2:$Z$884,"Loss")</f>
        <v>0</v>
      </c>
      <c r="E598" s="29" t="n">
        <f aca="false">IFERROR(C598/B598,0)</f>
        <v>1</v>
      </c>
      <c r="F598" s="30" t="n">
        <f aca="false">SUMIFS(Trades!$X$2:$X$884,Trades!$D$2:$D$884,$A598)</f>
        <v>198.12</v>
      </c>
      <c r="G598" s="30" t="n">
        <f aca="false">SUMIFS(Trades!$X$2:$X$884,Trades!$D$2:$D$884,$A598,Trades!$X$2:$X$884,"&gt;0")</f>
        <v>198.12</v>
      </c>
      <c r="H598" s="30" t="n">
        <f aca="false">SUMIFS(Trades!$X$2:$X$884,Trades!$D$2:$D$884,$A598,Trades!$X$2:$X$884,"&lt;0")</f>
        <v>0</v>
      </c>
      <c r="I598" s="31" t="str">
        <f aca="false">IFERROR(G598/-H598,"no loss")</f>
        <v>no loss</v>
      </c>
      <c r="J598" s="30" t="n">
        <f aca="false">_xlfn.MAXIFS(Trades!$X$2:$X$884,Trades!$D$2:$D$884,$A598)</f>
        <v>198.12</v>
      </c>
      <c r="K598" s="30" t="n">
        <f aca="false">_xlfn.MINIFS(Trades!$X$2:$X$884,Trades!$D$2:$D$884,$A598)</f>
        <v>198.12</v>
      </c>
      <c r="L598" s="32" t="n">
        <f aca="false">SUMIFS(Trades!$Y$2:$Y$884,Trades!$D$2:$D$884,$A598)</f>
        <v>2.01998368678656</v>
      </c>
      <c r="M598" s="30" t="n">
        <f aca="false">P597</f>
        <v>114553.39</v>
      </c>
      <c r="N598" s="29" t="n">
        <f aca="false">IFERROR(F598/M598,0)</f>
        <v>0.0017294992317556</v>
      </c>
      <c r="O598" s="28" t="str">
        <f aca="false">IF(-N598&gt;=Summary!$C$7,"BREACH","")</f>
        <v/>
      </c>
      <c r="P598" s="30" t="n">
        <f aca="false">M598+F598</f>
        <v>114751.51</v>
      </c>
      <c r="Q598" s="30" t="n">
        <f aca="false">P598-Summary!$C$5</f>
        <v>14751.5100000001</v>
      </c>
      <c r="R598" s="2" t="str">
        <f aca="false">TEXT(A598,"ddd")</f>
        <v>Thu</v>
      </c>
    </row>
    <row r="599" customFormat="false" ht="15" hidden="false" customHeight="false" outlineLevel="0" collapsed="false">
      <c r="A599" s="42" t="n">
        <v>46003</v>
      </c>
      <c r="B599" s="28" t="n">
        <f aca="false">COUNTIFS(Trades!$D$2:$D$884,$A599)</f>
        <v>1</v>
      </c>
      <c r="C599" s="28" t="n">
        <f aca="false">COUNTIFS(Trades!$D$2:$D$884,$A599,Trades!$Z$2:$Z$884,"Win")</f>
        <v>0</v>
      </c>
      <c r="D599" s="28" t="n">
        <f aca="false">COUNTIFS(Trades!$D$2:$D$884,$A599,Trades!$Z$2:$Z$884,"Loss")</f>
        <v>1</v>
      </c>
      <c r="E599" s="29" t="n">
        <f aca="false">IFERROR(C599/B599,0)</f>
        <v>0</v>
      </c>
      <c r="F599" s="30" t="n">
        <f aca="false">SUMIFS(Trades!$X$2:$X$884,Trades!$D$2:$D$884,$A599)</f>
        <v>-1.12</v>
      </c>
      <c r="G599" s="30" t="n">
        <f aca="false">SUMIFS(Trades!$X$2:$X$884,Trades!$D$2:$D$884,$A599,Trades!$X$2:$X$884,"&gt;0")</f>
        <v>0</v>
      </c>
      <c r="H599" s="30" t="n">
        <f aca="false">SUMIFS(Trades!$X$2:$X$884,Trades!$D$2:$D$884,$A599,Trades!$X$2:$X$884,"&lt;0")</f>
        <v>-1.12</v>
      </c>
      <c r="I599" s="31" t="n">
        <f aca="false">IFERROR(G599/-H599,"no loss")</f>
        <v>0</v>
      </c>
      <c r="J599" s="30" t="n">
        <f aca="false">_xlfn.MAXIFS(Trades!$X$2:$X$884,Trades!$D$2:$D$884,$A599)</f>
        <v>-1.12</v>
      </c>
      <c r="K599" s="30" t="n">
        <f aca="false">_xlfn.MINIFS(Trades!$X$2:$X$884,Trades!$D$2:$D$884,$A599)</f>
        <v>-1.12</v>
      </c>
      <c r="L599" s="32" t="n">
        <f aca="false">SUMIFS(Trades!$Y$2:$Y$884,Trades!$D$2:$D$884,$A599)</f>
        <v>-0.00588482555695694</v>
      </c>
      <c r="M599" s="30" t="n">
        <f aca="false">P598</f>
        <v>114751.51</v>
      </c>
      <c r="N599" s="29" t="n">
        <f aca="false">IFERROR(F599/M599,0)</f>
        <v>-9.76022014873703E-006</v>
      </c>
      <c r="O599" s="28" t="str">
        <f aca="false">IF(-N599&gt;=Summary!$C$7,"BREACH","")</f>
        <v/>
      </c>
      <c r="P599" s="30" t="n">
        <f aca="false">M599+F599</f>
        <v>114750.39</v>
      </c>
      <c r="Q599" s="30" t="n">
        <f aca="false">P599-Summary!$C$5</f>
        <v>14750.3900000001</v>
      </c>
      <c r="R599" s="2" t="str">
        <f aca="false">TEXT(A599,"ddd")</f>
        <v>Fri</v>
      </c>
    </row>
    <row r="600" customFormat="false" ht="15" hidden="false" customHeight="false" outlineLevel="0" collapsed="false">
      <c r="A600" s="42" t="n">
        <v>46006</v>
      </c>
      <c r="B600" s="28" t="n">
        <f aca="false">COUNTIFS(Trades!$D$2:$D$884,$A600)</f>
        <v>1</v>
      </c>
      <c r="C600" s="28" t="n">
        <f aca="false">COUNTIFS(Trades!$D$2:$D$884,$A600,Trades!$Z$2:$Z$884,"Win")</f>
        <v>0</v>
      </c>
      <c r="D600" s="28" t="n">
        <f aca="false">COUNTIFS(Trades!$D$2:$D$884,$A600,Trades!$Z$2:$Z$884,"Loss")</f>
        <v>1</v>
      </c>
      <c r="E600" s="29" t="n">
        <f aca="false">IFERROR(C600/B600,0)</f>
        <v>0</v>
      </c>
      <c r="F600" s="30" t="n">
        <f aca="false">SUMIFS(Trades!$X$2:$X$884,Trades!$D$2:$D$884,$A600)</f>
        <v>-220.64</v>
      </c>
      <c r="G600" s="30" t="n">
        <f aca="false">SUMIFS(Trades!$X$2:$X$884,Trades!$D$2:$D$884,$A600,Trades!$X$2:$X$884,"&gt;0")</f>
        <v>0</v>
      </c>
      <c r="H600" s="30" t="n">
        <f aca="false">SUMIFS(Trades!$X$2:$X$884,Trades!$D$2:$D$884,$A600,Trades!$X$2:$X$884,"&lt;0")</f>
        <v>-220.64</v>
      </c>
      <c r="I600" s="31" t="n">
        <f aca="false">IFERROR(G600/-H600,"no loss")</f>
        <v>0</v>
      </c>
      <c r="J600" s="30" t="n">
        <f aca="false">_xlfn.MAXIFS(Trades!$X$2:$X$884,Trades!$D$2:$D$884,$A600)</f>
        <v>-220.64</v>
      </c>
      <c r="K600" s="30" t="n">
        <f aca="false">_xlfn.MINIFS(Trades!$X$2:$X$884,Trades!$D$2:$D$884,$A600)</f>
        <v>-220.64</v>
      </c>
      <c r="L600" s="32" t="n">
        <f aca="false">SUMIFS(Trades!$Y$2:$Y$884,Trades!$D$2:$D$884,$A600)</f>
        <v>-1.00748858447489</v>
      </c>
      <c r="M600" s="30" t="n">
        <f aca="false">P599</f>
        <v>114750.39</v>
      </c>
      <c r="N600" s="29" t="n">
        <f aca="false">IFERROR(F600/M600,0)</f>
        <v>-0.00192278213607814</v>
      </c>
      <c r="O600" s="28" t="str">
        <f aca="false">IF(-N600&gt;=Summary!$C$7,"BREACH","")</f>
        <v/>
      </c>
      <c r="P600" s="30" t="n">
        <f aca="false">M600+F600</f>
        <v>114529.75</v>
      </c>
      <c r="Q600" s="30" t="n">
        <f aca="false">P600-Summary!$C$5</f>
        <v>14529.7500000001</v>
      </c>
      <c r="R600" s="2" t="str">
        <f aca="false">TEXT(A600,"ddd")</f>
        <v>Mon</v>
      </c>
    </row>
    <row r="601" customFormat="false" ht="15" hidden="false" customHeight="false" outlineLevel="0" collapsed="false">
      <c r="A601" s="42" t="n">
        <v>46007</v>
      </c>
      <c r="B601" s="28" t="n">
        <f aca="false">COUNTIFS(Trades!$D$2:$D$884,$A601)</f>
        <v>1</v>
      </c>
      <c r="C601" s="28" t="n">
        <f aca="false">COUNTIFS(Trades!$D$2:$D$884,$A601,Trades!$Z$2:$Z$884,"Win")</f>
        <v>0</v>
      </c>
      <c r="D601" s="28" t="n">
        <f aca="false">COUNTIFS(Trades!$D$2:$D$884,$A601,Trades!$Z$2:$Z$884,"Loss")</f>
        <v>1</v>
      </c>
      <c r="E601" s="29" t="n">
        <f aca="false">IFERROR(C601/B601,0)</f>
        <v>0</v>
      </c>
      <c r="F601" s="30" t="n">
        <f aca="false">SUMIFS(Trades!$X$2:$X$884,Trades!$D$2:$D$884,$A601)</f>
        <v>-2.24</v>
      </c>
      <c r="G601" s="30" t="n">
        <f aca="false">SUMIFS(Trades!$X$2:$X$884,Trades!$D$2:$D$884,$A601,Trades!$X$2:$X$884,"&gt;0")</f>
        <v>0</v>
      </c>
      <c r="H601" s="30" t="n">
        <f aca="false">SUMIFS(Trades!$X$2:$X$884,Trades!$D$2:$D$884,$A601,Trades!$X$2:$X$884,"&lt;0")</f>
        <v>-2.24</v>
      </c>
      <c r="I601" s="31" t="n">
        <f aca="false">IFERROR(G601/-H601,"no loss")</f>
        <v>0</v>
      </c>
      <c r="J601" s="30" t="n">
        <f aca="false">_xlfn.MAXIFS(Trades!$X$2:$X$884,Trades!$D$2:$D$884,$A601)</f>
        <v>-2.24</v>
      </c>
      <c r="K601" s="30" t="n">
        <f aca="false">_xlfn.MINIFS(Trades!$X$2:$X$884,Trades!$D$2:$D$884,$A601)</f>
        <v>-2.24</v>
      </c>
      <c r="L601" s="32" t="n">
        <f aca="false">SUMIFS(Trades!$Y$2:$Y$884,Trades!$D$2:$D$884,$A601)</f>
        <v>-0.0250896057347674</v>
      </c>
      <c r="M601" s="30" t="n">
        <f aca="false">P600</f>
        <v>114529.75</v>
      </c>
      <c r="N601" s="29" t="n">
        <f aca="false">IFERROR(F601/M601,0)</f>
        <v>-1.9558237051945E-005</v>
      </c>
      <c r="O601" s="28" t="str">
        <f aca="false">IF(-N601&gt;=Summary!$C$7,"BREACH","")</f>
        <v/>
      </c>
      <c r="P601" s="30" t="n">
        <f aca="false">M601+F601</f>
        <v>114527.51</v>
      </c>
      <c r="Q601" s="30" t="n">
        <f aca="false">P601-Summary!$C$5</f>
        <v>14527.5100000001</v>
      </c>
      <c r="R601" s="2" t="str">
        <f aca="false">TEXT(A601,"ddd")</f>
        <v>Tue</v>
      </c>
    </row>
    <row r="602" customFormat="false" ht="15" hidden="false" customHeight="false" outlineLevel="0" collapsed="false">
      <c r="A602" s="42" t="n">
        <v>46008</v>
      </c>
      <c r="B602" s="28" t="n">
        <f aca="false">COUNTIFS(Trades!$D$2:$D$884,$A602)</f>
        <v>2</v>
      </c>
      <c r="C602" s="28" t="n">
        <f aca="false">COUNTIFS(Trades!$D$2:$D$884,$A602,Trades!$Z$2:$Z$884,"Win")</f>
        <v>1</v>
      </c>
      <c r="D602" s="28" t="n">
        <f aca="false">COUNTIFS(Trades!$D$2:$D$884,$A602,Trades!$Z$2:$Z$884,"Loss")</f>
        <v>1</v>
      </c>
      <c r="E602" s="29" t="n">
        <f aca="false">IFERROR(C602/B602,0)</f>
        <v>0.5</v>
      </c>
      <c r="F602" s="30" t="n">
        <f aca="false">SUMIFS(Trades!$X$2:$X$884,Trades!$D$2:$D$884,$A602)</f>
        <v>-92.4</v>
      </c>
      <c r="G602" s="30" t="n">
        <f aca="false">SUMIFS(Trades!$X$2:$X$884,Trades!$D$2:$D$884,$A602,Trades!$X$2:$X$884,"&gt;0")</f>
        <v>155.28</v>
      </c>
      <c r="H602" s="30" t="n">
        <f aca="false">SUMIFS(Trades!$X$2:$X$884,Trades!$D$2:$D$884,$A602,Trades!$X$2:$X$884,"&lt;0")</f>
        <v>-247.68</v>
      </c>
      <c r="I602" s="31" t="n">
        <f aca="false">IFERROR(G602/-H602,"no loss")</f>
        <v>0.626937984496124</v>
      </c>
      <c r="J602" s="30" t="n">
        <f aca="false">_xlfn.MAXIFS(Trades!$X$2:$X$884,Trades!$D$2:$D$884,$A602)</f>
        <v>155.28</v>
      </c>
      <c r="K602" s="30" t="n">
        <f aca="false">_xlfn.MINIFS(Trades!$X$2:$X$884,Trades!$D$2:$D$884,$A602)</f>
        <v>-247.68</v>
      </c>
      <c r="L602" s="32" t="n">
        <f aca="false">SUMIFS(Trades!$Y$2:$Y$884,Trades!$D$2:$D$884,$A602)</f>
        <v>0.993758082684614</v>
      </c>
      <c r="M602" s="30" t="n">
        <f aca="false">P601</f>
        <v>114527.51</v>
      </c>
      <c r="N602" s="29" t="n">
        <f aca="false">IFERROR(F602/M602,0)</f>
        <v>-0.000806793057842609</v>
      </c>
      <c r="O602" s="28" t="str">
        <f aca="false">IF(-N602&gt;=Summary!$C$7,"BREACH","")</f>
        <v/>
      </c>
      <c r="P602" s="30" t="n">
        <f aca="false">M602+F602</f>
        <v>114435.11</v>
      </c>
      <c r="Q602" s="30" t="n">
        <f aca="false">P602-Summary!$C$5</f>
        <v>14435.1100000001</v>
      </c>
      <c r="R602" s="2" t="str">
        <f aca="false">TEXT(A602,"ddd")</f>
        <v>Wed</v>
      </c>
    </row>
    <row r="603" customFormat="false" ht="15" hidden="false" customHeight="false" outlineLevel="0" collapsed="false">
      <c r="A603" s="42" t="n">
        <v>46010</v>
      </c>
      <c r="B603" s="28" t="n">
        <f aca="false">COUNTIFS(Trades!$D$2:$D$884,$A603)</f>
        <v>1</v>
      </c>
      <c r="C603" s="28" t="n">
        <f aca="false">COUNTIFS(Trades!$D$2:$D$884,$A603,Trades!$Z$2:$Z$884,"Win")</f>
        <v>0</v>
      </c>
      <c r="D603" s="28" t="n">
        <f aca="false">COUNTIFS(Trades!$D$2:$D$884,$A603,Trades!$Z$2:$Z$884,"Loss")</f>
        <v>1</v>
      </c>
      <c r="E603" s="29" t="n">
        <f aca="false">IFERROR(C603/B603,0)</f>
        <v>0</v>
      </c>
      <c r="F603" s="30" t="n">
        <f aca="false">SUMIFS(Trades!$X$2:$X$884,Trades!$D$2:$D$884,$A603)</f>
        <v>-3.72</v>
      </c>
      <c r="G603" s="30" t="n">
        <f aca="false">SUMIFS(Trades!$X$2:$X$884,Trades!$D$2:$D$884,$A603,Trades!$X$2:$X$884,"&gt;0")</f>
        <v>0</v>
      </c>
      <c r="H603" s="30" t="n">
        <f aca="false">SUMIFS(Trades!$X$2:$X$884,Trades!$D$2:$D$884,$A603,Trades!$X$2:$X$884,"&lt;0")</f>
        <v>-3.72</v>
      </c>
      <c r="I603" s="31" t="n">
        <f aca="false">IFERROR(G603/-H603,"no loss")</f>
        <v>0</v>
      </c>
      <c r="J603" s="30" t="n">
        <f aca="false">_xlfn.MAXIFS(Trades!$X$2:$X$884,Trades!$D$2:$D$884,$A603)</f>
        <v>-3.72</v>
      </c>
      <c r="K603" s="30" t="n">
        <f aca="false">_xlfn.MINIFS(Trades!$X$2:$X$884,Trades!$D$2:$D$884,$A603)</f>
        <v>-3.72</v>
      </c>
      <c r="L603" s="32" t="n">
        <f aca="false">SUMIFS(Trades!$Y$2:$Y$884,Trades!$D$2:$D$884,$A603)</f>
        <v>-0.0220170454545446</v>
      </c>
      <c r="M603" s="30" t="n">
        <f aca="false">P602</f>
        <v>114435.11</v>
      </c>
      <c r="N603" s="29" t="n">
        <f aca="false">IFERROR(F603/M603,0)</f>
        <v>-3.25075057820978E-005</v>
      </c>
      <c r="O603" s="28" t="str">
        <f aca="false">IF(-N603&gt;=Summary!$C$7,"BREACH","")</f>
        <v/>
      </c>
      <c r="P603" s="30" t="n">
        <f aca="false">M603+F603</f>
        <v>114431.39</v>
      </c>
      <c r="Q603" s="30" t="n">
        <f aca="false">P603-Summary!$C$5</f>
        <v>14431.3900000001</v>
      </c>
      <c r="R603" s="2" t="str">
        <f aca="false">TEXT(A603,"ddd")</f>
        <v>Fri</v>
      </c>
    </row>
    <row r="604" customFormat="false" ht="15" hidden="false" customHeight="false" outlineLevel="0" collapsed="false">
      <c r="A604" s="42" t="n">
        <v>46013</v>
      </c>
      <c r="B604" s="28" t="n">
        <f aca="false">COUNTIFS(Trades!$D$2:$D$884,$A604)</f>
        <v>1</v>
      </c>
      <c r="C604" s="28" t="n">
        <f aca="false">COUNTIFS(Trades!$D$2:$D$884,$A604,Trades!$Z$2:$Z$884,"Win")</f>
        <v>0</v>
      </c>
      <c r="D604" s="28" t="n">
        <f aca="false">COUNTIFS(Trades!$D$2:$D$884,$A604,Trades!$Z$2:$Z$884,"Loss")</f>
        <v>1</v>
      </c>
      <c r="E604" s="29" t="n">
        <f aca="false">IFERROR(C604/B604,0)</f>
        <v>0</v>
      </c>
      <c r="F604" s="30" t="n">
        <f aca="false">SUMIFS(Trades!$X$2:$X$884,Trades!$D$2:$D$884,$A604)</f>
        <v>-107.32</v>
      </c>
      <c r="G604" s="30" t="n">
        <f aca="false">SUMIFS(Trades!$X$2:$X$884,Trades!$D$2:$D$884,$A604,Trades!$X$2:$X$884,"&gt;0")</f>
        <v>0</v>
      </c>
      <c r="H604" s="30" t="n">
        <f aca="false">SUMIFS(Trades!$X$2:$X$884,Trades!$D$2:$D$884,$A604,Trades!$X$2:$X$884,"&lt;0")</f>
        <v>-107.32</v>
      </c>
      <c r="I604" s="31" t="n">
        <f aca="false">IFERROR(G604/-H604,"no loss")</f>
        <v>0</v>
      </c>
      <c r="J604" s="30" t="n">
        <f aca="false">_xlfn.MAXIFS(Trades!$X$2:$X$884,Trades!$D$2:$D$884,$A604)</f>
        <v>-107.32</v>
      </c>
      <c r="K604" s="30" t="n">
        <f aca="false">_xlfn.MINIFS(Trades!$X$2:$X$884,Trades!$D$2:$D$884,$A604)</f>
        <v>-107.32</v>
      </c>
      <c r="L604" s="32" t="n">
        <f aca="false">SUMIFS(Trades!$Y$2:$Y$884,Trades!$D$2:$D$884,$A604)</f>
        <v>-1.04275165176838</v>
      </c>
      <c r="M604" s="30" t="n">
        <f aca="false">P603</f>
        <v>114431.39</v>
      </c>
      <c r="N604" s="29" t="n">
        <f aca="false">IFERROR(F604/M604,0)</f>
        <v>-0.000937854551972146</v>
      </c>
      <c r="O604" s="28" t="str">
        <f aca="false">IF(-N604&gt;=Summary!$C$7,"BREACH","")</f>
        <v/>
      </c>
      <c r="P604" s="30" t="n">
        <f aca="false">M604+F604</f>
        <v>114324.07</v>
      </c>
      <c r="Q604" s="30" t="n">
        <f aca="false">P604-Summary!$C$5</f>
        <v>14324.0700000001</v>
      </c>
      <c r="R604" s="2" t="str">
        <f aca="false">TEXT(A604,"ddd")</f>
        <v>Mon</v>
      </c>
    </row>
    <row r="605" customFormat="false" ht="15" hidden="false" customHeight="false" outlineLevel="0" collapsed="false">
      <c r="A605" s="42" t="n">
        <v>46014</v>
      </c>
      <c r="B605" s="28" t="n">
        <f aca="false">COUNTIFS(Trades!$D$2:$D$884,$A605)</f>
        <v>2</v>
      </c>
      <c r="C605" s="28" t="n">
        <f aca="false">COUNTIFS(Trades!$D$2:$D$884,$A605,Trades!$Z$2:$Z$884,"Win")</f>
        <v>1</v>
      </c>
      <c r="D605" s="28" t="n">
        <f aca="false">COUNTIFS(Trades!$D$2:$D$884,$A605,Trades!$Z$2:$Z$884,"Loss")</f>
        <v>1</v>
      </c>
      <c r="E605" s="29" t="n">
        <f aca="false">IFERROR(C605/B605,0)</f>
        <v>0.5</v>
      </c>
      <c r="F605" s="30" t="n">
        <f aca="false">SUMIFS(Trades!$X$2:$X$884,Trades!$D$2:$D$884,$A605)</f>
        <v>-60.2</v>
      </c>
      <c r="G605" s="30" t="n">
        <f aca="false">SUMIFS(Trades!$X$2:$X$884,Trades!$D$2:$D$884,$A605,Trades!$X$2:$X$884,"&gt;0")</f>
        <v>40.76</v>
      </c>
      <c r="H605" s="30" t="n">
        <f aca="false">SUMIFS(Trades!$X$2:$X$884,Trades!$D$2:$D$884,$A605,Trades!$X$2:$X$884,"&lt;0")</f>
        <v>-100.96</v>
      </c>
      <c r="I605" s="31" t="n">
        <f aca="false">IFERROR(G605/-H605,"no loss")</f>
        <v>0.403724247226624</v>
      </c>
      <c r="J605" s="30" t="n">
        <f aca="false">_xlfn.MAXIFS(Trades!$X$2:$X$884,Trades!$D$2:$D$884,$A605)</f>
        <v>40.76</v>
      </c>
      <c r="K605" s="30" t="n">
        <f aca="false">_xlfn.MINIFS(Trades!$X$2:$X$884,Trades!$D$2:$D$884,$A605)</f>
        <v>-100.96</v>
      </c>
      <c r="L605" s="32" t="n">
        <f aca="false">SUMIFS(Trades!$Y$2:$Y$884,Trades!$D$2:$D$884,$A605)</f>
        <v>1.00272586157185</v>
      </c>
      <c r="M605" s="30" t="n">
        <f aca="false">P604</f>
        <v>114324.07</v>
      </c>
      <c r="N605" s="29" t="n">
        <f aca="false">IFERROR(F605/M605,0)</f>
        <v>-0.0005265732754266</v>
      </c>
      <c r="O605" s="28" t="str">
        <f aca="false">IF(-N605&gt;=Summary!$C$7,"BREACH","")</f>
        <v/>
      </c>
      <c r="P605" s="30" t="n">
        <f aca="false">M605+F605</f>
        <v>114263.87</v>
      </c>
      <c r="Q605" s="30" t="n">
        <f aca="false">P605-Summary!$C$5</f>
        <v>14263.8700000001</v>
      </c>
      <c r="R605" s="2" t="str">
        <f aca="false">TEXT(A605,"ddd")</f>
        <v>Tue</v>
      </c>
    </row>
    <row r="606" customFormat="false" ht="15" hidden="false" customHeight="false" outlineLevel="0" collapsed="false">
      <c r="A606" s="42" t="n">
        <v>46015</v>
      </c>
      <c r="B606" s="28" t="n">
        <f aca="false">COUNTIFS(Trades!$D$2:$D$884,$A606)</f>
        <v>1</v>
      </c>
      <c r="C606" s="28" t="n">
        <f aca="false">COUNTIFS(Trades!$D$2:$D$884,$A606,Trades!$Z$2:$Z$884,"Win")</f>
        <v>0</v>
      </c>
      <c r="D606" s="28" t="n">
        <f aca="false">COUNTIFS(Trades!$D$2:$D$884,$A606,Trades!$Z$2:$Z$884,"Loss")</f>
        <v>1</v>
      </c>
      <c r="E606" s="29" t="n">
        <f aca="false">IFERROR(C606/B606,0)</f>
        <v>0</v>
      </c>
      <c r="F606" s="30" t="n">
        <f aca="false">SUMIFS(Trades!$X$2:$X$884,Trades!$D$2:$D$884,$A606)</f>
        <v>-31.32</v>
      </c>
      <c r="G606" s="30" t="n">
        <f aca="false">SUMIFS(Trades!$X$2:$X$884,Trades!$D$2:$D$884,$A606,Trades!$X$2:$X$884,"&gt;0")</f>
        <v>0</v>
      </c>
      <c r="H606" s="30" t="n">
        <f aca="false">SUMIFS(Trades!$X$2:$X$884,Trades!$D$2:$D$884,$A606,Trades!$X$2:$X$884,"&lt;0")</f>
        <v>-31.32</v>
      </c>
      <c r="I606" s="31" t="n">
        <f aca="false">IFERROR(G606/-H606,"no loss")</f>
        <v>0</v>
      </c>
      <c r="J606" s="30" t="n">
        <f aca="false">_xlfn.MAXIFS(Trades!$X$2:$X$884,Trades!$D$2:$D$884,$A606)</f>
        <v>-31.32</v>
      </c>
      <c r="K606" s="30" t="n">
        <f aca="false">_xlfn.MINIFS(Trades!$X$2:$X$884,Trades!$D$2:$D$884,$A606)</f>
        <v>-31.32</v>
      </c>
      <c r="L606" s="32" t="n">
        <f aca="false">SUMIFS(Trades!$Y$2:$Y$884,Trades!$D$2:$D$884,$A606)</f>
        <v>-1.01424870466306</v>
      </c>
      <c r="M606" s="30" t="n">
        <f aca="false">P605</f>
        <v>114263.87</v>
      </c>
      <c r="N606" s="29" t="n">
        <f aca="false">IFERROR(F606/M606,0)</f>
        <v>-0.000274102391245807</v>
      </c>
      <c r="O606" s="28" t="str">
        <f aca="false">IF(-N606&gt;=Summary!$C$7,"BREACH","")</f>
        <v/>
      </c>
      <c r="P606" s="30" t="n">
        <f aca="false">M606+F606</f>
        <v>114232.55</v>
      </c>
      <c r="Q606" s="30" t="n">
        <f aca="false">P606-Summary!$C$5</f>
        <v>14232.5500000001</v>
      </c>
      <c r="R606" s="2" t="str">
        <f aca="false">TEXT(A606,"ddd")</f>
        <v>Wed</v>
      </c>
    </row>
    <row r="607" customFormat="false" ht="15" hidden="false" customHeight="false" outlineLevel="0" collapsed="false">
      <c r="A607" s="42" t="n">
        <v>46017</v>
      </c>
      <c r="B607" s="28" t="n">
        <f aca="false">COUNTIFS(Trades!$D$2:$D$884,$A607)</f>
        <v>1</v>
      </c>
      <c r="C607" s="28" t="n">
        <f aca="false">COUNTIFS(Trades!$D$2:$D$884,$A607,Trades!$Z$2:$Z$884,"Win")</f>
        <v>0</v>
      </c>
      <c r="D607" s="28" t="n">
        <f aca="false">COUNTIFS(Trades!$D$2:$D$884,$A607,Trades!$Z$2:$Z$884,"Loss")</f>
        <v>1</v>
      </c>
      <c r="E607" s="29" t="n">
        <f aca="false">IFERROR(C607/B607,0)</f>
        <v>0</v>
      </c>
      <c r="F607" s="30" t="n">
        <f aca="false">SUMIFS(Trades!$X$2:$X$884,Trades!$D$2:$D$884,$A607)</f>
        <v>-80.88</v>
      </c>
      <c r="G607" s="30" t="n">
        <f aca="false">SUMIFS(Trades!$X$2:$X$884,Trades!$D$2:$D$884,$A607,Trades!$X$2:$X$884,"&gt;0")</f>
        <v>0</v>
      </c>
      <c r="H607" s="30" t="n">
        <f aca="false">SUMIFS(Trades!$X$2:$X$884,Trades!$D$2:$D$884,$A607,Trades!$X$2:$X$884,"&lt;0")</f>
        <v>-80.88</v>
      </c>
      <c r="I607" s="31" t="n">
        <f aca="false">IFERROR(G607/-H607,"no loss")</f>
        <v>0</v>
      </c>
      <c r="J607" s="30" t="n">
        <f aca="false">_xlfn.MAXIFS(Trades!$X$2:$X$884,Trades!$D$2:$D$884,$A607)</f>
        <v>-80.88</v>
      </c>
      <c r="K607" s="30" t="n">
        <f aca="false">_xlfn.MINIFS(Trades!$X$2:$X$884,Trades!$D$2:$D$884,$A607)</f>
        <v>-80.88</v>
      </c>
      <c r="L607" s="32" t="n">
        <f aca="false">SUMIFS(Trades!$Y$2:$Y$884,Trades!$D$2:$D$884,$A607)</f>
        <v>-1.00347394540936</v>
      </c>
      <c r="M607" s="30" t="n">
        <f aca="false">P606</f>
        <v>114232.55</v>
      </c>
      <c r="N607" s="29" t="n">
        <f aca="false">IFERROR(F607/M607,0)</f>
        <v>-0.000708029366410887</v>
      </c>
      <c r="O607" s="28" t="str">
        <f aca="false">IF(-N607&gt;=Summary!$C$7,"BREACH","")</f>
        <v/>
      </c>
      <c r="P607" s="30" t="n">
        <f aca="false">M607+F607</f>
        <v>114151.67</v>
      </c>
      <c r="Q607" s="30" t="n">
        <f aca="false">P607-Summary!$C$5</f>
        <v>14151.6700000001</v>
      </c>
      <c r="R607" s="2" t="str">
        <f aca="false">TEXT(A607,"ddd")</f>
        <v>Fri</v>
      </c>
    </row>
    <row r="608" customFormat="false" ht="15" hidden="false" customHeight="false" outlineLevel="0" collapsed="false">
      <c r="A608" s="42" t="n">
        <v>46020</v>
      </c>
      <c r="B608" s="28" t="n">
        <f aca="false">COUNTIFS(Trades!$D$2:$D$884,$A608)</f>
        <v>1</v>
      </c>
      <c r="C608" s="28" t="n">
        <f aca="false">COUNTIFS(Trades!$D$2:$D$884,$A608,Trades!$Z$2:$Z$884,"Win")</f>
        <v>0</v>
      </c>
      <c r="D608" s="28" t="n">
        <f aca="false">COUNTIFS(Trades!$D$2:$D$884,$A608,Trades!$Z$2:$Z$884,"Loss")</f>
        <v>1</v>
      </c>
      <c r="E608" s="29" t="n">
        <f aca="false">IFERROR(C608/B608,0)</f>
        <v>0</v>
      </c>
      <c r="F608" s="30" t="n">
        <f aca="false">SUMIFS(Trades!$X$2:$X$884,Trades!$D$2:$D$884,$A608)</f>
        <v>-35.56</v>
      </c>
      <c r="G608" s="30" t="n">
        <f aca="false">SUMIFS(Trades!$X$2:$X$884,Trades!$D$2:$D$884,$A608,Trades!$X$2:$X$884,"&gt;0")</f>
        <v>0</v>
      </c>
      <c r="H608" s="30" t="n">
        <f aca="false">SUMIFS(Trades!$X$2:$X$884,Trades!$D$2:$D$884,$A608,Trades!$X$2:$X$884,"&lt;0")</f>
        <v>-35.56</v>
      </c>
      <c r="I608" s="31" t="n">
        <f aca="false">IFERROR(G608/-H608,"no loss")</f>
        <v>0</v>
      </c>
      <c r="J608" s="30" t="n">
        <f aca="false">_xlfn.MAXIFS(Trades!$X$2:$X$884,Trades!$D$2:$D$884,$A608)</f>
        <v>-35.56</v>
      </c>
      <c r="K608" s="30" t="n">
        <f aca="false">_xlfn.MINIFS(Trades!$X$2:$X$884,Trades!$D$2:$D$884,$A608)</f>
        <v>-35.56</v>
      </c>
      <c r="L608" s="32" t="n">
        <f aca="false">SUMIFS(Trades!$Y$2:$Y$884,Trades!$D$2:$D$884,$A608)</f>
        <v>-1.07496977025387</v>
      </c>
      <c r="M608" s="30" t="n">
        <f aca="false">P607</f>
        <v>114151.67</v>
      </c>
      <c r="N608" s="29" t="n">
        <f aca="false">IFERROR(F608/M608,0)</f>
        <v>-0.000311515372486447</v>
      </c>
      <c r="O608" s="28" t="str">
        <f aca="false">IF(-N608&gt;=Summary!$C$7,"BREACH","")</f>
        <v/>
      </c>
      <c r="P608" s="30" t="n">
        <f aca="false">M608+F608</f>
        <v>114116.11</v>
      </c>
      <c r="Q608" s="30" t="n">
        <f aca="false">P608-Summary!$C$5</f>
        <v>14116.1100000001</v>
      </c>
      <c r="R608" s="2" t="str">
        <f aca="false">TEXT(A608,"ddd")</f>
        <v>Mon</v>
      </c>
    </row>
    <row r="609" customFormat="false" ht="15" hidden="false" customHeight="false" outlineLevel="0" collapsed="false">
      <c r="A609" s="42" t="n">
        <v>46022</v>
      </c>
      <c r="B609" s="28" t="n">
        <f aca="false">COUNTIFS(Trades!$D$2:$D$884,$A609)</f>
        <v>1</v>
      </c>
      <c r="C609" s="28" t="n">
        <f aca="false">COUNTIFS(Trades!$D$2:$D$884,$A609,Trades!$Z$2:$Z$884,"Win")</f>
        <v>0</v>
      </c>
      <c r="D609" s="28" t="n">
        <f aca="false">COUNTIFS(Trades!$D$2:$D$884,$A609,Trades!$Z$2:$Z$884,"Loss")</f>
        <v>1</v>
      </c>
      <c r="E609" s="29" t="n">
        <f aca="false">IFERROR(C609/B609,0)</f>
        <v>0</v>
      </c>
      <c r="F609" s="30" t="n">
        <f aca="false">SUMIFS(Trades!$X$2:$X$884,Trades!$D$2:$D$884,$A609)</f>
        <v>-49.08</v>
      </c>
      <c r="G609" s="30" t="n">
        <f aca="false">SUMIFS(Trades!$X$2:$X$884,Trades!$D$2:$D$884,$A609,Trades!$X$2:$X$884,"&gt;0")</f>
        <v>0</v>
      </c>
      <c r="H609" s="30" t="n">
        <f aca="false">SUMIFS(Trades!$X$2:$X$884,Trades!$D$2:$D$884,$A609,Trades!$X$2:$X$884,"&lt;0")</f>
        <v>-49.08</v>
      </c>
      <c r="I609" s="31" t="n">
        <f aca="false">IFERROR(G609/-H609,"no loss")</f>
        <v>0</v>
      </c>
      <c r="J609" s="30" t="n">
        <f aca="false">_xlfn.MAXIFS(Trades!$X$2:$X$884,Trades!$D$2:$D$884,$A609)</f>
        <v>-49.08</v>
      </c>
      <c r="K609" s="30" t="n">
        <f aca="false">_xlfn.MINIFS(Trades!$X$2:$X$884,Trades!$D$2:$D$884,$A609)</f>
        <v>-49.08</v>
      </c>
      <c r="L609" s="32" t="n">
        <f aca="false">SUMIFS(Trades!$Y$2:$Y$884,Trades!$D$2:$D$884,$A609)</f>
        <v>-1.01154163231679</v>
      </c>
      <c r="M609" s="30" t="n">
        <f aca="false">P608</f>
        <v>114116.11</v>
      </c>
      <c r="N609" s="29" t="n">
        <f aca="false">IFERROR(F609/M609,0)</f>
        <v>-0.000430088267116711</v>
      </c>
      <c r="O609" s="28" t="str">
        <f aca="false">IF(-N609&gt;=Summary!$C$7,"BREACH","")</f>
        <v/>
      </c>
      <c r="P609" s="30" t="n">
        <f aca="false">M609+F609</f>
        <v>114067.03</v>
      </c>
      <c r="Q609" s="30" t="n">
        <f aca="false">P609-Summary!$C$5</f>
        <v>14067.0300000001</v>
      </c>
      <c r="R609" s="2" t="str">
        <f aca="false">TEXT(A609,"ddd")</f>
        <v>Wed</v>
      </c>
    </row>
    <row r="610" customFormat="false" ht="15" hidden="false" customHeight="false" outlineLevel="0" collapsed="false">
      <c r="A610" s="42" t="n">
        <v>46024</v>
      </c>
      <c r="B610" s="28" t="n">
        <f aca="false">COUNTIFS(Trades!$D$2:$D$884,$A610)</f>
        <v>2</v>
      </c>
      <c r="C610" s="28" t="n">
        <f aca="false">COUNTIFS(Trades!$D$2:$D$884,$A610,Trades!$Z$2:$Z$884,"Win")</f>
        <v>0</v>
      </c>
      <c r="D610" s="28" t="n">
        <f aca="false">COUNTIFS(Trades!$D$2:$D$884,$A610,Trades!$Z$2:$Z$884,"Loss")</f>
        <v>2</v>
      </c>
      <c r="E610" s="29" t="n">
        <f aca="false">IFERROR(C610/B610,0)</f>
        <v>0</v>
      </c>
      <c r="F610" s="30" t="n">
        <f aca="false">SUMIFS(Trades!$X$2:$X$884,Trades!$D$2:$D$884,$A610)</f>
        <v>-5</v>
      </c>
      <c r="G610" s="30" t="n">
        <f aca="false">SUMIFS(Trades!$X$2:$X$884,Trades!$D$2:$D$884,$A610,Trades!$X$2:$X$884,"&gt;0")</f>
        <v>0</v>
      </c>
      <c r="H610" s="30" t="n">
        <f aca="false">SUMIFS(Trades!$X$2:$X$884,Trades!$D$2:$D$884,$A610,Trades!$X$2:$X$884,"&lt;0")</f>
        <v>-5</v>
      </c>
      <c r="I610" s="31" t="n">
        <f aca="false">IFERROR(G610/-H610,"no loss")</f>
        <v>0</v>
      </c>
      <c r="J610" s="30" t="n">
        <f aca="false">_xlfn.MAXIFS(Trades!$X$2:$X$884,Trades!$D$2:$D$884,$A610)</f>
        <v>-1.6</v>
      </c>
      <c r="K610" s="30" t="n">
        <f aca="false">_xlfn.MINIFS(Trades!$X$2:$X$884,Trades!$D$2:$D$884,$A610)</f>
        <v>-3.4</v>
      </c>
      <c r="L610" s="32" t="n">
        <f aca="false">SUMIFS(Trades!$Y$2:$Y$884,Trades!$D$2:$D$884,$A610)</f>
        <v>-0.0483621510074989</v>
      </c>
      <c r="M610" s="30" t="n">
        <f aca="false">P609</f>
        <v>114067.03</v>
      </c>
      <c r="N610" s="29" t="n">
        <f aca="false">IFERROR(F610/M610,0)</f>
        <v>-4.38338755729854E-005</v>
      </c>
      <c r="O610" s="28" t="str">
        <f aca="false">IF(-N610&gt;=Summary!$C$7,"BREACH","")</f>
        <v/>
      </c>
      <c r="P610" s="30" t="n">
        <f aca="false">M610+F610</f>
        <v>114062.03</v>
      </c>
      <c r="Q610" s="30" t="n">
        <f aca="false">P610-Summary!$C$5</f>
        <v>14062.0300000001</v>
      </c>
      <c r="R610" s="2" t="str">
        <f aca="false">TEXT(A610,"ddd")</f>
        <v>Fri</v>
      </c>
    </row>
    <row r="611" customFormat="false" ht="15" hidden="false" customHeight="false" outlineLevel="0" collapsed="false">
      <c r="A611" s="42" t="n">
        <v>46028</v>
      </c>
      <c r="B611" s="28" t="n">
        <f aca="false">COUNTIFS(Trades!$D$2:$D$884,$A611)</f>
        <v>1</v>
      </c>
      <c r="C611" s="28" t="n">
        <f aca="false">COUNTIFS(Trades!$D$2:$D$884,$A611,Trades!$Z$2:$Z$884,"Win")</f>
        <v>0</v>
      </c>
      <c r="D611" s="28" t="n">
        <f aca="false">COUNTIFS(Trades!$D$2:$D$884,$A611,Trades!$Z$2:$Z$884,"Loss")</f>
        <v>1</v>
      </c>
      <c r="E611" s="29" t="n">
        <f aca="false">IFERROR(C611/B611,0)</f>
        <v>0</v>
      </c>
      <c r="F611" s="30" t="n">
        <f aca="false">SUMIFS(Trades!$X$2:$X$884,Trades!$D$2:$D$884,$A611)</f>
        <v>-0.52</v>
      </c>
      <c r="G611" s="30" t="n">
        <f aca="false">SUMIFS(Trades!$X$2:$X$884,Trades!$D$2:$D$884,$A611,Trades!$X$2:$X$884,"&gt;0")</f>
        <v>0</v>
      </c>
      <c r="H611" s="30" t="n">
        <f aca="false">SUMIFS(Trades!$X$2:$X$884,Trades!$D$2:$D$884,$A611,Trades!$X$2:$X$884,"&lt;0")</f>
        <v>-0.52</v>
      </c>
      <c r="I611" s="31" t="n">
        <f aca="false">IFERROR(G611/-H611,"no loss")</f>
        <v>0</v>
      </c>
      <c r="J611" s="30" t="n">
        <f aca="false">_xlfn.MAXIFS(Trades!$X$2:$X$884,Trades!$D$2:$D$884,$A611)</f>
        <v>-0.52</v>
      </c>
      <c r="K611" s="30" t="n">
        <f aca="false">_xlfn.MINIFS(Trades!$X$2:$X$884,Trades!$D$2:$D$884,$A611)</f>
        <v>-0.52</v>
      </c>
      <c r="L611" s="32" t="n">
        <f aca="false">SUMIFS(Trades!$Y$2:$Y$884,Trades!$D$2:$D$884,$A611)</f>
        <v>-0.00284215128989956</v>
      </c>
      <c r="M611" s="30" t="n">
        <f aca="false">P610</f>
        <v>114062.03</v>
      </c>
      <c r="N611" s="29" t="n">
        <f aca="false">IFERROR(F611/M611,0)</f>
        <v>-4.5589228948494E-006</v>
      </c>
      <c r="O611" s="28" t="str">
        <f aca="false">IF(-N611&gt;=Summary!$C$7,"BREACH","")</f>
        <v/>
      </c>
      <c r="P611" s="30" t="n">
        <f aca="false">M611+F611</f>
        <v>114061.51</v>
      </c>
      <c r="Q611" s="30" t="n">
        <f aca="false">P611-Summary!$C$5</f>
        <v>14061.5100000001</v>
      </c>
      <c r="R611" s="2" t="str">
        <f aca="false">TEXT(A611,"ddd")</f>
        <v>Tue</v>
      </c>
    </row>
    <row r="612" customFormat="false" ht="15" hidden="false" customHeight="false" outlineLevel="0" collapsed="false">
      <c r="A612" s="42" t="n">
        <v>46029</v>
      </c>
      <c r="B612" s="28" t="n">
        <f aca="false">COUNTIFS(Trades!$D$2:$D$884,$A612)</f>
        <v>1</v>
      </c>
      <c r="C612" s="28" t="n">
        <f aca="false">COUNTIFS(Trades!$D$2:$D$884,$A612,Trades!$Z$2:$Z$884,"Win")</f>
        <v>0</v>
      </c>
      <c r="D612" s="28" t="n">
        <f aca="false">COUNTIFS(Trades!$D$2:$D$884,$A612,Trades!$Z$2:$Z$884,"Loss")</f>
        <v>1</v>
      </c>
      <c r="E612" s="29" t="n">
        <f aca="false">IFERROR(C612/B612,0)</f>
        <v>0</v>
      </c>
      <c r="F612" s="30" t="n">
        <f aca="false">SUMIFS(Trades!$X$2:$X$884,Trades!$D$2:$D$884,$A612)</f>
        <v>-51.52</v>
      </c>
      <c r="G612" s="30" t="n">
        <f aca="false">SUMIFS(Trades!$X$2:$X$884,Trades!$D$2:$D$884,$A612,Trades!$X$2:$X$884,"&gt;0")</f>
        <v>0</v>
      </c>
      <c r="H612" s="30" t="n">
        <f aca="false">SUMIFS(Trades!$X$2:$X$884,Trades!$D$2:$D$884,$A612,Trades!$X$2:$X$884,"&lt;0")</f>
        <v>-51.52</v>
      </c>
      <c r="I612" s="31" t="n">
        <f aca="false">IFERROR(G612/-H612,"no loss")</f>
        <v>0</v>
      </c>
      <c r="J612" s="30" t="n">
        <f aca="false">_xlfn.MAXIFS(Trades!$X$2:$X$884,Trades!$D$2:$D$884,$A612)</f>
        <v>-51.52</v>
      </c>
      <c r="K612" s="30" t="n">
        <f aca="false">_xlfn.MINIFS(Trades!$X$2:$X$884,Trades!$D$2:$D$884,$A612)</f>
        <v>-51.52</v>
      </c>
      <c r="L612" s="32" t="n">
        <f aca="false">SUMIFS(Trades!$Y$2:$Y$884,Trades!$D$2:$D$884,$A612)</f>
        <v>-1.06008230452662</v>
      </c>
      <c r="M612" s="30" t="n">
        <f aca="false">P611</f>
        <v>114061.51</v>
      </c>
      <c r="N612" s="29" t="n">
        <f aca="false">IFERROR(F612/M612,0)</f>
        <v>-0.000451686112168776</v>
      </c>
      <c r="O612" s="28" t="str">
        <f aca="false">IF(-N612&gt;=Summary!$C$7,"BREACH","")</f>
        <v/>
      </c>
      <c r="P612" s="30" t="n">
        <f aca="false">M612+F612</f>
        <v>114009.99</v>
      </c>
      <c r="Q612" s="30" t="n">
        <f aca="false">P612-Summary!$C$5</f>
        <v>14009.9900000001</v>
      </c>
      <c r="R612" s="2" t="str">
        <f aca="false">TEXT(A612,"ddd")</f>
        <v>Wed</v>
      </c>
    </row>
    <row r="613" customFormat="false" ht="15" hidden="false" customHeight="false" outlineLevel="0" collapsed="false">
      <c r="A613" s="42" t="n">
        <v>46030</v>
      </c>
      <c r="B613" s="28" t="n">
        <f aca="false">COUNTIFS(Trades!$D$2:$D$884,$A613)</f>
        <v>1</v>
      </c>
      <c r="C613" s="28" t="n">
        <f aca="false">COUNTIFS(Trades!$D$2:$D$884,$A613,Trades!$Z$2:$Z$884,"Win")</f>
        <v>1</v>
      </c>
      <c r="D613" s="28" t="n">
        <f aca="false">COUNTIFS(Trades!$D$2:$D$884,$A613,Trades!$Z$2:$Z$884,"Loss")</f>
        <v>0</v>
      </c>
      <c r="E613" s="29" t="n">
        <f aca="false">IFERROR(C613/B613,0)</f>
        <v>1</v>
      </c>
      <c r="F613" s="30" t="n">
        <f aca="false">SUMIFS(Trades!$X$2:$X$884,Trades!$D$2:$D$884,$A613)</f>
        <v>99.84</v>
      </c>
      <c r="G613" s="30" t="n">
        <f aca="false">SUMIFS(Trades!$X$2:$X$884,Trades!$D$2:$D$884,$A613,Trades!$X$2:$X$884,"&gt;0")</f>
        <v>99.84</v>
      </c>
      <c r="H613" s="30" t="n">
        <f aca="false">SUMIFS(Trades!$X$2:$X$884,Trades!$D$2:$D$884,$A613,Trades!$X$2:$X$884,"&lt;0")</f>
        <v>0</v>
      </c>
      <c r="I613" s="31" t="str">
        <f aca="false">IFERROR(G613/-H613,"no loss")</f>
        <v>no loss</v>
      </c>
      <c r="J613" s="30" t="n">
        <f aca="false">_xlfn.MAXIFS(Trades!$X$2:$X$884,Trades!$D$2:$D$884,$A613)</f>
        <v>99.84</v>
      </c>
      <c r="K613" s="30" t="n">
        <f aca="false">_xlfn.MINIFS(Trades!$X$2:$X$884,Trades!$D$2:$D$884,$A613)</f>
        <v>99.84</v>
      </c>
      <c r="L613" s="32" t="n">
        <f aca="false">SUMIFS(Trades!$Y$2:$Y$884,Trades!$D$2:$D$884,$A613)</f>
        <v>2.21472937000879</v>
      </c>
      <c r="M613" s="30" t="n">
        <f aca="false">P612</f>
        <v>114009.99</v>
      </c>
      <c r="N613" s="29" t="n">
        <f aca="false">IFERROR(F613/M613,0)</f>
        <v>0.000875712733594661</v>
      </c>
      <c r="O613" s="28" t="str">
        <f aca="false">IF(-N613&gt;=Summary!$C$7,"BREACH","")</f>
        <v/>
      </c>
      <c r="P613" s="30" t="n">
        <f aca="false">M613+F613</f>
        <v>114109.83</v>
      </c>
      <c r="Q613" s="30" t="n">
        <f aca="false">P613-Summary!$C$5</f>
        <v>14109.8300000001</v>
      </c>
      <c r="R613" s="2" t="str">
        <f aca="false">TEXT(A613,"ddd")</f>
        <v>Thu</v>
      </c>
    </row>
    <row r="614" customFormat="false" ht="15" hidden="false" customHeight="false" outlineLevel="0" collapsed="false">
      <c r="A614" s="42" t="n">
        <v>46031</v>
      </c>
      <c r="B614" s="28" t="n">
        <f aca="false">COUNTIFS(Trades!$D$2:$D$884,$A614)</f>
        <v>1</v>
      </c>
      <c r="C614" s="28" t="n">
        <f aca="false">COUNTIFS(Trades!$D$2:$D$884,$A614,Trades!$Z$2:$Z$884,"Win")</f>
        <v>0</v>
      </c>
      <c r="D614" s="28" t="n">
        <f aca="false">COUNTIFS(Trades!$D$2:$D$884,$A614,Trades!$Z$2:$Z$884,"Loss")</f>
        <v>1</v>
      </c>
      <c r="E614" s="29" t="n">
        <f aca="false">IFERROR(C614/B614,0)</f>
        <v>0</v>
      </c>
      <c r="F614" s="30" t="n">
        <f aca="false">SUMIFS(Trades!$X$2:$X$884,Trades!$D$2:$D$884,$A614)</f>
        <v>-157.7</v>
      </c>
      <c r="G614" s="30" t="n">
        <f aca="false">SUMIFS(Trades!$X$2:$X$884,Trades!$D$2:$D$884,$A614,Trades!$X$2:$X$884,"&gt;0")</f>
        <v>0</v>
      </c>
      <c r="H614" s="30" t="n">
        <f aca="false">SUMIFS(Trades!$X$2:$X$884,Trades!$D$2:$D$884,$A614,Trades!$X$2:$X$884,"&lt;0")</f>
        <v>-157.7</v>
      </c>
      <c r="I614" s="31" t="n">
        <f aca="false">IFERROR(G614/-H614,"no loss")</f>
        <v>0</v>
      </c>
      <c r="J614" s="30" t="n">
        <f aca="false">_xlfn.MAXIFS(Trades!$X$2:$X$884,Trades!$D$2:$D$884,$A614)</f>
        <v>-157.7</v>
      </c>
      <c r="K614" s="30" t="n">
        <f aca="false">_xlfn.MINIFS(Trades!$X$2:$X$884,Trades!$D$2:$D$884,$A614)</f>
        <v>-157.7</v>
      </c>
      <c r="L614" s="32" t="n">
        <f aca="false">SUMIFS(Trades!$Y$2:$Y$884,Trades!$D$2:$D$884,$A614)</f>
        <v>-1.00120627261759</v>
      </c>
      <c r="M614" s="30" t="n">
        <f aca="false">P613</f>
        <v>114109.83</v>
      </c>
      <c r="N614" s="29" t="n">
        <f aca="false">IFERROR(F614/M614,0)</f>
        <v>-0.00138200188362387</v>
      </c>
      <c r="O614" s="28" t="str">
        <f aca="false">IF(-N614&gt;=Summary!$C$7,"BREACH","")</f>
        <v/>
      </c>
      <c r="P614" s="30" t="n">
        <f aca="false">M614+F614</f>
        <v>113952.13</v>
      </c>
      <c r="Q614" s="30" t="n">
        <f aca="false">P614-Summary!$C$5</f>
        <v>13952.1300000001</v>
      </c>
      <c r="R614" s="2" t="str">
        <f aca="false">TEXT(A614,"ddd")</f>
        <v>Fri</v>
      </c>
    </row>
    <row r="615" customFormat="false" ht="15" hidden="false" customHeight="false" outlineLevel="0" collapsed="false">
      <c r="A615" s="42" t="n">
        <v>46034</v>
      </c>
      <c r="B615" s="28" t="n">
        <f aca="false">COUNTIFS(Trades!$D$2:$D$884,$A615)</f>
        <v>1</v>
      </c>
      <c r="C615" s="28" t="n">
        <f aca="false">COUNTIFS(Trades!$D$2:$D$884,$A615,Trades!$Z$2:$Z$884,"Win")</f>
        <v>0</v>
      </c>
      <c r="D615" s="28" t="n">
        <f aca="false">COUNTIFS(Trades!$D$2:$D$884,$A615,Trades!$Z$2:$Z$884,"Loss")</f>
        <v>1</v>
      </c>
      <c r="E615" s="29" t="n">
        <f aca="false">IFERROR(C615/B615,0)</f>
        <v>0</v>
      </c>
      <c r="F615" s="30" t="n">
        <f aca="false">SUMIFS(Trades!$X$2:$X$884,Trades!$D$2:$D$884,$A615)</f>
        <v>-1.79</v>
      </c>
      <c r="G615" s="30" t="n">
        <f aca="false">SUMIFS(Trades!$X$2:$X$884,Trades!$D$2:$D$884,$A615,Trades!$X$2:$X$884,"&gt;0")</f>
        <v>0</v>
      </c>
      <c r="H615" s="30" t="n">
        <f aca="false">SUMIFS(Trades!$X$2:$X$884,Trades!$D$2:$D$884,$A615,Trades!$X$2:$X$884,"&lt;0")</f>
        <v>-1.79</v>
      </c>
      <c r="I615" s="31" t="n">
        <f aca="false">IFERROR(G615/-H615,"no loss")</f>
        <v>0</v>
      </c>
      <c r="J615" s="30" t="n">
        <f aca="false">_xlfn.MAXIFS(Trades!$X$2:$X$884,Trades!$D$2:$D$884,$A615)</f>
        <v>-1.79</v>
      </c>
      <c r="K615" s="30" t="n">
        <f aca="false">_xlfn.MINIFS(Trades!$X$2:$X$884,Trades!$D$2:$D$884,$A615)</f>
        <v>-1.79</v>
      </c>
      <c r="L615" s="32" t="n">
        <f aca="false">SUMIFS(Trades!$Y$2:$Y$884,Trades!$D$2:$D$884,$A615)</f>
        <v>-0.0473419730230063</v>
      </c>
      <c r="M615" s="30" t="n">
        <f aca="false">P614</f>
        <v>113952.13</v>
      </c>
      <c r="N615" s="29" t="n">
        <f aca="false">IFERROR(F615/M615,0)</f>
        <v>-1.57083505152558E-005</v>
      </c>
      <c r="O615" s="28" t="str">
        <f aca="false">IF(-N615&gt;=Summary!$C$7,"BREACH","")</f>
        <v/>
      </c>
      <c r="P615" s="30" t="n">
        <f aca="false">M615+F615</f>
        <v>113950.34</v>
      </c>
      <c r="Q615" s="30" t="n">
        <f aca="false">P615-Summary!$C$5</f>
        <v>13950.3400000001</v>
      </c>
      <c r="R615" s="2" t="str">
        <f aca="false">TEXT(A615,"ddd")</f>
        <v>Mon</v>
      </c>
    </row>
    <row r="616" customFormat="false" ht="15" hidden="false" customHeight="false" outlineLevel="0" collapsed="false">
      <c r="A616" s="42" t="n">
        <v>46035</v>
      </c>
      <c r="B616" s="28" t="n">
        <f aca="false">COUNTIFS(Trades!$D$2:$D$884,$A616)</f>
        <v>1</v>
      </c>
      <c r="C616" s="28" t="n">
        <f aca="false">COUNTIFS(Trades!$D$2:$D$884,$A616,Trades!$Z$2:$Z$884,"Win")</f>
        <v>0</v>
      </c>
      <c r="D616" s="28" t="n">
        <f aca="false">COUNTIFS(Trades!$D$2:$D$884,$A616,Trades!$Z$2:$Z$884,"Loss")</f>
        <v>1</v>
      </c>
      <c r="E616" s="29" t="n">
        <f aca="false">IFERROR(C616/B616,0)</f>
        <v>0</v>
      </c>
      <c r="F616" s="30" t="n">
        <f aca="false">SUMIFS(Trades!$X$2:$X$884,Trades!$D$2:$D$884,$A616)</f>
        <v>-164.05</v>
      </c>
      <c r="G616" s="30" t="n">
        <f aca="false">SUMIFS(Trades!$X$2:$X$884,Trades!$D$2:$D$884,$A616,Trades!$X$2:$X$884,"&gt;0")</f>
        <v>0</v>
      </c>
      <c r="H616" s="30" t="n">
        <f aca="false">SUMIFS(Trades!$X$2:$X$884,Trades!$D$2:$D$884,$A616,Trades!$X$2:$X$884,"&lt;0")</f>
        <v>-164.05</v>
      </c>
      <c r="I616" s="31" t="n">
        <f aca="false">IFERROR(G616/-H616,"no loss")</f>
        <v>0</v>
      </c>
      <c r="J616" s="30" t="n">
        <f aca="false">_xlfn.MAXIFS(Trades!$X$2:$X$884,Trades!$D$2:$D$884,$A616)</f>
        <v>-164.05</v>
      </c>
      <c r="K616" s="30" t="n">
        <f aca="false">_xlfn.MINIFS(Trades!$X$2:$X$884,Trades!$D$2:$D$884,$A616)</f>
        <v>-164.05</v>
      </c>
      <c r="L616" s="32" t="n">
        <f aca="false">SUMIFS(Trades!$Y$2:$Y$884,Trades!$D$2:$D$884,$A616)</f>
        <v>-1.04809547539646</v>
      </c>
      <c r="M616" s="30" t="n">
        <f aca="false">P615</f>
        <v>113950.34</v>
      </c>
      <c r="N616" s="29" t="n">
        <f aca="false">IFERROR(F616/M616,0)</f>
        <v>-0.0014396622247902</v>
      </c>
      <c r="O616" s="28" t="str">
        <f aca="false">IF(-N616&gt;=Summary!$C$7,"BREACH","")</f>
        <v/>
      </c>
      <c r="P616" s="30" t="n">
        <f aca="false">M616+F616</f>
        <v>113786.29</v>
      </c>
      <c r="Q616" s="30" t="n">
        <f aca="false">P616-Summary!$C$5</f>
        <v>13786.2900000001</v>
      </c>
      <c r="R616" s="2" t="str">
        <f aca="false">TEXT(A616,"ddd")</f>
        <v>Tue</v>
      </c>
    </row>
    <row r="617" customFormat="false" ht="15" hidden="false" customHeight="false" outlineLevel="0" collapsed="false">
      <c r="A617" s="42" t="n">
        <v>46036</v>
      </c>
      <c r="B617" s="28" t="n">
        <f aca="false">COUNTIFS(Trades!$D$2:$D$884,$A617)</f>
        <v>1</v>
      </c>
      <c r="C617" s="28" t="n">
        <f aca="false">COUNTIFS(Trades!$D$2:$D$884,$A617,Trades!$Z$2:$Z$884,"Win")</f>
        <v>1</v>
      </c>
      <c r="D617" s="28" t="n">
        <f aca="false">COUNTIFS(Trades!$D$2:$D$884,$A617,Trades!$Z$2:$Z$884,"Loss")</f>
        <v>0</v>
      </c>
      <c r="E617" s="29" t="n">
        <f aca="false">IFERROR(C617/B617,0)</f>
        <v>1</v>
      </c>
      <c r="F617" s="30" t="n">
        <f aca="false">SUMIFS(Trades!$X$2:$X$884,Trades!$D$2:$D$884,$A617)</f>
        <v>145.31</v>
      </c>
      <c r="G617" s="30" t="n">
        <f aca="false">SUMIFS(Trades!$X$2:$X$884,Trades!$D$2:$D$884,$A617,Trades!$X$2:$X$884,"&gt;0")</f>
        <v>145.31</v>
      </c>
      <c r="H617" s="30" t="n">
        <f aca="false">SUMIFS(Trades!$X$2:$X$884,Trades!$D$2:$D$884,$A617,Trades!$X$2:$X$884,"&lt;0")</f>
        <v>0</v>
      </c>
      <c r="I617" s="31" t="str">
        <f aca="false">IFERROR(G617/-H617,"no loss")</f>
        <v>no loss</v>
      </c>
      <c r="J617" s="30" t="n">
        <f aca="false">_xlfn.MAXIFS(Trades!$X$2:$X$884,Trades!$D$2:$D$884,$A617)</f>
        <v>145.31</v>
      </c>
      <c r="K617" s="30" t="n">
        <f aca="false">_xlfn.MINIFS(Trades!$X$2:$X$884,Trades!$D$2:$D$884,$A617)</f>
        <v>145.31</v>
      </c>
      <c r="L617" s="32" t="n">
        <f aca="false">SUMIFS(Trades!$Y$2:$Y$884,Trades!$D$2:$D$884,$A617)</f>
        <v>1.82440237042997</v>
      </c>
      <c r="M617" s="30" t="n">
        <f aca="false">P616</f>
        <v>113786.29</v>
      </c>
      <c r="N617" s="29" t="n">
        <f aca="false">IFERROR(F617/M617,0)</f>
        <v>0.00127704313059157</v>
      </c>
      <c r="O617" s="28" t="str">
        <f aca="false">IF(-N617&gt;=Summary!$C$7,"BREACH","")</f>
        <v/>
      </c>
      <c r="P617" s="30" t="n">
        <f aca="false">M617+F617</f>
        <v>113931.6</v>
      </c>
      <c r="Q617" s="30" t="n">
        <f aca="false">P617-Summary!$C$5</f>
        <v>13931.6000000001</v>
      </c>
      <c r="R617" s="2" t="str">
        <f aca="false">TEXT(A617,"ddd")</f>
        <v>Wed</v>
      </c>
    </row>
    <row r="618" customFormat="false" ht="15" hidden="false" customHeight="false" outlineLevel="0" collapsed="false">
      <c r="A618" s="42" t="n">
        <v>46037</v>
      </c>
      <c r="B618" s="28" t="n">
        <f aca="false">COUNTIFS(Trades!$D$2:$D$884,$A618)</f>
        <v>1</v>
      </c>
      <c r="C618" s="28" t="n">
        <f aca="false">COUNTIFS(Trades!$D$2:$D$884,$A618,Trades!$Z$2:$Z$884,"Win")</f>
        <v>0</v>
      </c>
      <c r="D618" s="28" t="n">
        <f aca="false">COUNTIFS(Trades!$D$2:$D$884,$A618,Trades!$Z$2:$Z$884,"Loss")</f>
        <v>1</v>
      </c>
      <c r="E618" s="29" t="n">
        <f aca="false">IFERROR(C618/B618,0)</f>
        <v>0</v>
      </c>
      <c r="F618" s="30" t="n">
        <f aca="false">SUMIFS(Trades!$X$2:$X$884,Trades!$D$2:$D$884,$A618)</f>
        <v>-3.53</v>
      </c>
      <c r="G618" s="30" t="n">
        <f aca="false">SUMIFS(Trades!$X$2:$X$884,Trades!$D$2:$D$884,$A618,Trades!$X$2:$X$884,"&gt;0")</f>
        <v>0</v>
      </c>
      <c r="H618" s="30" t="n">
        <f aca="false">SUMIFS(Trades!$X$2:$X$884,Trades!$D$2:$D$884,$A618,Trades!$X$2:$X$884,"&lt;0")</f>
        <v>-3.53</v>
      </c>
      <c r="I618" s="31" t="n">
        <f aca="false">IFERROR(G618/-H618,"no loss")</f>
        <v>0</v>
      </c>
      <c r="J618" s="30" t="n">
        <f aca="false">_xlfn.MAXIFS(Trades!$X$2:$X$884,Trades!$D$2:$D$884,$A618)</f>
        <v>-3.53</v>
      </c>
      <c r="K618" s="30" t="n">
        <f aca="false">_xlfn.MINIFS(Trades!$X$2:$X$884,Trades!$D$2:$D$884,$A618)</f>
        <v>-3.53</v>
      </c>
      <c r="L618" s="32" t="n">
        <f aca="false">SUMIFS(Trades!$Y$2:$Y$884,Trades!$D$2:$D$884,$A618)</f>
        <v>-0.0593576593240372</v>
      </c>
      <c r="M618" s="30" t="n">
        <f aca="false">P617</f>
        <v>113931.6</v>
      </c>
      <c r="N618" s="29" t="n">
        <f aca="false">IFERROR(F618/M618,0)</f>
        <v>-3.0983502382131E-005</v>
      </c>
      <c r="O618" s="28" t="str">
        <f aca="false">IF(-N618&gt;=Summary!$C$7,"BREACH","")</f>
        <v/>
      </c>
      <c r="P618" s="30" t="n">
        <f aca="false">M618+F618</f>
        <v>113928.07</v>
      </c>
      <c r="Q618" s="30" t="n">
        <f aca="false">P618-Summary!$C$5</f>
        <v>13928.0700000001</v>
      </c>
      <c r="R618" s="2" t="str">
        <f aca="false">TEXT(A618,"ddd")</f>
        <v>Thu</v>
      </c>
    </row>
    <row r="619" customFormat="false" ht="15" hidden="false" customHeight="false" outlineLevel="0" collapsed="false">
      <c r="A619" s="42" t="n">
        <v>46041</v>
      </c>
      <c r="B619" s="28" t="n">
        <f aca="false">COUNTIFS(Trades!$D$2:$D$884,$A619)</f>
        <v>1</v>
      </c>
      <c r="C619" s="28" t="n">
        <f aca="false">COUNTIFS(Trades!$D$2:$D$884,$A619,Trades!$Z$2:$Z$884,"Win")</f>
        <v>1</v>
      </c>
      <c r="D619" s="28" t="n">
        <f aca="false">COUNTIFS(Trades!$D$2:$D$884,$A619,Trades!$Z$2:$Z$884,"Loss")</f>
        <v>0</v>
      </c>
      <c r="E619" s="29" t="n">
        <f aca="false">IFERROR(C619/B619,0)</f>
        <v>1</v>
      </c>
      <c r="F619" s="30" t="n">
        <f aca="false">SUMIFS(Trades!$X$2:$X$884,Trades!$D$2:$D$884,$A619)</f>
        <v>529.12</v>
      </c>
      <c r="G619" s="30" t="n">
        <f aca="false">SUMIFS(Trades!$X$2:$X$884,Trades!$D$2:$D$884,$A619,Trades!$X$2:$X$884,"&gt;0")</f>
        <v>529.12</v>
      </c>
      <c r="H619" s="30" t="n">
        <f aca="false">SUMIFS(Trades!$X$2:$X$884,Trades!$D$2:$D$884,$A619,Trades!$X$2:$X$884,"&lt;0")</f>
        <v>0</v>
      </c>
      <c r="I619" s="31" t="str">
        <f aca="false">IFERROR(G619/-H619,"no loss")</f>
        <v>no loss</v>
      </c>
      <c r="J619" s="30" t="n">
        <f aca="false">_xlfn.MAXIFS(Trades!$X$2:$X$884,Trades!$D$2:$D$884,$A619)</f>
        <v>529.12</v>
      </c>
      <c r="K619" s="30" t="n">
        <f aca="false">_xlfn.MINIFS(Trades!$X$2:$X$884,Trades!$D$2:$D$884,$A619)</f>
        <v>529.12</v>
      </c>
      <c r="L619" s="32" t="n">
        <f aca="false">SUMIFS(Trades!$Y$2:$Y$884,Trades!$D$2:$D$884,$A619)</f>
        <v>1.98618618618612</v>
      </c>
      <c r="M619" s="30" t="n">
        <f aca="false">P618</f>
        <v>113928.07</v>
      </c>
      <c r="N619" s="29" t="n">
        <f aca="false">IFERROR(F619/M619,0)</f>
        <v>0.00464433392051669</v>
      </c>
      <c r="O619" s="28" t="str">
        <f aca="false">IF(-N619&gt;=Summary!$C$7,"BREACH","")</f>
        <v/>
      </c>
      <c r="P619" s="30" t="n">
        <f aca="false">M619+F619</f>
        <v>114457.19</v>
      </c>
      <c r="Q619" s="30" t="n">
        <f aca="false">P619-Summary!$C$5</f>
        <v>14457.1900000001</v>
      </c>
      <c r="R619" s="2" t="str">
        <f aca="false">TEXT(A619,"ddd")</f>
        <v>Mon</v>
      </c>
    </row>
    <row r="620" customFormat="false" ht="15" hidden="false" customHeight="false" outlineLevel="0" collapsed="false">
      <c r="A620" s="42" t="n">
        <v>46042</v>
      </c>
      <c r="B620" s="28" t="n">
        <f aca="false">COUNTIFS(Trades!$D$2:$D$884,$A620)</f>
        <v>1</v>
      </c>
      <c r="C620" s="28" t="n">
        <f aca="false">COUNTIFS(Trades!$D$2:$D$884,$A620,Trades!$Z$2:$Z$884,"Win")</f>
        <v>0</v>
      </c>
      <c r="D620" s="28" t="n">
        <f aca="false">COUNTIFS(Trades!$D$2:$D$884,$A620,Trades!$Z$2:$Z$884,"Loss")</f>
        <v>1</v>
      </c>
      <c r="E620" s="29" t="n">
        <f aca="false">IFERROR(C620/B620,0)</f>
        <v>0</v>
      </c>
      <c r="F620" s="30" t="n">
        <f aca="false">SUMIFS(Trades!$X$2:$X$884,Trades!$D$2:$D$884,$A620)</f>
        <v>-133.56</v>
      </c>
      <c r="G620" s="30" t="n">
        <f aca="false">SUMIFS(Trades!$X$2:$X$884,Trades!$D$2:$D$884,$A620,Trades!$X$2:$X$884,"&gt;0")</f>
        <v>0</v>
      </c>
      <c r="H620" s="30" t="n">
        <f aca="false">SUMIFS(Trades!$X$2:$X$884,Trades!$D$2:$D$884,$A620,Trades!$X$2:$X$884,"&lt;0")</f>
        <v>-133.56</v>
      </c>
      <c r="I620" s="31" t="n">
        <f aca="false">IFERROR(G620/-H620,"no loss")</f>
        <v>0</v>
      </c>
      <c r="J620" s="30" t="n">
        <f aca="false">_xlfn.MAXIFS(Trades!$X$2:$X$884,Trades!$D$2:$D$884,$A620)</f>
        <v>-133.56</v>
      </c>
      <c r="K620" s="30" t="n">
        <f aca="false">_xlfn.MINIFS(Trades!$X$2:$X$884,Trades!$D$2:$D$884,$A620)</f>
        <v>-133.56</v>
      </c>
      <c r="L620" s="32" t="n">
        <f aca="false">SUMIFS(Trades!$Y$2:$Y$884,Trades!$D$2:$D$884,$A620)</f>
        <v>-1.01767753733625</v>
      </c>
      <c r="M620" s="30" t="n">
        <f aca="false">P619</f>
        <v>114457.19</v>
      </c>
      <c r="N620" s="29" t="n">
        <f aca="false">IFERROR(F620/M620,0)</f>
        <v>-0.00116689916989924</v>
      </c>
      <c r="O620" s="28" t="str">
        <f aca="false">IF(-N620&gt;=Summary!$C$7,"BREACH","")</f>
        <v/>
      </c>
      <c r="P620" s="30" t="n">
        <f aca="false">M620+F620</f>
        <v>114323.63</v>
      </c>
      <c r="Q620" s="30" t="n">
        <f aca="false">P620-Summary!$C$5</f>
        <v>14323.6300000001</v>
      </c>
      <c r="R620" s="2" t="str">
        <f aca="false">TEXT(A620,"ddd")</f>
        <v>Tue</v>
      </c>
    </row>
    <row r="621" customFormat="false" ht="15" hidden="false" customHeight="false" outlineLevel="0" collapsed="false">
      <c r="A621" s="42" t="n">
        <v>46043</v>
      </c>
      <c r="B621" s="28" t="n">
        <f aca="false">COUNTIFS(Trades!$D$2:$D$884,$A621)</f>
        <v>2</v>
      </c>
      <c r="C621" s="28" t="n">
        <f aca="false">COUNTIFS(Trades!$D$2:$D$884,$A621,Trades!$Z$2:$Z$884,"Win")</f>
        <v>1</v>
      </c>
      <c r="D621" s="28" t="n">
        <f aca="false">COUNTIFS(Trades!$D$2:$D$884,$A621,Trades!$Z$2:$Z$884,"Loss")</f>
        <v>1</v>
      </c>
      <c r="E621" s="29" t="n">
        <f aca="false">IFERROR(C621/B621,0)</f>
        <v>0.5</v>
      </c>
      <c r="F621" s="30" t="n">
        <f aca="false">SUMIFS(Trades!$X$2:$X$884,Trades!$D$2:$D$884,$A621)</f>
        <v>176.04</v>
      </c>
      <c r="G621" s="30" t="n">
        <f aca="false">SUMIFS(Trades!$X$2:$X$884,Trades!$D$2:$D$884,$A621,Trades!$X$2:$X$884,"&gt;0")</f>
        <v>177.48</v>
      </c>
      <c r="H621" s="30" t="n">
        <f aca="false">SUMIFS(Trades!$X$2:$X$884,Trades!$D$2:$D$884,$A621,Trades!$X$2:$X$884,"&lt;0")</f>
        <v>-1.44</v>
      </c>
      <c r="I621" s="31" t="n">
        <f aca="false">IFERROR(G621/-H621,"no loss")</f>
        <v>123.25</v>
      </c>
      <c r="J621" s="30" t="n">
        <f aca="false">_xlfn.MAXIFS(Trades!$X$2:$X$884,Trades!$D$2:$D$884,$A621)</f>
        <v>177.48</v>
      </c>
      <c r="K621" s="30" t="n">
        <f aca="false">_xlfn.MINIFS(Trades!$X$2:$X$884,Trades!$D$2:$D$884,$A621)</f>
        <v>-1.44</v>
      </c>
      <c r="L621" s="32" t="n">
        <f aca="false">SUMIFS(Trades!$Y$2:$Y$884,Trades!$D$2:$D$884,$A621)</f>
        <v>2.01283746204079</v>
      </c>
      <c r="M621" s="30" t="n">
        <f aca="false">P620</f>
        <v>114323.63</v>
      </c>
      <c r="N621" s="29" t="n">
        <f aca="false">IFERROR(F621/M621,0)</f>
        <v>0.00153983913911761</v>
      </c>
      <c r="O621" s="28" t="str">
        <f aca="false">IF(-N621&gt;=Summary!$C$7,"BREACH","")</f>
        <v/>
      </c>
      <c r="P621" s="30" t="n">
        <f aca="false">M621+F621</f>
        <v>114499.67</v>
      </c>
      <c r="Q621" s="30" t="n">
        <f aca="false">P621-Summary!$C$5</f>
        <v>14499.6700000001</v>
      </c>
      <c r="R621" s="2" t="str">
        <f aca="false">TEXT(A621,"ddd")</f>
        <v>Wed</v>
      </c>
    </row>
    <row r="622" customFormat="false" ht="15" hidden="false" customHeight="false" outlineLevel="0" collapsed="false">
      <c r="A622" s="42" t="n">
        <v>46044</v>
      </c>
      <c r="B622" s="28" t="n">
        <f aca="false">COUNTIFS(Trades!$D$2:$D$884,$A622)</f>
        <v>1</v>
      </c>
      <c r="C622" s="28" t="n">
        <f aca="false">COUNTIFS(Trades!$D$2:$D$884,$A622,Trades!$Z$2:$Z$884,"Win")</f>
        <v>0</v>
      </c>
      <c r="D622" s="28" t="n">
        <f aca="false">COUNTIFS(Trades!$D$2:$D$884,$A622,Trades!$Z$2:$Z$884,"Loss")</f>
        <v>1</v>
      </c>
      <c r="E622" s="29" t="n">
        <f aca="false">IFERROR(C622/B622,0)</f>
        <v>0</v>
      </c>
      <c r="F622" s="30" t="n">
        <f aca="false">SUMIFS(Trades!$X$2:$X$884,Trades!$D$2:$D$884,$A622)</f>
        <v>-86.2</v>
      </c>
      <c r="G622" s="30" t="n">
        <f aca="false">SUMIFS(Trades!$X$2:$X$884,Trades!$D$2:$D$884,$A622,Trades!$X$2:$X$884,"&gt;0")</f>
        <v>0</v>
      </c>
      <c r="H622" s="30" t="n">
        <f aca="false">SUMIFS(Trades!$X$2:$X$884,Trades!$D$2:$D$884,$A622,Trades!$X$2:$X$884,"&lt;0")</f>
        <v>-86.2</v>
      </c>
      <c r="I622" s="31" t="n">
        <f aca="false">IFERROR(G622/-H622,"no loss")</f>
        <v>0</v>
      </c>
      <c r="J622" s="30" t="n">
        <f aca="false">_xlfn.MAXIFS(Trades!$X$2:$X$884,Trades!$D$2:$D$884,$A622)</f>
        <v>-86.2</v>
      </c>
      <c r="K622" s="30" t="n">
        <f aca="false">_xlfn.MINIFS(Trades!$X$2:$X$884,Trades!$D$2:$D$884,$A622)</f>
        <v>-86.2</v>
      </c>
      <c r="L622" s="32" t="n">
        <f aca="false">SUMIFS(Trades!$Y$2:$Y$884,Trades!$D$2:$D$884,$A622)</f>
        <v>-1.00653900046708</v>
      </c>
      <c r="M622" s="30" t="n">
        <f aca="false">P621</f>
        <v>114499.67</v>
      </c>
      <c r="N622" s="29" t="n">
        <f aca="false">IFERROR(F622/M622,0)</f>
        <v>-0.000752840597706526</v>
      </c>
      <c r="O622" s="28" t="str">
        <f aca="false">IF(-N622&gt;=Summary!$C$7,"BREACH","")</f>
        <v/>
      </c>
      <c r="P622" s="30" t="n">
        <f aca="false">M622+F622</f>
        <v>114413.47</v>
      </c>
      <c r="Q622" s="30" t="n">
        <f aca="false">P622-Summary!$C$5</f>
        <v>14413.4700000001</v>
      </c>
      <c r="R622" s="2" t="str">
        <f aca="false">TEXT(A622,"ddd")</f>
        <v>Thu</v>
      </c>
    </row>
    <row r="623" customFormat="false" ht="15" hidden="false" customHeight="false" outlineLevel="0" collapsed="false">
      <c r="A623" s="42" t="n">
        <v>46045</v>
      </c>
      <c r="B623" s="28" t="n">
        <f aca="false">COUNTIFS(Trades!$D$2:$D$884,$A623)</f>
        <v>1</v>
      </c>
      <c r="C623" s="28" t="n">
        <f aca="false">COUNTIFS(Trades!$D$2:$D$884,$A623,Trades!$Z$2:$Z$884,"Win")</f>
        <v>1</v>
      </c>
      <c r="D623" s="28" t="n">
        <f aca="false">COUNTIFS(Trades!$D$2:$D$884,$A623,Trades!$Z$2:$Z$884,"Loss")</f>
        <v>0</v>
      </c>
      <c r="E623" s="29" t="n">
        <f aca="false">IFERROR(C623/B623,0)</f>
        <v>1</v>
      </c>
      <c r="F623" s="30" t="n">
        <f aca="false">SUMIFS(Trades!$X$2:$X$884,Trades!$D$2:$D$884,$A623)</f>
        <v>337.2</v>
      </c>
      <c r="G623" s="30" t="n">
        <f aca="false">SUMIFS(Trades!$X$2:$X$884,Trades!$D$2:$D$884,$A623,Trades!$X$2:$X$884,"&gt;0")</f>
        <v>337.2</v>
      </c>
      <c r="H623" s="30" t="n">
        <f aca="false">SUMIFS(Trades!$X$2:$X$884,Trades!$D$2:$D$884,$A623,Trades!$X$2:$X$884,"&lt;0")</f>
        <v>0</v>
      </c>
      <c r="I623" s="31" t="str">
        <f aca="false">IFERROR(G623/-H623,"no loss")</f>
        <v>no loss</v>
      </c>
      <c r="J623" s="30" t="n">
        <f aca="false">_xlfn.MAXIFS(Trades!$X$2:$X$884,Trades!$D$2:$D$884,$A623)</f>
        <v>337.2</v>
      </c>
      <c r="K623" s="30" t="n">
        <f aca="false">_xlfn.MINIFS(Trades!$X$2:$X$884,Trades!$D$2:$D$884,$A623)</f>
        <v>337.2</v>
      </c>
      <c r="L623" s="32" t="n">
        <f aca="false">SUMIFS(Trades!$Y$2:$Y$884,Trades!$D$2:$D$884,$A623)</f>
        <v>2.02985793402365</v>
      </c>
      <c r="M623" s="30" t="n">
        <f aca="false">P622</f>
        <v>114413.47</v>
      </c>
      <c r="N623" s="29" t="n">
        <f aca="false">IFERROR(F623/M623,0)</f>
        <v>0.00294720542957048</v>
      </c>
      <c r="O623" s="28" t="str">
        <f aca="false">IF(-N623&gt;=Summary!$C$7,"BREACH","")</f>
        <v/>
      </c>
      <c r="P623" s="30" t="n">
        <f aca="false">M623+F623</f>
        <v>114750.67</v>
      </c>
      <c r="Q623" s="30" t="n">
        <f aca="false">P623-Summary!$C$5</f>
        <v>14750.6700000001</v>
      </c>
      <c r="R623" s="2" t="str">
        <f aca="false">TEXT(A623,"ddd")</f>
        <v>Fri</v>
      </c>
    </row>
    <row r="624" customFormat="false" ht="15" hidden="false" customHeight="false" outlineLevel="0" collapsed="false">
      <c r="A624" s="42" t="n">
        <v>46048</v>
      </c>
      <c r="B624" s="28" t="n">
        <f aca="false">COUNTIFS(Trades!$D$2:$D$884,$A624)</f>
        <v>2</v>
      </c>
      <c r="C624" s="28" t="n">
        <f aca="false">COUNTIFS(Trades!$D$2:$D$884,$A624,Trades!$Z$2:$Z$884,"Win")</f>
        <v>0</v>
      </c>
      <c r="D624" s="28" t="n">
        <f aca="false">COUNTIFS(Trades!$D$2:$D$884,$A624,Trades!$Z$2:$Z$884,"Loss")</f>
        <v>2</v>
      </c>
      <c r="E624" s="29" t="n">
        <f aca="false">IFERROR(C624/B624,0)</f>
        <v>0</v>
      </c>
      <c r="F624" s="30" t="n">
        <f aca="false">SUMIFS(Trades!$X$2:$X$884,Trades!$D$2:$D$884,$A624)</f>
        <v>-398.88</v>
      </c>
      <c r="G624" s="30" t="n">
        <f aca="false">SUMIFS(Trades!$X$2:$X$884,Trades!$D$2:$D$884,$A624,Trades!$X$2:$X$884,"&gt;0")</f>
        <v>0</v>
      </c>
      <c r="H624" s="30" t="n">
        <f aca="false">SUMIFS(Trades!$X$2:$X$884,Trades!$D$2:$D$884,$A624,Trades!$X$2:$X$884,"&lt;0")</f>
        <v>-398.88</v>
      </c>
      <c r="I624" s="31" t="n">
        <f aca="false">IFERROR(G624/-H624,"no loss")</f>
        <v>0</v>
      </c>
      <c r="J624" s="30" t="n">
        <f aca="false">_xlfn.MAXIFS(Trades!$X$2:$X$884,Trades!$D$2:$D$884,$A624)</f>
        <v>-132.8</v>
      </c>
      <c r="K624" s="30" t="n">
        <f aca="false">_xlfn.MINIFS(Trades!$X$2:$X$884,Trades!$D$2:$D$884,$A624)</f>
        <v>-266.08</v>
      </c>
      <c r="L624" s="32" t="n">
        <f aca="false">SUMIFS(Trades!$Y$2:$Y$884,Trades!$D$2:$D$884,$A624)</f>
        <v>-2.01991309101016</v>
      </c>
      <c r="M624" s="30" t="n">
        <f aca="false">P623</f>
        <v>114750.67</v>
      </c>
      <c r="N624" s="29" t="n">
        <f aca="false">IFERROR(F624/M624,0)</f>
        <v>-0.00347605813543398</v>
      </c>
      <c r="O624" s="28" t="str">
        <f aca="false">IF(-N624&gt;=Summary!$C$7,"BREACH","")</f>
        <v/>
      </c>
      <c r="P624" s="30" t="n">
        <f aca="false">M624+F624</f>
        <v>114351.79</v>
      </c>
      <c r="Q624" s="30" t="n">
        <f aca="false">P624-Summary!$C$5</f>
        <v>14351.7900000001</v>
      </c>
      <c r="R624" s="2" t="str">
        <f aca="false">TEXT(A624,"ddd")</f>
        <v>Mon</v>
      </c>
    </row>
    <row r="625" customFormat="false" ht="15" hidden="false" customHeight="false" outlineLevel="0" collapsed="false">
      <c r="A625" s="42" t="n">
        <v>46049</v>
      </c>
      <c r="B625" s="28" t="n">
        <f aca="false">COUNTIFS(Trades!$D$2:$D$884,$A625)</f>
        <v>1</v>
      </c>
      <c r="C625" s="28" t="n">
        <f aca="false">COUNTIFS(Trades!$D$2:$D$884,$A625,Trades!$Z$2:$Z$884,"Win")</f>
        <v>1</v>
      </c>
      <c r="D625" s="28" t="n">
        <f aca="false">COUNTIFS(Trades!$D$2:$D$884,$A625,Trades!$Z$2:$Z$884,"Loss")</f>
        <v>0</v>
      </c>
      <c r="E625" s="29" t="n">
        <f aca="false">IFERROR(C625/B625,0)</f>
        <v>1</v>
      </c>
      <c r="F625" s="30" t="n">
        <f aca="false">SUMIFS(Trades!$X$2:$X$884,Trades!$D$2:$D$884,$A625)</f>
        <v>51.6</v>
      </c>
      <c r="G625" s="30" t="n">
        <f aca="false">SUMIFS(Trades!$X$2:$X$884,Trades!$D$2:$D$884,$A625,Trades!$X$2:$X$884,"&gt;0")</f>
        <v>51.6</v>
      </c>
      <c r="H625" s="30" t="n">
        <f aca="false">SUMIFS(Trades!$X$2:$X$884,Trades!$D$2:$D$884,$A625,Trades!$X$2:$X$884,"&lt;0")</f>
        <v>0</v>
      </c>
      <c r="I625" s="31" t="str">
        <f aca="false">IFERROR(G625/-H625,"no loss")</f>
        <v>no loss</v>
      </c>
      <c r="J625" s="30" t="n">
        <f aca="false">_xlfn.MAXIFS(Trades!$X$2:$X$884,Trades!$D$2:$D$884,$A625)</f>
        <v>51.6</v>
      </c>
      <c r="K625" s="30" t="n">
        <f aca="false">_xlfn.MINIFS(Trades!$X$2:$X$884,Trades!$D$2:$D$884,$A625)</f>
        <v>51.6</v>
      </c>
      <c r="L625" s="32" t="n">
        <f aca="false">SUMIFS(Trades!$Y$2:$Y$884,Trades!$D$2:$D$884,$A625)</f>
        <v>2.00279459711259</v>
      </c>
      <c r="M625" s="30" t="n">
        <f aca="false">P624</f>
        <v>114351.79</v>
      </c>
      <c r="N625" s="29" t="n">
        <f aca="false">IFERROR(F625/M625,0)</f>
        <v>0.000451239110467794</v>
      </c>
      <c r="O625" s="28" t="str">
        <f aca="false">IF(-N625&gt;=Summary!$C$7,"BREACH","")</f>
        <v/>
      </c>
      <c r="P625" s="30" t="n">
        <f aca="false">M625+F625</f>
        <v>114403.39</v>
      </c>
      <c r="Q625" s="30" t="n">
        <f aca="false">P625-Summary!$C$5</f>
        <v>14403.3900000001</v>
      </c>
      <c r="R625" s="2" t="str">
        <f aca="false">TEXT(A625,"ddd")</f>
        <v>Tue</v>
      </c>
    </row>
    <row r="626" customFormat="false" ht="15" hidden="false" customHeight="false" outlineLevel="0" collapsed="false">
      <c r="A626" s="42" t="n">
        <v>46050</v>
      </c>
      <c r="B626" s="28" t="n">
        <f aca="false">COUNTIFS(Trades!$D$2:$D$884,$A626)</f>
        <v>1</v>
      </c>
      <c r="C626" s="28" t="n">
        <f aca="false">COUNTIFS(Trades!$D$2:$D$884,$A626,Trades!$Z$2:$Z$884,"Win")</f>
        <v>1</v>
      </c>
      <c r="D626" s="28" t="n">
        <f aca="false">COUNTIFS(Trades!$D$2:$D$884,$A626,Trades!$Z$2:$Z$884,"Loss")</f>
        <v>0</v>
      </c>
      <c r="E626" s="29" t="n">
        <f aca="false">IFERROR(C626/B626,0)</f>
        <v>1</v>
      </c>
      <c r="F626" s="30" t="n">
        <f aca="false">SUMIFS(Trades!$X$2:$X$884,Trades!$D$2:$D$884,$A626)</f>
        <v>153.52</v>
      </c>
      <c r="G626" s="30" t="n">
        <f aca="false">SUMIFS(Trades!$X$2:$X$884,Trades!$D$2:$D$884,$A626,Trades!$X$2:$X$884,"&gt;0")</f>
        <v>153.52</v>
      </c>
      <c r="H626" s="30" t="n">
        <f aca="false">SUMIFS(Trades!$X$2:$X$884,Trades!$D$2:$D$884,$A626,Trades!$X$2:$X$884,"&lt;0")</f>
        <v>0</v>
      </c>
      <c r="I626" s="31" t="str">
        <f aca="false">IFERROR(G626/-H626,"no loss")</f>
        <v>no loss</v>
      </c>
      <c r="J626" s="30" t="n">
        <f aca="false">_xlfn.MAXIFS(Trades!$X$2:$X$884,Trades!$D$2:$D$884,$A626)</f>
        <v>153.52</v>
      </c>
      <c r="K626" s="30" t="n">
        <f aca="false">_xlfn.MINIFS(Trades!$X$2:$X$884,Trades!$D$2:$D$884,$A626)</f>
        <v>153.52</v>
      </c>
      <c r="L626" s="32" t="n">
        <f aca="false">SUMIFS(Trades!$Y$2:$Y$884,Trades!$D$2:$D$884,$A626)</f>
        <v>2.02</v>
      </c>
      <c r="M626" s="30" t="n">
        <f aca="false">P625</f>
        <v>114403.39</v>
      </c>
      <c r="N626" s="29" t="n">
        <f aca="false">IFERROR(F626/M626,0)</f>
        <v>0.00134191827707203</v>
      </c>
      <c r="O626" s="28" t="str">
        <f aca="false">IF(-N626&gt;=Summary!$C$7,"BREACH","")</f>
        <v/>
      </c>
      <c r="P626" s="30" t="n">
        <f aca="false">M626+F626</f>
        <v>114556.91</v>
      </c>
      <c r="Q626" s="30" t="n">
        <f aca="false">P626-Summary!$C$5</f>
        <v>14556.9100000001</v>
      </c>
      <c r="R626" s="2" t="str">
        <f aca="false">TEXT(A626,"ddd")</f>
        <v>Wed</v>
      </c>
    </row>
    <row r="627" customFormat="false" ht="15" hidden="false" customHeight="false" outlineLevel="0" collapsed="false">
      <c r="A627" s="42" t="n">
        <v>46051</v>
      </c>
      <c r="B627" s="28" t="n">
        <f aca="false">COUNTIFS(Trades!$D$2:$D$884,$A627)</f>
        <v>1</v>
      </c>
      <c r="C627" s="28" t="n">
        <f aca="false">COUNTIFS(Trades!$D$2:$D$884,$A627,Trades!$Z$2:$Z$884,"Win")</f>
        <v>0</v>
      </c>
      <c r="D627" s="28" t="n">
        <f aca="false">COUNTIFS(Trades!$D$2:$D$884,$A627,Trades!$Z$2:$Z$884,"Loss")</f>
        <v>1</v>
      </c>
      <c r="E627" s="29" t="n">
        <f aca="false">IFERROR(C627/B627,0)</f>
        <v>0</v>
      </c>
      <c r="F627" s="30" t="n">
        <f aca="false">SUMIFS(Trades!$X$2:$X$884,Trades!$D$2:$D$884,$A627)</f>
        <v>-1.98</v>
      </c>
      <c r="G627" s="30" t="n">
        <f aca="false">SUMIFS(Trades!$X$2:$X$884,Trades!$D$2:$D$884,$A627,Trades!$X$2:$X$884,"&gt;0")</f>
        <v>0</v>
      </c>
      <c r="H627" s="30" t="n">
        <f aca="false">SUMIFS(Trades!$X$2:$X$884,Trades!$D$2:$D$884,$A627,Trades!$X$2:$X$884,"&lt;0")</f>
        <v>-1.98</v>
      </c>
      <c r="I627" s="31" t="n">
        <f aca="false">IFERROR(G627/-H627,"no loss")</f>
        <v>0</v>
      </c>
      <c r="J627" s="30" t="n">
        <f aca="false">_xlfn.MAXIFS(Trades!$X$2:$X$884,Trades!$D$2:$D$884,$A627)</f>
        <v>-1.98</v>
      </c>
      <c r="K627" s="30" t="n">
        <f aca="false">_xlfn.MINIFS(Trades!$X$2:$X$884,Trades!$D$2:$D$884,$A627)</f>
        <v>-1.98</v>
      </c>
      <c r="L627" s="32" t="n">
        <f aca="false">SUMIFS(Trades!$Y$2:$Y$884,Trades!$D$2:$D$884,$A627)</f>
        <v>-0.00784717818642976</v>
      </c>
      <c r="M627" s="30" t="n">
        <f aca="false">P626</f>
        <v>114556.91</v>
      </c>
      <c r="N627" s="29" t="n">
        <f aca="false">IFERROR(F627/M627,0)</f>
        <v>-1.72839857499648E-005</v>
      </c>
      <c r="O627" s="28" t="str">
        <f aca="false">IF(-N627&gt;=Summary!$C$7,"BREACH","")</f>
        <v/>
      </c>
      <c r="P627" s="30" t="n">
        <f aca="false">M627+F627</f>
        <v>114554.93</v>
      </c>
      <c r="Q627" s="30" t="n">
        <f aca="false">P627-Summary!$C$5</f>
        <v>14554.9300000001</v>
      </c>
      <c r="R627" s="2" t="str">
        <f aca="false">TEXT(A627,"ddd")</f>
        <v>Thu</v>
      </c>
    </row>
    <row r="628" customFormat="false" ht="15" hidden="false" customHeight="false" outlineLevel="0" collapsed="false">
      <c r="A628" s="42" t="n">
        <v>46055</v>
      </c>
      <c r="B628" s="28" t="n">
        <f aca="false">COUNTIFS(Trades!$D$2:$D$884,$A628)</f>
        <v>1</v>
      </c>
      <c r="C628" s="28" t="n">
        <f aca="false">COUNTIFS(Trades!$D$2:$D$884,$A628,Trades!$Z$2:$Z$884,"Win")</f>
        <v>1</v>
      </c>
      <c r="D628" s="28" t="n">
        <f aca="false">COUNTIFS(Trades!$D$2:$D$884,$A628,Trades!$Z$2:$Z$884,"Loss")</f>
        <v>0</v>
      </c>
      <c r="E628" s="29" t="n">
        <f aca="false">IFERROR(C628/B628,0)</f>
        <v>1</v>
      </c>
      <c r="F628" s="30" t="n">
        <f aca="false">SUMIFS(Trades!$X$2:$X$884,Trades!$D$2:$D$884,$A628)</f>
        <v>399</v>
      </c>
      <c r="G628" s="30" t="n">
        <f aca="false">SUMIFS(Trades!$X$2:$X$884,Trades!$D$2:$D$884,$A628,Trades!$X$2:$X$884,"&gt;0")</f>
        <v>399</v>
      </c>
      <c r="H628" s="30" t="n">
        <f aca="false">SUMIFS(Trades!$X$2:$X$884,Trades!$D$2:$D$884,$A628,Trades!$X$2:$X$884,"&lt;0")</f>
        <v>0</v>
      </c>
      <c r="I628" s="31" t="str">
        <f aca="false">IFERROR(G628/-H628,"no loss")</f>
        <v>no loss</v>
      </c>
      <c r="J628" s="30" t="n">
        <f aca="false">_xlfn.MAXIFS(Trades!$X$2:$X$884,Trades!$D$2:$D$884,$A628)</f>
        <v>399</v>
      </c>
      <c r="K628" s="30" t="n">
        <f aca="false">_xlfn.MINIFS(Trades!$X$2:$X$884,Trades!$D$2:$D$884,$A628)</f>
        <v>399</v>
      </c>
      <c r="L628" s="32" t="n">
        <f aca="false">SUMIFS(Trades!$Y$2:$Y$884,Trades!$D$2:$D$884,$A628)</f>
        <v>1.89207132018218</v>
      </c>
      <c r="M628" s="30" t="n">
        <f aca="false">P627</f>
        <v>114554.93</v>
      </c>
      <c r="N628" s="29" t="n">
        <f aca="false">IFERROR(F628/M628,0)</f>
        <v>0.00348304520809362</v>
      </c>
      <c r="O628" s="28" t="str">
        <f aca="false">IF(-N628&gt;=Summary!$C$7,"BREACH","")</f>
        <v/>
      </c>
      <c r="P628" s="30" t="n">
        <f aca="false">M628+F628</f>
        <v>114953.93</v>
      </c>
      <c r="Q628" s="30" t="n">
        <f aca="false">P628-Summary!$C$5</f>
        <v>14953.9300000001</v>
      </c>
      <c r="R628" s="2" t="str">
        <f aca="false">TEXT(A628,"ddd")</f>
        <v>Mon</v>
      </c>
    </row>
    <row r="629" customFormat="false" ht="15" hidden="false" customHeight="false" outlineLevel="0" collapsed="false">
      <c r="A629" s="42" t="n">
        <v>46056</v>
      </c>
      <c r="B629" s="28" t="n">
        <f aca="false">COUNTIFS(Trades!$D$2:$D$884,$A629)</f>
        <v>1</v>
      </c>
      <c r="C629" s="28" t="n">
        <f aca="false">COUNTIFS(Trades!$D$2:$D$884,$A629,Trades!$Z$2:$Z$884,"Win")</f>
        <v>1</v>
      </c>
      <c r="D629" s="28" t="n">
        <f aca="false">COUNTIFS(Trades!$D$2:$D$884,$A629,Trades!$Z$2:$Z$884,"Loss")</f>
        <v>0</v>
      </c>
      <c r="E629" s="29" t="n">
        <f aca="false">IFERROR(C629/B629,0)</f>
        <v>1</v>
      </c>
      <c r="F629" s="30" t="n">
        <f aca="false">SUMIFS(Trades!$X$2:$X$884,Trades!$D$2:$D$884,$A629)</f>
        <v>110.28</v>
      </c>
      <c r="G629" s="30" t="n">
        <f aca="false">SUMIFS(Trades!$X$2:$X$884,Trades!$D$2:$D$884,$A629,Trades!$X$2:$X$884,"&gt;0")</f>
        <v>110.28</v>
      </c>
      <c r="H629" s="30" t="n">
        <f aca="false">SUMIFS(Trades!$X$2:$X$884,Trades!$D$2:$D$884,$A629,Trades!$X$2:$X$884,"&lt;0")</f>
        <v>0</v>
      </c>
      <c r="I629" s="31" t="str">
        <f aca="false">IFERROR(G629/-H629,"no loss")</f>
        <v>no loss</v>
      </c>
      <c r="J629" s="30" t="n">
        <f aca="false">_xlfn.MAXIFS(Trades!$X$2:$X$884,Trades!$D$2:$D$884,$A629)</f>
        <v>110.28</v>
      </c>
      <c r="K629" s="30" t="n">
        <f aca="false">_xlfn.MINIFS(Trades!$X$2:$X$884,Trades!$D$2:$D$884,$A629)</f>
        <v>110.28</v>
      </c>
      <c r="L629" s="32" t="n">
        <f aca="false">SUMIFS(Trades!$Y$2:$Y$884,Trades!$D$2:$D$884,$A629)</f>
        <v>2.02274394717574</v>
      </c>
      <c r="M629" s="30" t="n">
        <f aca="false">P628</f>
        <v>114953.93</v>
      </c>
      <c r="N629" s="29" t="n">
        <f aca="false">IFERROR(F629/M629,0)</f>
        <v>0.000959340842022538</v>
      </c>
      <c r="O629" s="28" t="str">
        <f aca="false">IF(-N629&gt;=Summary!$C$7,"BREACH","")</f>
        <v/>
      </c>
      <c r="P629" s="30" t="n">
        <f aca="false">M629+F629</f>
        <v>115064.21</v>
      </c>
      <c r="Q629" s="30" t="n">
        <f aca="false">P629-Summary!$C$5</f>
        <v>15064.2100000001</v>
      </c>
      <c r="R629" s="2" t="str">
        <f aca="false">TEXT(A629,"ddd")</f>
        <v>Tue</v>
      </c>
    </row>
    <row r="630" customFormat="false" ht="15" hidden="false" customHeight="false" outlineLevel="0" collapsed="false">
      <c r="A630" s="42" t="n">
        <v>46057</v>
      </c>
      <c r="B630" s="28" t="n">
        <f aca="false">COUNTIFS(Trades!$D$2:$D$884,$A630)</f>
        <v>1</v>
      </c>
      <c r="C630" s="28" t="n">
        <f aca="false">COUNTIFS(Trades!$D$2:$D$884,$A630,Trades!$Z$2:$Z$884,"Win")</f>
        <v>0</v>
      </c>
      <c r="D630" s="28" t="n">
        <f aca="false">COUNTIFS(Trades!$D$2:$D$884,$A630,Trades!$Z$2:$Z$884,"Loss")</f>
        <v>1</v>
      </c>
      <c r="E630" s="29" t="n">
        <f aca="false">IFERROR(C630/B630,0)</f>
        <v>0</v>
      </c>
      <c r="F630" s="30" t="n">
        <f aca="false">SUMIFS(Trades!$X$2:$X$884,Trades!$D$2:$D$884,$A630)</f>
        <v>-0.24</v>
      </c>
      <c r="G630" s="30" t="n">
        <f aca="false">SUMIFS(Trades!$X$2:$X$884,Trades!$D$2:$D$884,$A630,Trades!$X$2:$X$884,"&gt;0")</f>
        <v>0</v>
      </c>
      <c r="H630" s="30" t="n">
        <f aca="false">SUMIFS(Trades!$X$2:$X$884,Trades!$D$2:$D$884,$A630,Trades!$X$2:$X$884,"&lt;0")</f>
        <v>-0.24</v>
      </c>
      <c r="I630" s="31" t="n">
        <f aca="false">IFERROR(G630/-H630,"no loss")</f>
        <v>0</v>
      </c>
      <c r="J630" s="30" t="n">
        <f aca="false">_xlfn.MAXIFS(Trades!$X$2:$X$884,Trades!$D$2:$D$884,$A630)</f>
        <v>-0.24</v>
      </c>
      <c r="K630" s="30" t="n">
        <f aca="false">_xlfn.MINIFS(Trades!$X$2:$X$884,Trades!$D$2:$D$884,$A630)</f>
        <v>-0.24</v>
      </c>
      <c r="L630" s="32" t="n">
        <f aca="false">SUMIFS(Trades!$Y$2:$Y$884,Trades!$D$2:$D$884,$A630)</f>
        <v>-0.000747477264233209</v>
      </c>
      <c r="M630" s="30" t="n">
        <f aca="false">P629</f>
        <v>115064.21</v>
      </c>
      <c r="N630" s="29" t="n">
        <f aca="false">IFERROR(F630/M630,0)</f>
        <v>-2.0857919243525E-006</v>
      </c>
      <c r="O630" s="28" t="str">
        <f aca="false">IF(-N630&gt;=Summary!$C$7,"BREACH","")</f>
        <v/>
      </c>
      <c r="P630" s="30" t="n">
        <f aca="false">M630+F630</f>
        <v>115063.97</v>
      </c>
      <c r="Q630" s="30" t="n">
        <f aca="false">P630-Summary!$C$5</f>
        <v>15063.9700000001</v>
      </c>
      <c r="R630" s="2" t="str">
        <f aca="false">TEXT(A630,"ddd")</f>
        <v>Wed</v>
      </c>
    </row>
    <row r="631" customFormat="false" ht="15" hidden="false" customHeight="false" outlineLevel="0" collapsed="false">
      <c r="A631" s="42" t="n">
        <v>46058</v>
      </c>
      <c r="B631" s="28" t="n">
        <f aca="false">COUNTIFS(Trades!$D$2:$D$884,$A631)</f>
        <v>1</v>
      </c>
      <c r="C631" s="28" t="n">
        <f aca="false">COUNTIFS(Trades!$D$2:$D$884,$A631,Trades!$Z$2:$Z$884,"Win")</f>
        <v>0</v>
      </c>
      <c r="D631" s="28" t="n">
        <f aca="false">COUNTIFS(Trades!$D$2:$D$884,$A631,Trades!$Z$2:$Z$884,"Loss")</f>
        <v>1</v>
      </c>
      <c r="E631" s="29" t="n">
        <f aca="false">IFERROR(C631/B631,0)</f>
        <v>0</v>
      </c>
      <c r="F631" s="30" t="n">
        <f aca="false">SUMIFS(Trades!$X$2:$X$884,Trades!$D$2:$D$884,$A631)</f>
        <v>-0.48</v>
      </c>
      <c r="G631" s="30" t="n">
        <f aca="false">SUMIFS(Trades!$X$2:$X$884,Trades!$D$2:$D$884,$A631,Trades!$X$2:$X$884,"&gt;0")</f>
        <v>0</v>
      </c>
      <c r="H631" s="30" t="n">
        <f aca="false">SUMIFS(Trades!$X$2:$X$884,Trades!$D$2:$D$884,$A631,Trades!$X$2:$X$884,"&lt;0")</f>
        <v>-0.48</v>
      </c>
      <c r="I631" s="31" t="n">
        <f aca="false">IFERROR(G631/-H631,"no loss")</f>
        <v>0</v>
      </c>
      <c r="J631" s="30" t="n">
        <f aca="false">_xlfn.MAXIFS(Trades!$X$2:$X$884,Trades!$D$2:$D$884,$A631)</f>
        <v>-0.48</v>
      </c>
      <c r="K631" s="30" t="n">
        <f aca="false">_xlfn.MINIFS(Trades!$X$2:$X$884,Trades!$D$2:$D$884,$A631)</f>
        <v>-0.48</v>
      </c>
      <c r="L631" s="32" t="n">
        <f aca="false">SUMIFS(Trades!$Y$2:$Y$884,Trades!$D$2:$D$884,$A631)</f>
        <v>-0.00206611570247941</v>
      </c>
      <c r="M631" s="30" t="n">
        <f aca="false">P630</f>
        <v>115063.97</v>
      </c>
      <c r="N631" s="29" t="n">
        <f aca="false">IFERROR(F631/M631,0)</f>
        <v>-4.17159254977905E-006</v>
      </c>
      <c r="O631" s="28" t="str">
        <f aca="false">IF(-N631&gt;=Summary!$C$7,"BREACH","")</f>
        <v/>
      </c>
      <c r="P631" s="30" t="n">
        <f aca="false">M631+F631</f>
        <v>115063.49</v>
      </c>
      <c r="Q631" s="30" t="n">
        <f aca="false">P631-Summary!$C$5</f>
        <v>15063.4900000001</v>
      </c>
      <c r="R631" s="2" t="str">
        <f aca="false">TEXT(A631,"ddd")</f>
        <v>Thu</v>
      </c>
    </row>
    <row r="632" customFormat="false" ht="15" hidden="false" customHeight="false" outlineLevel="0" collapsed="false">
      <c r="A632" s="42" t="n">
        <v>46059</v>
      </c>
      <c r="B632" s="28" t="n">
        <f aca="false">COUNTIFS(Trades!$D$2:$D$884,$A632)</f>
        <v>2</v>
      </c>
      <c r="C632" s="28" t="n">
        <f aca="false">COUNTIFS(Trades!$D$2:$D$884,$A632,Trades!$Z$2:$Z$884,"Win")</f>
        <v>2</v>
      </c>
      <c r="D632" s="28" t="n">
        <f aca="false">COUNTIFS(Trades!$D$2:$D$884,$A632,Trades!$Z$2:$Z$884,"Loss")</f>
        <v>0</v>
      </c>
      <c r="E632" s="29" t="n">
        <f aca="false">IFERROR(C632/B632,0)</f>
        <v>1</v>
      </c>
      <c r="F632" s="30" t="n">
        <f aca="false">SUMIFS(Trades!$X$2:$X$884,Trades!$D$2:$D$884,$A632)</f>
        <v>808.34</v>
      </c>
      <c r="G632" s="30" t="n">
        <f aca="false">SUMIFS(Trades!$X$2:$X$884,Trades!$D$2:$D$884,$A632,Trades!$X$2:$X$884,"&gt;0")</f>
        <v>808.34</v>
      </c>
      <c r="H632" s="30" t="n">
        <f aca="false">SUMIFS(Trades!$X$2:$X$884,Trades!$D$2:$D$884,$A632,Trades!$X$2:$X$884,"&lt;0")</f>
        <v>0</v>
      </c>
      <c r="I632" s="31" t="str">
        <f aca="false">IFERROR(G632/-H632,"no loss")</f>
        <v>no loss</v>
      </c>
      <c r="J632" s="30" t="n">
        <f aca="false">_xlfn.MAXIFS(Trades!$X$2:$X$884,Trades!$D$2:$D$884,$A632)</f>
        <v>639.62</v>
      </c>
      <c r="K632" s="30" t="n">
        <f aca="false">_xlfn.MINIFS(Trades!$X$2:$X$884,Trades!$D$2:$D$884,$A632)</f>
        <v>168.72</v>
      </c>
      <c r="L632" s="32" t="n">
        <f aca="false">SUMIFS(Trades!$Y$2:$Y$884,Trades!$D$2:$D$884,$A632)</f>
        <v>4.06082324808994</v>
      </c>
      <c r="M632" s="30" t="n">
        <f aca="false">P631</f>
        <v>115063.49</v>
      </c>
      <c r="N632" s="29" t="n">
        <f aca="false">IFERROR(F632/M632,0)</f>
        <v>0.00702516497631003</v>
      </c>
      <c r="O632" s="28" t="str">
        <f aca="false">IF(-N632&gt;=Summary!$C$7,"BREACH","")</f>
        <v/>
      </c>
      <c r="P632" s="30" t="n">
        <f aca="false">M632+F632</f>
        <v>115871.83</v>
      </c>
      <c r="Q632" s="30" t="n">
        <f aca="false">P632-Summary!$C$5</f>
        <v>15871.8300000001</v>
      </c>
      <c r="R632" s="2" t="str">
        <f aca="false">TEXT(A632,"ddd")</f>
        <v>Fri</v>
      </c>
    </row>
    <row r="633" customFormat="false" ht="15" hidden="false" customHeight="false" outlineLevel="0" collapsed="false">
      <c r="A633" s="42" t="n">
        <v>46062</v>
      </c>
      <c r="B633" s="28" t="n">
        <f aca="false">COUNTIFS(Trades!$D$2:$D$884,$A633)</f>
        <v>1</v>
      </c>
      <c r="C633" s="28" t="n">
        <f aca="false">COUNTIFS(Trades!$D$2:$D$884,$A633,Trades!$Z$2:$Z$884,"Win")</f>
        <v>1</v>
      </c>
      <c r="D633" s="28" t="n">
        <f aca="false">COUNTIFS(Trades!$D$2:$D$884,$A633,Trades!$Z$2:$Z$884,"Loss")</f>
        <v>0</v>
      </c>
      <c r="E633" s="29" t="n">
        <f aca="false">IFERROR(C633/B633,0)</f>
        <v>1</v>
      </c>
      <c r="F633" s="30" t="n">
        <f aca="false">SUMIFS(Trades!$X$2:$X$884,Trades!$D$2:$D$884,$A633)</f>
        <v>317.44</v>
      </c>
      <c r="G633" s="30" t="n">
        <f aca="false">SUMIFS(Trades!$X$2:$X$884,Trades!$D$2:$D$884,$A633,Trades!$X$2:$X$884,"&gt;0")</f>
        <v>317.44</v>
      </c>
      <c r="H633" s="30" t="n">
        <f aca="false">SUMIFS(Trades!$X$2:$X$884,Trades!$D$2:$D$884,$A633,Trades!$X$2:$X$884,"&lt;0")</f>
        <v>0</v>
      </c>
      <c r="I633" s="31" t="str">
        <f aca="false">IFERROR(G633/-H633,"no loss")</f>
        <v>no loss</v>
      </c>
      <c r="J633" s="30" t="n">
        <f aca="false">_xlfn.MAXIFS(Trades!$X$2:$X$884,Trades!$D$2:$D$884,$A633)</f>
        <v>317.44</v>
      </c>
      <c r="K633" s="30" t="n">
        <f aca="false">_xlfn.MINIFS(Trades!$X$2:$X$884,Trades!$D$2:$D$884,$A633)</f>
        <v>317.44</v>
      </c>
      <c r="L633" s="32" t="n">
        <f aca="false">SUMIFS(Trades!$Y$2:$Y$884,Trades!$D$2:$D$884,$A633)</f>
        <v>2.00302877334666</v>
      </c>
      <c r="M633" s="30" t="n">
        <f aca="false">P632</f>
        <v>115871.83</v>
      </c>
      <c r="N633" s="29" t="n">
        <f aca="false">IFERROR(F633/M633,0)</f>
        <v>0.00273957872245566</v>
      </c>
      <c r="O633" s="28" t="str">
        <f aca="false">IF(-N633&gt;=Summary!$C$7,"BREACH","")</f>
        <v/>
      </c>
      <c r="P633" s="30" t="n">
        <f aca="false">M633+F633</f>
        <v>116189.27</v>
      </c>
      <c r="Q633" s="30" t="n">
        <f aca="false">P633-Summary!$C$5</f>
        <v>16189.2700000001</v>
      </c>
      <c r="R633" s="2" t="str">
        <f aca="false">TEXT(A633,"ddd")</f>
        <v>Mon</v>
      </c>
    </row>
    <row r="634" customFormat="false" ht="15" hidden="false" customHeight="false" outlineLevel="0" collapsed="false">
      <c r="A634" s="42" t="n">
        <v>46063</v>
      </c>
      <c r="B634" s="28" t="n">
        <f aca="false">COUNTIFS(Trades!$D$2:$D$884,$A634)</f>
        <v>1</v>
      </c>
      <c r="C634" s="28" t="n">
        <f aca="false">COUNTIFS(Trades!$D$2:$D$884,$A634,Trades!$Z$2:$Z$884,"Win")</f>
        <v>0</v>
      </c>
      <c r="D634" s="28" t="n">
        <f aca="false">COUNTIFS(Trades!$D$2:$D$884,$A634,Trades!$Z$2:$Z$884,"Loss")</f>
        <v>1</v>
      </c>
      <c r="E634" s="29" t="n">
        <f aca="false">IFERROR(C634/B634,0)</f>
        <v>0</v>
      </c>
      <c r="F634" s="30" t="n">
        <f aca="false">SUMIFS(Trades!$X$2:$X$884,Trades!$D$2:$D$884,$A634)</f>
        <v>-146.12</v>
      </c>
      <c r="G634" s="30" t="n">
        <f aca="false">SUMIFS(Trades!$X$2:$X$884,Trades!$D$2:$D$884,$A634,Trades!$X$2:$X$884,"&gt;0")</f>
        <v>0</v>
      </c>
      <c r="H634" s="30" t="n">
        <f aca="false">SUMIFS(Trades!$X$2:$X$884,Trades!$D$2:$D$884,$A634,Trades!$X$2:$X$884,"&lt;0")</f>
        <v>-146.12</v>
      </c>
      <c r="I634" s="31" t="n">
        <f aca="false">IFERROR(G634/-H634,"no loss")</f>
        <v>0</v>
      </c>
      <c r="J634" s="30" t="n">
        <f aca="false">_xlfn.MAXIFS(Trades!$X$2:$X$884,Trades!$D$2:$D$884,$A634)</f>
        <v>-146.12</v>
      </c>
      <c r="K634" s="30" t="n">
        <f aca="false">_xlfn.MINIFS(Trades!$X$2:$X$884,Trades!$D$2:$D$884,$A634)</f>
        <v>-146.12</v>
      </c>
      <c r="L634" s="32" t="n">
        <f aca="false">SUMIFS(Trades!$Y$2:$Y$884,Trades!$D$2:$D$884,$A634)</f>
        <v>-1.01585094549492</v>
      </c>
      <c r="M634" s="30" t="n">
        <f aca="false">P633</f>
        <v>116189.27</v>
      </c>
      <c r="N634" s="29" t="n">
        <f aca="false">IFERROR(F634/M634,0)</f>
        <v>-0.00125760321929899</v>
      </c>
      <c r="O634" s="28" t="str">
        <f aca="false">IF(-N634&gt;=Summary!$C$7,"BREACH","")</f>
        <v/>
      </c>
      <c r="P634" s="30" t="n">
        <f aca="false">M634+F634</f>
        <v>116043.15</v>
      </c>
      <c r="Q634" s="30" t="n">
        <f aca="false">P634-Summary!$C$5</f>
        <v>16043.1500000001</v>
      </c>
      <c r="R634" s="2" t="str">
        <f aca="false">TEXT(A634,"ddd")</f>
        <v>Tue</v>
      </c>
    </row>
    <row r="635" customFormat="false" ht="15" hidden="false" customHeight="false" outlineLevel="0" collapsed="false">
      <c r="A635" s="42" t="n">
        <v>46064</v>
      </c>
      <c r="B635" s="28" t="n">
        <f aca="false">COUNTIFS(Trades!$D$2:$D$884,$A635)</f>
        <v>2</v>
      </c>
      <c r="C635" s="28" t="n">
        <f aca="false">COUNTIFS(Trades!$D$2:$D$884,$A635,Trades!$Z$2:$Z$884,"Win")</f>
        <v>1</v>
      </c>
      <c r="D635" s="28" t="n">
        <f aca="false">COUNTIFS(Trades!$D$2:$D$884,$A635,Trades!$Z$2:$Z$884,"Loss")</f>
        <v>1</v>
      </c>
      <c r="E635" s="29" t="n">
        <f aca="false">IFERROR(C635/B635,0)</f>
        <v>0.5</v>
      </c>
      <c r="F635" s="30" t="n">
        <f aca="false">SUMIFS(Trades!$X$2:$X$884,Trades!$D$2:$D$884,$A635)</f>
        <v>26.8</v>
      </c>
      <c r="G635" s="30" t="n">
        <f aca="false">SUMIFS(Trades!$X$2:$X$884,Trades!$D$2:$D$884,$A635,Trades!$X$2:$X$884,"&gt;0")</f>
        <v>146.52</v>
      </c>
      <c r="H635" s="30" t="n">
        <f aca="false">SUMIFS(Trades!$X$2:$X$884,Trades!$D$2:$D$884,$A635,Trades!$X$2:$X$884,"&lt;0")</f>
        <v>-119.72</v>
      </c>
      <c r="I635" s="31" t="n">
        <f aca="false">IFERROR(G635/-H635,"no loss")</f>
        <v>1.22385566321417</v>
      </c>
      <c r="J635" s="30" t="n">
        <f aca="false">_xlfn.MAXIFS(Trades!$X$2:$X$884,Trades!$D$2:$D$884,$A635)</f>
        <v>146.52</v>
      </c>
      <c r="K635" s="30" t="n">
        <f aca="false">_xlfn.MINIFS(Trades!$X$2:$X$884,Trades!$D$2:$D$884,$A635)</f>
        <v>-119.72</v>
      </c>
      <c r="L635" s="32" t="n">
        <f aca="false">SUMIFS(Trades!$Y$2:$Y$884,Trades!$D$2:$D$884,$A635)</f>
        <v>0.988844845392059</v>
      </c>
      <c r="M635" s="30" t="n">
        <f aca="false">P634</f>
        <v>116043.15</v>
      </c>
      <c r="N635" s="29" t="n">
        <f aca="false">IFERROR(F635/M635,0)</f>
        <v>0.000230948573871013</v>
      </c>
      <c r="O635" s="28" t="str">
        <f aca="false">IF(-N635&gt;=Summary!$C$7,"BREACH","")</f>
        <v/>
      </c>
      <c r="P635" s="30" t="n">
        <f aca="false">M635+F635</f>
        <v>116069.95</v>
      </c>
      <c r="Q635" s="30" t="n">
        <f aca="false">P635-Summary!$C$5</f>
        <v>16069.9500000001</v>
      </c>
      <c r="R635" s="2" t="str">
        <f aca="false">TEXT(A635,"ddd")</f>
        <v>Wed</v>
      </c>
    </row>
    <row r="636" customFormat="false" ht="15" hidden="false" customHeight="false" outlineLevel="0" collapsed="false">
      <c r="A636" s="42" t="n">
        <v>46065</v>
      </c>
      <c r="B636" s="28" t="n">
        <f aca="false">COUNTIFS(Trades!$D$2:$D$884,$A636)</f>
        <v>1</v>
      </c>
      <c r="C636" s="28" t="n">
        <f aca="false">COUNTIFS(Trades!$D$2:$D$884,$A636,Trades!$Z$2:$Z$884,"Win")</f>
        <v>1</v>
      </c>
      <c r="D636" s="28" t="n">
        <f aca="false">COUNTIFS(Trades!$D$2:$D$884,$A636,Trades!$Z$2:$Z$884,"Loss")</f>
        <v>0</v>
      </c>
      <c r="E636" s="29" t="n">
        <f aca="false">IFERROR(C636/B636,0)</f>
        <v>1</v>
      </c>
      <c r="F636" s="30" t="n">
        <f aca="false">SUMIFS(Trades!$X$2:$X$884,Trades!$D$2:$D$884,$A636)</f>
        <v>407</v>
      </c>
      <c r="G636" s="30" t="n">
        <f aca="false">SUMIFS(Trades!$X$2:$X$884,Trades!$D$2:$D$884,$A636,Trades!$X$2:$X$884,"&gt;0")</f>
        <v>407</v>
      </c>
      <c r="H636" s="30" t="n">
        <f aca="false">SUMIFS(Trades!$X$2:$X$884,Trades!$D$2:$D$884,$A636,Trades!$X$2:$X$884,"&lt;0")</f>
        <v>0</v>
      </c>
      <c r="I636" s="31" t="str">
        <f aca="false">IFERROR(G636/-H636,"no loss")</f>
        <v>no loss</v>
      </c>
      <c r="J636" s="30" t="n">
        <f aca="false">_xlfn.MAXIFS(Trades!$X$2:$X$884,Trades!$D$2:$D$884,$A636)</f>
        <v>407</v>
      </c>
      <c r="K636" s="30" t="n">
        <f aca="false">_xlfn.MINIFS(Trades!$X$2:$X$884,Trades!$D$2:$D$884,$A636)</f>
        <v>407</v>
      </c>
      <c r="L636" s="32" t="n">
        <f aca="false">SUMIFS(Trades!$Y$2:$Y$884,Trades!$D$2:$D$884,$A636)</f>
        <v>2.01166468960071</v>
      </c>
      <c r="M636" s="30" t="n">
        <f aca="false">P635</f>
        <v>116069.95</v>
      </c>
      <c r="N636" s="29" t="n">
        <f aca="false">IFERROR(F636/M636,0)</f>
        <v>0.00350650620595598</v>
      </c>
      <c r="O636" s="28" t="str">
        <f aca="false">IF(-N636&gt;=Summary!$C$7,"BREACH","")</f>
        <v/>
      </c>
      <c r="P636" s="30" t="n">
        <f aca="false">M636+F636</f>
        <v>116476.95</v>
      </c>
      <c r="Q636" s="30" t="n">
        <f aca="false">P636-Summary!$C$5</f>
        <v>16476.9500000001</v>
      </c>
      <c r="R636" s="2" t="str">
        <f aca="false">TEXT(A636,"ddd")</f>
        <v>Thu</v>
      </c>
    </row>
    <row r="637" customFormat="false" ht="15" hidden="false" customHeight="false" outlineLevel="0" collapsed="false">
      <c r="A637" s="42" t="n">
        <v>46066</v>
      </c>
      <c r="B637" s="28" t="n">
        <f aca="false">COUNTIFS(Trades!$D$2:$D$884,$A637)</f>
        <v>1</v>
      </c>
      <c r="C637" s="28" t="n">
        <f aca="false">COUNTIFS(Trades!$D$2:$D$884,$A637,Trades!$Z$2:$Z$884,"Win")</f>
        <v>0</v>
      </c>
      <c r="D637" s="28" t="n">
        <f aca="false">COUNTIFS(Trades!$D$2:$D$884,$A637,Trades!$Z$2:$Z$884,"Loss")</f>
        <v>1</v>
      </c>
      <c r="E637" s="29" t="n">
        <f aca="false">IFERROR(C637/B637,0)</f>
        <v>0</v>
      </c>
      <c r="F637" s="30" t="n">
        <f aca="false">SUMIFS(Trades!$X$2:$X$884,Trades!$D$2:$D$884,$A637)</f>
        <v>-0.88</v>
      </c>
      <c r="G637" s="30" t="n">
        <f aca="false">SUMIFS(Trades!$X$2:$X$884,Trades!$D$2:$D$884,$A637,Trades!$X$2:$X$884,"&gt;0")</f>
        <v>0</v>
      </c>
      <c r="H637" s="30" t="n">
        <f aca="false">SUMIFS(Trades!$X$2:$X$884,Trades!$D$2:$D$884,$A637,Trades!$X$2:$X$884,"&lt;0")</f>
        <v>-0.88</v>
      </c>
      <c r="I637" s="31" t="n">
        <f aca="false">IFERROR(G637/-H637,"no loss")</f>
        <v>0</v>
      </c>
      <c r="J637" s="30" t="n">
        <f aca="false">_xlfn.MAXIFS(Trades!$X$2:$X$884,Trades!$D$2:$D$884,$A637)</f>
        <v>-0.88</v>
      </c>
      <c r="K637" s="30" t="n">
        <f aca="false">_xlfn.MINIFS(Trades!$X$2:$X$884,Trades!$D$2:$D$884,$A637)</f>
        <v>-0.88</v>
      </c>
      <c r="L637" s="32" t="n">
        <f aca="false">SUMIFS(Trades!$Y$2:$Y$884,Trades!$D$2:$D$884,$A637)</f>
        <v>-0.0103213699272816</v>
      </c>
      <c r="M637" s="30" t="n">
        <f aca="false">P636</f>
        <v>116476.95</v>
      </c>
      <c r="N637" s="29" t="n">
        <f aca="false">IFERROR(F637/M637,0)</f>
        <v>-7.55514288449345E-006</v>
      </c>
      <c r="O637" s="28" t="str">
        <f aca="false">IF(-N637&gt;=Summary!$C$7,"BREACH","")</f>
        <v/>
      </c>
      <c r="P637" s="30" t="n">
        <f aca="false">M637+F637</f>
        <v>116476.07</v>
      </c>
      <c r="Q637" s="30" t="n">
        <f aca="false">P637-Summary!$C$5</f>
        <v>16476.0700000001</v>
      </c>
      <c r="R637" s="2" t="str">
        <f aca="false">TEXT(A637,"ddd")</f>
        <v>Fri</v>
      </c>
    </row>
    <row r="638" customFormat="false" ht="15" hidden="false" customHeight="false" outlineLevel="0" collapsed="false">
      <c r="A638" s="42" t="n">
        <v>46070</v>
      </c>
      <c r="B638" s="28" t="n">
        <f aca="false">COUNTIFS(Trades!$D$2:$D$884,$A638)</f>
        <v>1</v>
      </c>
      <c r="C638" s="28" t="n">
        <f aca="false">COUNTIFS(Trades!$D$2:$D$884,$A638,Trades!$Z$2:$Z$884,"Win")</f>
        <v>0</v>
      </c>
      <c r="D638" s="28" t="n">
        <f aca="false">COUNTIFS(Trades!$D$2:$D$884,$A638,Trades!$Z$2:$Z$884,"Loss")</f>
        <v>1</v>
      </c>
      <c r="E638" s="29" t="n">
        <f aca="false">IFERROR(C638/B638,0)</f>
        <v>0</v>
      </c>
      <c r="F638" s="30" t="n">
        <f aca="false">SUMIFS(Trades!$X$2:$X$884,Trades!$D$2:$D$884,$A638)</f>
        <v>-0.46</v>
      </c>
      <c r="G638" s="30" t="n">
        <f aca="false">SUMIFS(Trades!$X$2:$X$884,Trades!$D$2:$D$884,$A638,Trades!$X$2:$X$884,"&gt;0")</f>
        <v>0</v>
      </c>
      <c r="H638" s="30" t="n">
        <f aca="false">SUMIFS(Trades!$X$2:$X$884,Trades!$D$2:$D$884,$A638,Trades!$X$2:$X$884,"&lt;0")</f>
        <v>-0.46</v>
      </c>
      <c r="I638" s="31" t="n">
        <f aca="false">IFERROR(G638/-H638,"no loss")</f>
        <v>0</v>
      </c>
      <c r="J638" s="30" t="n">
        <f aca="false">_xlfn.MAXIFS(Trades!$X$2:$X$884,Trades!$D$2:$D$884,$A638)</f>
        <v>-0.46</v>
      </c>
      <c r="K638" s="30" t="n">
        <f aca="false">_xlfn.MINIFS(Trades!$X$2:$X$884,Trades!$D$2:$D$884,$A638)</f>
        <v>-0.46</v>
      </c>
      <c r="L638" s="32" t="n">
        <f aca="false">SUMIFS(Trades!$Y$2:$Y$884,Trades!$D$2:$D$884,$A638)</f>
        <v>-0.00319497694060132</v>
      </c>
      <c r="M638" s="30" t="n">
        <f aca="false">P637</f>
        <v>116476.07</v>
      </c>
      <c r="N638" s="29" t="n">
        <f aca="false">IFERROR(F638/M638,0)</f>
        <v>-3.94930907267046E-006</v>
      </c>
      <c r="O638" s="28" t="str">
        <f aca="false">IF(-N638&gt;=Summary!$C$7,"BREACH","")</f>
        <v/>
      </c>
      <c r="P638" s="30" t="n">
        <f aca="false">M638+F638</f>
        <v>116475.61</v>
      </c>
      <c r="Q638" s="30" t="n">
        <f aca="false">P638-Summary!$C$5</f>
        <v>16475.6100000001</v>
      </c>
      <c r="R638" s="2" t="str">
        <f aca="false">TEXT(A638,"ddd")</f>
        <v>Tue</v>
      </c>
    </row>
    <row r="639" customFormat="false" ht="15" hidden="false" customHeight="false" outlineLevel="0" collapsed="false">
      <c r="A639" s="42" t="n">
        <v>46071</v>
      </c>
      <c r="B639" s="28" t="n">
        <f aca="false">COUNTIFS(Trades!$D$2:$D$884,$A639)</f>
        <v>1</v>
      </c>
      <c r="C639" s="28" t="n">
        <f aca="false">COUNTIFS(Trades!$D$2:$D$884,$A639,Trades!$Z$2:$Z$884,"Win")</f>
        <v>0</v>
      </c>
      <c r="D639" s="28" t="n">
        <f aca="false">COUNTIFS(Trades!$D$2:$D$884,$A639,Trades!$Z$2:$Z$884,"Loss")</f>
        <v>1</v>
      </c>
      <c r="E639" s="29" t="n">
        <f aca="false">IFERROR(C639/B639,0)</f>
        <v>0</v>
      </c>
      <c r="F639" s="30" t="n">
        <f aca="false">SUMIFS(Trades!$X$2:$X$884,Trades!$D$2:$D$884,$A639)</f>
        <v>-0.55</v>
      </c>
      <c r="G639" s="30" t="n">
        <f aca="false">SUMIFS(Trades!$X$2:$X$884,Trades!$D$2:$D$884,$A639,Trades!$X$2:$X$884,"&gt;0")</f>
        <v>0</v>
      </c>
      <c r="H639" s="30" t="n">
        <f aca="false">SUMIFS(Trades!$X$2:$X$884,Trades!$D$2:$D$884,$A639,Trades!$X$2:$X$884,"&lt;0")</f>
        <v>-0.55</v>
      </c>
      <c r="I639" s="31" t="n">
        <f aca="false">IFERROR(G639/-H639,"no loss")</f>
        <v>0</v>
      </c>
      <c r="J639" s="30" t="n">
        <f aca="false">_xlfn.MAXIFS(Trades!$X$2:$X$884,Trades!$D$2:$D$884,$A639)</f>
        <v>-0.55</v>
      </c>
      <c r="K639" s="30" t="n">
        <f aca="false">_xlfn.MINIFS(Trades!$X$2:$X$884,Trades!$D$2:$D$884,$A639)</f>
        <v>-0.55</v>
      </c>
      <c r="L639" s="32" t="n">
        <f aca="false">SUMIFS(Trades!$Y$2:$Y$884,Trades!$D$2:$D$884,$A639)</f>
        <v>-0.00531894317434551</v>
      </c>
      <c r="M639" s="30" t="n">
        <f aca="false">P638</f>
        <v>116475.61</v>
      </c>
      <c r="N639" s="29" t="n">
        <f aca="false">IFERROR(F639/M639,0)</f>
        <v>-4.72201862690395E-006</v>
      </c>
      <c r="O639" s="28" t="str">
        <f aca="false">IF(-N639&gt;=Summary!$C$7,"BREACH","")</f>
        <v/>
      </c>
      <c r="P639" s="30" t="n">
        <f aca="false">M639+F639</f>
        <v>116475.06</v>
      </c>
      <c r="Q639" s="30" t="n">
        <f aca="false">P639-Summary!$C$5</f>
        <v>16475.0600000001</v>
      </c>
      <c r="R639" s="2" t="str">
        <f aca="false">TEXT(A639,"ddd")</f>
        <v>Wed</v>
      </c>
    </row>
    <row r="640" customFormat="false" ht="15" hidden="false" customHeight="false" outlineLevel="0" collapsed="false">
      <c r="A640" s="42" t="n">
        <v>46073</v>
      </c>
      <c r="B640" s="28" t="n">
        <f aca="false">COUNTIFS(Trades!$D$2:$D$884,$A640)</f>
        <v>2</v>
      </c>
      <c r="C640" s="28" t="n">
        <f aca="false">COUNTIFS(Trades!$D$2:$D$884,$A640,Trades!$Z$2:$Z$884,"Win")</f>
        <v>0</v>
      </c>
      <c r="D640" s="28" t="n">
        <f aca="false">COUNTIFS(Trades!$D$2:$D$884,$A640,Trades!$Z$2:$Z$884,"Loss")</f>
        <v>2</v>
      </c>
      <c r="E640" s="29" t="n">
        <f aca="false">IFERROR(C640/B640,0)</f>
        <v>0</v>
      </c>
      <c r="F640" s="30" t="n">
        <f aca="false">SUMIFS(Trades!$X$2:$X$884,Trades!$D$2:$D$884,$A640)</f>
        <v>-350.75</v>
      </c>
      <c r="G640" s="30" t="n">
        <f aca="false">SUMIFS(Trades!$X$2:$X$884,Trades!$D$2:$D$884,$A640,Trades!$X$2:$X$884,"&gt;0")</f>
        <v>0</v>
      </c>
      <c r="H640" s="30" t="n">
        <f aca="false">SUMIFS(Trades!$X$2:$X$884,Trades!$D$2:$D$884,$A640,Trades!$X$2:$X$884,"&lt;0")</f>
        <v>-350.75</v>
      </c>
      <c r="I640" s="31" t="n">
        <f aca="false">IFERROR(G640/-H640,"no loss")</f>
        <v>0</v>
      </c>
      <c r="J640" s="30" t="n">
        <f aca="false">_xlfn.MAXIFS(Trades!$X$2:$X$884,Trades!$D$2:$D$884,$A640)</f>
        <v>-4.75</v>
      </c>
      <c r="K640" s="30" t="n">
        <f aca="false">_xlfn.MINIFS(Trades!$X$2:$X$884,Trades!$D$2:$D$884,$A640)</f>
        <v>-346</v>
      </c>
      <c r="L640" s="32" t="n">
        <f aca="false">SUMIFS(Trades!$Y$2:$Y$884,Trades!$D$2:$D$884,$A640)</f>
        <v>-1.02899160207032</v>
      </c>
      <c r="M640" s="30" t="n">
        <f aca="false">P639</f>
        <v>116475.06</v>
      </c>
      <c r="N640" s="29" t="n">
        <f aca="false">IFERROR(F640/M640,0)</f>
        <v>-0.00301137428046828</v>
      </c>
      <c r="O640" s="28" t="str">
        <f aca="false">IF(-N640&gt;=Summary!$C$7,"BREACH","")</f>
        <v/>
      </c>
      <c r="P640" s="30" t="n">
        <f aca="false">M640+F640</f>
        <v>116124.31</v>
      </c>
      <c r="Q640" s="30" t="n">
        <f aca="false">P640-Summary!$C$5</f>
        <v>16124.3100000001</v>
      </c>
      <c r="R640" s="2" t="str">
        <f aca="false">TEXT(A640,"ddd")</f>
        <v>Fri</v>
      </c>
    </row>
    <row r="641" customFormat="false" ht="15" hidden="false" customHeight="false" outlineLevel="0" collapsed="false">
      <c r="A641" s="42" t="n">
        <v>46076</v>
      </c>
      <c r="B641" s="28" t="n">
        <f aca="false">COUNTIFS(Trades!$D$2:$D$884,$A641)</f>
        <v>1</v>
      </c>
      <c r="C641" s="28" t="n">
        <f aca="false">COUNTIFS(Trades!$D$2:$D$884,$A641,Trades!$Z$2:$Z$884,"Win")</f>
        <v>0</v>
      </c>
      <c r="D641" s="28" t="n">
        <f aca="false">COUNTIFS(Trades!$D$2:$D$884,$A641,Trades!$Z$2:$Z$884,"Loss")</f>
        <v>1</v>
      </c>
      <c r="E641" s="29" t="n">
        <f aca="false">IFERROR(C641/B641,0)</f>
        <v>0</v>
      </c>
      <c r="F641" s="30" t="n">
        <f aca="false">SUMIFS(Trades!$X$2:$X$884,Trades!$D$2:$D$884,$A641)</f>
        <v>-158.93</v>
      </c>
      <c r="G641" s="30" t="n">
        <f aca="false">SUMIFS(Trades!$X$2:$X$884,Trades!$D$2:$D$884,$A641,Trades!$X$2:$X$884,"&gt;0")</f>
        <v>0</v>
      </c>
      <c r="H641" s="30" t="n">
        <f aca="false">SUMIFS(Trades!$X$2:$X$884,Trades!$D$2:$D$884,$A641,Trades!$X$2:$X$884,"&lt;0")</f>
        <v>-158.93</v>
      </c>
      <c r="I641" s="31" t="n">
        <f aca="false">IFERROR(G641/-H641,"no loss")</f>
        <v>0</v>
      </c>
      <c r="J641" s="30" t="n">
        <f aca="false">_xlfn.MAXIFS(Trades!$X$2:$X$884,Trades!$D$2:$D$884,$A641)</f>
        <v>-158.93</v>
      </c>
      <c r="K641" s="30" t="n">
        <f aca="false">_xlfn.MINIFS(Trades!$X$2:$X$884,Trades!$D$2:$D$884,$A641)</f>
        <v>-158.93</v>
      </c>
      <c r="L641" s="32" t="n">
        <f aca="false">SUMIFS(Trades!$Y$2:$Y$884,Trades!$D$2:$D$884,$A641)</f>
        <v>-1.00239672027752</v>
      </c>
      <c r="M641" s="30" t="n">
        <f aca="false">P640</f>
        <v>116124.31</v>
      </c>
      <c r="N641" s="29" t="n">
        <f aca="false">IFERROR(F641/M641,0)</f>
        <v>-0.00136861954228189</v>
      </c>
      <c r="O641" s="28" t="str">
        <f aca="false">IF(-N641&gt;=Summary!$C$7,"BREACH","")</f>
        <v/>
      </c>
      <c r="P641" s="30" t="n">
        <f aca="false">M641+F641</f>
        <v>115965.38</v>
      </c>
      <c r="Q641" s="30" t="n">
        <f aca="false">P641-Summary!$C$5</f>
        <v>15965.3800000001</v>
      </c>
      <c r="R641" s="2" t="str">
        <f aca="false">TEXT(A641,"ddd")</f>
        <v>Mon</v>
      </c>
    </row>
    <row r="642" customFormat="false" ht="15" hidden="false" customHeight="false" outlineLevel="0" collapsed="false">
      <c r="A642" s="42" t="n">
        <v>46077</v>
      </c>
      <c r="B642" s="28" t="n">
        <f aca="false">COUNTIFS(Trades!$D$2:$D$884,$A642)</f>
        <v>1</v>
      </c>
      <c r="C642" s="28" t="n">
        <f aca="false">COUNTIFS(Trades!$D$2:$D$884,$A642,Trades!$Z$2:$Z$884,"Win")</f>
        <v>0</v>
      </c>
      <c r="D642" s="28" t="n">
        <f aca="false">COUNTIFS(Trades!$D$2:$D$884,$A642,Trades!$Z$2:$Z$884,"Loss")</f>
        <v>1</v>
      </c>
      <c r="E642" s="29" t="n">
        <f aca="false">IFERROR(C642/B642,0)</f>
        <v>0</v>
      </c>
      <c r="F642" s="30" t="n">
        <f aca="false">SUMIFS(Trades!$X$2:$X$884,Trades!$D$2:$D$884,$A642)</f>
        <v>-89.72</v>
      </c>
      <c r="G642" s="30" t="n">
        <f aca="false">SUMIFS(Trades!$X$2:$X$884,Trades!$D$2:$D$884,$A642,Trades!$X$2:$X$884,"&gt;0")</f>
        <v>0</v>
      </c>
      <c r="H642" s="30" t="n">
        <f aca="false">SUMIFS(Trades!$X$2:$X$884,Trades!$D$2:$D$884,$A642,Trades!$X$2:$X$884,"&lt;0")</f>
        <v>-89.72</v>
      </c>
      <c r="I642" s="31" t="n">
        <f aca="false">IFERROR(G642/-H642,"no loss")</f>
        <v>0</v>
      </c>
      <c r="J642" s="30" t="n">
        <f aca="false">_xlfn.MAXIFS(Trades!$X$2:$X$884,Trades!$D$2:$D$884,$A642)</f>
        <v>-89.72</v>
      </c>
      <c r="K642" s="30" t="n">
        <f aca="false">_xlfn.MINIFS(Trades!$X$2:$X$884,Trades!$D$2:$D$884,$A642)</f>
        <v>-89.72</v>
      </c>
      <c r="L642" s="32" t="n">
        <f aca="false">SUMIFS(Trades!$Y$2:$Y$884,Trades!$D$2:$D$884,$A642)</f>
        <v>-1.00582959641259</v>
      </c>
      <c r="M642" s="30" t="n">
        <f aca="false">P641</f>
        <v>115965.38</v>
      </c>
      <c r="N642" s="29" t="n">
        <f aca="false">IFERROR(F642/M642,0)</f>
        <v>-0.000773679179079135</v>
      </c>
      <c r="O642" s="28" t="str">
        <f aca="false">IF(-N642&gt;=Summary!$C$7,"BREACH","")</f>
        <v/>
      </c>
      <c r="P642" s="30" t="n">
        <f aca="false">M642+F642</f>
        <v>115875.66</v>
      </c>
      <c r="Q642" s="30" t="n">
        <f aca="false">P642-Summary!$C$5</f>
        <v>15875.6600000001</v>
      </c>
      <c r="R642" s="2" t="str">
        <f aca="false">TEXT(A642,"ddd")</f>
        <v>Tue</v>
      </c>
    </row>
    <row r="643" customFormat="false" ht="15" hidden="false" customHeight="false" outlineLevel="0" collapsed="false">
      <c r="A643" s="42" t="n">
        <v>46078</v>
      </c>
      <c r="B643" s="28" t="n">
        <f aca="false">COUNTIFS(Trades!$D$2:$D$884,$A643)</f>
        <v>1</v>
      </c>
      <c r="C643" s="28" t="n">
        <f aca="false">COUNTIFS(Trades!$D$2:$D$884,$A643,Trades!$Z$2:$Z$884,"Win")</f>
        <v>0</v>
      </c>
      <c r="D643" s="28" t="n">
        <f aca="false">COUNTIFS(Trades!$D$2:$D$884,$A643,Trades!$Z$2:$Z$884,"Loss")</f>
        <v>1</v>
      </c>
      <c r="E643" s="29" t="n">
        <f aca="false">IFERROR(C643/B643,0)</f>
        <v>0</v>
      </c>
      <c r="F643" s="30" t="n">
        <f aca="false">SUMIFS(Trades!$X$2:$X$884,Trades!$D$2:$D$884,$A643)</f>
        <v>-43.4</v>
      </c>
      <c r="G643" s="30" t="n">
        <f aca="false">SUMIFS(Trades!$X$2:$X$884,Trades!$D$2:$D$884,$A643,Trades!$X$2:$X$884,"&gt;0")</f>
        <v>0</v>
      </c>
      <c r="H643" s="30" t="n">
        <f aca="false">SUMIFS(Trades!$X$2:$X$884,Trades!$D$2:$D$884,$A643,Trades!$X$2:$X$884,"&lt;0")</f>
        <v>-43.4</v>
      </c>
      <c r="I643" s="31" t="n">
        <f aca="false">IFERROR(G643/-H643,"no loss")</f>
        <v>0</v>
      </c>
      <c r="J643" s="30" t="n">
        <f aca="false">_xlfn.MAXIFS(Trades!$X$2:$X$884,Trades!$D$2:$D$884,$A643)</f>
        <v>-43.4</v>
      </c>
      <c r="K643" s="30" t="n">
        <f aca="false">_xlfn.MINIFS(Trades!$X$2:$X$884,Trades!$D$2:$D$884,$A643)</f>
        <v>-43.4</v>
      </c>
      <c r="L643" s="32" t="n">
        <f aca="false">SUMIFS(Trades!$Y$2:$Y$884,Trades!$D$2:$D$884,$A643)</f>
        <v>-1.00277264325326</v>
      </c>
      <c r="M643" s="30" t="n">
        <f aca="false">P642</f>
        <v>115875.66</v>
      </c>
      <c r="N643" s="29" t="n">
        <f aca="false">IFERROR(F643/M643,0)</f>
        <v>-0.000374539398524245</v>
      </c>
      <c r="O643" s="28" t="str">
        <f aca="false">IF(-N643&gt;=Summary!$C$7,"BREACH","")</f>
        <v/>
      </c>
      <c r="P643" s="30" t="n">
        <f aca="false">M643+F643</f>
        <v>115832.26</v>
      </c>
      <c r="Q643" s="30" t="n">
        <f aca="false">P643-Summary!$C$5</f>
        <v>15832.2600000001</v>
      </c>
      <c r="R643" s="2" t="str">
        <f aca="false">TEXT(A643,"ddd")</f>
        <v>Wed</v>
      </c>
    </row>
    <row r="644" customFormat="false" ht="15" hidden="false" customHeight="false" outlineLevel="0" collapsed="false">
      <c r="A644" s="42" t="n">
        <v>46079</v>
      </c>
      <c r="B644" s="28" t="n">
        <f aca="false">COUNTIFS(Trades!$D$2:$D$884,$A644)</f>
        <v>2</v>
      </c>
      <c r="C644" s="28" t="n">
        <f aca="false">COUNTIFS(Trades!$D$2:$D$884,$A644,Trades!$Z$2:$Z$884,"Win")</f>
        <v>0</v>
      </c>
      <c r="D644" s="28" t="n">
        <f aca="false">COUNTIFS(Trades!$D$2:$D$884,$A644,Trades!$Z$2:$Z$884,"Loss")</f>
        <v>2</v>
      </c>
      <c r="E644" s="29" t="n">
        <f aca="false">IFERROR(C644/B644,0)</f>
        <v>0</v>
      </c>
      <c r="F644" s="30" t="n">
        <f aca="false">SUMIFS(Trades!$X$2:$X$884,Trades!$D$2:$D$884,$A644)</f>
        <v>-89.12</v>
      </c>
      <c r="G644" s="30" t="n">
        <f aca="false">SUMIFS(Trades!$X$2:$X$884,Trades!$D$2:$D$884,$A644,Trades!$X$2:$X$884,"&gt;0")</f>
        <v>0</v>
      </c>
      <c r="H644" s="30" t="n">
        <f aca="false">SUMIFS(Trades!$X$2:$X$884,Trades!$D$2:$D$884,$A644,Trades!$X$2:$X$884,"&lt;0")</f>
        <v>-89.12</v>
      </c>
      <c r="I644" s="31" t="n">
        <f aca="false">IFERROR(G644/-H644,"no loss")</f>
        <v>0</v>
      </c>
      <c r="J644" s="30" t="n">
        <f aca="false">_xlfn.MAXIFS(Trades!$X$2:$X$884,Trades!$D$2:$D$884,$A644)</f>
        <v>-3.56</v>
      </c>
      <c r="K644" s="30" t="n">
        <f aca="false">_xlfn.MINIFS(Trades!$X$2:$X$884,Trades!$D$2:$D$884,$A644)</f>
        <v>-85.56</v>
      </c>
      <c r="L644" s="32" t="n">
        <f aca="false">SUMIFS(Trades!$Y$2:$Y$884,Trades!$D$2:$D$884,$A644)</f>
        <v>-1.04642216578638</v>
      </c>
      <c r="M644" s="30" t="n">
        <f aca="false">P643</f>
        <v>115832.26</v>
      </c>
      <c r="N644" s="29" t="n">
        <f aca="false">IFERROR(F644/M644,0)</f>
        <v>-0.000769388424261082</v>
      </c>
      <c r="O644" s="28" t="str">
        <f aca="false">IF(-N644&gt;=Summary!$C$7,"BREACH","")</f>
        <v/>
      </c>
      <c r="P644" s="30" t="n">
        <f aca="false">M644+F644</f>
        <v>115743.14</v>
      </c>
      <c r="Q644" s="30" t="n">
        <f aca="false">P644-Summary!$C$5</f>
        <v>15743.1400000001</v>
      </c>
      <c r="R644" s="2" t="str">
        <f aca="false">TEXT(A644,"ddd")</f>
        <v>Thu</v>
      </c>
    </row>
    <row r="645" customFormat="false" ht="15" hidden="false" customHeight="false" outlineLevel="0" collapsed="false">
      <c r="A645" s="42" t="n">
        <v>46080</v>
      </c>
      <c r="B645" s="28" t="n">
        <f aca="false">COUNTIFS(Trades!$D$2:$D$884,$A645)</f>
        <v>1</v>
      </c>
      <c r="C645" s="28" t="n">
        <f aca="false">COUNTIFS(Trades!$D$2:$D$884,$A645,Trades!$Z$2:$Z$884,"Win")</f>
        <v>0</v>
      </c>
      <c r="D645" s="28" t="n">
        <f aca="false">COUNTIFS(Trades!$D$2:$D$884,$A645,Trades!$Z$2:$Z$884,"Loss")</f>
        <v>1</v>
      </c>
      <c r="E645" s="29" t="n">
        <f aca="false">IFERROR(C645/B645,0)</f>
        <v>0</v>
      </c>
      <c r="F645" s="30" t="n">
        <f aca="false">SUMIFS(Trades!$X$2:$X$884,Trades!$D$2:$D$884,$A645)</f>
        <v>-1.4</v>
      </c>
      <c r="G645" s="30" t="n">
        <f aca="false">SUMIFS(Trades!$X$2:$X$884,Trades!$D$2:$D$884,$A645,Trades!$X$2:$X$884,"&gt;0")</f>
        <v>0</v>
      </c>
      <c r="H645" s="30" t="n">
        <f aca="false">SUMIFS(Trades!$X$2:$X$884,Trades!$D$2:$D$884,$A645,Trades!$X$2:$X$884,"&lt;0")</f>
        <v>-1.4</v>
      </c>
      <c r="I645" s="31" t="n">
        <f aca="false">IFERROR(G645/-H645,"no loss")</f>
        <v>0</v>
      </c>
      <c r="J645" s="30" t="n">
        <f aca="false">_xlfn.MAXIFS(Trades!$X$2:$X$884,Trades!$D$2:$D$884,$A645)</f>
        <v>-1.4</v>
      </c>
      <c r="K645" s="30" t="n">
        <f aca="false">_xlfn.MINIFS(Trades!$X$2:$X$884,Trades!$D$2:$D$884,$A645)</f>
        <v>-1.4</v>
      </c>
      <c r="L645" s="32" t="n">
        <f aca="false">SUMIFS(Trades!$Y$2:$Y$884,Trades!$D$2:$D$884,$A645)</f>
        <v>-0.0119535519125688</v>
      </c>
      <c r="M645" s="30" t="n">
        <f aca="false">P644</f>
        <v>115743.14</v>
      </c>
      <c r="N645" s="29" t="n">
        <f aca="false">IFERROR(F645/M645,0)</f>
        <v>-1.20957492599561E-005</v>
      </c>
      <c r="O645" s="28" t="str">
        <f aca="false">IF(-N645&gt;=Summary!$C$7,"BREACH","")</f>
        <v/>
      </c>
      <c r="P645" s="30" t="n">
        <f aca="false">M645+F645</f>
        <v>115741.74</v>
      </c>
      <c r="Q645" s="30" t="n">
        <f aca="false">P645-Summary!$C$5</f>
        <v>15741.7400000001</v>
      </c>
      <c r="R645" s="2" t="str">
        <f aca="false">TEXT(A645,"ddd")</f>
        <v>Fri</v>
      </c>
    </row>
    <row r="646" customFormat="false" ht="15" hidden="false" customHeight="false" outlineLevel="0" collapsed="false">
      <c r="A646" s="42" t="n">
        <v>46083</v>
      </c>
      <c r="B646" s="28" t="n">
        <f aca="false">COUNTIFS(Trades!$D$2:$D$884,$A646)</f>
        <v>1</v>
      </c>
      <c r="C646" s="28" t="n">
        <f aca="false">COUNTIFS(Trades!$D$2:$D$884,$A646,Trades!$Z$2:$Z$884,"Win")</f>
        <v>0</v>
      </c>
      <c r="D646" s="28" t="n">
        <f aca="false">COUNTIFS(Trades!$D$2:$D$884,$A646,Trades!$Z$2:$Z$884,"Loss")</f>
        <v>1</v>
      </c>
      <c r="E646" s="29" t="n">
        <f aca="false">IFERROR(C646/B646,0)</f>
        <v>0</v>
      </c>
      <c r="F646" s="30" t="n">
        <f aca="false">SUMIFS(Trades!$X$2:$X$884,Trades!$D$2:$D$884,$A646)</f>
        <v>-328.36</v>
      </c>
      <c r="G646" s="30" t="n">
        <f aca="false">SUMIFS(Trades!$X$2:$X$884,Trades!$D$2:$D$884,$A646,Trades!$X$2:$X$884,"&gt;0")</f>
        <v>0</v>
      </c>
      <c r="H646" s="30" t="n">
        <f aca="false">SUMIFS(Trades!$X$2:$X$884,Trades!$D$2:$D$884,$A646,Trades!$X$2:$X$884,"&lt;0")</f>
        <v>-328.36</v>
      </c>
      <c r="I646" s="31" t="n">
        <f aca="false">IFERROR(G646/-H646,"no loss")</f>
        <v>0</v>
      </c>
      <c r="J646" s="30" t="n">
        <f aca="false">_xlfn.MAXIFS(Trades!$X$2:$X$884,Trades!$D$2:$D$884,$A646)</f>
        <v>-328.36</v>
      </c>
      <c r="K646" s="30" t="n">
        <f aca="false">_xlfn.MINIFS(Trades!$X$2:$X$884,Trades!$D$2:$D$884,$A646)</f>
        <v>-328.36</v>
      </c>
      <c r="L646" s="32" t="n">
        <f aca="false">SUMIFS(Trades!$Y$2:$Y$884,Trades!$D$2:$D$884,$A646)</f>
        <v>-1.02170612102655</v>
      </c>
      <c r="M646" s="30" t="n">
        <f aca="false">P645</f>
        <v>115741.74</v>
      </c>
      <c r="N646" s="29" t="n">
        <f aca="false">IFERROR(F646/M646,0)</f>
        <v>-0.0028370059064258</v>
      </c>
      <c r="O646" s="28" t="str">
        <f aca="false">IF(-N646&gt;=Summary!$C$7,"BREACH","")</f>
        <v/>
      </c>
      <c r="P646" s="30" t="n">
        <f aca="false">M646+F646</f>
        <v>115413.38</v>
      </c>
      <c r="Q646" s="30" t="n">
        <f aca="false">P646-Summary!$C$5</f>
        <v>15413.3800000001</v>
      </c>
      <c r="R646" s="2" t="str">
        <f aca="false">TEXT(A646,"ddd")</f>
        <v>Mon</v>
      </c>
    </row>
    <row r="647" customFormat="false" ht="15" hidden="false" customHeight="false" outlineLevel="0" collapsed="false">
      <c r="A647" s="42" t="n">
        <v>46084</v>
      </c>
      <c r="B647" s="28" t="n">
        <f aca="false">COUNTIFS(Trades!$D$2:$D$884,$A647)</f>
        <v>1</v>
      </c>
      <c r="C647" s="28" t="n">
        <f aca="false">COUNTIFS(Trades!$D$2:$D$884,$A647,Trades!$Z$2:$Z$884,"Win")</f>
        <v>0</v>
      </c>
      <c r="D647" s="28" t="n">
        <f aca="false">COUNTIFS(Trades!$D$2:$D$884,$A647,Trades!$Z$2:$Z$884,"Loss")</f>
        <v>1</v>
      </c>
      <c r="E647" s="29" t="n">
        <f aca="false">IFERROR(C647/B647,0)</f>
        <v>0</v>
      </c>
      <c r="F647" s="30" t="n">
        <f aca="false">SUMIFS(Trades!$X$2:$X$884,Trades!$D$2:$D$884,$A647)</f>
        <v>-2.56</v>
      </c>
      <c r="G647" s="30" t="n">
        <f aca="false">SUMIFS(Trades!$X$2:$X$884,Trades!$D$2:$D$884,$A647,Trades!$X$2:$X$884,"&gt;0")</f>
        <v>0</v>
      </c>
      <c r="H647" s="30" t="n">
        <f aca="false">SUMIFS(Trades!$X$2:$X$884,Trades!$D$2:$D$884,$A647,Trades!$X$2:$X$884,"&lt;0")</f>
        <v>-2.56</v>
      </c>
      <c r="I647" s="31" t="n">
        <f aca="false">IFERROR(G647/-H647,"no loss")</f>
        <v>0</v>
      </c>
      <c r="J647" s="30" t="n">
        <f aca="false">_xlfn.MAXIFS(Trades!$X$2:$X$884,Trades!$D$2:$D$884,$A647)</f>
        <v>-2.56</v>
      </c>
      <c r="K647" s="30" t="n">
        <f aca="false">_xlfn.MINIFS(Trades!$X$2:$X$884,Trades!$D$2:$D$884,$A647)</f>
        <v>-2.56</v>
      </c>
      <c r="L647" s="32" t="n">
        <f aca="false">SUMIFS(Trades!$Y$2:$Y$884,Trades!$D$2:$D$884,$A647)</f>
        <v>-0.0177084198002278</v>
      </c>
      <c r="M647" s="30" t="n">
        <f aca="false">P646</f>
        <v>115413.38</v>
      </c>
      <c r="N647" s="29" t="n">
        <f aca="false">IFERROR(F647/M647,0)</f>
        <v>-2.21811370570726E-005</v>
      </c>
      <c r="O647" s="28" t="str">
        <f aca="false">IF(-N647&gt;=Summary!$C$7,"BREACH","")</f>
        <v/>
      </c>
      <c r="P647" s="30" t="n">
        <f aca="false">M647+F647</f>
        <v>115410.82</v>
      </c>
      <c r="Q647" s="30" t="n">
        <f aca="false">P647-Summary!$C$5</f>
        <v>15410.8200000001</v>
      </c>
      <c r="R647" s="2" t="str">
        <f aca="false">TEXT(A647,"ddd")</f>
        <v>Tue</v>
      </c>
    </row>
    <row r="648" customFormat="false" ht="15" hidden="false" customHeight="false" outlineLevel="0" collapsed="false">
      <c r="A648" s="42" t="n">
        <v>46085</v>
      </c>
      <c r="B648" s="28" t="n">
        <f aca="false">COUNTIFS(Trades!$D$2:$D$884,$A648)</f>
        <v>1</v>
      </c>
      <c r="C648" s="28" t="n">
        <f aca="false">COUNTIFS(Trades!$D$2:$D$884,$A648,Trades!$Z$2:$Z$884,"Win")</f>
        <v>1</v>
      </c>
      <c r="D648" s="28" t="n">
        <f aca="false">COUNTIFS(Trades!$D$2:$D$884,$A648,Trades!$Z$2:$Z$884,"Loss")</f>
        <v>0</v>
      </c>
      <c r="E648" s="29" t="n">
        <f aca="false">IFERROR(C648/B648,0)</f>
        <v>1</v>
      </c>
      <c r="F648" s="30" t="n">
        <f aca="false">SUMIFS(Trades!$X$2:$X$884,Trades!$D$2:$D$884,$A648)</f>
        <v>356.52</v>
      </c>
      <c r="G648" s="30" t="n">
        <f aca="false">SUMIFS(Trades!$X$2:$X$884,Trades!$D$2:$D$884,$A648,Trades!$X$2:$X$884,"&gt;0")</f>
        <v>356.52</v>
      </c>
      <c r="H648" s="30" t="n">
        <f aca="false">SUMIFS(Trades!$X$2:$X$884,Trades!$D$2:$D$884,$A648,Trades!$X$2:$X$884,"&lt;0")</f>
        <v>0</v>
      </c>
      <c r="I648" s="31" t="str">
        <f aca="false">IFERROR(G648/-H648,"no loss")</f>
        <v>no loss</v>
      </c>
      <c r="J648" s="30" t="n">
        <f aca="false">_xlfn.MAXIFS(Trades!$X$2:$X$884,Trades!$D$2:$D$884,$A648)</f>
        <v>356.52</v>
      </c>
      <c r="K648" s="30" t="n">
        <f aca="false">_xlfn.MINIFS(Trades!$X$2:$X$884,Trades!$D$2:$D$884,$A648)</f>
        <v>356.52</v>
      </c>
      <c r="L648" s="32" t="n">
        <f aca="false">SUMIFS(Trades!$Y$2:$Y$884,Trades!$D$2:$D$884,$A648)</f>
        <v>2.02983375085403</v>
      </c>
      <c r="M648" s="30" t="n">
        <f aca="false">P647</f>
        <v>115410.82</v>
      </c>
      <c r="N648" s="29" t="n">
        <f aca="false">IFERROR(F648/M648,0)</f>
        <v>0.00308913843606691</v>
      </c>
      <c r="O648" s="28" t="str">
        <f aca="false">IF(-N648&gt;=Summary!$C$7,"BREACH","")</f>
        <v/>
      </c>
      <c r="P648" s="30" t="n">
        <f aca="false">M648+F648</f>
        <v>115767.34</v>
      </c>
      <c r="Q648" s="30" t="n">
        <f aca="false">P648-Summary!$C$5</f>
        <v>15767.3400000001</v>
      </c>
      <c r="R648" s="2" t="str">
        <f aca="false">TEXT(A648,"ddd")</f>
        <v>Wed</v>
      </c>
    </row>
    <row r="649" customFormat="false" ht="15" hidden="false" customHeight="false" outlineLevel="0" collapsed="false">
      <c r="A649" s="42" t="n">
        <v>46086</v>
      </c>
      <c r="B649" s="28" t="n">
        <f aca="false">COUNTIFS(Trades!$D$2:$D$884,$A649)</f>
        <v>1</v>
      </c>
      <c r="C649" s="28" t="n">
        <f aca="false">COUNTIFS(Trades!$D$2:$D$884,$A649,Trades!$Z$2:$Z$884,"Win")</f>
        <v>0</v>
      </c>
      <c r="D649" s="28" t="n">
        <f aca="false">COUNTIFS(Trades!$D$2:$D$884,$A649,Trades!$Z$2:$Z$884,"Loss")</f>
        <v>1</v>
      </c>
      <c r="E649" s="29" t="n">
        <f aca="false">IFERROR(C649/B649,0)</f>
        <v>0</v>
      </c>
      <c r="F649" s="30" t="n">
        <f aca="false">SUMIFS(Trades!$X$2:$X$884,Trades!$D$2:$D$884,$A649)</f>
        <v>-83.84</v>
      </c>
      <c r="G649" s="30" t="n">
        <f aca="false">SUMIFS(Trades!$X$2:$X$884,Trades!$D$2:$D$884,$A649,Trades!$X$2:$X$884,"&gt;0")</f>
        <v>0</v>
      </c>
      <c r="H649" s="30" t="n">
        <f aca="false">SUMIFS(Trades!$X$2:$X$884,Trades!$D$2:$D$884,$A649,Trades!$X$2:$X$884,"&lt;0")</f>
        <v>-83.84</v>
      </c>
      <c r="I649" s="31" t="n">
        <f aca="false">IFERROR(G649/-H649,"no loss")</f>
        <v>0</v>
      </c>
      <c r="J649" s="30" t="n">
        <f aca="false">_xlfn.MAXIFS(Trades!$X$2:$X$884,Trades!$D$2:$D$884,$A649)</f>
        <v>-83.84</v>
      </c>
      <c r="K649" s="30" t="n">
        <f aca="false">_xlfn.MINIFS(Trades!$X$2:$X$884,Trades!$D$2:$D$884,$A649)</f>
        <v>-83.84</v>
      </c>
      <c r="L649" s="32" t="n">
        <f aca="false">SUMIFS(Trades!$Y$2:$Y$884,Trades!$D$2:$D$884,$A649)</f>
        <v>-1.02644466209589</v>
      </c>
      <c r="M649" s="30" t="n">
        <f aca="false">P648</f>
        <v>115767.34</v>
      </c>
      <c r="N649" s="29" t="n">
        <f aca="false">IFERROR(F649/M649,0)</f>
        <v>-0.000724211163528504</v>
      </c>
      <c r="O649" s="28" t="str">
        <f aca="false">IF(-N649&gt;=Summary!$C$7,"BREACH","")</f>
        <v/>
      </c>
      <c r="P649" s="30" t="n">
        <f aca="false">M649+F649</f>
        <v>115683.5</v>
      </c>
      <c r="Q649" s="30" t="n">
        <f aca="false">P649-Summary!$C$5</f>
        <v>15683.5000000001</v>
      </c>
      <c r="R649" s="2" t="str">
        <f aca="false">TEXT(A649,"ddd")</f>
        <v>Thu</v>
      </c>
    </row>
    <row r="650" customFormat="false" ht="15" hidden="false" customHeight="false" outlineLevel="0" collapsed="false">
      <c r="A650" s="42" t="n">
        <v>46087</v>
      </c>
      <c r="B650" s="28" t="n">
        <f aca="false">COUNTIFS(Trades!$D$2:$D$884,$A650)</f>
        <v>1</v>
      </c>
      <c r="C650" s="28" t="n">
        <f aca="false">COUNTIFS(Trades!$D$2:$D$884,$A650,Trades!$Z$2:$Z$884,"Win")</f>
        <v>0</v>
      </c>
      <c r="D650" s="28" t="n">
        <f aca="false">COUNTIFS(Trades!$D$2:$D$884,$A650,Trades!$Z$2:$Z$884,"Loss")</f>
        <v>1</v>
      </c>
      <c r="E650" s="29" t="n">
        <f aca="false">IFERROR(C650/B650,0)</f>
        <v>0</v>
      </c>
      <c r="F650" s="30" t="n">
        <f aca="false">SUMIFS(Trades!$X$2:$X$884,Trades!$D$2:$D$884,$A650)</f>
        <v>-172.2</v>
      </c>
      <c r="G650" s="30" t="n">
        <f aca="false">SUMIFS(Trades!$X$2:$X$884,Trades!$D$2:$D$884,$A650,Trades!$X$2:$X$884,"&gt;0")</f>
        <v>0</v>
      </c>
      <c r="H650" s="30" t="n">
        <f aca="false">SUMIFS(Trades!$X$2:$X$884,Trades!$D$2:$D$884,$A650,Trades!$X$2:$X$884,"&lt;0")</f>
        <v>-172.2</v>
      </c>
      <c r="I650" s="31" t="n">
        <f aca="false">IFERROR(G650/-H650,"no loss")</f>
        <v>0</v>
      </c>
      <c r="J650" s="30" t="n">
        <f aca="false">_xlfn.MAXIFS(Trades!$X$2:$X$884,Trades!$D$2:$D$884,$A650)</f>
        <v>-172.2</v>
      </c>
      <c r="K650" s="30" t="n">
        <f aca="false">_xlfn.MINIFS(Trades!$X$2:$X$884,Trades!$D$2:$D$884,$A650)</f>
        <v>-172.2</v>
      </c>
      <c r="L650" s="32" t="n">
        <f aca="false">SUMIFS(Trades!$Y$2:$Y$884,Trades!$D$2:$D$884,$A650)</f>
        <v>-1.0029354207437</v>
      </c>
      <c r="M650" s="30" t="n">
        <f aca="false">P649</f>
        <v>115683.5</v>
      </c>
      <c r="N650" s="29" t="n">
        <f aca="false">IFERROR(F650/M650,0)</f>
        <v>-0.00148854417440689</v>
      </c>
      <c r="O650" s="28" t="str">
        <f aca="false">IF(-N650&gt;=Summary!$C$7,"BREACH","")</f>
        <v/>
      </c>
      <c r="P650" s="30" t="n">
        <f aca="false">M650+F650</f>
        <v>115511.3</v>
      </c>
      <c r="Q650" s="30" t="n">
        <f aca="false">P650-Summary!$C$5</f>
        <v>15511.3000000001</v>
      </c>
      <c r="R650" s="2" t="str">
        <f aca="false">TEXT(A650,"ddd")</f>
        <v>Fri</v>
      </c>
    </row>
    <row r="651" customFormat="false" ht="15" hidden="false" customHeight="false" outlineLevel="0" collapsed="false">
      <c r="A651" s="42" t="n">
        <v>46090</v>
      </c>
      <c r="B651" s="28" t="n">
        <f aca="false">COUNTIFS(Trades!$D$2:$D$884,$A651)</f>
        <v>1</v>
      </c>
      <c r="C651" s="28" t="n">
        <f aca="false">COUNTIFS(Trades!$D$2:$D$884,$A651,Trades!$Z$2:$Z$884,"Win")</f>
        <v>1</v>
      </c>
      <c r="D651" s="28" t="n">
        <f aca="false">COUNTIFS(Trades!$D$2:$D$884,$A651,Trades!$Z$2:$Z$884,"Loss")</f>
        <v>0</v>
      </c>
      <c r="E651" s="29" t="n">
        <f aca="false">IFERROR(C651/B651,0)</f>
        <v>1</v>
      </c>
      <c r="F651" s="30" t="n">
        <f aca="false">SUMIFS(Trades!$X$2:$X$884,Trades!$D$2:$D$884,$A651)</f>
        <v>721.31</v>
      </c>
      <c r="G651" s="30" t="n">
        <f aca="false">SUMIFS(Trades!$X$2:$X$884,Trades!$D$2:$D$884,$A651,Trades!$X$2:$X$884,"&gt;0")</f>
        <v>721.31</v>
      </c>
      <c r="H651" s="30" t="n">
        <f aca="false">SUMIFS(Trades!$X$2:$X$884,Trades!$D$2:$D$884,$A651,Trades!$X$2:$X$884,"&lt;0")</f>
        <v>0</v>
      </c>
      <c r="I651" s="31" t="str">
        <f aca="false">IFERROR(G651/-H651,"no loss")</f>
        <v>no loss</v>
      </c>
      <c r="J651" s="30" t="n">
        <f aca="false">_xlfn.MAXIFS(Trades!$X$2:$X$884,Trades!$D$2:$D$884,$A651)</f>
        <v>721.31</v>
      </c>
      <c r="K651" s="30" t="n">
        <f aca="false">_xlfn.MINIFS(Trades!$X$2:$X$884,Trades!$D$2:$D$884,$A651)</f>
        <v>721.31</v>
      </c>
      <c r="L651" s="32" t="n">
        <f aca="false">SUMIFS(Trades!$Y$2:$Y$884,Trades!$D$2:$D$884,$A651)</f>
        <v>2.19392534734899</v>
      </c>
      <c r="M651" s="30" t="n">
        <f aca="false">P650</f>
        <v>115511.3</v>
      </c>
      <c r="N651" s="29" t="n">
        <f aca="false">IFERROR(F651/M651,0)</f>
        <v>0.00624449729160696</v>
      </c>
      <c r="O651" s="28" t="str">
        <f aca="false">IF(-N651&gt;=Summary!$C$7,"BREACH","")</f>
        <v/>
      </c>
      <c r="P651" s="30" t="n">
        <f aca="false">M651+F651</f>
        <v>116232.61</v>
      </c>
      <c r="Q651" s="30" t="n">
        <f aca="false">P651-Summary!$C$5</f>
        <v>16232.6100000001</v>
      </c>
      <c r="R651" s="2" t="str">
        <f aca="false">TEXT(A651,"ddd")</f>
        <v>Mon</v>
      </c>
    </row>
    <row r="652" customFormat="false" ht="15" hidden="false" customHeight="false" outlineLevel="0" collapsed="false">
      <c r="A652" s="42" t="n">
        <v>46091</v>
      </c>
      <c r="B652" s="28" t="n">
        <f aca="false">COUNTIFS(Trades!$D$2:$D$884,$A652)</f>
        <v>1</v>
      </c>
      <c r="C652" s="28" t="n">
        <f aca="false">COUNTIFS(Trades!$D$2:$D$884,$A652,Trades!$Z$2:$Z$884,"Win")</f>
        <v>1</v>
      </c>
      <c r="D652" s="28" t="n">
        <f aca="false">COUNTIFS(Trades!$D$2:$D$884,$A652,Trades!$Z$2:$Z$884,"Loss")</f>
        <v>0</v>
      </c>
      <c r="E652" s="29" t="n">
        <f aca="false">IFERROR(C652/B652,0)</f>
        <v>1</v>
      </c>
      <c r="F652" s="30" t="n">
        <f aca="false">SUMIFS(Trades!$X$2:$X$884,Trades!$D$2:$D$884,$A652)</f>
        <v>228.52</v>
      </c>
      <c r="G652" s="30" t="n">
        <f aca="false">SUMIFS(Trades!$X$2:$X$884,Trades!$D$2:$D$884,$A652,Trades!$X$2:$X$884,"&gt;0")</f>
        <v>228.52</v>
      </c>
      <c r="H652" s="30" t="n">
        <f aca="false">SUMIFS(Trades!$X$2:$X$884,Trades!$D$2:$D$884,$A652,Trades!$X$2:$X$884,"&lt;0")</f>
        <v>0</v>
      </c>
      <c r="I652" s="31" t="str">
        <f aca="false">IFERROR(G652/-H652,"no loss")</f>
        <v>no loss</v>
      </c>
      <c r="J652" s="30" t="n">
        <f aca="false">_xlfn.MAXIFS(Trades!$X$2:$X$884,Trades!$D$2:$D$884,$A652)</f>
        <v>228.52</v>
      </c>
      <c r="K652" s="30" t="n">
        <f aca="false">_xlfn.MINIFS(Trades!$X$2:$X$884,Trades!$D$2:$D$884,$A652)</f>
        <v>228.52</v>
      </c>
      <c r="L652" s="32" t="n">
        <f aca="false">SUMIFS(Trades!$Y$2:$Y$884,Trades!$D$2:$D$884,$A652)</f>
        <v>1.98505906879786</v>
      </c>
      <c r="M652" s="30" t="n">
        <f aca="false">P651</f>
        <v>116232.61</v>
      </c>
      <c r="N652" s="29" t="n">
        <f aca="false">IFERROR(F652/M652,0)</f>
        <v>0.0019660575461568</v>
      </c>
      <c r="O652" s="28" t="str">
        <f aca="false">IF(-N652&gt;=Summary!$C$7,"BREACH","")</f>
        <v/>
      </c>
      <c r="P652" s="30" t="n">
        <f aca="false">M652+F652</f>
        <v>116461.13</v>
      </c>
      <c r="Q652" s="30" t="n">
        <f aca="false">P652-Summary!$C$5</f>
        <v>16461.1300000001</v>
      </c>
      <c r="R652" s="2" t="str">
        <f aca="false">TEXT(A652,"ddd")</f>
        <v>Tue</v>
      </c>
    </row>
    <row r="653" customFormat="false" ht="15" hidden="false" customHeight="false" outlineLevel="0" collapsed="false">
      <c r="A653" s="42" t="n">
        <v>46093</v>
      </c>
      <c r="B653" s="28" t="n">
        <f aca="false">COUNTIFS(Trades!$D$2:$D$884,$A653)</f>
        <v>1</v>
      </c>
      <c r="C653" s="28" t="n">
        <f aca="false">COUNTIFS(Trades!$D$2:$D$884,$A653,Trades!$Z$2:$Z$884,"Win")</f>
        <v>1</v>
      </c>
      <c r="D653" s="28" t="n">
        <f aca="false">COUNTIFS(Trades!$D$2:$D$884,$A653,Trades!$Z$2:$Z$884,"Loss")</f>
        <v>0</v>
      </c>
      <c r="E653" s="29" t="n">
        <f aca="false">IFERROR(C653/B653,0)</f>
        <v>1</v>
      </c>
      <c r="F653" s="30" t="n">
        <f aca="false">SUMIFS(Trades!$X$2:$X$884,Trades!$D$2:$D$884,$A653)</f>
        <v>227.14</v>
      </c>
      <c r="G653" s="30" t="n">
        <f aca="false">SUMIFS(Trades!$X$2:$X$884,Trades!$D$2:$D$884,$A653,Trades!$X$2:$X$884,"&gt;0")</f>
        <v>227.14</v>
      </c>
      <c r="H653" s="30" t="n">
        <f aca="false">SUMIFS(Trades!$X$2:$X$884,Trades!$D$2:$D$884,$A653,Trades!$X$2:$X$884,"&lt;0")</f>
        <v>0</v>
      </c>
      <c r="I653" s="31" t="str">
        <f aca="false">IFERROR(G653/-H653,"no loss")</f>
        <v>no loss</v>
      </c>
      <c r="J653" s="30" t="n">
        <f aca="false">_xlfn.MAXIFS(Trades!$X$2:$X$884,Trades!$D$2:$D$884,$A653)</f>
        <v>227.14</v>
      </c>
      <c r="K653" s="30" t="n">
        <f aca="false">_xlfn.MINIFS(Trades!$X$2:$X$884,Trades!$D$2:$D$884,$A653)</f>
        <v>227.14</v>
      </c>
      <c r="L653" s="32" t="n">
        <f aca="false">SUMIFS(Trades!$Y$2:$Y$884,Trades!$D$2:$D$884,$A653)</f>
        <v>2.08968131301972</v>
      </c>
      <c r="M653" s="30" t="n">
        <f aca="false">P652</f>
        <v>116461.13</v>
      </c>
      <c r="N653" s="29" t="n">
        <f aca="false">IFERROR(F653/M653,0)</f>
        <v>0.00195035030142675</v>
      </c>
      <c r="O653" s="28" t="str">
        <f aca="false">IF(-N653&gt;=Summary!$C$7,"BREACH","")</f>
        <v/>
      </c>
      <c r="P653" s="30" t="n">
        <f aca="false">M653+F653</f>
        <v>116688.27</v>
      </c>
      <c r="Q653" s="30" t="n">
        <f aca="false">P653-Summary!$C$5</f>
        <v>16688.2700000001</v>
      </c>
      <c r="R653" s="2" t="str">
        <f aca="false">TEXT(A653,"ddd")</f>
        <v>Thu</v>
      </c>
    </row>
    <row r="654" customFormat="false" ht="15" hidden="false" customHeight="false" outlineLevel="0" collapsed="false">
      <c r="A654" s="42" t="n">
        <v>46094</v>
      </c>
      <c r="B654" s="28" t="n">
        <f aca="false">COUNTIFS(Trades!$D$2:$D$884,$A654)</f>
        <v>1</v>
      </c>
      <c r="C654" s="28" t="n">
        <f aca="false">COUNTIFS(Trades!$D$2:$D$884,$A654,Trades!$Z$2:$Z$884,"Win")</f>
        <v>0</v>
      </c>
      <c r="D654" s="28" t="n">
        <f aca="false">COUNTIFS(Trades!$D$2:$D$884,$A654,Trades!$Z$2:$Z$884,"Loss")</f>
        <v>1</v>
      </c>
      <c r="E654" s="29" t="n">
        <f aca="false">IFERROR(C654/B654,0)</f>
        <v>0</v>
      </c>
      <c r="F654" s="30" t="n">
        <f aca="false">SUMIFS(Trades!$X$2:$X$884,Trades!$D$2:$D$884,$A654)</f>
        <v>-92.69</v>
      </c>
      <c r="G654" s="30" t="n">
        <f aca="false">SUMIFS(Trades!$X$2:$X$884,Trades!$D$2:$D$884,$A654,Trades!$X$2:$X$884,"&gt;0")</f>
        <v>0</v>
      </c>
      <c r="H654" s="30" t="n">
        <f aca="false">SUMIFS(Trades!$X$2:$X$884,Trades!$D$2:$D$884,$A654,Trades!$X$2:$X$884,"&lt;0")</f>
        <v>-92.69</v>
      </c>
      <c r="I654" s="31" t="n">
        <f aca="false">IFERROR(G654/-H654,"no loss")</f>
        <v>0</v>
      </c>
      <c r="J654" s="30" t="n">
        <f aca="false">_xlfn.MAXIFS(Trades!$X$2:$X$884,Trades!$D$2:$D$884,$A654)</f>
        <v>-92.69</v>
      </c>
      <c r="K654" s="30" t="n">
        <f aca="false">_xlfn.MINIFS(Trades!$X$2:$X$884,Trades!$D$2:$D$884,$A654)</f>
        <v>-92.69</v>
      </c>
      <c r="L654" s="32" t="n">
        <f aca="false">SUMIFS(Trades!$Y$2:$Y$884,Trades!$D$2:$D$884,$A654)</f>
        <v>-0.999956847260893</v>
      </c>
      <c r="M654" s="30" t="n">
        <f aca="false">P653</f>
        <v>116688.27</v>
      </c>
      <c r="N654" s="29" t="n">
        <f aca="false">IFERROR(F654/M654,0)</f>
        <v>-0.000794338625467666</v>
      </c>
      <c r="O654" s="28" t="str">
        <f aca="false">IF(-N654&gt;=Summary!$C$7,"BREACH","")</f>
        <v/>
      </c>
      <c r="P654" s="30" t="n">
        <f aca="false">M654+F654</f>
        <v>116595.58</v>
      </c>
      <c r="Q654" s="30" t="n">
        <f aca="false">P654-Summary!$C$5</f>
        <v>16595.5800000001</v>
      </c>
      <c r="R654" s="2" t="str">
        <f aca="false">TEXT(A654,"ddd")</f>
        <v>Fri</v>
      </c>
    </row>
    <row r="655" customFormat="false" ht="15" hidden="false" customHeight="false" outlineLevel="0" collapsed="false">
      <c r="A655" s="42" t="n">
        <v>46097</v>
      </c>
      <c r="B655" s="28" t="n">
        <f aca="false">COUNTIFS(Trades!$D$2:$D$884,$A655)</f>
        <v>1</v>
      </c>
      <c r="C655" s="28" t="n">
        <f aca="false">COUNTIFS(Trades!$D$2:$D$884,$A655,Trades!$Z$2:$Z$884,"Win")</f>
        <v>0</v>
      </c>
      <c r="D655" s="28" t="n">
        <f aca="false">COUNTIFS(Trades!$D$2:$D$884,$A655,Trades!$Z$2:$Z$884,"Loss")</f>
        <v>1</v>
      </c>
      <c r="E655" s="29" t="n">
        <f aca="false">IFERROR(C655/B655,0)</f>
        <v>0</v>
      </c>
      <c r="F655" s="30" t="n">
        <f aca="false">SUMIFS(Trades!$X$2:$X$884,Trades!$D$2:$D$884,$A655)</f>
        <v>-127.97</v>
      </c>
      <c r="G655" s="30" t="n">
        <f aca="false">SUMIFS(Trades!$X$2:$X$884,Trades!$D$2:$D$884,$A655,Trades!$X$2:$X$884,"&gt;0")</f>
        <v>0</v>
      </c>
      <c r="H655" s="30" t="n">
        <f aca="false">SUMIFS(Trades!$X$2:$X$884,Trades!$D$2:$D$884,$A655,Trades!$X$2:$X$884,"&lt;0")</f>
        <v>-127.97</v>
      </c>
      <c r="I655" s="31" t="n">
        <f aca="false">IFERROR(G655/-H655,"no loss")</f>
        <v>0</v>
      </c>
      <c r="J655" s="30" t="n">
        <f aca="false">_xlfn.MAXIFS(Trades!$X$2:$X$884,Trades!$D$2:$D$884,$A655)</f>
        <v>-127.97</v>
      </c>
      <c r="K655" s="30" t="n">
        <f aca="false">_xlfn.MINIFS(Trades!$X$2:$X$884,Trades!$D$2:$D$884,$A655)</f>
        <v>-127.97</v>
      </c>
      <c r="L655" s="32" t="n">
        <f aca="false">SUMIFS(Trades!$Y$2:$Y$884,Trades!$D$2:$D$884,$A655)</f>
        <v>-1.15588192788494</v>
      </c>
      <c r="M655" s="30" t="n">
        <f aca="false">P654</f>
        <v>116595.58</v>
      </c>
      <c r="N655" s="29" t="n">
        <f aca="false">IFERROR(F655/M655,0)</f>
        <v>-0.00109755446990358</v>
      </c>
      <c r="O655" s="28" t="str">
        <f aca="false">IF(-N655&gt;=Summary!$C$7,"BREACH","")</f>
        <v/>
      </c>
      <c r="P655" s="30" t="n">
        <f aca="false">M655+F655</f>
        <v>116467.61</v>
      </c>
      <c r="Q655" s="30" t="n">
        <f aca="false">P655-Summary!$C$5</f>
        <v>16467.6100000001</v>
      </c>
      <c r="R655" s="2" t="str">
        <f aca="false">TEXT(A655,"ddd")</f>
        <v>Mon</v>
      </c>
    </row>
    <row r="656" customFormat="false" ht="15" hidden="false" customHeight="false" outlineLevel="0" collapsed="false">
      <c r="A656" s="42" t="n">
        <v>46098</v>
      </c>
      <c r="B656" s="28" t="n">
        <f aca="false">COUNTIFS(Trades!$D$2:$D$884,$A656)</f>
        <v>1</v>
      </c>
      <c r="C656" s="28" t="n">
        <f aca="false">COUNTIFS(Trades!$D$2:$D$884,$A656,Trades!$Z$2:$Z$884,"Win")</f>
        <v>0</v>
      </c>
      <c r="D656" s="28" t="n">
        <f aca="false">COUNTIFS(Trades!$D$2:$D$884,$A656,Trades!$Z$2:$Z$884,"Loss")</f>
        <v>1</v>
      </c>
      <c r="E656" s="29" t="n">
        <f aca="false">IFERROR(C656/B656,0)</f>
        <v>0</v>
      </c>
      <c r="F656" s="30" t="n">
        <f aca="false">SUMIFS(Trades!$X$2:$X$884,Trades!$D$2:$D$884,$A656)</f>
        <v>-1.51</v>
      </c>
      <c r="G656" s="30" t="n">
        <f aca="false">SUMIFS(Trades!$X$2:$X$884,Trades!$D$2:$D$884,$A656,Trades!$X$2:$X$884,"&gt;0")</f>
        <v>0</v>
      </c>
      <c r="H656" s="30" t="n">
        <f aca="false">SUMIFS(Trades!$X$2:$X$884,Trades!$D$2:$D$884,$A656,Trades!$X$2:$X$884,"&lt;0")</f>
        <v>-1.51</v>
      </c>
      <c r="I656" s="31" t="n">
        <f aca="false">IFERROR(G656/-H656,"no loss")</f>
        <v>0</v>
      </c>
      <c r="J656" s="30" t="n">
        <f aca="false">_xlfn.MAXIFS(Trades!$X$2:$X$884,Trades!$D$2:$D$884,$A656)</f>
        <v>-1.51</v>
      </c>
      <c r="K656" s="30" t="n">
        <f aca="false">_xlfn.MINIFS(Trades!$X$2:$X$884,Trades!$D$2:$D$884,$A656)</f>
        <v>-1.51</v>
      </c>
      <c r="L656" s="32" t="n">
        <f aca="false">SUMIFS(Trades!$Y$2:$Y$884,Trades!$D$2:$D$884,$A656)</f>
        <v>-0.0084355656856832</v>
      </c>
      <c r="M656" s="30" t="n">
        <f aca="false">P655</f>
        <v>116467.61</v>
      </c>
      <c r="N656" s="29" t="n">
        <f aca="false">IFERROR(F656/M656,0)</f>
        <v>-1.29649779883008E-005</v>
      </c>
      <c r="O656" s="28" t="str">
        <f aca="false">IF(-N656&gt;=Summary!$C$7,"BREACH","")</f>
        <v/>
      </c>
      <c r="P656" s="30" t="n">
        <f aca="false">M656+F656</f>
        <v>116466.1</v>
      </c>
      <c r="Q656" s="30" t="n">
        <f aca="false">P656-Summary!$C$5</f>
        <v>16466.1000000001</v>
      </c>
      <c r="R656" s="2" t="str">
        <f aca="false">TEXT(A656,"ddd")</f>
        <v>Tue</v>
      </c>
    </row>
    <row r="657" customFormat="false" ht="15" hidden="false" customHeight="false" outlineLevel="0" collapsed="false">
      <c r="A657" s="42" t="n">
        <v>46099</v>
      </c>
      <c r="B657" s="28" t="n">
        <f aca="false">COUNTIFS(Trades!$D$2:$D$884,$A657)</f>
        <v>2</v>
      </c>
      <c r="C657" s="28" t="n">
        <f aca="false">COUNTIFS(Trades!$D$2:$D$884,$A657,Trades!$Z$2:$Z$884,"Win")</f>
        <v>1</v>
      </c>
      <c r="D657" s="28" t="n">
        <f aca="false">COUNTIFS(Trades!$D$2:$D$884,$A657,Trades!$Z$2:$Z$884,"Loss")</f>
        <v>1</v>
      </c>
      <c r="E657" s="29" t="n">
        <f aca="false">IFERROR(C657/B657,0)</f>
        <v>0.5</v>
      </c>
      <c r="F657" s="30" t="n">
        <f aca="false">SUMIFS(Trades!$X$2:$X$884,Trades!$D$2:$D$884,$A657)</f>
        <v>225.16</v>
      </c>
      <c r="G657" s="30" t="n">
        <f aca="false">SUMIFS(Trades!$X$2:$X$884,Trades!$D$2:$D$884,$A657,Trades!$X$2:$X$884,"&gt;0")</f>
        <v>225.5</v>
      </c>
      <c r="H657" s="30" t="n">
        <f aca="false">SUMIFS(Trades!$X$2:$X$884,Trades!$D$2:$D$884,$A657,Trades!$X$2:$X$884,"&lt;0")</f>
        <v>-0.34</v>
      </c>
      <c r="I657" s="31" t="n">
        <f aca="false">IFERROR(G657/-H657,"no loss")</f>
        <v>663.235294117647</v>
      </c>
      <c r="J657" s="30" t="n">
        <f aca="false">_xlfn.MAXIFS(Trades!$X$2:$X$884,Trades!$D$2:$D$884,$A657)</f>
        <v>225.5</v>
      </c>
      <c r="K657" s="30" t="n">
        <f aca="false">_xlfn.MINIFS(Trades!$X$2:$X$884,Trades!$D$2:$D$884,$A657)</f>
        <v>-0.34</v>
      </c>
      <c r="L657" s="32" t="n">
        <f aca="false">SUMIFS(Trades!$Y$2:$Y$884,Trades!$D$2:$D$884,$A657)</f>
        <v>2.06025882231801</v>
      </c>
      <c r="M657" s="30" t="n">
        <f aca="false">P656</f>
        <v>116466.1</v>
      </c>
      <c r="N657" s="29" t="n">
        <f aca="false">IFERROR(F657/M657,0)</f>
        <v>0.00193326641829682</v>
      </c>
      <c r="O657" s="28" t="str">
        <f aca="false">IF(-N657&gt;=Summary!$C$7,"BREACH","")</f>
        <v/>
      </c>
      <c r="P657" s="30" t="n">
        <f aca="false">M657+F657</f>
        <v>116691.26</v>
      </c>
      <c r="Q657" s="30" t="n">
        <f aca="false">P657-Summary!$C$5</f>
        <v>16691.2600000001</v>
      </c>
      <c r="R657" s="2" t="str">
        <f aca="false">TEXT(A657,"ddd")</f>
        <v>Wed</v>
      </c>
    </row>
    <row r="658" customFormat="false" ht="15" hidden="false" customHeight="false" outlineLevel="0" collapsed="false">
      <c r="A658" s="42" t="n">
        <v>46100</v>
      </c>
      <c r="B658" s="28" t="n">
        <f aca="false">COUNTIFS(Trades!$D$2:$D$884,$A658)</f>
        <v>1</v>
      </c>
      <c r="C658" s="28" t="n">
        <f aca="false">COUNTIFS(Trades!$D$2:$D$884,$A658,Trades!$Z$2:$Z$884,"Win")</f>
        <v>1</v>
      </c>
      <c r="D658" s="28" t="n">
        <f aca="false">COUNTIFS(Trades!$D$2:$D$884,$A658,Trades!$Z$2:$Z$884,"Loss")</f>
        <v>0</v>
      </c>
      <c r="E658" s="29" t="n">
        <f aca="false">IFERROR(C658/B658,0)</f>
        <v>1</v>
      </c>
      <c r="F658" s="30" t="n">
        <f aca="false">SUMIFS(Trades!$X$2:$X$884,Trades!$D$2:$D$884,$A658)</f>
        <v>181.78</v>
      </c>
      <c r="G658" s="30" t="n">
        <f aca="false">SUMIFS(Trades!$X$2:$X$884,Trades!$D$2:$D$884,$A658,Trades!$X$2:$X$884,"&gt;0")</f>
        <v>181.78</v>
      </c>
      <c r="H658" s="30" t="n">
        <f aca="false">SUMIFS(Trades!$X$2:$X$884,Trades!$D$2:$D$884,$A658,Trades!$X$2:$X$884,"&lt;0")</f>
        <v>0</v>
      </c>
      <c r="I658" s="31" t="str">
        <f aca="false">IFERROR(G658/-H658,"no loss")</f>
        <v>no loss</v>
      </c>
      <c r="J658" s="30" t="n">
        <f aca="false">_xlfn.MAXIFS(Trades!$X$2:$X$884,Trades!$D$2:$D$884,$A658)</f>
        <v>181.78</v>
      </c>
      <c r="K658" s="30" t="n">
        <f aca="false">_xlfn.MINIFS(Trades!$X$2:$X$884,Trades!$D$2:$D$884,$A658)</f>
        <v>181.78</v>
      </c>
      <c r="L658" s="32" t="n">
        <f aca="false">SUMIFS(Trades!$Y$2:$Y$884,Trades!$D$2:$D$884,$A658)</f>
        <v>1.98536478811715</v>
      </c>
      <c r="M658" s="30" t="n">
        <f aca="false">P657</f>
        <v>116691.26</v>
      </c>
      <c r="N658" s="29" t="n">
        <f aca="false">IFERROR(F658/M658,0)</f>
        <v>0.00155778590444563</v>
      </c>
      <c r="O658" s="28" t="str">
        <f aca="false">IF(-N658&gt;=Summary!$C$7,"BREACH","")</f>
        <v/>
      </c>
      <c r="P658" s="30" t="n">
        <f aca="false">M658+F658</f>
        <v>116873.04</v>
      </c>
      <c r="Q658" s="30" t="n">
        <f aca="false">P658-Summary!$C$5</f>
        <v>16873.0400000001</v>
      </c>
      <c r="R658" s="2" t="str">
        <f aca="false">TEXT(A658,"ddd")</f>
        <v>Thu</v>
      </c>
    </row>
    <row r="659" customFormat="false" ht="15" hidden="false" customHeight="false" outlineLevel="0" collapsed="false">
      <c r="A659" s="42" t="n">
        <v>46101</v>
      </c>
      <c r="B659" s="28" t="n">
        <f aca="false">COUNTIFS(Trades!$D$2:$D$884,$A659)</f>
        <v>1</v>
      </c>
      <c r="C659" s="28" t="n">
        <f aca="false">COUNTIFS(Trades!$D$2:$D$884,$A659,Trades!$Z$2:$Z$884,"Win")</f>
        <v>0</v>
      </c>
      <c r="D659" s="28" t="n">
        <f aca="false">COUNTIFS(Trades!$D$2:$D$884,$A659,Trades!$Z$2:$Z$884,"Loss")</f>
        <v>1</v>
      </c>
      <c r="E659" s="29" t="n">
        <f aca="false">IFERROR(C659/B659,0)</f>
        <v>0</v>
      </c>
      <c r="F659" s="30" t="n">
        <f aca="false">SUMIFS(Trades!$X$2:$X$884,Trades!$D$2:$D$884,$A659)</f>
        <v>-6.34</v>
      </c>
      <c r="G659" s="30" t="n">
        <f aca="false">SUMIFS(Trades!$X$2:$X$884,Trades!$D$2:$D$884,$A659,Trades!$X$2:$X$884,"&gt;0")</f>
        <v>0</v>
      </c>
      <c r="H659" s="30" t="n">
        <f aca="false">SUMIFS(Trades!$X$2:$X$884,Trades!$D$2:$D$884,$A659,Trades!$X$2:$X$884,"&lt;0")</f>
        <v>-6.34</v>
      </c>
      <c r="I659" s="31" t="n">
        <f aca="false">IFERROR(G659/-H659,"no loss")</f>
        <v>0</v>
      </c>
      <c r="J659" s="30" t="n">
        <f aca="false">_xlfn.MAXIFS(Trades!$X$2:$X$884,Trades!$D$2:$D$884,$A659)</f>
        <v>-6.34</v>
      </c>
      <c r="K659" s="30" t="n">
        <f aca="false">_xlfn.MINIFS(Trades!$X$2:$X$884,Trades!$D$2:$D$884,$A659)</f>
        <v>-6.34</v>
      </c>
      <c r="L659" s="32" t="n">
        <f aca="false">SUMIFS(Trades!$Y$2:$Y$884,Trades!$D$2:$D$884,$A659)</f>
        <v>-0.0296450080424953</v>
      </c>
      <c r="M659" s="30" t="n">
        <f aca="false">P658</f>
        <v>116873.04</v>
      </c>
      <c r="N659" s="29" t="n">
        <f aca="false">IFERROR(F659/M659,0)</f>
        <v>-5.42468990282104E-005</v>
      </c>
      <c r="O659" s="28" t="str">
        <f aca="false">IF(-N659&gt;=Summary!$C$7,"BREACH","")</f>
        <v/>
      </c>
      <c r="P659" s="30" t="n">
        <f aca="false">M659+F659</f>
        <v>116866.7</v>
      </c>
      <c r="Q659" s="30" t="n">
        <f aca="false">P659-Summary!$C$5</f>
        <v>16866.7000000001</v>
      </c>
      <c r="R659" s="2" t="str">
        <f aca="false">TEXT(A659,"ddd")</f>
        <v>Fri</v>
      </c>
    </row>
    <row r="660" customFormat="false" ht="15" hidden="false" customHeight="false" outlineLevel="0" collapsed="false">
      <c r="A660" s="42" t="n">
        <v>46104</v>
      </c>
      <c r="B660" s="28" t="n">
        <f aca="false">COUNTIFS(Trades!$D$2:$D$884,$A660)</f>
        <v>2</v>
      </c>
      <c r="C660" s="28" t="n">
        <f aca="false">COUNTIFS(Trades!$D$2:$D$884,$A660,Trades!$Z$2:$Z$884,"Win")</f>
        <v>0</v>
      </c>
      <c r="D660" s="28" t="n">
        <f aca="false">COUNTIFS(Trades!$D$2:$D$884,$A660,Trades!$Z$2:$Z$884,"Loss")</f>
        <v>2</v>
      </c>
      <c r="E660" s="29" t="n">
        <f aca="false">IFERROR(C660/B660,0)</f>
        <v>0</v>
      </c>
      <c r="F660" s="30" t="n">
        <f aca="false">SUMIFS(Trades!$X$2:$X$884,Trades!$D$2:$D$884,$A660)</f>
        <v>-863.72</v>
      </c>
      <c r="G660" s="30" t="n">
        <f aca="false">SUMIFS(Trades!$X$2:$X$884,Trades!$D$2:$D$884,$A660,Trades!$X$2:$X$884,"&gt;0")</f>
        <v>0</v>
      </c>
      <c r="H660" s="30" t="n">
        <f aca="false">SUMIFS(Trades!$X$2:$X$884,Trades!$D$2:$D$884,$A660,Trades!$X$2:$X$884,"&lt;0")</f>
        <v>-863.72</v>
      </c>
      <c r="I660" s="31" t="n">
        <f aca="false">IFERROR(G660/-H660,"no loss")</f>
        <v>0</v>
      </c>
      <c r="J660" s="30" t="n">
        <f aca="false">_xlfn.MAXIFS(Trades!$X$2:$X$884,Trades!$D$2:$D$884,$A660)</f>
        <v>-295.64</v>
      </c>
      <c r="K660" s="30" t="n">
        <f aca="false">_xlfn.MINIFS(Trades!$X$2:$X$884,Trades!$D$2:$D$884,$A660)</f>
        <v>-568.08</v>
      </c>
      <c r="L660" s="32" t="n">
        <f aca="false">SUMIFS(Trades!$Y$2:$Y$884,Trades!$D$2:$D$884,$A660)</f>
        <v>-2.05802779643466</v>
      </c>
      <c r="M660" s="30" t="n">
        <f aca="false">P659</f>
        <v>116866.7</v>
      </c>
      <c r="N660" s="29" t="n">
        <f aca="false">IFERROR(F660/M660,0)</f>
        <v>-0.00739064250124286</v>
      </c>
      <c r="O660" s="28" t="str">
        <f aca="false">IF(-N660&gt;=Summary!$C$7,"BREACH","")</f>
        <v/>
      </c>
      <c r="P660" s="30" t="n">
        <f aca="false">M660+F660</f>
        <v>116002.98</v>
      </c>
      <c r="Q660" s="30" t="n">
        <f aca="false">P660-Summary!$C$5</f>
        <v>16002.9800000001</v>
      </c>
      <c r="R660" s="2" t="str">
        <f aca="false">TEXT(A660,"ddd")</f>
        <v>Mon</v>
      </c>
    </row>
    <row r="661" customFormat="false" ht="15" hidden="false" customHeight="false" outlineLevel="0" collapsed="false">
      <c r="A661" s="42" t="n">
        <v>46106</v>
      </c>
      <c r="B661" s="28" t="n">
        <f aca="false">COUNTIFS(Trades!$D$2:$D$884,$A661)</f>
        <v>1</v>
      </c>
      <c r="C661" s="28" t="n">
        <f aca="false">COUNTIFS(Trades!$D$2:$D$884,$A661,Trades!$Z$2:$Z$884,"Win")</f>
        <v>0</v>
      </c>
      <c r="D661" s="28" t="n">
        <f aca="false">COUNTIFS(Trades!$D$2:$D$884,$A661,Trades!$Z$2:$Z$884,"Loss")</f>
        <v>1</v>
      </c>
      <c r="E661" s="29" t="n">
        <f aca="false">IFERROR(C661/B661,0)</f>
        <v>0</v>
      </c>
      <c r="F661" s="30" t="n">
        <f aca="false">SUMIFS(Trades!$X$2:$X$884,Trades!$D$2:$D$884,$A661)</f>
        <v>-150.4</v>
      </c>
      <c r="G661" s="30" t="n">
        <f aca="false">SUMIFS(Trades!$X$2:$X$884,Trades!$D$2:$D$884,$A661,Trades!$X$2:$X$884,"&gt;0")</f>
        <v>0</v>
      </c>
      <c r="H661" s="30" t="n">
        <f aca="false">SUMIFS(Trades!$X$2:$X$884,Trades!$D$2:$D$884,$A661,Trades!$X$2:$X$884,"&lt;0")</f>
        <v>-150.4</v>
      </c>
      <c r="I661" s="31" t="n">
        <f aca="false">IFERROR(G661/-H661,"no loss")</f>
        <v>0</v>
      </c>
      <c r="J661" s="30" t="n">
        <f aca="false">_xlfn.MAXIFS(Trades!$X$2:$X$884,Trades!$D$2:$D$884,$A661)</f>
        <v>-150.4</v>
      </c>
      <c r="K661" s="30" t="n">
        <f aca="false">_xlfn.MINIFS(Trades!$X$2:$X$884,Trades!$D$2:$D$884,$A661)</f>
        <v>-150.4</v>
      </c>
      <c r="L661" s="32" t="n">
        <f aca="false">SUMIFS(Trades!$Y$2:$Y$884,Trades!$D$2:$D$884,$A661)</f>
        <v>-1.06354392068672</v>
      </c>
      <c r="M661" s="30" t="n">
        <f aca="false">P660</f>
        <v>116002.98</v>
      </c>
      <c r="N661" s="29" t="n">
        <f aca="false">IFERROR(F661/M661,0)</f>
        <v>-0.00129651841702687</v>
      </c>
      <c r="O661" s="28" t="str">
        <f aca="false">IF(-N661&gt;=Summary!$C$7,"BREACH","")</f>
        <v/>
      </c>
      <c r="P661" s="30" t="n">
        <f aca="false">M661+F661</f>
        <v>115852.58</v>
      </c>
      <c r="Q661" s="30" t="n">
        <f aca="false">P661-Summary!$C$5</f>
        <v>15852.5800000001</v>
      </c>
      <c r="R661" s="2" t="str">
        <f aca="false">TEXT(A661,"ddd")</f>
        <v>Wed</v>
      </c>
    </row>
    <row r="662" customFormat="false" ht="15" hidden="false" customHeight="false" outlineLevel="0" collapsed="false">
      <c r="A662" s="42" t="n">
        <v>46107</v>
      </c>
      <c r="B662" s="28" t="n">
        <f aca="false">COUNTIFS(Trades!$D$2:$D$884,$A662)</f>
        <v>1</v>
      </c>
      <c r="C662" s="28" t="n">
        <f aca="false">COUNTIFS(Trades!$D$2:$D$884,$A662,Trades!$Z$2:$Z$884,"Win")</f>
        <v>0</v>
      </c>
      <c r="D662" s="28" t="n">
        <f aca="false">COUNTIFS(Trades!$D$2:$D$884,$A662,Trades!$Z$2:$Z$884,"Loss")</f>
        <v>1</v>
      </c>
      <c r="E662" s="29" t="n">
        <f aca="false">IFERROR(C662/B662,0)</f>
        <v>0</v>
      </c>
      <c r="F662" s="30" t="n">
        <f aca="false">SUMIFS(Trades!$X$2:$X$884,Trades!$D$2:$D$884,$A662)</f>
        <v>-0.13</v>
      </c>
      <c r="G662" s="30" t="n">
        <f aca="false">SUMIFS(Trades!$X$2:$X$884,Trades!$D$2:$D$884,$A662,Trades!$X$2:$X$884,"&gt;0")</f>
        <v>0</v>
      </c>
      <c r="H662" s="30" t="n">
        <f aca="false">SUMIFS(Trades!$X$2:$X$884,Trades!$D$2:$D$884,$A662,Trades!$X$2:$X$884,"&lt;0")</f>
        <v>-0.13</v>
      </c>
      <c r="I662" s="31" t="n">
        <f aca="false">IFERROR(G662/-H662,"no loss")</f>
        <v>0</v>
      </c>
      <c r="J662" s="30" t="n">
        <f aca="false">_xlfn.MAXIFS(Trades!$X$2:$X$884,Trades!$D$2:$D$884,$A662)</f>
        <v>-0.13</v>
      </c>
      <c r="K662" s="30" t="n">
        <f aca="false">_xlfn.MINIFS(Trades!$X$2:$X$884,Trades!$D$2:$D$884,$A662)</f>
        <v>-0.13</v>
      </c>
      <c r="L662" s="32" t="n">
        <f aca="false">SUMIFS(Trades!$Y$2:$Y$884,Trades!$D$2:$D$884,$A662)</f>
        <v>-0.00139866158844914</v>
      </c>
      <c r="M662" s="30" t="n">
        <f aca="false">P661</f>
        <v>115852.58</v>
      </c>
      <c r="N662" s="29" t="n">
        <f aca="false">IFERROR(F662/M662,0)</f>
        <v>-1.12211570946456E-006</v>
      </c>
      <c r="O662" s="28" t="str">
        <f aca="false">IF(-N662&gt;=Summary!$C$7,"BREACH","")</f>
        <v/>
      </c>
      <c r="P662" s="30" t="n">
        <f aca="false">M662+F662</f>
        <v>115852.45</v>
      </c>
      <c r="Q662" s="30" t="n">
        <f aca="false">P662-Summary!$C$5</f>
        <v>15852.4500000001</v>
      </c>
      <c r="R662" s="2" t="str">
        <f aca="false">TEXT(A662,"ddd")</f>
        <v>Thu</v>
      </c>
    </row>
    <row r="663" customFormat="false" ht="15" hidden="false" customHeight="false" outlineLevel="0" collapsed="false">
      <c r="A663" s="42" t="n">
        <v>46108</v>
      </c>
      <c r="B663" s="28" t="n">
        <f aca="false">COUNTIFS(Trades!$D$2:$D$884,$A663)</f>
        <v>1</v>
      </c>
      <c r="C663" s="28" t="n">
        <f aca="false">COUNTIFS(Trades!$D$2:$D$884,$A663,Trades!$Z$2:$Z$884,"Win")</f>
        <v>0</v>
      </c>
      <c r="D663" s="28" t="n">
        <f aca="false">COUNTIFS(Trades!$D$2:$D$884,$A663,Trades!$Z$2:$Z$884,"Loss")</f>
        <v>1</v>
      </c>
      <c r="E663" s="29" t="n">
        <f aca="false">IFERROR(C663/B663,0)</f>
        <v>0</v>
      </c>
      <c r="F663" s="30" t="n">
        <f aca="false">SUMIFS(Trades!$X$2:$X$884,Trades!$D$2:$D$884,$A663)</f>
        <v>-0.44</v>
      </c>
      <c r="G663" s="30" t="n">
        <f aca="false">SUMIFS(Trades!$X$2:$X$884,Trades!$D$2:$D$884,$A663,Trades!$X$2:$X$884,"&gt;0")</f>
        <v>0</v>
      </c>
      <c r="H663" s="30" t="n">
        <f aca="false">SUMIFS(Trades!$X$2:$X$884,Trades!$D$2:$D$884,$A663,Trades!$X$2:$X$884,"&lt;0")</f>
        <v>-0.44</v>
      </c>
      <c r="I663" s="31" t="n">
        <f aca="false">IFERROR(G663/-H663,"no loss")</f>
        <v>0</v>
      </c>
      <c r="J663" s="30" t="n">
        <f aca="false">_xlfn.MAXIFS(Trades!$X$2:$X$884,Trades!$D$2:$D$884,$A663)</f>
        <v>-0.44</v>
      </c>
      <c r="K663" s="30" t="n">
        <f aca="false">_xlfn.MINIFS(Trades!$X$2:$X$884,Trades!$D$2:$D$884,$A663)</f>
        <v>-0.44</v>
      </c>
      <c r="L663" s="32" t="n">
        <f aca="false">SUMIFS(Trades!$Y$2:$Y$884,Trades!$D$2:$D$884,$A663)</f>
        <v>-0.00390320062451226</v>
      </c>
      <c r="M663" s="30" t="n">
        <f aca="false">P662</f>
        <v>115852.45</v>
      </c>
      <c r="N663" s="29" t="n">
        <f aca="false">IFERROR(F663/M663,0)</f>
        <v>-3.79793435529417E-006</v>
      </c>
      <c r="O663" s="28" t="str">
        <f aca="false">IF(-N663&gt;=Summary!$C$7,"BREACH","")</f>
        <v/>
      </c>
      <c r="P663" s="30" t="n">
        <f aca="false">M663+F663</f>
        <v>115852.01</v>
      </c>
      <c r="Q663" s="30" t="n">
        <f aca="false">P663-Summary!$C$5</f>
        <v>15852.0100000001</v>
      </c>
      <c r="R663" s="2" t="str">
        <f aca="false">TEXT(A663,"ddd")</f>
        <v>Fri</v>
      </c>
    </row>
    <row r="664" customFormat="false" ht="15" hidden="false" customHeight="false" outlineLevel="0" collapsed="false">
      <c r="A664" s="42" t="n">
        <v>46111</v>
      </c>
      <c r="B664" s="28" t="n">
        <f aca="false">COUNTIFS(Trades!$D$2:$D$884,$A664)</f>
        <v>1</v>
      </c>
      <c r="C664" s="28" t="n">
        <f aca="false">COUNTIFS(Trades!$D$2:$D$884,$A664,Trades!$Z$2:$Z$884,"Win")</f>
        <v>0</v>
      </c>
      <c r="D664" s="28" t="n">
        <f aca="false">COUNTIFS(Trades!$D$2:$D$884,$A664,Trades!$Z$2:$Z$884,"Loss")</f>
        <v>1</v>
      </c>
      <c r="E664" s="29" t="n">
        <f aca="false">IFERROR(C664/B664,0)</f>
        <v>0</v>
      </c>
      <c r="F664" s="30" t="n">
        <f aca="false">SUMIFS(Trades!$X$2:$X$884,Trades!$D$2:$D$884,$A664)</f>
        <v>-156.42</v>
      </c>
      <c r="G664" s="30" t="n">
        <f aca="false">SUMIFS(Trades!$X$2:$X$884,Trades!$D$2:$D$884,$A664,Trades!$X$2:$X$884,"&gt;0")</f>
        <v>0</v>
      </c>
      <c r="H664" s="30" t="n">
        <f aca="false">SUMIFS(Trades!$X$2:$X$884,Trades!$D$2:$D$884,$A664,Trades!$X$2:$X$884,"&lt;0")</f>
        <v>-156.42</v>
      </c>
      <c r="I664" s="31" t="n">
        <f aca="false">IFERROR(G664/-H664,"no loss")</f>
        <v>0</v>
      </c>
      <c r="J664" s="30" t="n">
        <f aca="false">_xlfn.MAXIFS(Trades!$X$2:$X$884,Trades!$D$2:$D$884,$A664)</f>
        <v>-156.42</v>
      </c>
      <c r="K664" s="30" t="n">
        <f aca="false">_xlfn.MINIFS(Trades!$X$2:$X$884,Trades!$D$2:$D$884,$A664)</f>
        <v>-156.42</v>
      </c>
      <c r="L664" s="32" t="n">
        <f aca="false">SUMIFS(Trades!$Y$2:$Y$884,Trades!$D$2:$D$884,$A664)</f>
        <v>-1.01804123711335</v>
      </c>
      <c r="M664" s="30" t="n">
        <f aca="false">P663</f>
        <v>115852.01</v>
      </c>
      <c r="N664" s="29" t="n">
        <f aca="false">IFERROR(F664/M664,0)</f>
        <v>-0.00135017079116711</v>
      </c>
      <c r="O664" s="28" t="str">
        <f aca="false">IF(-N664&gt;=Summary!$C$7,"BREACH","")</f>
        <v/>
      </c>
      <c r="P664" s="30" t="n">
        <f aca="false">M664+F664</f>
        <v>115695.59</v>
      </c>
      <c r="Q664" s="30" t="n">
        <f aca="false">P664-Summary!$C$5</f>
        <v>15695.5900000001</v>
      </c>
      <c r="R664" s="2" t="str">
        <f aca="false">TEXT(A664,"ddd")</f>
        <v>Mon</v>
      </c>
    </row>
    <row r="665" customFormat="false" ht="15" hidden="false" customHeight="false" outlineLevel="0" collapsed="false">
      <c r="A665" s="42" t="n">
        <v>46112</v>
      </c>
      <c r="B665" s="28" t="n">
        <f aca="false">COUNTIFS(Trades!$D$2:$D$884,$A665)</f>
        <v>2</v>
      </c>
      <c r="C665" s="28" t="n">
        <f aca="false">COUNTIFS(Trades!$D$2:$D$884,$A665,Trades!$Z$2:$Z$884,"Win")</f>
        <v>0</v>
      </c>
      <c r="D665" s="28" t="n">
        <f aca="false">COUNTIFS(Trades!$D$2:$D$884,$A665,Trades!$Z$2:$Z$884,"Loss")</f>
        <v>2</v>
      </c>
      <c r="E665" s="29" t="n">
        <f aca="false">IFERROR(C665/B665,0)</f>
        <v>0</v>
      </c>
      <c r="F665" s="30" t="n">
        <f aca="false">SUMIFS(Trades!$X$2:$X$884,Trades!$D$2:$D$884,$A665)</f>
        <v>-274.96</v>
      </c>
      <c r="G665" s="30" t="n">
        <f aca="false">SUMIFS(Trades!$X$2:$X$884,Trades!$D$2:$D$884,$A665,Trades!$X$2:$X$884,"&gt;0")</f>
        <v>0</v>
      </c>
      <c r="H665" s="30" t="n">
        <f aca="false">SUMIFS(Trades!$X$2:$X$884,Trades!$D$2:$D$884,$A665,Trades!$X$2:$X$884,"&lt;0")</f>
        <v>-274.96</v>
      </c>
      <c r="I665" s="31" t="n">
        <f aca="false">IFERROR(G665/-H665,"no loss")</f>
        <v>0</v>
      </c>
      <c r="J665" s="30" t="n">
        <f aca="false">_xlfn.MAXIFS(Trades!$X$2:$X$884,Trades!$D$2:$D$884,$A665)</f>
        <v>-3.04</v>
      </c>
      <c r="K665" s="30" t="n">
        <f aca="false">_xlfn.MINIFS(Trades!$X$2:$X$884,Trades!$D$2:$D$884,$A665)</f>
        <v>-271.92</v>
      </c>
      <c r="L665" s="32" t="n">
        <f aca="false">SUMIFS(Trades!$Y$2:$Y$884,Trades!$D$2:$D$884,$A665)</f>
        <v>-1.09453008195988</v>
      </c>
      <c r="M665" s="30" t="n">
        <f aca="false">P664</f>
        <v>115695.59</v>
      </c>
      <c r="N665" s="29" t="n">
        <f aca="false">IFERROR(F665/M665,0)</f>
        <v>-0.0023765815101509</v>
      </c>
      <c r="O665" s="28" t="str">
        <f aca="false">IF(-N665&gt;=Summary!$C$7,"BREACH","")</f>
        <v/>
      </c>
      <c r="P665" s="30" t="n">
        <f aca="false">M665+F665</f>
        <v>115420.63</v>
      </c>
      <c r="Q665" s="30" t="n">
        <f aca="false">P665-Summary!$C$5</f>
        <v>15420.6300000001</v>
      </c>
      <c r="R665" s="2" t="str">
        <f aca="false">TEXT(A665,"ddd")</f>
        <v>Tue</v>
      </c>
    </row>
    <row r="666" customFormat="false" ht="15" hidden="false" customHeight="false" outlineLevel="0" collapsed="false">
      <c r="A666" s="42" t="n">
        <v>46113</v>
      </c>
      <c r="B666" s="28" t="n">
        <f aca="false">COUNTIFS(Trades!$D$2:$D$884,$A666)</f>
        <v>1</v>
      </c>
      <c r="C666" s="28" t="n">
        <f aca="false">COUNTIFS(Trades!$D$2:$D$884,$A666,Trades!$Z$2:$Z$884,"Win")</f>
        <v>0</v>
      </c>
      <c r="D666" s="28" t="n">
        <f aca="false">COUNTIFS(Trades!$D$2:$D$884,$A666,Trades!$Z$2:$Z$884,"Loss")</f>
        <v>1</v>
      </c>
      <c r="E666" s="29" t="n">
        <f aca="false">IFERROR(C666/B666,0)</f>
        <v>0</v>
      </c>
      <c r="F666" s="30" t="n">
        <f aca="false">SUMIFS(Trades!$X$2:$X$884,Trades!$D$2:$D$884,$A666)</f>
        <v>-73.37</v>
      </c>
      <c r="G666" s="30" t="n">
        <f aca="false">SUMIFS(Trades!$X$2:$X$884,Trades!$D$2:$D$884,$A666,Trades!$X$2:$X$884,"&gt;0")</f>
        <v>0</v>
      </c>
      <c r="H666" s="30" t="n">
        <f aca="false">SUMIFS(Trades!$X$2:$X$884,Trades!$D$2:$D$884,$A666,Trades!$X$2:$X$884,"&lt;0")</f>
        <v>-73.37</v>
      </c>
      <c r="I666" s="31" t="n">
        <f aca="false">IFERROR(G666/-H666,"no loss")</f>
        <v>0</v>
      </c>
      <c r="J666" s="30" t="n">
        <f aca="false">_xlfn.MAXIFS(Trades!$X$2:$X$884,Trades!$D$2:$D$884,$A666)</f>
        <v>-73.37</v>
      </c>
      <c r="K666" s="30" t="n">
        <f aca="false">_xlfn.MINIFS(Trades!$X$2:$X$884,Trades!$D$2:$D$884,$A666)</f>
        <v>-73.37</v>
      </c>
      <c r="L666" s="32" t="n">
        <f aca="false">SUMIFS(Trades!$Y$2:$Y$884,Trades!$D$2:$D$884,$A666)</f>
        <v>-1.00918819289696</v>
      </c>
      <c r="M666" s="30" t="n">
        <f aca="false">P665</f>
        <v>115420.63</v>
      </c>
      <c r="N666" s="29" t="n">
        <f aca="false">IFERROR(F666/M666,0)</f>
        <v>-0.000635674922238771</v>
      </c>
      <c r="O666" s="28" t="str">
        <f aca="false">IF(-N666&gt;=Summary!$C$7,"BREACH","")</f>
        <v/>
      </c>
      <c r="P666" s="30" t="n">
        <f aca="false">M666+F666</f>
        <v>115347.26</v>
      </c>
      <c r="Q666" s="30" t="n">
        <f aca="false">P666-Summary!$C$5</f>
        <v>15347.2600000001</v>
      </c>
      <c r="R666" s="2" t="str">
        <f aca="false">TEXT(A666,"ddd")</f>
        <v>Wed</v>
      </c>
    </row>
    <row r="667" customFormat="false" ht="15" hidden="false" customHeight="false" outlineLevel="0" collapsed="false">
      <c r="A667" s="42" t="n">
        <v>46114</v>
      </c>
      <c r="B667" s="28" t="n">
        <f aca="false">COUNTIFS(Trades!$D$2:$D$884,$A667)</f>
        <v>1</v>
      </c>
      <c r="C667" s="28" t="n">
        <f aca="false">COUNTIFS(Trades!$D$2:$D$884,$A667,Trades!$Z$2:$Z$884,"Win")</f>
        <v>1</v>
      </c>
      <c r="D667" s="28" t="n">
        <f aca="false">COUNTIFS(Trades!$D$2:$D$884,$A667,Trades!$Z$2:$Z$884,"Loss")</f>
        <v>0</v>
      </c>
      <c r="E667" s="29" t="n">
        <f aca="false">IFERROR(C667/B667,0)</f>
        <v>1</v>
      </c>
      <c r="F667" s="30" t="n">
        <f aca="false">SUMIFS(Trades!$X$2:$X$884,Trades!$D$2:$D$884,$A667)</f>
        <v>319.91</v>
      </c>
      <c r="G667" s="30" t="n">
        <f aca="false">SUMIFS(Trades!$X$2:$X$884,Trades!$D$2:$D$884,$A667,Trades!$X$2:$X$884,"&gt;0")</f>
        <v>319.91</v>
      </c>
      <c r="H667" s="30" t="n">
        <f aca="false">SUMIFS(Trades!$X$2:$X$884,Trades!$D$2:$D$884,$A667,Trades!$X$2:$X$884,"&lt;0")</f>
        <v>0</v>
      </c>
      <c r="I667" s="31" t="str">
        <f aca="false">IFERROR(G667/-H667,"no loss")</f>
        <v>no loss</v>
      </c>
      <c r="J667" s="30" t="n">
        <f aca="false">_xlfn.MAXIFS(Trades!$X$2:$X$884,Trades!$D$2:$D$884,$A667)</f>
        <v>319.91</v>
      </c>
      <c r="K667" s="30" t="n">
        <f aca="false">_xlfn.MINIFS(Trades!$X$2:$X$884,Trades!$D$2:$D$884,$A667)</f>
        <v>319.91</v>
      </c>
      <c r="L667" s="32" t="n">
        <f aca="false">SUMIFS(Trades!$Y$2:$Y$884,Trades!$D$2:$D$884,$A667)</f>
        <v>2.05862290862291</v>
      </c>
      <c r="M667" s="30" t="n">
        <f aca="false">P666</f>
        <v>115347.26</v>
      </c>
      <c r="N667" s="29" t="n">
        <f aca="false">IFERROR(F667/M667,0)</f>
        <v>0.00277345122892386</v>
      </c>
      <c r="O667" s="28" t="str">
        <f aca="false">IF(-N667&gt;=Summary!$C$7,"BREACH","")</f>
        <v/>
      </c>
      <c r="P667" s="30" t="n">
        <f aca="false">M667+F667</f>
        <v>115667.17</v>
      </c>
      <c r="Q667" s="30" t="n">
        <f aca="false">P667-Summary!$C$5</f>
        <v>15667.1700000001</v>
      </c>
      <c r="R667" s="2" t="str">
        <f aca="false">TEXT(A667,"ddd")</f>
        <v>Thu</v>
      </c>
    </row>
    <row r="668" customFormat="false" ht="15" hidden="false" customHeight="false" outlineLevel="0" collapsed="false">
      <c r="A668" s="42" t="n">
        <v>46118</v>
      </c>
      <c r="B668" s="28" t="n">
        <f aca="false">COUNTIFS(Trades!$D$2:$D$884,$A668)</f>
        <v>1</v>
      </c>
      <c r="C668" s="28" t="n">
        <f aca="false">COUNTIFS(Trades!$D$2:$D$884,$A668,Trades!$Z$2:$Z$884,"Win")</f>
        <v>1</v>
      </c>
      <c r="D668" s="28" t="n">
        <f aca="false">COUNTIFS(Trades!$D$2:$D$884,$A668,Trades!$Z$2:$Z$884,"Loss")</f>
        <v>0</v>
      </c>
      <c r="E668" s="29" t="n">
        <f aca="false">IFERROR(C668/B668,0)</f>
        <v>1</v>
      </c>
      <c r="F668" s="30" t="n">
        <f aca="false">SUMIFS(Trades!$X$2:$X$884,Trades!$D$2:$D$884,$A668)</f>
        <v>245.41</v>
      </c>
      <c r="G668" s="30" t="n">
        <f aca="false">SUMIFS(Trades!$X$2:$X$884,Trades!$D$2:$D$884,$A668,Trades!$X$2:$X$884,"&gt;0")</f>
        <v>245.41</v>
      </c>
      <c r="H668" s="30" t="n">
        <f aca="false">SUMIFS(Trades!$X$2:$X$884,Trades!$D$2:$D$884,$A668,Trades!$X$2:$X$884,"&lt;0")</f>
        <v>0</v>
      </c>
      <c r="I668" s="31" t="str">
        <f aca="false">IFERROR(G668/-H668,"no loss")</f>
        <v>no loss</v>
      </c>
      <c r="J668" s="30" t="n">
        <f aca="false">_xlfn.MAXIFS(Trades!$X$2:$X$884,Trades!$D$2:$D$884,$A668)</f>
        <v>245.41</v>
      </c>
      <c r="K668" s="30" t="n">
        <f aca="false">_xlfn.MINIFS(Trades!$X$2:$X$884,Trades!$D$2:$D$884,$A668)</f>
        <v>245.41</v>
      </c>
      <c r="L668" s="32" t="n">
        <f aca="false">SUMIFS(Trades!$Y$2:$Y$884,Trades!$D$2:$D$884,$A668)</f>
        <v>2.13018419179554</v>
      </c>
      <c r="M668" s="30" t="n">
        <f aca="false">P667</f>
        <v>115667.17</v>
      </c>
      <c r="N668" s="29" t="n">
        <f aca="false">IFERROR(F668/M668,0)</f>
        <v>0.00212169105546543</v>
      </c>
      <c r="O668" s="28" t="str">
        <f aca="false">IF(-N668&gt;=Summary!$C$7,"BREACH","")</f>
        <v/>
      </c>
      <c r="P668" s="30" t="n">
        <f aca="false">M668+F668</f>
        <v>115912.58</v>
      </c>
      <c r="Q668" s="30" t="n">
        <f aca="false">P668-Summary!$C$5</f>
        <v>15912.5800000001</v>
      </c>
      <c r="R668" s="2" t="str">
        <f aca="false">TEXT(A668,"ddd")</f>
        <v>Mon</v>
      </c>
    </row>
    <row r="669" customFormat="false" ht="15" hidden="false" customHeight="false" outlineLevel="0" collapsed="false">
      <c r="A669" s="42" t="n">
        <v>46119</v>
      </c>
      <c r="B669" s="28" t="n">
        <f aca="false">COUNTIFS(Trades!$D$2:$D$884,$A669)</f>
        <v>1</v>
      </c>
      <c r="C669" s="28" t="n">
        <f aca="false">COUNTIFS(Trades!$D$2:$D$884,$A669,Trades!$Z$2:$Z$884,"Win")</f>
        <v>0</v>
      </c>
      <c r="D669" s="28" t="n">
        <f aca="false">COUNTIFS(Trades!$D$2:$D$884,$A669,Trades!$Z$2:$Z$884,"Loss")</f>
        <v>1</v>
      </c>
      <c r="E669" s="29" t="n">
        <f aca="false">IFERROR(C669/B669,0)</f>
        <v>0</v>
      </c>
      <c r="F669" s="30" t="n">
        <f aca="false">SUMIFS(Trades!$X$2:$X$884,Trades!$D$2:$D$884,$A669)</f>
        <v>-189.17</v>
      </c>
      <c r="G669" s="30" t="n">
        <f aca="false">SUMIFS(Trades!$X$2:$X$884,Trades!$D$2:$D$884,$A669,Trades!$X$2:$X$884,"&gt;0")</f>
        <v>0</v>
      </c>
      <c r="H669" s="30" t="n">
        <f aca="false">SUMIFS(Trades!$X$2:$X$884,Trades!$D$2:$D$884,$A669,Trades!$X$2:$X$884,"&lt;0")</f>
        <v>-189.17</v>
      </c>
      <c r="I669" s="31" t="n">
        <f aca="false">IFERROR(G669/-H669,"no loss")</f>
        <v>0</v>
      </c>
      <c r="J669" s="30" t="n">
        <f aca="false">_xlfn.MAXIFS(Trades!$X$2:$X$884,Trades!$D$2:$D$884,$A669)</f>
        <v>-189.17</v>
      </c>
      <c r="K669" s="30" t="n">
        <f aca="false">_xlfn.MINIFS(Trades!$X$2:$X$884,Trades!$D$2:$D$884,$A669)</f>
        <v>-189.17</v>
      </c>
      <c r="L669" s="32" t="n">
        <f aca="false">SUMIFS(Trades!$Y$2:$Y$884,Trades!$D$2:$D$884,$A669)</f>
        <v>-1.00626622409468</v>
      </c>
      <c r="M669" s="30" t="n">
        <f aca="false">P668</f>
        <v>115912.58</v>
      </c>
      <c r="N669" s="29" t="n">
        <f aca="false">IFERROR(F669/M669,0)</f>
        <v>-0.00163200577538693</v>
      </c>
      <c r="O669" s="28" t="str">
        <f aca="false">IF(-N669&gt;=Summary!$C$7,"BREACH","")</f>
        <v/>
      </c>
      <c r="P669" s="30" t="n">
        <f aca="false">M669+F669</f>
        <v>115723.41</v>
      </c>
      <c r="Q669" s="30" t="n">
        <f aca="false">P669-Summary!$C$5</f>
        <v>15723.4100000001</v>
      </c>
      <c r="R669" s="2" t="str">
        <f aca="false">TEXT(A669,"ddd")</f>
        <v>Tue</v>
      </c>
    </row>
    <row r="670" customFormat="false" ht="15" hidden="false" customHeight="false" outlineLevel="0" collapsed="false">
      <c r="A670" s="42" t="n">
        <v>46120</v>
      </c>
      <c r="B670" s="28" t="n">
        <f aca="false">COUNTIFS(Trades!$D$2:$D$884,$A670)</f>
        <v>1</v>
      </c>
      <c r="C670" s="28" t="n">
        <f aca="false">COUNTIFS(Trades!$D$2:$D$884,$A670,Trades!$Z$2:$Z$884,"Win")</f>
        <v>0</v>
      </c>
      <c r="D670" s="28" t="n">
        <f aca="false">COUNTIFS(Trades!$D$2:$D$884,$A670,Trades!$Z$2:$Z$884,"Loss")</f>
        <v>1</v>
      </c>
      <c r="E670" s="29" t="n">
        <f aca="false">IFERROR(C670/B670,0)</f>
        <v>0</v>
      </c>
      <c r="F670" s="30" t="n">
        <f aca="false">SUMIFS(Trades!$X$2:$X$884,Trades!$D$2:$D$884,$A670)</f>
        <v>-484.09</v>
      </c>
      <c r="G670" s="30" t="n">
        <f aca="false">SUMIFS(Trades!$X$2:$X$884,Trades!$D$2:$D$884,$A670,Trades!$X$2:$X$884,"&gt;0")</f>
        <v>0</v>
      </c>
      <c r="H670" s="30" t="n">
        <f aca="false">SUMIFS(Trades!$X$2:$X$884,Trades!$D$2:$D$884,$A670,Trades!$X$2:$X$884,"&lt;0")</f>
        <v>-484.09</v>
      </c>
      <c r="I670" s="31" t="n">
        <f aca="false">IFERROR(G670/-H670,"no loss")</f>
        <v>0</v>
      </c>
      <c r="J670" s="30" t="n">
        <f aca="false">_xlfn.MAXIFS(Trades!$X$2:$X$884,Trades!$D$2:$D$884,$A670)</f>
        <v>-484.09</v>
      </c>
      <c r="K670" s="30" t="n">
        <f aca="false">_xlfn.MINIFS(Trades!$X$2:$X$884,Trades!$D$2:$D$884,$A670)</f>
        <v>-484.09</v>
      </c>
      <c r="L670" s="32" t="n">
        <f aca="false">SUMIFS(Trades!$Y$2:$Y$884,Trades!$D$2:$D$884,$A670)</f>
        <v>-1.56326493706123</v>
      </c>
      <c r="M670" s="30" t="n">
        <f aca="false">P669</f>
        <v>115723.41</v>
      </c>
      <c r="N670" s="29" t="n">
        <f aca="false">IFERROR(F670/M670,0)</f>
        <v>-0.00418316397693431</v>
      </c>
      <c r="O670" s="28" t="str">
        <f aca="false">IF(-N670&gt;=Summary!$C$7,"BREACH","")</f>
        <v/>
      </c>
      <c r="P670" s="30" t="n">
        <f aca="false">M670+F670</f>
        <v>115239.32</v>
      </c>
      <c r="Q670" s="30" t="n">
        <f aca="false">P670-Summary!$C$5</f>
        <v>15239.3200000001</v>
      </c>
      <c r="R670" s="2" t="str">
        <f aca="false">TEXT(A670,"ddd")</f>
        <v>Wed</v>
      </c>
    </row>
    <row r="671" customFormat="false" ht="15" hidden="false" customHeight="false" outlineLevel="0" collapsed="false">
      <c r="A671" s="42" t="n">
        <v>46121</v>
      </c>
      <c r="B671" s="28" t="n">
        <f aca="false">COUNTIFS(Trades!$D$2:$D$884,$A671)</f>
        <v>1</v>
      </c>
      <c r="C671" s="28" t="n">
        <f aca="false">COUNTIFS(Trades!$D$2:$D$884,$A671,Trades!$Z$2:$Z$884,"Win")</f>
        <v>0</v>
      </c>
      <c r="D671" s="28" t="n">
        <f aca="false">COUNTIFS(Trades!$D$2:$D$884,$A671,Trades!$Z$2:$Z$884,"Loss")</f>
        <v>1</v>
      </c>
      <c r="E671" s="29" t="n">
        <f aca="false">IFERROR(C671/B671,0)</f>
        <v>0</v>
      </c>
      <c r="F671" s="30" t="n">
        <f aca="false">SUMIFS(Trades!$X$2:$X$884,Trades!$D$2:$D$884,$A671)</f>
        <v>-81.44</v>
      </c>
      <c r="G671" s="30" t="n">
        <f aca="false">SUMIFS(Trades!$X$2:$X$884,Trades!$D$2:$D$884,$A671,Trades!$X$2:$X$884,"&gt;0")</f>
        <v>0</v>
      </c>
      <c r="H671" s="30" t="n">
        <f aca="false">SUMIFS(Trades!$X$2:$X$884,Trades!$D$2:$D$884,$A671,Trades!$X$2:$X$884,"&lt;0")</f>
        <v>-81.44</v>
      </c>
      <c r="I671" s="31" t="n">
        <f aca="false">IFERROR(G671/-H671,"no loss")</f>
        <v>0</v>
      </c>
      <c r="J671" s="30" t="n">
        <f aca="false">_xlfn.MAXIFS(Trades!$X$2:$X$884,Trades!$D$2:$D$884,$A671)</f>
        <v>-81.44</v>
      </c>
      <c r="K671" s="30" t="n">
        <f aca="false">_xlfn.MINIFS(Trades!$X$2:$X$884,Trades!$D$2:$D$884,$A671)</f>
        <v>-81.44</v>
      </c>
      <c r="L671" s="32" t="n">
        <f aca="false">SUMIFS(Trades!$Y$2:$Y$884,Trades!$D$2:$D$884,$A671)</f>
        <v>-1.00543209876543</v>
      </c>
      <c r="M671" s="30" t="n">
        <f aca="false">P670</f>
        <v>115239.32</v>
      </c>
      <c r="N671" s="29" t="n">
        <f aca="false">IFERROR(F671/M671,0)</f>
        <v>-0.000706703232889607</v>
      </c>
      <c r="O671" s="28" t="str">
        <f aca="false">IF(-N671&gt;=Summary!$C$7,"BREACH","")</f>
        <v/>
      </c>
      <c r="P671" s="30" t="n">
        <f aca="false">M671+F671</f>
        <v>115157.88</v>
      </c>
      <c r="Q671" s="30" t="n">
        <f aca="false">P671-Summary!$C$5</f>
        <v>15157.8800000001</v>
      </c>
      <c r="R671" s="2" t="str">
        <f aca="false">TEXT(A671,"ddd")</f>
        <v>Thu</v>
      </c>
    </row>
    <row r="672" customFormat="false" ht="15" hidden="false" customHeight="false" outlineLevel="0" collapsed="false">
      <c r="A672" s="42" t="n">
        <v>46122</v>
      </c>
      <c r="B672" s="28" t="n">
        <f aca="false">COUNTIFS(Trades!$D$2:$D$884,$A672)</f>
        <v>1</v>
      </c>
      <c r="C672" s="28" t="n">
        <f aca="false">COUNTIFS(Trades!$D$2:$D$884,$A672,Trades!$Z$2:$Z$884,"Win")</f>
        <v>0</v>
      </c>
      <c r="D672" s="28" t="n">
        <f aca="false">COUNTIFS(Trades!$D$2:$D$884,$A672,Trades!$Z$2:$Z$884,"Loss")</f>
        <v>1</v>
      </c>
      <c r="E672" s="29" t="n">
        <f aca="false">IFERROR(C672/B672,0)</f>
        <v>0</v>
      </c>
      <c r="F672" s="30" t="n">
        <f aca="false">SUMIFS(Trades!$X$2:$X$884,Trades!$D$2:$D$884,$A672)</f>
        <v>-57.6</v>
      </c>
      <c r="G672" s="30" t="n">
        <f aca="false">SUMIFS(Trades!$X$2:$X$884,Trades!$D$2:$D$884,$A672,Trades!$X$2:$X$884,"&gt;0")</f>
        <v>0</v>
      </c>
      <c r="H672" s="30" t="n">
        <f aca="false">SUMIFS(Trades!$X$2:$X$884,Trades!$D$2:$D$884,$A672,Trades!$X$2:$X$884,"&lt;0")</f>
        <v>-57.6</v>
      </c>
      <c r="I672" s="31" t="n">
        <f aca="false">IFERROR(G672/-H672,"no loss")</f>
        <v>0</v>
      </c>
      <c r="J672" s="30" t="n">
        <f aca="false">_xlfn.MAXIFS(Trades!$X$2:$X$884,Trades!$D$2:$D$884,$A672)</f>
        <v>-57.6</v>
      </c>
      <c r="K672" s="30" t="n">
        <f aca="false">_xlfn.MINIFS(Trades!$X$2:$X$884,Trades!$D$2:$D$884,$A672)</f>
        <v>-57.6</v>
      </c>
      <c r="L672" s="32" t="n">
        <f aca="false">SUMIFS(Trades!$Y$2:$Y$884,Trades!$D$2:$D$884,$A672)</f>
        <v>-1.00558659217879</v>
      </c>
      <c r="M672" s="30" t="n">
        <f aca="false">P671</f>
        <v>115157.88</v>
      </c>
      <c r="N672" s="29" t="n">
        <f aca="false">IFERROR(F672/M672,0)</f>
        <v>-0.000500182879365267</v>
      </c>
      <c r="O672" s="28" t="str">
        <f aca="false">IF(-N672&gt;=Summary!$C$7,"BREACH","")</f>
        <v/>
      </c>
      <c r="P672" s="30" t="n">
        <f aca="false">M672+F672</f>
        <v>115100.28</v>
      </c>
      <c r="Q672" s="30" t="n">
        <f aca="false">P672-Summary!$C$5</f>
        <v>15100.2800000001</v>
      </c>
      <c r="R672" s="2" t="str">
        <f aca="false">TEXT(A672,"ddd")</f>
        <v>Fri</v>
      </c>
    </row>
    <row r="673" customFormat="false" ht="15" hidden="false" customHeight="false" outlineLevel="0" collapsed="false">
      <c r="A673" s="42" t="n">
        <v>46125</v>
      </c>
      <c r="B673" s="28" t="n">
        <f aca="false">COUNTIFS(Trades!$D$2:$D$884,$A673)</f>
        <v>2</v>
      </c>
      <c r="C673" s="28" t="n">
        <f aca="false">COUNTIFS(Trades!$D$2:$D$884,$A673,Trades!$Z$2:$Z$884,"Win")</f>
        <v>0</v>
      </c>
      <c r="D673" s="28" t="n">
        <f aca="false">COUNTIFS(Trades!$D$2:$D$884,$A673,Trades!$Z$2:$Z$884,"Loss")</f>
        <v>2</v>
      </c>
      <c r="E673" s="29" t="n">
        <f aca="false">IFERROR(C673/B673,0)</f>
        <v>0</v>
      </c>
      <c r="F673" s="30" t="n">
        <f aca="false">SUMIFS(Trades!$X$2:$X$884,Trades!$D$2:$D$884,$A673)</f>
        <v>-473.96</v>
      </c>
      <c r="G673" s="30" t="n">
        <f aca="false">SUMIFS(Trades!$X$2:$X$884,Trades!$D$2:$D$884,$A673,Trades!$X$2:$X$884,"&gt;0")</f>
        <v>0</v>
      </c>
      <c r="H673" s="30" t="n">
        <f aca="false">SUMIFS(Trades!$X$2:$X$884,Trades!$D$2:$D$884,$A673,Trades!$X$2:$X$884,"&lt;0")</f>
        <v>-473.96</v>
      </c>
      <c r="I673" s="31" t="n">
        <f aca="false">IFERROR(G673/-H673,"no loss")</f>
        <v>0</v>
      </c>
      <c r="J673" s="30" t="n">
        <f aca="false">_xlfn.MAXIFS(Trades!$X$2:$X$884,Trades!$D$2:$D$884,$A673)</f>
        <v>-154.12</v>
      </c>
      <c r="K673" s="30" t="n">
        <f aca="false">_xlfn.MINIFS(Trades!$X$2:$X$884,Trades!$D$2:$D$884,$A673)</f>
        <v>-319.84</v>
      </c>
      <c r="L673" s="32" t="n">
        <f aca="false">SUMIFS(Trades!$Y$2:$Y$884,Trades!$D$2:$D$884,$A673)</f>
        <v>-2.02506546581288</v>
      </c>
      <c r="M673" s="30" t="n">
        <f aca="false">P672</f>
        <v>115100.28</v>
      </c>
      <c r="N673" s="29" t="n">
        <f aca="false">IFERROR(F673/M673,0)</f>
        <v>-0.00411780058224011</v>
      </c>
      <c r="O673" s="28" t="str">
        <f aca="false">IF(-N673&gt;=Summary!$C$7,"BREACH","")</f>
        <v/>
      </c>
      <c r="P673" s="30" t="n">
        <f aca="false">M673+F673</f>
        <v>114626.32</v>
      </c>
      <c r="Q673" s="30" t="n">
        <f aca="false">P673-Summary!$C$5</f>
        <v>14626.3200000001</v>
      </c>
      <c r="R673" s="2" t="str">
        <f aca="false">TEXT(A673,"ddd")</f>
        <v>Mon</v>
      </c>
    </row>
    <row r="674" customFormat="false" ht="15" hidden="false" customHeight="false" outlineLevel="0" collapsed="false">
      <c r="A674" s="42" t="n">
        <v>46126</v>
      </c>
      <c r="B674" s="28" t="n">
        <f aca="false">COUNTIFS(Trades!$D$2:$D$884,$A674)</f>
        <v>1</v>
      </c>
      <c r="C674" s="28" t="n">
        <f aca="false">COUNTIFS(Trades!$D$2:$D$884,$A674,Trades!$Z$2:$Z$884,"Win")</f>
        <v>1</v>
      </c>
      <c r="D674" s="28" t="n">
        <f aca="false">COUNTIFS(Trades!$D$2:$D$884,$A674,Trades!$Z$2:$Z$884,"Loss")</f>
        <v>0</v>
      </c>
      <c r="E674" s="29" t="n">
        <f aca="false">IFERROR(C674/B674,0)</f>
        <v>1</v>
      </c>
      <c r="F674" s="30" t="n">
        <f aca="false">SUMIFS(Trades!$X$2:$X$884,Trades!$D$2:$D$884,$A674)</f>
        <v>112.84</v>
      </c>
      <c r="G674" s="30" t="n">
        <f aca="false">SUMIFS(Trades!$X$2:$X$884,Trades!$D$2:$D$884,$A674,Trades!$X$2:$X$884,"&gt;0")</f>
        <v>112.84</v>
      </c>
      <c r="H674" s="30" t="n">
        <f aca="false">SUMIFS(Trades!$X$2:$X$884,Trades!$D$2:$D$884,$A674,Trades!$X$2:$X$884,"&lt;0")</f>
        <v>0</v>
      </c>
      <c r="I674" s="31" t="str">
        <f aca="false">IFERROR(G674/-H674,"no loss")</f>
        <v>no loss</v>
      </c>
      <c r="J674" s="30" t="n">
        <f aca="false">_xlfn.MAXIFS(Trades!$X$2:$X$884,Trades!$D$2:$D$884,$A674)</f>
        <v>112.84</v>
      </c>
      <c r="K674" s="30" t="n">
        <f aca="false">_xlfn.MINIFS(Trades!$X$2:$X$884,Trades!$D$2:$D$884,$A674)</f>
        <v>112.84</v>
      </c>
      <c r="L674" s="32" t="n">
        <f aca="false">SUMIFS(Trades!$Y$2:$Y$884,Trades!$D$2:$D$884,$A674)</f>
        <v>2.08962962962963</v>
      </c>
      <c r="M674" s="30" t="n">
        <f aca="false">P673</f>
        <v>114626.32</v>
      </c>
      <c r="N674" s="29" t="n">
        <f aca="false">IFERROR(F674/M674,0)</f>
        <v>0.000984416144564354</v>
      </c>
      <c r="O674" s="28" t="str">
        <f aca="false">IF(-N674&gt;=Summary!$C$7,"BREACH","")</f>
        <v/>
      </c>
      <c r="P674" s="30" t="n">
        <f aca="false">M674+F674</f>
        <v>114739.16</v>
      </c>
      <c r="Q674" s="30" t="n">
        <f aca="false">P674-Summary!$C$5</f>
        <v>14739.1600000001</v>
      </c>
      <c r="R674" s="2" t="str">
        <f aca="false">TEXT(A674,"ddd")</f>
        <v>Tue</v>
      </c>
    </row>
    <row r="675" customFormat="false" ht="15" hidden="false" customHeight="false" outlineLevel="0" collapsed="false">
      <c r="A675" s="42" t="n">
        <v>46127</v>
      </c>
      <c r="B675" s="28" t="n">
        <f aca="false">COUNTIFS(Trades!$D$2:$D$884,$A675)</f>
        <v>1</v>
      </c>
      <c r="C675" s="28" t="n">
        <f aca="false">COUNTIFS(Trades!$D$2:$D$884,$A675,Trades!$Z$2:$Z$884,"Win")</f>
        <v>1</v>
      </c>
      <c r="D675" s="28" t="n">
        <f aca="false">COUNTIFS(Trades!$D$2:$D$884,$A675,Trades!$Z$2:$Z$884,"Loss")</f>
        <v>0</v>
      </c>
      <c r="E675" s="29" t="n">
        <f aca="false">IFERROR(C675/B675,0)</f>
        <v>1</v>
      </c>
      <c r="F675" s="30" t="n">
        <f aca="false">SUMIFS(Trades!$X$2:$X$884,Trades!$D$2:$D$884,$A675)</f>
        <v>117.76</v>
      </c>
      <c r="G675" s="30" t="n">
        <f aca="false">SUMIFS(Trades!$X$2:$X$884,Trades!$D$2:$D$884,$A675,Trades!$X$2:$X$884,"&gt;0")</f>
        <v>117.76</v>
      </c>
      <c r="H675" s="30" t="n">
        <f aca="false">SUMIFS(Trades!$X$2:$X$884,Trades!$D$2:$D$884,$A675,Trades!$X$2:$X$884,"&lt;0")</f>
        <v>0</v>
      </c>
      <c r="I675" s="31" t="str">
        <f aca="false">IFERROR(G675/-H675,"no loss")</f>
        <v>no loss</v>
      </c>
      <c r="J675" s="30" t="n">
        <f aca="false">_xlfn.MAXIFS(Trades!$X$2:$X$884,Trades!$D$2:$D$884,$A675)</f>
        <v>117.76</v>
      </c>
      <c r="K675" s="30" t="n">
        <f aca="false">_xlfn.MINIFS(Trades!$X$2:$X$884,Trades!$D$2:$D$884,$A675)</f>
        <v>117.76</v>
      </c>
      <c r="L675" s="32" t="n">
        <f aca="false">SUMIFS(Trades!$Y$2:$Y$884,Trades!$D$2:$D$884,$A675)</f>
        <v>2.17013121037851</v>
      </c>
      <c r="M675" s="30" t="n">
        <f aca="false">P674</f>
        <v>114739.16</v>
      </c>
      <c r="N675" s="29" t="n">
        <f aca="false">IFERROR(F675/M675,0)</f>
        <v>0.00102632789014666</v>
      </c>
      <c r="O675" s="28" t="str">
        <f aca="false">IF(-N675&gt;=Summary!$C$7,"BREACH","")</f>
        <v/>
      </c>
      <c r="P675" s="30" t="n">
        <f aca="false">M675+F675</f>
        <v>114856.92</v>
      </c>
      <c r="Q675" s="30" t="n">
        <f aca="false">P675-Summary!$C$5</f>
        <v>14856.9200000001</v>
      </c>
      <c r="R675" s="2" t="str">
        <f aca="false">TEXT(A675,"ddd")</f>
        <v>Wed</v>
      </c>
    </row>
    <row r="676" customFormat="false" ht="15" hidden="false" customHeight="false" outlineLevel="0" collapsed="false">
      <c r="A676" s="42" t="n">
        <v>46128</v>
      </c>
      <c r="B676" s="28" t="n">
        <f aca="false">COUNTIFS(Trades!$D$2:$D$884,$A676)</f>
        <v>1</v>
      </c>
      <c r="C676" s="28" t="n">
        <f aca="false">COUNTIFS(Trades!$D$2:$D$884,$A676,Trades!$Z$2:$Z$884,"Win")</f>
        <v>0</v>
      </c>
      <c r="D676" s="28" t="n">
        <f aca="false">COUNTIFS(Trades!$D$2:$D$884,$A676,Trades!$Z$2:$Z$884,"Loss")</f>
        <v>1</v>
      </c>
      <c r="E676" s="29" t="n">
        <f aca="false">IFERROR(C676/B676,0)</f>
        <v>0</v>
      </c>
      <c r="F676" s="30" t="n">
        <f aca="false">SUMIFS(Trades!$X$2:$X$884,Trades!$D$2:$D$884,$A676)</f>
        <v>-30.97</v>
      </c>
      <c r="G676" s="30" t="n">
        <f aca="false">SUMIFS(Trades!$X$2:$X$884,Trades!$D$2:$D$884,$A676,Trades!$X$2:$X$884,"&gt;0")</f>
        <v>0</v>
      </c>
      <c r="H676" s="30" t="n">
        <f aca="false">SUMIFS(Trades!$X$2:$X$884,Trades!$D$2:$D$884,$A676,Trades!$X$2:$X$884,"&lt;0")</f>
        <v>-30.97</v>
      </c>
      <c r="I676" s="31" t="n">
        <f aca="false">IFERROR(G676/-H676,"no loss")</f>
        <v>0</v>
      </c>
      <c r="J676" s="30" t="n">
        <f aca="false">_xlfn.MAXIFS(Trades!$X$2:$X$884,Trades!$D$2:$D$884,$A676)</f>
        <v>-30.97</v>
      </c>
      <c r="K676" s="30" t="n">
        <f aca="false">_xlfn.MINIFS(Trades!$X$2:$X$884,Trades!$D$2:$D$884,$A676)</f>
        <v>-30.97</v>
      </c>
      <c r="L676" s="32" t="n">
        <f aca="false">SUMIFS(Trades!$Y$2:$Y$884,Trades!$D$2:$D$884,$A676)</f>
        <v>-1.02774274905419</v>
      </c>
      <c r="M676" s="30" t="n">
        <f aca="false">P675</f>
        <v>114856.92</v>
      </c>
      <c r="N676" s="29" t="n">
        <f aca="false">IFERROR(F676/M676,0)</f>
        <v>-0.00026963982666434</v>
      </c>
      <c r="O676" s="28" t="str">
        <f aca="false">IF(-N676&gt;=Summary!$C$7,"BREACH","")</f>
        <v/>
      </c>
      <c r="P676" s="30" t="n">
        <f aca="false">M676+F676</f>
        <v>114825.95</v>
      </c>
      <c r="Q676" s="30" t="n">
        <f aca="false">P676-Summary!$C$5</f>
        <v>14825.9500000001</v>
      </c>
      <c r="R676" s="2" t="str">
        <f aca="false">TEXT(A676,"ddd")</f>
        <v>Thu</v>
      </c>
    </row>
    <row r="677" customFormat="false" ht="15" hidden="false" customHeight="false" outlineLevel="0" collapsed="false">
      <c r="A677" s="42" t="n">
        <v>46129</v>
      </c>
      <c r="B677" s="28" t="n">
        <f aca="false">COUNTIFS(Trades!$D$2:$D$884,$A677)</f>
        <v>1</v>
      </c>
      <c r="C677" s="28" t="n">
        <f aca="false">COUNTIFS(Trades!$D$2:$D$884,$A677,Trades!$Z$2:$Z$884,"Win")</f>
        <v>0</v>
      </c>
      <c r="D677" s="28" t="n">
        <f aca="false">COUNTIFS(Trades!$D$2:$D$884,$A677,Trades!$Z$2:$Z$884,"Loss")</f>
        <v>1</v>
      </c>
      <c r="E677" s="29" t="n">
        <f aca="false">IFERROR(C677/B677,0)</f>
        <v>0</v>
      </c>
      <c r="F677" s="30" t="n">
        <f aca="false">SUMIFS(Trades!$X$2:$X$884,Trades!$D$2:$D$884,$A677)</f>
        <v>-36.67</v>
      </c>
      <c r="G677" s="30" t="n">
        <f aca="false">SUMIFS(Trades!$X$2:$X$884,Trades!$D$2:$D$884,$A677,Trades!$X$2:$X$884,"&gt;0")</f>
        <v>0</v>
      </c>
      <c r="H677" s="30" t="n">
        <f aca="false">SUMIFS(Trades!$X$2:$X$884,Trades!$D$2:$D$884,$A677,Trades!$X$2:$X$884,"&lt;0")</f>
        <v>-36.67</v>
      </c>
      <c r="I677" s="31" t="n">
        <f aca="false">IFERROR(G677/-H677,"no loss")</f>
        <v>0</v>
      </c>
      <c r="J677" s="30" t="n">
        <f aca="false">_xlfn.MAXIFS(Trades!$X$2:$X$884,Trades!$D$2:$D$884,$A677)</f>
        <v>-36.67</v>
      </c>
      <c r="K677" s="30" t="n">
        <f aca="false">_xlfn.MINIFS(Trades!$X$2:$X$884,Trades!$D$2:$D$884,$A677)</f>
        <v>-36.67</v>
      </c>
      <c r="L677" s="32" t="n">
        <f aca="false">SUMIFS(Trades!$Y$2:$Y$884,Trades!$D$2:$D$884,$A677)</f>
        <v>-1.01153039832276</v>
      </c>
      <c r="M677" s="30" t="n">
        <f aca="false">P676</f>
        <v>114825.95</v>
      </c>
      <c r="N677" s="29" t="n">
        <f aca="false">IFERROR(F677/M677,0)</f>
        <v>-0.000319352898887403</v>
      </c>
      <c r="O677" s="28" t="str">
        <f aca="false">IF(-N677&gt;=Summary!$C$7,"BREACH","")</f>
        <v/>
      </c>
      <c r="P677" s="30" t="n">
        <f aca="false">M677+F677</f>
        <v>114789.28</v>
      </c>
      <c r="Q677" s="30" t="n">
        <f aca="false">P677-Summary!$C$5</f>
        <v>14789.2800000001</v>
      </c>
      <c r="R677" s="2" t="str">
        <f aca="false">TEXT(A677,"ddd")</f>
        <v>Fri</v>
      </c>
    </row>
    <row r="678" customFormat="false" ht="15" hidden="false" customHeight="false" outlineLevel="0" collapsed="false">
      <c r="A678" s="42" t="n">
        <v>46133</v>
      </c>
      <c r="B678" s="28" t="n">
        <f aca="false">COUNTIFS(Trades!$D$2:$D$884,$A678)</f>
        <v>1</v>
      </c>
      <c r="C678" s="28" t="n">
        <f aca="false">COUNTIFS(Trades!$D$2:$D$884,$A678,Trades!$Z$2:$Z$884,"Win")</f>
        <v>0</v>
      </c>
      <c r="D678" s="28" t="n">
        <f aca="false">COUNTIFS(Trades!$D$2:$D$884,$A678,Trades!$Z$2:$Z$884,"Loss")</f>
        <v>1</v>
      </c>
      <c r="E678" s="29" t="n">
        <f aca="false">IFERROR(C678/B678,0)</f>
        <v>0</v>
      </c>
      <c r="F678" s="30" t="n">
        <f aca="false">SUMIFS(Trades!$X$2:$X$884,Trades!$D$2:$D$884,$A678)</f>
        <v>-59.39</v>
      </c>
      <c r="G678" s="30" t="n">
        <f aca="false">SUMIFS(Trades!$X$2:$X$884,Trades!$D$2:$D$884,$A678,Trades!$X$2:$X$884,"&gt;0")</f>
        <v>0</v>
      </c>
      <c r="H678" s="30" t="n">
        <f aca="false">SUMIFS(Trades!$X$2:$X$884,Trades!$D$2:$D$884,$A678,Trades!$X$2:$X$884,"&lt;0")</f>
        <v>-59.39</v>
      </c>
      <c r="I678" s="31" t="n">
        <f aca="false">IFERROR(G678/-H678,"no loss")</f>
        <v>0</v>
      </c>
      <c r="J678" s="30" t="n">
        <f aca="false">_xlfn.MAXIFS(Trades!$X$2:$X$884,Trades!$D$2:$D$884,$A678)</f>
        <v>-59.39</v>
      </c>
      <c r="K678" s="30" t="n">
        <f aca="false">_xlfn.MINIFS(Trades!$X$2:$X$884,Trades!$D$2:$D$884,$A678)</f>
        <v>-59.39</v>
      </c>
      <c r="L678" s="32" t="n">
        <f aca="false">SUMIFS(Trades!$Y$2:$Y$884,Trades!$D$2:$D$884,$A678)</f>
        <v>-1.00897013353257</v>
      </c>
      <c r="M678" s="30" t="n">
        <f aca="false">P677</f>
        <v>114789.28</v>
      </c>
      <c r="N678" s="29" t="n">
        <f aca="false">IFERROR(F678/M678,0)</f>
        <v>-0.000517382807871954</v>
      </c>
      <c r="O678" s="28" t="str">
        <f aca="false">IF(-N678&gt;=Summary!$C$7,"BREACH","")</f>
        <v/>
      </c>
      <c r="P678" s="30" t="n">
        <f aca="false">M678+F678</f>
        <v>114729.89</v>
      </c>
      <c r="Q678" s="30" t="n">
        <f aca="false">P678-Summary!$C$5</f>
        <v>14729.8900000001</v>
      </c>
      <c r="R678" s="2" t="str">
        <f aca="false">TEXT(A678,"ddd")</f>
        <v>Tue</v>
      </c>
    </row>
    <row r="679" customFormat="false" ht="15" hidden="false" customHeight="false" outlineLevel="0" collapsed="false">
      <c r="A679" s="42" t="n">
        <v>46134</v>
      </c>
      <c r="B679" s="28" t="n">
        <f aca="false">COUNTIFS(Trades!$D$2:$D$884,$A679)</f>
        <v>1</v>
      </c>
      <c r="C679" s="28" t="n">
        <f aca="false">COUNTIFS(Trades!$D$2:$D$884,$A679,Trades!$Z$2:$Z$884,"Win")</f>
        <v>1</v>
      </c>
      <c r="D679" s="28" t="n">
        <f aca="false">COUNTIFS(Trades!$D$2:$D$884,$A679,Trades!$Z$2:$Z$884,"Loss")</f>
        <v>0</v>
      </c>
      <c r="E679" s="29" t="n">
        <f aca="false">IFERROR(C679/B679,0)</f>
        <v>1</v>
      </c>
      <c r="F679" s="30" t="n">
        <f aca="false">SUMIFS(Trades!$X$2:$X$884,Trades!$D$2:$D$884,$A679)</f>
        <v>307.61</v>
      </c>
      <c r="G679" s="30" t="n">
        <f aca="false">SUMIFS(Trades!$X$2:$X$884,Trades!$D$2:$D$884,$A679,Trades!$X$2:$X$884,"&gt;0")</f>
        <v>307.61</v>
      </c>
      <c r="H679" s="30" t="n">
        <f aca="false">SUMIFS(Trades!$X$2:$X$884,Trades!$D$2:$D$884,$A679,Trades!$X$2:$X$884,"&lt;0")</f>
        <v>0</v>
      </c>
      <c r="I679" s="31" t="str">
        <f aca="false">IFERROR(G679/-H679,"no loss")</f>
        <v>no loss</v>
      </c>
      <c r="J679" s="30" t="n">
        <f aca="false">_xlfn.MAXIFS(Trades!$X$2:$X$884,Trades!$D$2:$D$884,$A679)</f>
        <v>307.61</v>
      </c>
      <c r="K679" s="30" t="n">
        <f aca="false">_xlfn.MINIFS(Trades!$X$2:$X$884,Trades!$D$2:$D$884,$A679)</f>
        <v>307.61</v>
      </c>
      <c r="L679" s="32" t="n">
        <f aca="false">SUMIFS(Trades!$Y$2:$Y$884,Trades!$D$2:$D$884,$A679)</f>
        <v>2.09660709660707</v>
      </c>
      <c r="M679" s="30" t="n">
        <f aca="false">P678</f>
        <v>114729.89</v>
      </c>
      <c r="N679" s="29" t="n">
        <f aca="false">IFERROR(F679/M679,0)</f>
        <v>0.00268116704374074</v>
      </c>
      <c r="O679" s="28" t="str">
        <f aca="false">IF(-N679&gt;=Summary!$C$7,"BREACH","")</f>
        <v/>
      </c>
      <c r="P679" s="30" t="n">
        <f aca="false">M679+F679</f>
        <v>115037.5</v>
      </c>
      <c r="Q679" s="30" t="n">
        <f aca="false">P679-Summary!$C$5</f>
        <v>15037.5000000001</v>
      </c>
      <c r="R679" s="2" t="str">
        <f aca="false">TEXT(A679,"ddd")</f>
        <v>Wed</v>
      </c>
    </row>
    <row r="680" customFormat="false" ht="15" hidden="false" customHeight="false" outlineLevel="0" collapsed="false">
      <c r="A680" s="42" t="n">
        <v>46135</v>
      </c>
      <c r="B680" s="28" t="n">
        <f aca="false">COUNTIFS(Trades!$D$2:$D$884,$A680)</f>
        <v>2</v>
      </c>
      <c r="C680" s="28" t="n">
        <f aca="false">COUNTIFS(Trades!$D$2:$D$884,$A680,Trades!$Z$2:$Z$884,"Win")</f>
        <v>0</v>
      </c>
      <c r="D680" s="28" t="n">
        <f aca="false">COUNTIFS(Trades!$D$2:$D$884,$A680,Trades!$Z$2:$Z$884,"Loss")</f>
        <v>2</v>
      </c>
      <c r="E680" s="29" t="n">
        <f aca="false">IFERROR(C680/B680,0)</f>
        <v>0</v>
      </c>
      <c r="F680" s="30" t="n">
        <f aca="false">SUMIFS(Trades!$X$2:$X$884,Trades!$D$2:$D$884,$A680)</f>
        <v>-355.68</v>
      </c>
      <c r="G680" s="30" t="n">
        <f aca="false">SUMIFS(Trades!$X$2:$X$884,Trades!$D$2:$D$884,$A680,Trades!$X$2:$X$884,"&gt;0")</f>
        <v>0</v>
      </c>
      <c r="H680" s="30" t="n">
        <f aca="false">SUMIFS(Trades!$X$2:$X$884,Trades!$D$2:$D$884,$A680,Trades!$X$2:$X$884,"&lt;0")</f>
        <v>-355.68</v>
      </c>
      <c r="I680" s="31" t="n">
        <f aca="false">IFERROR(G680/-H680,"no loss")</f>
        <v>0</v>
      </c>
      <c r="J680" s="30" t="n">
        <f aca="false">_xlfn.MAXIFS(Trades!$X$2:$X$884,Trades!$D$2:$D$884,$A680)</f>
        <v>-92.3</v>
      </c>
      <c r="K680" s="30" t="n">
        <f aca="false">_xlfn.MINIFS(Trades!$X$2:$X$884,Trades!$D$2:$D$884,$A680)</f>
        <v>-263.38</v>
      </c>
      <c r="L680" s="32" t="n">
        <f aca="false">SUMIFS(Trades!$Y$2:$Y$884,Trades!$D$2:$D$884,$A680)</f>
        <v>-2.02200323393536</v>
      </c>
      <c r="M680" s="30" t="n">
        <f aca="false">P679</f>
        <v>115037.5</v>
      </c>
      <c r="N680" s="29" t="n">
        <f aca="false">IFERROR(F680/M680,0)</f>
        <v>-0.00309186134955992</v>
      </c>
      <c r="O680" s="28" t="str">
        <f aca="false">IF(-N680&gt;=Summary!$C$7,"BREACH","")</f>
        <v/>
      </c>
      <c r="P680" s="30" t="n">
        <f aca="false">M680+F680</f>
        <v>114681.82</v>
      </c>
      <c r="Q680" s="30" t="n">
        <f aca="false">P680-Summary!$C$5</f>
        <v>14681.8200000001</v>
      </c>
      <c r="R680" s="2" t="str">
        <f aca="false">TEXT(A680,"ddd")</f>
        <v>Thu</v>
      </c>
    </row>
    <row r="681" customFormat="false" ht="15" hidden="false" customHeight="false" outlineLevel="0" collapsed="false">
      <c r="A681" s="42" t="n">
        <v>46136</v>
      </c>
      <c r="B681" s="28" t="n">
        <f aca="false">COUNTIFS(Trades!$D$2:$D$884,$A681)</f>
        <v>1</v>
      </c>
      <c r="C681" s="28" t="n">
        <f aca="false">COUNTIFS(Trades!$D$2:$D$884,$A681,Trades!$Z$2:$Z$884,"Win")</f>
        <v>1</v>
      </c>
      <c r="D681" s="28" t="n">
        <f aca="false">COUNTIFS(Trades!$D$2:$D$884,$A681,Trades!$Z$2:$Z$884,"Loss")</f>
        <v>0</v>
      </c>
      <c r="E681" s="29" t="n">
        <f aca="false">IFERROR(C681/B681,0)</f>
        <v>1</v>
      </c>
      <c r="F681" s="30" t="n">
        <f aca="false">SUMIFS(Trades!$X$2:$X$884,Trades!$D$2:$D$884,$A681)</f>
        <v>103.32</v>
      </c>
      <c r="G681" s="30" t="n">
        <f aca="false">SUMIFS(Trades!$X$2:$X$884,Trades!$D$2:$D$884,$A681,Trades!$X$2:$X$884,"&gt;0")</f>
        <v>103.32</v>
      </c>
      <c r="H681" s="30" t="n">
        <f aca="false">SUMIFS(Trades!$X$2:$X$884,Trades!$D$2:$D$884,$A681,Trades!$X$2:$X$884,"&lt;0")</f>
        <v>0</v>
      </c>
      <c r="I681" s="31" t="str">
        <f aca="false">IFERROR(G681/-H681,"no loss")</f>
        <v>no loss</v>
      </c>
      <c r="J681" s="30" t="n">
        <f aca="false">_xlfn.MAXIFS(Trades!$X$2:$X$884,Trades!$D$2:$D$884,$A681)</f>
        <v>103.32</v>
      </c>
      <c r="K681" s="30" t="n">
        <f aca="false">_xlfn.MINIFS(Trades!$X$2:$X$884,Trades!$D$2:$D$884,$A681)</f>
        <v>103.32</v>
      </c>
      <c r="L681" s="32" t="n">
        <f aca="false">SUMIFS(Trades!$Y$2:$Y$884,Trades!$D$2:$D$884,$A681)</f>
        <v>2.01552807147625</v>
      </c>
      <c r="M681" s="30" t="n">
        <f aca="false">P680</f>
        <v>114681.82</v>
      </c>
      <c r="N681" s="29" t="n">
        <f aca="false">IFERROR(F681/M681,0)</f>
        <v>0.0009009274530174</v>
      </c>
      <c r="O681" s="28" t="str">
        <f aca="false">IF(-N681&gt;=Summary!$C$7,"BREACH","")</f>
        <v/>
      </c>
      <c r="P681" s="30" t="n">
        <f aca="false">M681+F681</f>
        <v>114785.14</v>
      </c>
      <c r="Q681" s="30" t="n">
        <f aca="false">P681-Summary!$C$5</f>
        <v>14785.1400000001</v>
      </c>
      <c r="R681" s="2" t="str">
        <f aca="false">TEXT(A681,"ddd")</f>
        <v>Fri</v>
      </c>
    </row>
    <row r="682" customFormat="false" ht="15" hidden="false" customHeight="false" outlineLevel="0" collapsed="false">
      <c r="A682" s="42" t="n">
        <v>46139</v>
      </c>
      <c r="B682" s="28" t="n">
        <f aca="false">COUNTIFS(Trades!$D$2:$D$884,$A682)</f>
        <v>1</v>
      </c>
      <c r="C682" s="28" t="n">
        <f aca="false">COUNTIFS(Trades!$D$2:$D$884,$A682,Trades!$Z$2:$Z$884,"Win")</f>
        <v>1</v>
      </c>
      <c r="D682" s="28" t="n">
        <f aca="false">COUNTIFS(Trades!$D$2:$D$884,$A682,Trades!$Z$2:$Z$884,"Loss")</f>
        <v>0</v>
      </c>
      <c r="E682" s="29" t="n">
        <f aca="false">IFERROR(C682/B682,0)</f>
        <v>1</v>
      </c>
      <c r="F682" s="30" t="n">
        <f aca="false">SUMIFS(Trades!$X$2:$X$884,Trades!$D$2:$D$884,$A682)</f>
        <v>83.92</v>
      </c>
      <c r="G682" s="30" t="n">
        <f aca="false">SUMIFS(Trades!$X$2:$X$884,Trades!$D$2:$D$884,$A682,Trades!$X$2:$X$884,"&gt;0")</f>
        <v>83.92</v>
      </c>
      <c r="H682" s="30" t="n">
        <f aca="false">SUMIFS(Trades!$X$2:$X$884,Trades!$D$2:$D$884,$A682,Trades!$X$2:$X$884,"&lt;0")</f>
        <v>0</v>
      </c>
      <c r="I682" s="31" t="str">
        <f aca="false">IFERROR(G682/-H682,"no loss")</f>
        <v>no loss</v>
      </c>
      <c r="J682" s="30" t="n">
        <f aca="false">_xlfn.MAXIFS(Trades!$X$2:$X$884,Trades!$D$2:$D$884,$A682)</f>
        <v>83.92</v>
      </c>
      <c r="K682" s="30" t="n">
        <f aca="false">_xlfn.MINIFS(Trades!$X$2:$X$884,Trades!$D$2:$D$884,$A682)</f>
        <v>83.92</v>
      </c>
      <c r="L682" s="32" t="n">
        <f aca="false">SUMIFS(Trades!$Y$2:$Y$884,Trades!$D$2:$D$884,$A682)</f>
        <v>2.21799344539626</v>
      </c>
      <c r="M682" s="30" t="n">
        <f aca="false">P681</f>
        <v>114785.14</v>
      </c>
      <c r="N682" s="29" t="n">
        <f aca="false">IFERROR(F682/M682,0)</f>
        <v>0.000731105089038528</v>
      </c>
      <c r="O682" s="28" t="str">
        <f aca="false">IF(-N682&gt;=Summary!$C$7,"BREACH","")</f>
        <v/>
      </c>
      <c r="P682" s="30" t="n">
        <f aca="false">M682+F682</f>
        <v>114869.06</v>
      </c>
      <c r="Q682" s="30" t="n">
        <f aca="false">P682-Summary!$C$5</f>
        <v>14869.0600000001</v>
      </c>
      <c r="R682" s="2" t="str">
        <f aca="false">TEXT(A682,"ddd")</f>
        <v>Mon</v>
      </c>
    </row>
    <row r="683" customFormat="false" ht="15" hidden="false" customHeight="false" outlineLevel="0" collapsed="false">
      <c r="A683" s="42" t="n">
        <v>46140</v>
      </c>
      <c r="B683" s="28" t="n">
        <f aca="false">COUNTIFS(Trades!$D$2:$D$884,$A683)</f>
        <v>1</v>
      </c>
      <c r="C683" s="28" t="n">
        <f aca="false">COUNTIFS(Trades!$D$2:$D$884,$A683,Trades!$Z$2:$Z$884,"Win")</f>
        <v>1</v>
      </c>
      <c r="D683" s="28" t="n">
        <f aca="false">COUNTIFS(Trades!$D$2:$D$884,$A683,Trades!$Z$2:$Z$884,"Loss")</f>
        <v>0</v>
      </c>
      <c r="E683" s="29" t="n">
        <f aca="false">IFERROR(C683/B683,0)</f>
        <v>1</v>
      </c>
      <c r="F683" s="30" t="n">
        <f aca="false">SUMIFS(Trades!$X$2:$X$884,Trades!$D$2:$D$884,$A683)</f>
        <v>127.87</v>
      </c>
      <c r="G683" s="30" t="n">
        <f aca="false">SUMIFS(Trades!$X$2:$X$884,Trades!$D$2:$D$884,$A683,Trades!$X$2:$X$884,"&gt;0")</f>
        <v>127.87</v>
      </c>
      <c r="H683" s="30" t="n">
        <f aca="false">SUMIFS(Trades!$X$2:$X$884,Trades!$D$2:$D$884,$A683,Trades!$X$2:$X$884,"&lt;0")</f>
        <v>0</v>
      </c>
      <c r="I683" s="31" t="str">
        <f aca="false">IFERROR(G683/-H683,"no loss")</f>
        <v>no loss</v>
      </c>
      <c r="J683" s="30" t="n">
        <f aca="false">_xlfn.MAXIFS(Trades!$X$2:$X$884,Trades!$D$2:$D$884,$A683)</f>
        <v>127.87</v>
      </c>
      <c r="K683" s="30" t="n">
        <f aca="false">_xlfn.MINIFS(Trades!$X$2:$X$884,Trades!$D$2:$D$884,$A683)</f>
        <v>127.87</v>
      </c>
      <c r="L683" s="32" t="n">
        <f aca="false">SUMIFS(Trades!$Y$2:$Y$884,Trades!$D$2:$D$884,$A683)</f>
        <v>3.05631244323387</v>
      </c>
      <c r="M683" s="30" t="n">
        <f aca="false">P682</f>
        <v>114869.06</v>
      </c>
      <c r="N683" s="29" t="n">
        <f aca="false">IFERROR(F683/M683,0)</f>
        <v>0.00111318052049873</v>
      </c>
      <c r="O683" s="28" t="str">
        <f aca="false">IF(-N683&gt;=Summary!$C$7,"BREACH","")</f>
        <v/>
      </c>
      <c r="P683" s="30" t="n">
        <f aca="false">M683+F683</f>
        <v>114996.93</v>
      </c>
      <c r="Q683" s="30" t="n">
        <f aca="false">P683-Summary!$C$5</f>
        <v>14996.9300000001</v>
      </c>
      <c r="R683" s="2" t="str">
        <f aca="false">TEXT(A683,"ddd")</f>
        <v>Tue</v>
      </c>
    </row>
    <row r="684" customFormat="false" ht="15" hidden="false" customHeight="false" outlineLevel="0" collapsed="false">
      <c r="A684" s="42" t="n">
        <v>46142</v>
      </c>
      <c r="B684" s="28" t="n">
        <f aca="false">COUNTIFS(Trades!$D$2:$D$884,$A684)</f>
        <v>1</v>
      </c>
      <c r="C684" s="28" t="n">
        <f aca="false">COUNTIFS(Trades!$D$2:$D$884,$A684,Trades!$Z$2:$Z$884,"Win")</f>
        <v>1</v>
      </c>
      <c r="D684" s="28" t="n">
        <f aca="false">COUNTIFS(Trades!$D$2:$D$884,$A684,Trades!$Z$2:$Z$884,"Loss")</f>
        <v>0</v>
      </c>
      <c r="E684" s="29" t="n">
        <f aca="false">IFERROR(C684/B684,0)</f>
        <v>1</v>
      </c>
      <c r="F684" s="30" t="n">
        <f aca="false">SUMIFS(Trades!$X$2:$X$884,Trades!$D$2:$D$884,$A684)</f>
        <v>294.7</v>
      </c>
      <c r="G684" s="30" t="n">
        <f aca="false">SUMIFS(Trades!$X$2:$X$884,Trades!$D$2:$D$884,$A684,Trades!$X$2:$X$884,"&gt;0")</f>
        <v>294.7</v>
      </c>
      <c r="H684" s="30" t="n">
        <f aca="false">SUMIFS(Trades!$X$2:$X$884,Trades!$D$2:$D$884,$A684,Trades!$X$2:$X$884,"&lt;0")</f>
        <v>0</v>
      </c>
      <c r="I684" s="31" t="str">
        <f aca="false">IFERROR(G684/-H684,"no loss")</f>
        <v>no loss</v>
      </c>
      <c r="J684" s="30" t="n">
        <f aca="false">_xlfn.MAXIFS(Trades!$X$2:$X$884,Trades!$D$2:$D$884,$A684)</f>
        <v>294.7</v>
      </c>
      <c r="K684" s="30" t="n">
        <f aca="false">_xlfn.MINIFS(Trades!$X$2:$X$884,Trades!$D$2:$D$884,$A684)</f>
        <v>294.7</v>
      </c>
      <c r="L684" s="32" t="n">
        <f aca="false">SUMIFS(Trades!$Y$2:$Y$884,Trades!$D$2:$D$884,$A684)</f>
        <v>1.98403080734644</v>
      </c>
      <c r="M684" s="30" t="n">
        <f aca="false">P683</f>
        <v>114996.93</v>
      </c>
      <c r="N684" s="29" t="n">
        <f aca="false">IFERROR(F684/M684,0)</f>
        <v>0.00256267710798888</v>
      </c>
      <c r="O684" s="28" t="str">
        <f aca="false">IF(-N684&gt;=Summary!$C$7,"BREACH","")</f>
        <v/>
      </c>
      <c r="P684" s="30" t="n">
        <f aca="false">M684+F684</f>
        <v>115291.63</v>
      </c>
      <c r="Q684" s="30" t="n">
        <f aca="false">P684-Summary!$C$5</f>
        <v>15291.6300000001</v>
      </c>
      <c r="R684" s="2" t="str">
        <f aca="false">TEXT(A684,"ddd")</f>
        <v>Thu</v>
      </c>
    </row>
    <row r="685" customFormat="false" ht="15" hidden="false" customHeight="false" outlineLevel="0" collapsed="false">
      <c r="A685" s="42" t="n">
        <v>46143</v>
      </c>
      <c r="B685" s="28" t="n">
        <f aca="false">COUNTIFS(Trades!$D$2:$D$884,$A685)</f>
        <v>1</v>
      </c>
      <c r="C685" s="28" t="n">
        <f aca="false">COUNTIFS(Trades!$D$2:$D$884,$A685,Trades!$Z$2:$Z$884,"Win")</f>
        <v>0</v>
      </c>
      <c r="D685" s="28" t="n">
        <f aca="false">COUNTIFS(Trades!$D$2:$D$884,$A685,Trades!$Z$2:$Z$884,"Loss")</f>
        <v>1</v>
      </c>
      <c r="E685" s="29" t="n">
        <f aca="false">IFERROR(C685/B685,0)</f>
        <v>0</v>
      </c>
      <c r="F685" s="30" t="n">
        <f aca="false">SUMIFS(Trades!$X$2:$X$884,Trades!$D$2:$D$884,$A685)</f>
        <v>-122.15</v>
      </c>
      <c r="G685" s="30" t="n">
        <f aca="false">SUMIFS(Trades!$X$2:$X$884,Trades!$D$2:$D$884,$A685,Trades!$X$2:$X$884,"&gt;0")</f>
        <v>0</v>
      </c>
      <c r="H685" s="30" t="n">
        <f aca="false">SUMIFS(Trades!$X$2:$X$884,Trades!$D$2:$D$884,$A685,Trades!$X$2:$X$884,"&lt;0")</f>
        <v>-122.15</v>
      </c>
      <c r="I685" s="31" t="n">
        <f aca="false">IFERROR(G685/-H685,"no loss")</f>
        <v>0</v>
      </c>
      <c r="J685" s="30" t="n">
        <f aca="false">_xlfn.MAXIFS(Trades!$X$2:$X$884,Trades!$D$2:$D$884,$A685)</f>
        <v>-122.15</v>
      </c>
      <c r="K685" s="30" t="n">
        <f aca="false">_xlfn.MINIFS(Trades!$X$2:$X$884,Trades!$D$2:$D$884,$A685)</f>
        <v>-122.15</v>
      </c>
      <c r="L685" s="32" t="n">
        <f aca="false">SUMIFS(Trades!$Y$2:$Y$884,Trades!$D$2:$D$884,$A685)</f>
        <v>-1.01558083075593</v>
      </c>
      <c r="M685" s="30" t="n">
        <f aca="false">P684</f>
        <v>115291.63</v>
      </c>
      <c r="N685" s="29" t="n">
        <f aca="false">IFERROR(F685/M685,0)</f>
        <v>-0.00105948714577112</v>
      </c>
      <c r="O685" s="28" t="str">
        <f aca="false">IF(-N685&gt;=Summary!$C$7,"BREACH","")</f>
        <v/>
      </c>
      <c r="P685" s="30" t="n">
        <f aca="false">M685+F685</f>
        <v>115169.48</v>
      </c>
      <c r="Q685" s="30" t="n">
        <f aca="false">P685-Summary!$C$5</f>
        <v>15169.4800000001</v>
      </c>
      <c r="R685" s="2" t="str">
        <f aca="false">TEXT(A685,"ddd")</f>
        <v>Fri</v>
      </c>
    </row>
    <row r="686" customFormat="false" ht="15" hidden="false" customHeight="false" outlineLevel="0" collapsed="false">
      <c r="A686" s="42" t="n">
        <v>46146</v>
      </c>
      <c r="B686" s="28" t="n">
        <f aca="false">COUNTIFS(Trades!$D$2:$D$884,$A686)</f>
        <v>1</v>
      </c>
      <c r="C686" s="28" t="n">
        <f aca="false">COUNTIFS(Trades!$D$2:$D$884,$A686,Trades!$Z$2:$Z$884,"Win")</f>
        <v>0</v>
      </c>
      <c r="D686" s="28" t="n">
        <f aca="false">COUNTIFS(Trades!$D$2:$D$884,$A686,Trades!$Z$2:$Z$884,"Loss")</f>
        <v>1</v>
      </c>
      <c r="E686" s="29" t="n">
        <f aca="false">IFERROR(C686/B686,0)</f>
        <v>0</v>
      </c>
      <c r="F686" s="30" t="n">
        <f aca="false">SUMIFS(Trades!$X$2:$X$884,Trades!$D$2:$D$884,$A686)</f>
        <v>-0.54</v>
      </c>
      <c r="G686" s="30" t="n">
        <f aca="false">SUMIFS(Trades!$X$2:$X$884,Trades!$D$2:$D$884,$A686,Trades!$X$2:$X$884,"&gt;0")</f>
        <v>0</v>
      </c>
      <c r="H686" s="30" t="n">
        <f aca="false">SUMIFS(Trades!$X$2:$X$884,Trades!$D$2:$D$884,$A686,Trades!$X$2:$X$884,"&lt;0")</f>
        <v>-0.54</v>
      </c>
      <c r="I686" s="31" t="n">
        <f aca="false">IFERROR(G686/-H686,"no loss")</f>
        <v>0</v>
      </c>
      <c r="J686" s="30" t="n">
        <f aca="false">_xlfn.MAXIFS(Trades!$X$2:$X$884,Trades!$D$2:$D$884,$A686)</f>
        <v>-0.54</v>
      </c>
      <c r="K686" s="30" t="n">
        <f aca="false">_xlfn.MINIFS(Trades!$X$2:$X$884,Trades!$D$2:$D$884,$A686)</f>
        <v>-0.54</v>
      </c>
      <c r="L686" s="32" t="n">
        <f aca="false">SUMIFS(Trades!$Y$2:$Y$884,Trades!$D$2:$D$884,$A686)</f>
        <v>-0.0156739811912231</v>
      </c>
      <c r="M686" s="30" t="n">
        <f aca="false">P685</f>
        <v>115169.48</v>
      </c>
      <c r="N686" s="29" t="n">
        <f aca="false">IFERROR(F686/M686,0)</f>
        <v>-4.68874219107353E-006</v>
      </c>
      <c r="O686" s="28" t="str">
        <f aca="false">IF(-N686&gt;=Summary!$C$7,"BREACH","")</f>
        <v/>
      </c>
      <c r="P686" s="30" t="n">
        <f aca="false">M686+F686</f>
        <v>115168.94</v>
      </c>
      <c r="Q686" s="30" t="n">
        <f aca="false">P686-Summary!$C$5</f>
        <v>15168.9400000001</v>
      </c>
      <c r="R686" s="2" t="str">
        <f aca="false">TEXT(A686,"ddd")</f>
        <v>Mon</v>
      </c>
    </row>
    <row r="687" customFormat="false" ht="15" hidden="false" customHeight="false" outlineLevel="0" collapsed="false">
      <c r="A687" s="42" t="n">
        <v>46147</v>
      </c>
      <c r="B687" s="28" t="n">
        <f aca="false">COUNTIFS(Trades!$D$2:$D$884,$A687)</f>
        <v>1</v>
      </c>
      <c r="C687" s="28" t="n">
        <f aca="false">COUNTIFS(Trades!$D$2:$D$884,$A687,Trades!$Z$2:$Z$884,"Win")</f>
        <v>1</v>
      </c>
      <c r="D687" s="28" t="n">
        <f aca="false">COUNTIFS(Trades!$D$2:$D$884,$A687,Trades!$Z$2:$Z$884,"Loss")</f>
        <v>0</v>
      </c>
      <c r="E687" s="29" t="n">
        <f aca="false">IFERROR(C687/B687,0)</f>
        <v>1</v>
      </c>
      <c r="F687" s="30" t="n">
        <f aca="false">SUMIFS(Trades!$X$2:$X$884,Trades!$D$2:$D$884,$A687)</f>
        <v>142.06</v>
      </c>
      <c r="G687" s="30" t="n">
        <f aca="false">SUMIFS(Trades!$X$2:$X$884,Trades!$D$2:$D$884,$A687,Trades!$X$2:$X$884,"&gt;0")</f>
        <v>142.06</v>
      </c>
      <c r="H687" s="30" t="n">
        <f aca="false">SUMIFS(Trades!$X$2:$X$884,Trades!$D$2:$D$884,$A687,Trades!$X$2:$X$884,"&lt;0")</f>
        <v>0</v>
      </c>
      <c r="I687" s="31" t="str">
        <f aca="false">IFERROR(G687/-H687,"no loss")</f>
        <v>no loss</v>
      </c>
      <c r="J687" s="30" t="n">
        <f aca="false">_xlfn.MAXIFS(Trades!$X$2:$X$884,Trades!$D$2:$D$884,$A687)</f>
        <v>142.06</v>
      </c>
      <c r="K687" s="30" t="n">
        <f aca="false">_xlfn.MINIFS(Trades!$X$2:$X$884,Trades!$D$2:$D$884,$A687)</f>
        <v>142.06</v>
      </c>
      <c r="L687" s="32" t="n">
        <f aca="false">SUMIFS(Trades!$Y$2:$Y$884,Trades!$D$2:$D$884,$A687)</f>
        <v>2.13534151034156</v>
      </c>
      <c r="M687" s="30" t="n">
        <f aca="false">P686</f>
        <v>115168.94</v>
      </c>
      <c r="N687" s="29" t="n">
        <f aca="false">IFERROR(F687/M687,0)</f>
        <v>0.00123349229401608</v>
      </c>
      <c r="O687" s="28" t="str">
        <f aca="false">IF(-N687&gt;=Summary!$C$7,"BREACH","")</f>
        <v/>
      </c>
      <c r="P687" s="30" t="n">
        <f aca="false">M687+F687</f>
        <v>115311</v>
      </c>
      <c r="Q687" s="30" t="n">
        <f aca="false">P687-Summary!$C$5</f>
        <v>15311.0000000001</v>
      </c>
      <c r="R687" s="2" t="str">
        <f aca="false">TEXT(A687,"ddd")</f>
        <v>Tue</v>
      </c>
    </row>
    <row r="688" customFormat="false" ht="15" hidden="false" customHeight="false" outlineLevel="0" collapsed="false">
      <c r="A688" s="42" t="n">
        <v>46148</v>
      </c>
      <c r="B688" s="28" t="n">
        <f aca="false">COUNTIFS(Trades!$D$2:$D$884,$A688)</f>
        <v>1</v>
      </c>
      <c r="C688" s="28" t="n">
        <f aca="false">COUNTIFS(Trades!$D$2:$D$884,$A688,Trades!$Z$2:$Z$884,"Win")</f>
        <v>1</v>
      </c>
      <c r="D688" s="28" t="n">
        <f aca="false">COUNTIFS(Trades!$D$2:$D$884,$A688,Trades!$Z$2:$Z$884,"Loss")</f>
        <v>0</v>
      </c>
      <c r="E688" s="29" t="n">
        <f aca="false">IFERROR(C688/B688,0)</f>
        <v>1</v>
      </c>
      <c r="F688" s="30" t="n">
        <f aca="false">SUMIFS(Trades!$X$2:$X$884,Trades!$D$2:$D$884,$A688)</f>
        <v>487.26</v>
      </c>
      <c r="G688" s="30" t="n">
        <f aca="false">SUMIFS(Trades!$X$2:$X$884,Trades!$D$2:$D$884,$A688,Trades!$X$2:$X$884,"&gt;0")</f>
        <v>487.26</v>
      </c>
      <c r="H688" s="30" t="n">
        <f aca="false">SUMIFS(Trades!$X$2:$X$884,Trades!$D$2:$D$884,$A688,Trades!$X$2:$X$884,"&lt;0")</f>
        <v>0</v>
      </c>
      <c r="I688" s="31" t="str">
        <f aca="false">IFERROR(G688/-H688,"no loss")</f>
        <v>no loss</v>
      </c>
      <c r="J688" s="30" t="n">
        <f aca="false">_xlfn.MAXIFS(Trades!$X$2:$X$884,Trades!$D$2:$D$884,$A688)</f>
        <v>487.26</v>
      </c>
      <c r="K688" s="30" t="n">
        <f aca="false">_xlfn.MINIFS(Trades!$X$2:$X$884,Trades!$D$2:$D$884,$A688)</f>
        <v>487.26</v>
      </c>
      <c r="L688" s="32" t="n">
        <f aca="false">SUMIFS(Trades!$Y$2:$Y$884,Trades!$D$2:$D$884,$A688)</f>
        <v>4.41454664057406</v>
      </c>
      <c r="M688" s="30" t="n">
        <f aca="false">P687</f>
        <v>115311</v>
      </c>
      <c r="N688" s="29" t="n">
        <f aca="false">IFERROR(F688/M688,0)</f>
        <v>0.00422561594297161</v>
      </c>
      <c r="O688" s="28" t="str">
        <f aca="false">IF(-N688&gt;=Summary!$C$7,"BREACH","")</f>
        <v/>
      </c>
      <c r="P688" s="30" t="n">
        <f aca="false">M688+F688</f>
        <v>115798.26</v>
      </c>
      <c r="Q688" s="30" t="n">
        <f aca="false">P688-Summary!$C$5</f>
        <v>15798.2600000001</v>
      </c>
      <c r="R688" s="2" t="str">
        <f aca="false">TEXT(A688,"ddd")</f>
        <v>Wed</v>
      </c>
    </row>
    <row r="689" customFormat="false" ht="15" hidden="false" customHeight="false" outlineLevel="0" collapsed="false">
      <c r="A689" s="42" t="n">
        <v>46149</v>
      </c>
      <c r="B689" s="28" t="n">
        <f aca="false">COUNTIFS(Trades!$D$2:$D$884,$A689)</f>
        <v>1</v>
      </c>
      <c r="C689" s="28" t="n">
        <f aca="false">COUNTIFS(Trades!$D$2:$D$884,$A689,Trades!$Z$2:$Z$884,"Win")</f>
        <v>0</v>
      </c>
      <c r="D689" s="28" t="n">
        <f aca="false">COUNTIFS(Trades!$D$2:$D$884,$A689,Trades!$Z$2:$Z$884,"Loss")</f>
        <v>1</v>
      </c>
      <c r="E689" s="29" t="n">
        <f aca="false">IFERROR(C689/B689,0)</f>
        <v>0</v>
      </c>
      <c r="F689" s="30" t="n">
        <f aca="false">SUMIFS(Trades!$X$2:$X$884,Trades!$D$2:$D$884,$A689)</f>
        <v>-97.49</v>
      </c>
      <c r="G689" s="30" t="n">
        <f aca="false">SUMIFS(Trades!$X$2:$X$884,Trades!$D$2:$D$884,$A689,Trades!$X$2:$X$884,"&gt;0")</f>
        <v>0</v>
      </c>
      <c r="H689" s="30" t="n">
        <f aca="false">SUMIFS(Trades!$X$2:$X$884,Trades!$D$2:$D$884,$A689,Trades!$X$2:$X$884,"&lt;0")</f>
        <v>-97.49</v>
      </c>
      <c r="I689" s="31" t="n">
        <f aca="false">IFERROR(G689/-H689,"no loss")</f>
        <v>0</v>
      </c>
      <c r="J689" s="30" t="n">
        <f aca="false">_xlfn.MAXIFS(Trades!$X$2:$X$884,Trades!$D$2:$D$884,$A689)</f>
        <v>-97.49</v>
      </c>
      <c r="K689" s="30" t="n">
        <f aca="false">_xlfn.MINIFS(Trades!$X$2:$X$884,Trades!$D$2:$D$884,$A689)</f>
        <v>-97.49</v>
      </c>
      <c r="L689" s="32" t="n">
        <f aca="false">SUMIFS(Trades!$Y$2:$Y$884,Trades!$D$2:$D$884,$A689)</f>
        <v>-1.02967891846222</v>
      </c>
      <c r="M689" s="30" t="n">
        <f aca="false">P688</f>
        <v>115798.26</v>
      </c>
      <c r="N689" s="29" t="n">
        <f aca="false">IFERROR(F689/M689,0)</f>
        <v>-0.000841895206370112</v>
      </c>
      <c r="O689" s="28" t="str">
        <f aca="false">IF(-N689&gt;=Summary!$C$7,"BREACH","")</f>
        <v/>
      </c>
      <c r="P689" s="30" t="n">
        <f aca="false">M689+F689</f>
        <v>115700.77</v>
      </c>
      <c r="Q689" s="30" t="n">
        <f aca="false">P689-Summary!$C$5</f>
        <v>15700.7700000001</v>
      </c>
      <c r="R689" s="2" t="str">
        <f aca="false">TEXT(A689,"ddd")</f>
        <v>Thu</v>
      </c>
    </row>
    <row r="690" customFormat="false" ht="15" hidden="false" customHeight="false" outlineLevel="0" collapsed="false">
      <c r="A690" s="42" t="n">
        <v>46150</v>
      </c>
      <c r="B690" s="28" t="n">
        <f aca="false">COUNTIFS(Trades!$D$2:$D$884,$A690)</f>
        <v>1</v>
      </c>
      <c r="C690" s="28" t="n">
        <f aca="false">COUNTIFS(Trades!$D$2:$D$884,$A690,Trades!$Z$2:$Z$884,"Win")</f>
        <v>0</v>
      </c>
      <c r="D690" s="28" t="n">
        <f aca="false">COUNTIFS(Trades!$D$2:$D$884,$A690,Trades!$Z$2:$Z$884,"Loss")</f>
        <v>1</v>
      </c>
      <c r="E690" s="29" t="n">
        <f aca="false">IFERROR(C690/B690,0)</f>
        <v>0</v>
      </c>
      <c r="F690" s="30" t="n">
        <f aca="false">SUMIFS(Trades!$X$2:$X$884,Trades!$D$2:$D$884,$A690)</f>
        <v>-119.27</v>
      </c>
      <c r="G690" s="30" t="n">
        <f aca="false">SUMIFS(Trades!$X$2:$X$884,Trades!$D$2:$D$884,$A690,Trades!$X$2:$X$884,"&gt;0")</f>
        <v>0</v>
      </c>
      <c r="H690" s="30" t="n">
        <f aca="false">SUMIFS(Trades!$X$2:$X$884,Trades!$D$2:$D$884,$A690,Trades!$X$2:$X$884,"&lt;0")</f>
        <v>-119.27</v>
      </c>
      <c r="I690" s="31" t="n">
        <f aca="false">IFERROR(G690/-H690,"no loss")</f>
        <v>0</v>
      </c>
      <c r="J690" s="30" t="n">
        <f aca="false">_xlfn.MAXIFS(Trades!$X$2:$X$884,Trades!$D$2:$D$884,$A690)</f>
        <v>-119.27</v>
      </c>
      <c r="K690" s="30" t="n">
        <f aca="false">_xlfn.MINIFS(Trades!$X$2:$X$884,Trades!$D$2:$D$884,$A690)</f>
        <v>-119.27</v>
      </c>
      <c r="L690" s="32" t="n">
        <f aca="false">SUMIFS(Trades!$Y$2:$Y$884,Trades!$D$2:$D$884,$A690)</f>
        <v>-1.00213416683467</v>
      </c>
      <c r="M690" s="30" t="n">
        <f aca="false">P689</f>
        <v>115700.77</v>
      </c>
      <c r="N690" s="29" t="n">
        <f aca="false">IFERROR(F690/M690,0)</f>
        <v>-0.00103084880074696</v>
      </c>
      <c r="O690" s="28" t="str">
        <f aca="false">IF(-N690&gt;=Summary!$C$7,"BREACH","")</f>
        <v/>
      </c>
      <c r="P690" s="30" t="n">
        <f aca="false">M690+F690</f>
        <v>115581.5</v>
      </c>
      <c r="Q690" s="30" t="n">
        <f aca="false">P690-Summary!$C$5</f>
        <v>15581.5000000001</v>
      </c>
      <c r="R690" s="2" t="str">
        <f aca="false">TEXT(A690,"ddd")</f>
        <v>Fri</v>
      </c>
    </row>
    <row r="691" customFormat="false" ht="15" hidden="false" customHeight="false" outlineLevel="0" collapsed="false">
      <c r="A691" s="42" t="n">
        <v>46153</v>
      </c>
      <c r="B691" s="28" t="n">
        <f aca="false">COUNTIFS(Trades!$D$2:$D$884,$A691)</f>
        <v>1</v>
      </c>
      <c r="C691" s="28" t="n">
        <f aca="false">COUNTIFS(Trades!$D$2:$D$884,$A691,Trades!$Z$2:$Z$884,"Win")</f>
        <v>0</v>
      </c>
      <c r="D691" s="28" t="n">
        <f aca="false">COUNTIFS(Trades!$D$2:$D$884,$A691,Trades!$Z$2:$Z$884,"Loss")</f>
        <v>1</v>
      </c>
      <c r="E691" s="29" t="n">
        <f aca="false">IFERROR(C691/B691,0)</f>
        <v>0</v>
      </c>
      <c r="F691" s="30" t="n">
        <f aca="false">SUMIFS(Trades!$X$2:$X$884,Trades!$D$2:$D$884,$A691)</f>
        <v>-2.31</v>
      </c>
      <c r="G691" s="30" t="n">
        <f aca="false">SUMIFS(Trades!$X$2:$X$884,Trades!$D$2:$D$884,$A691,Trades!$X$2:$X$884,"&gt;0")</f>
        <v>0</v>
      </c>
      <c r="H691" s="30" t="n">
        <f aca="false">SUMIFS(Trades!$X$2:$X$884,Trades!$D$2:$D$884,$A691,Trades!$X$2:$X$884,"&lt;0")</f>
        <v>-2.31</v>
      </c>
      <c r="I691" s="31" t="n">
        <f aca="false">IFERROR(G691/-H691,"no loss")</f>
        <v>0</v>
      </c>
      <c r="J691" s="30" t="n">
        <f aca="false">_xlfn.MAXIFS(Trades!$X$2:$X$884,Trades!$D$2:$D$884,$A691)</f>
        <v>-2.31</v>
      </c>
      <c r="K691" s="30" t="n">
        <f aca="false">_xlfn.MINIFS(Trades!$X$2:$X$884,Trades!$D$2:$D$884,$A691)</f>
        <v>-2.31</v>
      </c>
      <c r="L691" s="32" t="n">
        <f aca="false">SUMIFS(Trades!$Y$2:$Y$884,Trades!$D$2:$D$884,$A691)</f>
        <v>-0.0363710794810424</v>
      </c>
      <c r="M691" s="30" t="n">
        <f aca="false">P690</f>
        <v>115581.5</v>
      </c>
      <c r="N691" s="29" t="n">
        <f aca="false">IFERROR(F691/M691,0)</f>
        <v>-1.99858973970748E-005</v>
      </c>
      <c r="O691" s="28" t="str">
        <f aca="false">IF(-N691&gt;=Summary!$C$7,"BREACH","")</f>
        <v/>
      </c>
      <c r="P691" s="30" t="n">
        <f aca="false">M691+F691</f>
        <v>115579.19</v>
      </c>
      <c r="Q691" s="30" t="n">
        <f aca="false">P691-Summary!$C$5</f>
        <v>15579.1900000001</v>
      </c>
      <c r="R691" s="2" t="str">
        <f aca="false">TEXT(A691,"ddd")</f>
        <v>Mon</v>
      </c>
    </row>
    <row r="692" customFormat="false" ht="15" hidden="false" customHeight="false" outlineLevel="0" collapsed="false">
      <c r="A692" s="42" t="n">
        <v>46154</v>
      </c>
      <c r="B692" s="28" t="n">
        <f aca="false">COUNTIFS(Trades!$D$2:$D$884,$A692)</f>
        <v>1</v>
      </c>
      <c r="C692" s="28" t="n">
        <f aca="false">COUNTIFS(Trades!$D$2:$D$884,$A692,Trades!$Z$2:$Z$884,"Win")</f>
        <v>1</v>
      </c>
      <c r="D692" s="28" t="n">
        <f aca="false">COUNTIFS(Trades!$D$2:$D$884,$A692,Trades!$Z$2:$Z$884,"Loss")</f>
        <v>0</v>
      </c>
      <c r="E692" s="29" t="n">
        <f aca="false">IFERROR(C692/B692,0)</f>
        <v>1</v>
      </c>
      <c r="F692" s="30" t="n">
        <f aca="false">SUMIFS(Trades!$X$2:$X$884,Trades!$D$2:$D$884,$A692)</f>
        <v>104.28</v>
      </c>
      <c r="G692" s="30" t="n">
        <f aca="false">SUMIFS(Trades!$X$2:$X$884,Trades!$D$2:$D$884,$A692,Trades!$X$2:$X$884,"&gt;0")</f>
        <v>104.28</v>
      </c>
      <c r="H692" s="30" t="n">
        <f aca="false">SUMIFS(Trades!$X$2:$X$884,Trades!$D$2:$D$884,$A692,Trades!$X$2:$X$884,"&lt;0")</f>
        <v>0</v>
      </c>
      <c r="I692" s="31" t="str">
        <f aca="false">IFERROR(G692/-H692,"no loss")</f>
        <v>no loss</v>
      </c>
      <c r="J692" s="30" t="n">
        <f aca="false">_xlfn.MAXIFS(Trades!$X$2:$X$884,Trades!$D$2:$D$884,$A692)</f>
        <v>104.28</v>
      </c>
      <c r="K692" s="30" t="n">
        <f aca="false">_xlfn.MINIFS(Trades!$X$2:$X$884,Trades!$D$2:$D$884,$A692)</f>
        <v>104.28</v>
      </c>
      <c r="L692" s="32" t="n">
        <f aca="false">SUMIFS(Trades!$Y$2:$Y$884,Trades!$D$2:$D$884,$A692)</f>
        <v>2.12400195535297</v>
      </c>
      <c r="M692" s="30" t="n">
        <f aca="false">P691</f>
        <v>115579.19</v>
      </c>
      <c r="N692" s="29" t="n">
        <f aca="false">IFERROR(F692/M692,0)</f>
        <v>0.000902238543114897</v>
      </c>
      <c r="O692" s="28" t="str">
        <f aca="false">IF(-N692&gt;=Summary!$C$7,"BREACH","")</f>
        <v/>
      </c>
      <c r="P692" s="30" t="n">
        <f aca="false">M692+F692</f>
        <v>115683.47</v>
      </c>
      <c r="Q692" s="30" t="n">
        <f aca="false">P692-Summary!$C$5</f>
        <v>15683.4700000001</v>
      </c>
      <c r="R692" s="2" t="str">
        <f aca="false">TEXT(A692,"ddd")</f>
        <v>Tue</v>
      </c>
    </row>
    <row r="693" customFormat="false" ht="15" hidden="false" customHeight="false" outlineLevel="0" collapsed="false">
      <c r="A693" s="42" t="n">
        <v>46155</v>
      </c>
      <c r="B693" s="28" t="n">
        <f aca="false">COUNTIFS(Trades!$D$2:$D$884,$A693)</f>
        <v>1</v>
      </c>
      <c r="C693" s="28" t="n">
        <f aca="false">COUNTIFS(Trades!$D$2:$D$884,$A693,Trades!$Z$2:$Z$884,"Win")</f>
        <v>0</v>
      </c>
      <c r="D693" s="28" t="n">
        <f aca="false">COUNTIFS(Trades!$D$2:$D$884,$A693,Trades!$Z$2:$Z$884,"Loss")</f>
        <v>1</v>
      </c>
      <c r="E693" s="29" t="n">
        <f aca="false">IFERROR(C693/B693,0)</f>
        <v>0</v>
      </c>
      <c r="F693" s="30" t="n">
        <f aca="false">SUMIFS(Trades!$X$2:$X$884,Trades!$D$2:$D$884,$A693)</f>
        <v>-2.35</v>
      </c>
      <c r="G693" s="30" t="n">
        <f aca="false">SUMIFS(Trades!$X$2:$X$884,Trades!$D$2:$D$884,$A693,Trades!$X$2:$X$884,"&gt;0")</f>
        <v>0</v>
      </c>
      <c r="H693" s="30" t="n">
        <f aca="false">SUMIFS(Trades!$X$2:$X$884,Trades!$D$2:$D$884,$A693,Trades!$X$2:$X$884,"&lt;0")</f>
        <v>-2.35</v>
      </c>
      <c r="I693" s="31" t="n">
        <f aca="false">IFERROR(G693/-H693,"no loss")</f>
        <v>0</v>
      </c>
      <c r="J693" s="30" t="n">
        <f aca="false">_xlfn.MAXIFS(Trades!$X$2:$X$884,Trades!$D$2:$D$884,$A693)</f>
        <v>-2.35</v>
      </c>
      <c r="K693" s="30" t="n">
        <f aca="false">_xlfn.MINIFS(Trades!$X$2:$X$884,Trades!$D$2:$D$884,$A693)</f>
        <v>-2.35</v>
      </c>
      <c r="L693" s="32" t="n">
        <f aca="false">SUMIFS(Trades!$Y$2:$Y$884,Trades!$D$2:$D$884,$A693)</f>
        <v>-0.0299210593328259</v>
      </c>
      <c r="M693" s="30" t="n">
        <f aca="false">P692</f>
        <v>115683.47</v>
      </c>
      <c r="N693" s="29" t="n">
        <f aca="false">IFERROR(F693/M693,0)</f>
        <v>-2.03140517828519E-005</v>
      </c>
      <c r="O693" s="28" t="str">
        <f aca="false">IF(-N693&gt;=Summary!$C$7,"BREACH","")</f>
        <v/>
      </c>
      <c r="P693" s="30" t="n">
        <f aca="false">M693+F693</f>
        <v>115681.12</v>
      </c>
      <c r="Q693" s="30" t="n">
        <f aca="false">P693-Summary!$C$5</f>
        <v>15681.1200000001</v>
      </c>
      <c r="R693" s="2" t="str">
        <f aca="false">TEXT(A693,"ddd")</f>
        <v>Wed</v>
      </c>
    </row>
    <row r="694" customFormat="false" ht="15" hidden="false" customHeight="false" outlineLevel="0" collapsed="false">
      <c r="A694" s="42" t="n">
        <v>46156</v>
      </c>
      <c r="B694" s="28" t="n">
        <f aca="false">COUNTIFS(Trades!$D$2:$D$884,$A694)</f>
        <v>1</v>
      </c>
      <c r="C694" s="28" t="n">
        <f aca="false">COUNTIFS(Trades!$D$2:$D$884,$A694,Trades!$Z$2:$Z$884,"Win")</f>
        <v>0</v>
      </c>
      <c r="D694" s="28" t="n">
        <f aca="false">COUNTIFS(Trades!$D$2:$D$884,$A694,Trades!$Z$2:$Z$884,"Loss")</f>
        <v>1</v>
      </c>
      <c r="E694" s="29" t="n">
        <f aca="false">IFERROR(C694/B694,0)</f>
        <v>0</v>
      </c>
      <c r="F694" s="30" t="n">
        <f aca="false">SUMIFS(Trades!$X$2:$X$884,Trades!$D$2:$D$884,$A694)</f>
        <v>-47.57</v>
      </c>
      <c r="G694" s="30" t="n">
        <f aca="false">SUMIFS(Trades!$X$2:$X$884,Trades!$D$2:$D$884,$A694,Trades!$X$2:$X$884,"&gt;0")</f>
        <v>0</v>
      </c>
      <c r="H694" s="30" t="n">
        <f aca="false">SUMIFS(Trades!$X$2:$X$884,Trades!$D$2:$D$884,$A694,Trades!$X$2:$X$884,"&lt;0")</f>
        <v>-47.57</v>
      </c>
      <c r="I694" s="31" t="n">
        <f aca="false">IFERROR(G694/-H694,"no loss")</f>
        <v>0</v>
      </c>
      <c r="J694" s="30" t="n">
        <f aca="false">_xlfn.MAXIFS(Trades!$X$2:$X$884,Trades!$D$2:$D$884,$A694)</f>
        <v>-47.57</v>
      </c>
      <c r="K694" s="30" t="n">
        <f aca="false">_xlfn.MINIFS(Trades!$X$2:$X$884,Trades!$D$2:$D$884,$A694)</f>
        <v>-47.57</v>
      </c>
      <c r="L694" s="32" t="n">
        <f aca="false">SUMIFS(Trades!$Y$2:$Y$884,Trades!$D$2:$D$884,$A694)</f>
        <v>-1.07294298087326</v>
      </c>
      <c r="M694" s="30" t="n">
        <f aca="false">P693</f>
        <v>115681.12</v>
      </c>
      <c r="N694" s="29" t="n">
        <f aca="false">IFERROR(F694/M694,0)</f>
        <v>-0.000411216627224909</v>
      </c>
      <c r="O694" s="28" t="str">
        <f aca="false">IF(-N694&gt;=Summary!$C$7,"BREACH","")</f>
        <v/>
      </c>
      <c r="P694" s="30" t="n">
        <f aca="false">M694+F694</f>
        <v>115633.55</v>
      </c>
      <c r="Q694" s="30" t="n">
        <f aca="false">P694-Summary!$C$5</f>
        <v>15633.5500000001</v>
      </c>
      <c r="R694" s="2" t="str">
        <f aca="false">TEXT(A694,"ddd")</f>
        <v>Thu</v>
      </c>
    </row>
    <row r="695" customFormat="false" ht="15" hidden="false" customHeight="false" outlineLevel="0" collapsed="false">
      <c r="A695" s="42" t="n">
        <v>46157</v>
      </c>
      <c r="B695" s="28" t="n">
        <f aca="false">COUNTIFS(Trades!$D$2:$D$884,$A695)</f>
        <v>1</v>
      </c>
      <c r="C695" s="28" t="n">
        <f aca="false">COUNTIFS(Trades!$D$2:$D$884,$A695,Trades!$Z$2:$Z$884,"Win")</f>
        <v>1</v>
      </c>
      <c r="D695" s="28" t="n">
        <f aca="false">COUNTIFS(Trades!$D$2:$D$884,$A695,Trades!$Z$2:$Z$884,"Loss")</f>
        <v>0</v>
      </c>
      <c r="E695" s="29" t="n">
        <f aca="false">IFERROR(C695/B695,0)</f>
        <v>1</v>
      </c>
      <c r="F695" s="30" t="n">
        <f aca="false">SUMIFS(Trades!$X$2:$X$884,Trades!$D$2:$D$884,$A695)</f>
        <v>202.47</v>
      </c>
      <c r="G695" s="30" t="n">
        <f aca="false">SUMIFS(Trades!$X$2:$X$884,Trades!$D$2:$D$884,$A695,Trades!$X$2:$X$884,"&gt;0")</f>
        <v>202.47</v>
      </c>
      <c r="H695" s="30" t="n">
        <f aca="false">SUMIFS(Trades!$X$2:$X$884,Trades!$D$2:$D$884,$A695,Trades!$X$2:$X$884,"&lt;0")</f>
        <v>0</v>
      </c>
      <c r="I695" s="31" t="str">
        <f aca="false">IFERROR(G695/-H695,"no loss")</f>
        <v>no loss</v>
      </c>
      <c r="J695" s="30" t="n">
        <f aca="false">_xlfn.MAXIFS(Trades!$X$2:$X$884,Trades!$D$2:$D$884,$A695)</f>
        <v>202.47</v>
      </c>
      <c r="K695" s="30" t="n">
        <f aca="false">_xlfn.MINIFS(Trades!$X$2:$X$884,Trades!$D$2:$D$884,$A695)</f>
        <v>202.47</v>
      </c>
      <c r="L695" s="32" t="n">
        <f aca="false">SUMIFS(Trades!$Y$2:$Y$884,Trades!$D$2:$D$884,$A695)</f>
        <v>1.91663984551016</v>
      </c>
      <c r="M695" s="30" t="n">
        <f aca="false">P694</f>
        <v>115633.55</v>
      </c>
      <c r="N695" s="29" t="n">
        <f aca="false">IFERROR(F695/M695,0)</f>
        <v>0.00175096241531977</v>
      </c>
      <c r="O695" s="28" t="str">
        <f aca="false">IF(-N695&gt;=Summary!$C$7,"BREACH","")</f>
        <v/>
      </c>
      <c r="P695" s="30" t="n">
        <f aca="false">M695+F695</f>
        <v>115836.02</v>
      </c>
      <c r="Q695" s="30" t="n">
        <f aca="false">P695-Summary!$C$5</f>
        <v>15836.0200000001</v>
      </c>
      <c r="R695" s="2" t="str">
        <f aca="false">TEXT(A695,"ddd")</f>
        <v>Fri</v>
      </c>
    </row>
    <row r="696" customFormat="false" ht="15" hidden="false" customHeight="false" outlineLevel="0" collapsed="false">
      <c r="A696" s="42" t="n">
        <v>46160</v>
      </c>
      <c r="B696" s="28" t="n">
        <f aca="false">COUNTIFS(Trades!$D$2:$D$884,$A696)</f>
        <v>1</v>
      </c>
      <c r="C696" s="28" t="n">
        <f aca="false">COUNTIFS(Trades!$D$2:$D$884,$A696,Trades!$Z$2:$Z$884,"Win")</f>
        <v>0</v>
      </c>
      <c r="D696" s="28" t="n">
        <f aca="false">COUNTIFS(Trades!$D$2:$D$884,$A696,Trades!$Z$2:$Z$884,"Loss")</f>
        <v>1</v>
      </c>
      <c r="E696" s="29" t="n">
        <f aca="false">IFERROR(C696/B696,0)</f>
        <v>0</v>
      </c>
      <c r="F696" s="30" t="n">
        <f aca="false">SUMIFS(Trades!$X$2:$X$884,Trades!$D$2:$D$884,$A696)</f>
        <v>-3.54</v>
      </c>
      <c r="G696" s="30" t="n">
        <f aca="false">SUMIFS(Trades!$X$2:$X$884,Trades!$D$2:$D$884,$A696,Trades!$X$2:$X$884,"&gt;0")</f>
        <v>0</v>
      </c>
      <c r="H696" s="30" t="n">
        <f aca="false">SUMIFS(Trades!$X$2:$X$884,Trades!$D$2:$D$884,$A696,Trades!$X$2:$X$884,"&lt;0")</f>
        <v>-3.54</v>
      </c>
      <c r="I696" s="31" t="n">
        <f aca="false">IFERROR(G696/-H696,"no loss")</f>
        <v>0</v>
      </c>
      <c r="J696" s="30" t="n">
        <f aca="false">_xlfn.MAXIFS(Trades!$X$2:$X$884,Trades!$D$2:$D$884,$A696)</f>
        <v>-3.54</v>
      </c>
      <c r="K696" s="30" t="n">
        <f aca="false">_xlfn.MINIFS(Trades!$X$2:$X$884,Trades!$D$2:$D$884,$A696)</f>
        <v>-3.54</v>
      </c>
      <c r="L696" s="32" t="n">
        <f aca="false">SUMIFS(Trades!$Y$2:$Y$884,Trades!$D$2:$D$884,$A696)</f>
        <v>-0.0247251595960157</v>
      </c>
      <c r="M696" s="30" t="n">
        <f aca="false">P695</f>
        <v>115836.02</v>
      </c>
      <c r="N696" s="29" t="n">
        <f aca="false">IFERROR(F696/M696,0)</f>
        <v>-3.05604422527638E-005</v>
      </c>
      <c r="O696" s="28" t="str">
        <f aca="false">IF(-N696&gt;=Summary!$C$7,"BREACH","")</f>
        <v/>
      </c>
      <c r="P696" s="30" t="n">
        <f aca="false">M696+F696</f>
        <v>115832.48</v>
      </c>
      <c r="Q696" s="30" t="n">
        <f aca="false">P696-Summary!$C$5</f>
        <v>15832.4800000001</v>
      </c>
      <c r="R696" s="2" t="str">
        <f aca="false">TEXT(A696,"ddd")</f>
        <v>Mon</v>
      </c>
    </row>
    <row r="697" customFormat="false" ht="15" hidden="false" customHeight="false" outlineLevel="0" collapsed="false">
      <c r="A697" s="42" t="n">
        <v>46161</v>
      </c>
      <c r="B697" s="28" t="n">
        <f aca="false">COUNTIFS(Trades!$D$2:$D$884,$A697)</f>
        <v>1</v>
      </c>
      <c r="C697" s="28" t="n">
        <f aca="false">COUNTIFS(Trades!$D$2:$D$884,$A697,Trades!$Z$2:$Z$884,"Win")</f>
        <v>0</v>
      </c>
      <c r="D697" s="28" t="n">
        <f aca="false">COUNTIFS(Trades!$D$2:$D$884,$A697,Trades!$Z$2:$Z$884,"Loss")</f>
        <v>1</v>
      </c>
      <c r="E697" s="29" t="n">
        <f aca="false">IFERROR(C697/B697,0)</f>
        <v>0</v>
      </c>
      <c r="F697" s="30" t="n">
        <f aca="false">SUMIFS(Trades!$X$2:$X$884,Trades!$D$2:$D$884,$A697)</f>
        <v>-158.76</v>
      </c>
      <c r="G697" s="30" t="n">
        <f aca="false">SUMIFS(Trades!$X$2:$X$884,Trades!$D$2:$D$884,$A697,Trades!$X$2:$X$884,"&gt;0")</f>
        <v>0</v>
      </c>
      <c r="H697" s="30" t="n">
        <f aca="false">SUMIFS(Trades!$X$2:$X$884,Trades!$D$2:$D$884,$A697,Trades!$X$2:$X$884,"&lt;0")</f>
        <v>-158.76</v>
      </c>
      <c r="I697" s="31" t="n">
        <f aca="false">IFERROR(G697/-H697,"no loss")</f>
        <v>0</v>
      </c>
      <c r="J697" s="30" t="n">
        <f aca="false">_xlfn.MAXIFS(Trades!$X$2:$X$884,Trades!$D$2:$D$884,$A697)</f>
        <v>-158.76</v>
      </c>
      <c r="K697" s="30" t="n">
        <f aca="false">_xlfn.MINIFS(Trades!$X$2:$X$884,Trades!$D$2:$D$884,$A697)</f>
        <v>-158.76</v>
      </c>
      <c r="L697" s="32" t="n">
        <f aca="false">SUMIFS(Trades!$Y$2:$Y$884,Trades!$D$2:$D$884,$A697)</f>
        <v>-1.01356010112622</v>
      </c>
      <c r="M697" s="30" t="n">
        <f aca="false">P696</f>
        <v>115832.48</v>
      </c>
      <c r="N697" s="29" t="n">
        <f aca="false">IFERROR(F697/M697,0)</f>
        <v>-0.00137060002513975</v>
      </c>
      <c r="O697" s="28" t="str">
        <f aca="false">IF(-N697&gt;=Summary!$C$7,"BREACH","")</f>
        <v/>
      </c>
      <c r="P697" s="30" t="n">
        <f aca="false">M697+F697</f>
        <v>115673.72</v>
      </c>
      <c r="Q697" s="30" t="n">
        <f aca="false">P697-Summary!$C$5</f>
        <v>15673.7200000001</v>
      </c>
      <c r="R697" s="2" t="str">
        <f aca="false">TEXT(A697,"ddd")</f>
        <v>Tue</v>
      </c>
    </row>
    <row r="698" customFormat="false" ht="15" hidden="false" customHeight="false" outlineLevel="0" collapsed="false">
      <c r="A698" s="42" t="n">
        <v>46162</v>
      </c>
      <c r="B698" s="28" t="n">
        <f aca="false">COUNTIFS(Trades!$D$2:$D$884,$A698)</f>
        <v>1</v>
      </c>
      <c r="C698" s="28" t="n">
        <f aca="false">COUNTIFS(Trades!$D$2:$D$884,$A698,Trades!$Z$2:$Z$884,"Win")</f>
        <v>0</v>
      </c>
      <c r="D698" s="28" t="n">
        <f aca="false">COUNTIFS(Trades!$D$2:$D$884,$A698,Trades!$Z$2:$Z$884,"Loss")</f>
        <v>1</v>
      </c>
      <c r="E698" s="29" t="n">
        <f aca="false">IFERROR(C698/B698,0)</f>
        <v>0</v>
      </c>
      <c r="F698" s="30" t="n">
        <f aca="false">SUMIFS(Trades!$X$2:$X$884,Trades!$D$2:$D$884,$A698)</f>
        <v>-325.48</v>
      </c>
      <c r="G698" s="30" t="n">
        <f aca="false">SUMIFS(Trades!$X$2:$X$884,Trades!$D$2:$D$884,$A698,Trades!$X$2:$X$884,"&gt;0")</f>
        <v>0</v>
      </c>
      <c r="H698" s="30" t="n">
        <f aca="false">SUMIFS(Trades!$X$2:$X$884,Trades!$D$2:$D$884,$A698,Trades!$X$2:$X$884,"&lt;0")</f>
        <v>-325.48</v>
      </c>
      <c r="I698" s="31" t="n">
        <f aca="false">IFERROR(G698/-H698,"no loss")</f>
        <v>0</v>
      </c>
      <c r="J698" s="30" t="n">
        <f aca="false">_xlfn.MAXIFS(Trades!$X$2:$X$884,Trades!$D$2:$D$884,$A698)</f>
        <v>-325.48</v>
      </c>
      <c r="K698" s="30" t="n">
        <f aca="false">_xlfn.MINIFS(Trades!$X$2:$X$884,Trades!$D$2:$D$884,$A698)</f>
        <v>-325.48</v>
      </c>
      <c r="L698" s="32" t="n">
        <f aca="false">SUMIFS(Trades!$Y$2:$Y$884,Trades!$D$2:$D$884,$A698)</f>
        <v>-1.00959092770203</v>
      </c>
      <c r="M698" s="30" t="n">
        <f aca="false">P697</f>
        <v>115673.72</v>
      </c>
      <c r="N698" s="29" t="n">
        <f aca="false">IFERROR(F698/M698,0)</f>
        <v>-0.00281377654319408</v>
      </c>
      <c r="O698" s="28" t="str">
        <f aca="false">IF(-N698&gt;=Summary!$C$7,"BREACH","")</f>
        <v/>
      </c>
      <c r="P698" s="30" t="n">
        <f aca="false">M698+F698</f>
        <v>115348.24</v>
      </c>
      <c r="Q698" s="30" t="n">
        <f aca="false">P698-Summary!$C$5</f>
        <v>15348.2400000001</v>
      </c>
      <c r="R698" s="2" t="str">
        <f aca="false">TEXT(A698,"ddd")</f>
        <v>Wed</v>
      </c>
    </row>
    <row r="699" customFormat="false" ht="15" hidden="false" customHeight="false" outlineLevel="0" collapsed="false">
      <c r="A699" s="42" t="n">
        <v>46163</v>
      </c>
      <c r="B699" s="28" t="n">
        <f aca="false">COUNTIFS(Trades!$D$2:$D$884,$A699)</f>
        <v>1</v>
      </c>
      <c r="C699" s="28" t="n">
        <f aca="false">COUNTIFS(Trades!$D$2:$D$884,$A699,Trades!$Z$2:$Z$884,"Win")</f>
        <v>0</v>
      </c>
      <c r="D699" s="28" t="n">
        <f aca="false">COUNTIFS(Trades!$D$2:$D$884,$A699,Trades!$Z$2:$Z$884,"Loss")</f>
        <v>1</v>
      </c>
      <c r="E699" s="29" t="n">
        <f aca="false">IFERROR(C699/B699,0)</f>
        <v>0</v>
      </c>
      <c r="F699" s="30" t="n">
        <f aca="false">SUMIFS(Trades!$X$2:$X$884,Trades!$D$2:$D$884,$A699)</f>
        <v>-0.54</v>
      </c>
      <c r="G699" s="30" t="n">
        <f aca="false">SUMIFS(Trades!$X$2:$X$884,Trades!$D$2:$D$884,$A699,Trades!$X$2:$X$884,"&gt;0")</f>
        <v>0</v>
      </c>
      <c r="H699" s="30" t="n">
        <f aca="false">SUMIFS(Trades!$X$2:$X$884,Trades!$D$2:$D$884,$A699,Trades!$X$2:$X$884,"&lt;0")</f>
        <v>-0.54</v>
      </c>
      <c r="I699" s="31" t="n">
        <f aca="false">IFERROR(G699/-H699,"no loss")</f>
        <v>0</v>
      </c>
      <c r="J699" s="30" t="n">
        <f aca="false">_xlfn.MAXIFS(Trades!$X$2:$X$884,Trades!$D$2:$D$884,$A699)</f>
        <v>-0.54</v>
      </c>
      <c r="K699" s="30" t="n">
        <f aca="false">_xlfn.MINIFS(Trades!$X$2:$X$884,Trades!$D$2:$D$884,$A699)</f>
        <v>-0.54</v>
      </c>
      <c r="L699" s="32" t="n">
        <f aca="false">SUMIFS(Trades!$Y$2:$Y$884,Trades!$D$2:$D$884,$A699)</f>
        <v>-0.0152129817444185</v>
      </c>
      <c r="M699" s="30" t="n">
        <f aca="false">P698</f>
        <v>115348.24</v>
      </c>
      <c r="N699" s="29" t="n">
        <f aca="false">IFERROR(F699/M699,0)</f>
        <v>-4.6814758508669E-006</v>
      </c>
      <c r="O699" s="28" t="str">
        <f aca="false">IF(-N699&gt;=Summary!$C$7,"BREACH","")</f>
        <v/>
      </c>
      <c r="P699" s="30" t="n">
        <f aca="false">M699+F699</f>
        <v>115347.7</v>
      </c>
      <c r="Q699" s="30" t="n">
        <f aca="false">P699-Summary!$C$5</f>
        <v>15347.7000000001</v>
      </c>
      <c r="R699" s="2" t="str">
        <f aca="false">TEXT(A699,"ddd")</f>
        <v>Thu</v>
      </c>
    </row>
    <row r="700" customFormat="false" ht="15" hidden="false" customHeight="false" outlineLevel="0" collapsed="false">
      <c r="A700" s="42" t="n">
        <v>46164</v>
      </c>
      <c r="B700" s="28" t="n">
        <f aca="false">COUNTIFS(Trades!$D$2:$D$884,$A700)</f>
        <v>1</v>
      </c>
      <c r="C700" s="28" t="n">
        <f aca="false">COUNTIFS(Trades!$D$2:$D$884,$A700,Trades!$Z$2:$Z$884,"Win")</f>
        <v>0</v>
      </c>
      <c r="D700" s="28" t="n">
        <f aca="false">COUNTIFS(Trades!$D$2:$D$884,$A700,Trades!$Z$2:$Z$884,"Loss")</f>
        <v>1</v>
      </c>
      <c r="E700" s="29" t="n">
        <f aca="false">IFERROR(C700/B700,0)</f>
        <v>0</v>
      </c>
      <c r="F700" s="30" t="n">
        <f aca="false">SUMIFS(Trades!$X$2:$X$884,Trades!$D$2:$D$884,$A700)</f>
        <v>-31.96</v>
      </c>
      <c r="G700" s="30" t="n">
        <f aca="false">SUMIFS(Trades!$X$2:$X$884,Trades!$D$2:$D$884,$A700,Trades!$X$2:$X$884,"&gt;0")</f>
        <v>0</v>
      </c>
      <c r="H700" s="30" t="n">
        <f aca="false">SUMIFS(Trades!$X$2:$X$884,Trades!$D$2:$D$884,$A700,Trades!$X$2:$X$884,"&lt;0")</f>
        <v>-31.96</v>
      </c>
      <c r="I700" s="31" t="n">
        <f aca="false">IFERROR(G700/-H700,"no loss")</f>
        <v>0</v>
      </c>
      <c r="J700" s="30" t="n">
        <f aca="false">_xlfn.MAXIFS(Trades!$X$2:$X$884,Trades!$D$2:$D$884,$A700)</f>
        <v>-31.96</v>
      </c>
      <c r="K700" s="30" t="n">
        <f aca="false">_xlfn.MINIFS(Trades!$X$2:$X$884,Trades!$D$2:$D$884,$A700)</f>
        <v>-31.96</v>
      </c>
      <c r="L700" s="32" t="n">
        <f aca="false">SUMIFS(Trades!$Y$2:$Y$884,Trades!$D$2:$D$884,$A700)</f>
        <v>-1.01293103448289</v>
      </c>
      <c r="M700" s="30" t="n">
        <f aca="false">P699</f>
        <v>115347.7</v>
      </c>
      <c r="N700" s="29" t="n">
        <f aca="false">IFERROR(F700/M700,0)</f>
        <v>-0.000277075312294913</v>
      </c>
      <c r="O700" s="28" t="str">
        <f aca="false">IF(-N700&gt;=Summary!$C$7,"BREACH","")</f>
        <v/>
      </c>
      <c r="P700" s="30" t="n">
        <f aca="false">M700+F700</f>
        <v>115315.74</v>
      </c>
      <c r="Q700" s="30" t="n">
        <f aca="false">P700-Summary!$C$5</f>
        <v>15315.7400000001</v>
      </c>
      <c r="R700" s="2" t="str">
        <f aca="false">TEXT(A700,"ddd")</f>
        <v>Fri</v>
      </c>
    </row>
    <row r="701" customFormat="false" ht="15" hidden="false" customHeight="false" outlineLevel="0" collapsed="false">
      <c r="A701" s="42" t="n">
        <v>46167</v>
      </c>
      <c r="B701" s="28" t="n">
        <f aca="false">COUNTIFS(Trades!$D$2:$D$884,$A701)</f>
        <v>1</v>
      </c>
      <c r="C701" s="28" t="n">
        <f aca="false">COUNTIFS(Trades!$D$2:$D$884,$A701,Trades!$Z$2:$Z$884,"Win")</f>
        <v>1</v>
      </c>
      <c r="D701" s="28" t="n">
        <f aca="false">COUNTIFS(Trades!$D$2:$D$884,$A701,Trades!$Z$2:$Z$884,"Loss")</f>
        <v>0</v>
      </c>
      <c r="E701" s="29" t="n">
        <f aca="false">IFERROR(C701/B701,0)</f>
        <v>1</v>
      </c>
      <c r="F701" s="30" t="n">
        <f aca="false">SUMIFS(Trades!$X$2:$X$884,Trades!$D$2:$D$884,$A701)</f>
        <v>346.8</v>
      </c>
      <c r="G701" s="30" t="n">
        <f aca="false">SUMIFS(Trades!$X$2:$X$884,Trades!$D$2:$D$884,$A701,Trades!$X$2:$X$884,"&gt;0")</f>
        <v>346.8</v>
      </c>
      <c r="H701" s="30" t="n">
        <f aca="false">SUMIFS(Trades!$X$2:$X$884,Trades!$D$2:$D$884,$A701,Trades!$X$2:$X$884,"&lt;0")</f>
        <v>0</v>
      </c>
      <c r="I701" s="31" t="str">
        <f aca="false">IFERROR(G701/-H701,"no loss")</f>
        <v>no loss</v>
      </c>
      <c r="J701" s="30" t="n">
        <f aca="false">_xlfn.MAXIFS(Trades!$X$2:$X$884,Trades!$D$2:$D$884,$A701)</f>
        <v>346.8</v>
      </c>
      <c r="K701" s="30" t="n">
        <f aca="false">_xlfn.MINIFS(Trades!$X$2:$X$884,Trades!$D$2:$D$884,$A701)</f>
        <v>346.8</v>
      </c>
      <c r="L701" s="32" t="n">
        <f aca="false">SUMIFS(Trades!$Y$2:$Y$884,Trades!$D$2:$D$884,$A701)</f>
        <v>1.97942945856773</v>
      </c>
      <c r="M701" s="30" t="n">
        <f aca="false">P700</f>
        <v>115315.74</v>
      </c>
      <c r="N701" s="29" t="n">
        <f aca="false">IFERROR(F701/M701,0)</f>
        <v>0.00300739517432746</v>
      </c>
      <c r="O701" s="28" t="str">
        <f aca="false">IF(-N701&gt;=Summary!$C$7,"BREACH","")</f>
        <v/>
      </c>
      <c r="P701" s="30" t="n">
        <f aca="false">M701+F701</f>
        <v>115662.54</v>
      </c>
      <c r="Q701" s="30" t="n">
        <f aca="false">P701-Summary!$C$5</f>
        <v>15662.5400000001</v>
      </c>
      <c r="R701" s="2" t="str">
        <f aca="false">TEXT(A701,"ddd")</f>
        <v>Mon</v>
      </c>
    </row>
    <row r="702" customFormat="false" ht="15" hidden="false" customHeight="false" outlineLevel="0" collapsed="false">
      <c r="A702" s="42" t="n">
        <v>46168</v>
      </c>
      <c r="B702" s="28" t="n">
        <f aca="false">COUNTIFS(Trades!$D$2:$D$884,$A702)</f>
        <v>1</v>
      </c>
      <c r="C702" s="28" t="n">
        <f aca="false">COUNTIFS(Trades!$D$2:$D$884,$A702,Trades!$Z$2:$Z$884,"Win")</f>
        <v>1</v>
      </c>
      <c r="D702" s="28" t="n">
        <f aca="false">COUNTIFS(Trades!$D$2:$D$884,$A702,Trades!$Z$2:$Z$884,"Loss")</f>
        <v>0</v>
      </c>
      <c r="E702" s="29" t="n">
        <f aca="false">IFERROR(C702/B702,0)</f>
        <v>1</v>
      </c>
      <c r="F702" s="30" t="n">
        <f aca="false">SUMIFS(Trades!$X$2:$X$884,Trades!$D$2:$D$884,$A702)</f>
        <v>364.92</v>
      </c>
      <c r="G702" s="30" t="n">
        <f aca="false">SUMIFS(Trades!$X$2:$X$884,Trades!$D$2:$D$884,$A702,Trades!$X$2:$X$884,"&gt;0")</f>
        <v>364.92</v>
      </c>
      <c r="H702" s="30" t="n">
        <f aca="false">SUMIFS(Trades!$X$2:$X$884,Trades!$D$2:$D$884,$A702,Trades!$X$2:$X$884,"&lt;0")</f>
        <v>0</v>
      </c>
      <c r="I702" s="31" t="str">
        <f aca="false">IFERROR(G702/-H702,"no loss")</f>
        <v>no loss</v>
      </c>
      <c r="J702" s="30" t="n">
        <f aca="false">_xlfn.MAXIFS(Trades!$X$2:$X$884,Trades!$D$2:$D$884,$A702)</f>
        <v>364.92</v>
      </c>
      <c r="K702" s="30" t="n">
        <f aca="false">_xlfn.MINIFS(Trades!$X$2:$X$884,Trades!$D$2:$D$884,$A702)</f>
        <v>364.92</v>
      </c>
      <c r="L702" s="32" t="n">
        <f aca="false">SUMIFS(Trades!$Y$2:$Y$884,Trades!$D$2:$D$884,$A702)</f>
        <v>2.00503291172629</v>
      </c>
      <c r="M702" s="30" t="n">
        <f aca="false">P701</f>
        <v>115662.54</v>
      </c>
      <c r="N702" s="29" t="n">
        <f aca="false">IFERROR(F702/M702,0)</f>
        <v>0.00315504051700749</v>
      </c>
      <c r="O702" s="28" t="str">
        <f aca="false">IF(-N702&gt;=Summary!$C$7,"BREACH","")</f>
        <v/>
      </c>
      <c r="P702" s="30" t="n">
        <f aca="false">M702+F702</f>
        <v>116027.46</v>
      </c>
      <c r="Q702" s="30" t="n">
        <f aca="false">P702-Summary!$C$5</f>
        <v>16027.4600000001</v>
      </c>
      <c r="R702" s="2" t="str">
        <f aca="false">TEXT(A702,"ddd")</f>
        <v>Tue</v>
      </c>
    </row>
    <row r="703" customFormat="false" ht="15" hidden="false" customHeight="false" outlineLevel="0" collapsed="false">
      <c r="A703" s="42" t="n">
        <v>46169</v>
      </c>
      <c r="B703" s="28" t="n">
        <f aca="false">COUNTIFS(Trades!$D$2:$D$884,$A703)</f>
        <v>1</v>
      </c>
      <c r="C703" s="28" t="n">
        <f aca="false">COUNTIFS(Trades!$D$2:$D$884,$A703,Trades!$Z$2:$Z$884,"Win")</f>
        <v>0</v>
      </c>
      <c r="D703" s="28" t="n">
        <f aca="false">COUNTIFS(Trades!$D$2:$D$884,$A703,Trades!$Z$2:$Z$884,"Loss")</f>
        <v>1</v>
      </c>
      <c r="E703" s="29" t="n">
        <f aca="false">IFERROR(C703/B703,0)</f>
        <v>0</v>
      </c>
      <c r="F703" s="30" t="n">
        <f aca="false">SUMIFS(Trades!$X$2:$X$884,Trades!$D$2:$D$884,$A703)</f>
        <v>-73</v>
      </c>
      <c r="G703" s="30" t="n">
        <f aca="false">SUMIFS(Trades!$X$2:$X$884,Trades!$D$2:$D$884,$A703,Trades!$X$2:$X$884,"&gt;0")</f>
        <v>0</v>
      </c>
      <c r="H703" s="30" t="n">
        <f aca="false">SUMIFS(Trades!$X$2:$X$884,Trades!$D$2:$D$884,$A703,Trades!$X$2:$X$884,"&lt;0")</f>
        <v>-73</v>
      </c>
      <c r="I703" s="31" t="n">
        <f aca="false">IFERROR(G703/-H703,"no loss")</f>
        <v>0</v>
      </c>
      <c r="J703" s="30" t="n">
        <f aca="false">_xlfn.MAXIFS(Trades!$X$2:$X$884,Trades!$D$2:$D$884,$A703)</f>
        <v>-73</v>
      </c>
      <c r="K703" s="30" t="n">
        <f aca="false">_xlfn.MINIFS(Trades!$X$2:$X$884,Trades!$D$2:$D$884,$A703)</f>
        <v>-73</v>
      </c>
      <c r="L703" s="32" t="n">
        <f aca="false">SUMIFS(Trades!$Y$2:$Y$884,Trades!$D$2:$D$884,$A703)</f>
        <v>-1.00189399138095</v>
      </c>
      <c r="M703" s="30" t="n">
        <f aca="false">P702</f>
        <v>116027.46</v>
      </c>
      <c r="N703" s="29" t="n">
        <f aca="false">IFERROR(F703/M703,0)</f>
        <v>-0.000629161407135862</v>
      </c>
      <c r="O703" s="28" t="str">
        <f aca="false">IF(-N703&gt;=Summary!$C$7,"BREACH","")</f>
        <v/>
      </c>
      <c r="P703" s="30" t="n">
        <f aca="false">M703+F703</f>
        <v>115954.46</v>
      </c>
      <c r="Q703" s="30" t="n">
        <f aca="false">P703-Summary!$C$5</f>
        <v>15954.4600000001</v>
      </c>
      <c r="R703" s="2" t="str">
        <f aca="false">TEXT(A703,"ddd")</f>
        <v>Wed</v>
      </c>
    </row>
    <row r="704" customFormat="false" ht="15" hidden="false" customHeight="false" outlineLevel="0" collapsed="false">
      <c r="A704" s="42" t="n">
        <v>46170</v>
      </c>
      <c r="B704" s="28" t="n">
        <f aca="false">COUNTIFS(Trades!$D$2:$D$884,$A704)</f>
        <v>1</v>
      </c>
      <c r="C704" s="28" t="n">
        <f aca="false">COUNTIFS(Trades!$D$2:$D$884,$A704,Trades!$Z$2:$Z$884,"Win")</f>
        <v>1</v>
      </c>
      <c r="D704" s="28" t="n">
        <f aca="false">COUNTIFS(Trades!$D$2:$D$884,$A704,Trades!$Z$2:$Z$884,"Loss")</f>
        <v>0</v>
      </c>
      <c r="E704" s="29" t="n">
        <f aca="false">IFERROR(C704/B704,0)</f>
        <v>1</v>
      </c>
      <c r="F704" s="30" t="n">
        <f aca="false">SUMIFS(Trades!$X$2:$X$884,Trades!$D$2:$D$884,$A704)</f>
        <v>148.24</v>
      </c>
      <c r="G704" s="30" t="n">
        <f aca="false">SUMIFS(Trades!$X$2:$X$884,Trades!$D$2:$D$884,$A704,Trades!$X$2:$X$884,"&gt;0")</f>
        <v>148.24</v>
      </c>
      <c r="H704" s="30" t="n">
        <f aca="false">SUMIFS(Trades!$X$2:$X$884,Trades!$D$2:$D$884,$A704,Trades!$X$2:$X$884,"&lt;0")</f>
        <v>0</v>
      </c>
      <c r="I704" s="31" t="str">
        <f aca="false">IFERROR(G704/-H704,"no loss")</f>
        <v>no loss</v>
      </c>
      <c r="J704" s="30" t="n">
        <f aca="false">_xlfn.MAXIFS(Trades!$X$2:$X$884,Trades!$D$2:$D$884,$A704)</f>
        <v>148.24</v>
      </c>
      <c r="K704" s="30" t="n">
        <f aca="false">_xlfn.MINIFS(Trades!$X$2:$X$884,Trades!$D$2:$D$884,$A704)</f>
        <v>148.24</v>
      </c>
      <c r="L704" s="32" t="n">
        <f aca="false">SUMIFS(Trades!$Y$2:$Y$884,Trades!$D$2:$D$884,$A704)</f>
        <v>2.19095477386919</v>
      </c>
      <c r="M704" s="30" t="n">
        <f aca="false">P703</f>
        <v>115954.46</v>
      </c>
      <c r="N704" s="29" t="n">
        <f aca="false">IFERROR(F704/M704,0)</f>
        <v>0.00127843292961737</v>
      </c>
      <c r="O704" s="28" t="str">
        <f aca="false">IF(-N704&gt;=Summary!$C$7,"BREACH","")</f>
        <v/>
      </c>
      <c r="P704" s="30" t="n">
        <f aca="false">M704+F704</f>
        <v>116102.7</v>
      </c>
      <c r="Q704" s="30" t="n">
        <f aca="false">P704-Summary!$C$5</f>
        <v>16102.7000000001</v>
      </c>
      <c r="R704" s="2" t="str">
        <f aca="false">TEXT(A704,"ddd")</f>
        <v>Thu</v>
      </c>
    </row>
    <row r="705" customFormat="false" ht="15" hidden="false" customHeight="false" outlineLevel="0" collapsed="false">
      <c r="A705" s="42" t="n">
        <v>46171</v>
      </c>
      <c r="B705" s="28" t="n">
        <f aca="false">COUNTIFS(Trades!$D$2:$D$884,$A705)</f>
        <v>1</v>
      </c>
      <c r="C705" s="28" t="n">
        <f aca="false">COUNTIFS(Trades!$D$2:$D$884,$A705,Trades!$Z$2:$Z$884,"Win")</f>
        <v>0</v>
      </c>
      <c r="D705" s="28" t="n">
        <f aca="false">COUNTIFS(Trades!$D$2:$D$884,$A705,Trades!$Z$2:$Z$884,"Loss")</f>
        <v>1</v>
      </c>
      <c r="E705" s="29" t="n">
        <f aca="false">IFERROR(C705/B705,0)</f>
        <v>0</v>
      </c>
      <c r="F705" s="30" t="n">
        <f aca="false">SUMIFS(Trades!$X$2:$X$884,Trades!$D$2:$D$884,$A705)</f>
        <v>-1.05</v>
      </c>
      <c r="G705" s="30" t="n">
        <f aca="false">SUMIFS(Trades!$X$2:$X$884,Trades!$D$2:$D$884,$A705,Trades!$X$2:$X$884,"&gt;0")</f>
        <v>0</v>
      </c>
      <c r="H705" s="30" t="n">
        <f aca="false">SUMIFS(Trades!$X$2:$X$884,Trades!$D$2:$D$884,$A705,Trades!$X$2:$X$884,"&lt;0")</f>
        <v>-1.05</v>
      </c>
      <c r="I705" s="31" t="n">
        <f aca="false">IFERROR(G705/-H705,"no loss")</f>
        <v>0</v>
      </c>
      <c r="J705" s="30" t="n">
        <f aca="false">_xlfn.MAXIFS(Trades!$X$2:$X$884,Trades!$D$2:$D$884,$A705)</f>
        <v>-1.05</v>
      </c>
      <c r="K705" s="30" t="n">
        <f aca="false">_xlfn.MINIFS(Trades!$X$2:$X$884,Trades!$D$2:$D$884,$A705)</f>
        <v>-1.05</v>
      </c>
      <c r="L705" s="32" t="n">
        <f aca="false">SUMIFS(Trades!$Y$2:$Y$884,Trades!$D$2:$D$884,$A705)</f>
        <v>-0.0197710326127903</v>
      </c>
      <c r="M705" s="30" t="n">
        <f aca="false">P704</f>
        <v>116102.7</v>
      </c>
      <c r="N705" s="29" t="n">
        <f aca="false">IFERROR(F705/M705,0)</f>
        <v>-9.04371732957114E-006</v>
      </c>
      <c r="O705" s="28" t="str">
        <f aca="false">IF(-N705&gt;=Summary!$C$7,"BREACH","")</f>
        <v/>
      </c>
      <c r="P705" s="30" t="n">
        <f aca="false">M705+F705</f>
        <v>116101.65</v>
      </c>
      <c r="Q705" s="30" t="n">
        <f aca="false">P705-Summary!$C$5</f>
        <v>16101.6500000001</v>
      </c>
      <c r="R705" s="2" t="str">
        <f aca="false">TEXT(A705,"ddd")</f>
        <v>Fri</v>
      </c>
    </row>
    <row r="706" customFormat="false" ht="15" hidden="false" customHeight="false" outlineLevel="0" collapsed="false">
      <c r="A706" s="42" t="n">
        <v>46174</v>
      </c>
      <c r="B706" s="28" t="n">
        <f aca="false">COUNTIFS(Trades!$D$2:$D$884,$A706)</f>
        <v>1</v>
      </c>
      <c r="C706" s="28" t="n">
        <f aca="false">COUNTIFS(Trades!$D$2:$D$884,$A706,Trades!$Z$2:$Z$884,"Win")</f>
        <v>0</v>
      </c>
      <c r="D706" s="28" t="n">
        <f aca="false">COUNTIFS(Trades!$D$2:$D$884,$A706,Trades!$Z$2:$Z$884,"Loss")</f>
        <v>1</v>
      </c>
      <c r="E706" s="29" t="n">
        <f aca="false">IFERROR(C706/B706,0)</f>
        <v>0</v>
      </c>
      <c r="F706" s="30" t="n">
        <f aca="false">SUMIFS(Trades!$X$2:$X$884,Trades!$D$2:$D$884,$A706)</f>
        <v>-0.44</v>
      </c>
      <c r="G706" s="30" t="n">
        <f aca="false">SUMIFS(Trades!$X$2:$X$884,Trades!$D$2:$D$884,$A706,Trades!$X$2:$X$884,"&gt;0")</f>
        <v>0</v>
      </c>
      <c r="H706" s="30" t="n">
        <f aca="false">SUMIFS(Trades!$X$2:$X$884,Trades!$D$2:$D$884,$A706,Trades!$X$2:$X$884,"&lt;0")</f>
        <v>-0.44</v>
      </c>
      <c r="I706" s="31" t="n">
        <f aca="false">IFERROR(G706/-H706,"no loss")</f>
        <v>0</v>
      </c>
      <c r="J706" s="30" t="n">
        <f aca="false">_xlfn.MAXIFS(Trades!$X$2:$X$884,Trades!$D$2:$D$884,$A706)</f>
        <v>-0.44</v>
      </c>
      <c r="K706" s="30" t="n">
        <f aca="false">_xlfn.MINIFS(Trades!$X$2:$X$884,Trades!$D$2:$D$884,$A706)</f>
        <v>-0.44</v>
      </c>
      <c r="L706" s="32" t="n">
        <f aca="false">SUMIFS(Trades!$Y$2:$Y$884,Trades!$D$2:$D$884,$A706)</f>
        <v>-0.00740341903351748</v>
      </c>
      <c r="M706" s="30" t="n">
        <f aca="false">P705</f>
        <v>116101.65</v>
      </c>
      <c r="N706" s="29" t="n">
        <f aca="false">IFERROR(F706/M706,0)</f>
        <v>-3.78978248801804E-006</v>
      </c>
      <c r="O706" s="28" t="str">
        <f aca="false">IF(-N706&gt;=Summary!$C$7,"BREACH","")</f>
        <v/>
      </c>
      <c r="P706" s="30" t="n">
        <f aca="false">M706+F706</f>
        <v>116101.21</v>
      </c>
      <c r="Q706" s="30" t="n">
        <f aca="false">P706-Summary!$C$5</f>
        <v>16101.2100000001</v>
      </c>
      <c r="R706" s="2" t="str">
        <f aca="false">TEXT(A706,"ddd")</f>
        <v>Mon</v>
      </c>
    </row>
    <row r="707" customFormat="false" ht="15" hidden="false" customHeight="false" outlineLevel="0" collapsed="false">
      <c r="A707" s="42" t="n">
        <v>46175</v>
      </c>
      <c r="B707" s="28" t="n">
        <f aca="false">COUNTIFS(Trades!$D$2:$D$884,$A707)</f>
        <v>1</v>
      </c>
      <c r="C707" s="28" t="n">
        <f aca="false">COUNTIFS(Trades!$D$2:$D$884,$A707,Trades!$Z$2:$Z$884,"Win")</f>
        <v>0</v>
      </c>
      <c r="D707" s="28" t="n">
        <f aca="false">COUNTIFS(Trades!$D$2:$D$884,$A707,Trades!$Z$2:$Z$884,"Loss")</f>
        <v>1</v>
      </c>
      <c r="E707" s="29" t="n">
        <f aca="false">IFERROR(C707/B707,0)</f>
        <v>0</v>
      </c>
      <c r="F707" s="30" t="n">
        <f aca="false">SUMIFS(Trades!$X$2:$X$884,Trades!$D$2:$D$884,$A707)</f>
        <v>-0.41</v>
      </c>
      <c r="G707" s="30" t="n">
        <f aca="false">SUMIFS(Trades!$X$2:$X$884,Trades!$D$2:$D$884,$A707,Trades!$X$2:$X$884,"&gt;0")</f>
        <v>0</v>
      </c>
      <c r="H707" s="30" t="n">
        <f aca="false">SUMIFS(Trades!$X$2:$X$884,Trades!$D$2:$D$884,$A707,Trades!$X$2:$X$884,"&lt;0")</f>
        <v>-0.41</v>
      </c>
      <c r="I707" s="31" t="n">
        <f aca="false">IFERROR(G707/-H707,"no loss")</f>
        <v>0</v>
      </c>
      <c r="J707" s="30" t="n">
        <f aca="false">_xlfn.MAXIFS(Trades!$X$2:$X$884,Trades!$D$2:$D$884,$A707)</f>
        <v>-0.41</v>
      </c>
      <c r="K707" s="30" t="n">
        <f aca="false">_xlfn.MINIFS(Trades!$X$2:$X$884,Trades!$D$2:$D$884,$A707)</f>
        <v>-0.41</v>
      </c>
      <c r="L707" s="32" t="n">
        <f aca="false">SUMIFS(Trades!$Y$2:$Y$884,Trades!$D$2:$D$884,$A707)</f>
        <v>-0.00572050452059433</v>
      </c>
      <c r="M707" s="30" t="n">
        <f aca="false">P706</f>
        <v>116101.21</v>
      </c>
      <c r="N707" s="29" t="n">
        <f aca="false">IFERROR(F707/M707,0)</f>
        <v>-3.53140161071534E-006</v>
      </c>
      <c r="O707" s="28" t="str">
        <f aca="false">IF(-N707&gt;=Summary!$C$7,"BREACH","")</f>
        <v/>
      </c>
      <c r="P707" s="30" t="n">
        <f aca="false">M707+F707</f>
        <v>116100.8</v>
      </c>
      <c r="Q707" s="30" t="n">
        <f aca="false">P707-Summary!$C$5</f>
        <v>16100.8000000001</v>
      </c>
      <c r="R707" s="2" t="str">
        <f aca="false">TEXT(A707,"ddd")</f>
        <v>Tue</v>
      </c>
    </row>
    <row r="708" customFormat="false" ht="15" hidden="false" customHeight="false" outlineLevel="0" collapsed="false">
      <c r="A708" s="42" t="n">
        <v>46176</v>
      </c>
      <c r="B708" s="28" t="n">
        <f aca="false">COUNTIFS(Trades!$D$2:$D$884,$A708)</f>
        <v>1</v>
      </c>
      <c r="C708" s="28" t="n">
        <f aca="false">COUNTIFS(Trades!$D$2:$D$884,$A708,Trades!$Z$2:$Z$884,"Win")</f>
        <v>0</v>
      </c>
      <c r="D708" s="28" t="n">
        <f aca="false">COUNTIFS(Trades!$D$2:$D$884,$A708,Trades!$Z$2:$Z$884,"Loss")</f>
        <v>1</v>
      </c>
      <c r="E708" s="29" t="n">
        <f aca="false">IFERROR(C708/B708,0)</f>
        <v>0</v>
      </c>
      <c r="F708" s="30" t="n">
        <f aca="false">SUMIFS(Trades!$X$2:$X$884,Trades!$D$2:$D$884,$A708)</f>
        <v>-65.72</v>
      </c>
      <c r="G708" s="30" t="n">
        <f aca="false">SUMIFS(Trades!$X$2:$X$884,Trades!$D$2:$D$884,$A708,Trades!$X$2:$X$884,"&gt;0")</f>
        <v>0</v>
      </c>
      <c r="H708" s="30" t="n">
        <f aca="false">SUMIFS(Trades!$X$2:$X$884,Trades!$D$2:$D$884,$A708,Trades!$X$2:$X$884,"&lt;0")</f>
        <v>-65.72</v>
      </c>
      <c r="I708" s="31" t="n">
        <f aca="false">IFERROR(G708/-H708,"no loss")</f>
        <v>0</v>
      </c>
      <c r="J708" s="30" t="n">
        <f aca="false">_xlfn.MAXIFS(Trades!$X$2:$X$884,Trades!$D$2:$D$884,$A708)</f>
        <v>-65.72</v>
      </c>
      <c r="K708" s="30" t="n">
        <f aca="false">_xlfn.MINIFS(Trades!$X$2:$X$884,Trades!$D$2:$D$884,$A708)</f>
        <v>-65.72</v>
      </c>
      <c r="L708" s="32" t="n">
        <f aca="false">SUMIFS(Trades!$Y$2:$Y$884,Trades!$D$2:$D$884,$A708)</f>
        <v>-1.01733746130031</v>
      </c>
      <c r="M708" s="30" t="n">
        <f aca="false">P707</f>
        <v>116100.8</v>
      </c>
      <c r="N708" s="29" t="n">
        <f aca="false">IFERROR(F708/M708,0)</f>
        <v>-0.00056605983765831</v>
      </c>
      <c r="O708" s="28" t="str">
        <f aca="false">IF(-N708&gt;=Summary!$C$7,"BREACH","")</f>
        <v/>
      </c>
      <c r="P708" s="30" t="n">
        <f aca="false">M708+F708</f>
        <v>116035.08</v>
      </c>
      <c r="Q708" s="30" t="n">
        <f aca="false">P708-Summary!$C$5</f>
        <v>16035.0800000001</v>
      </c>
      <c r="R708" s="2" t="str">
        <f aca="false">TEXT(A708,"ddd")</f>
        <v>Wed</v>
      </c>
    </row>
    <row r="709" customFormat="false" ht="15" hidden="false" customHeight="false" outlineLevel="0" collapsed="false">
      <c r="A709" s="42" t="n">
        <v>46177</v>
      </c>
      <c r="B709" s="28" t="n">
        <f aca="false">COUNTIFS(Trades!$D$2:$D$884,$A709)</f>
        <v>1</v>
      </c>
      <c r="C709" s="28" t="n">
        <f aca="false">COUNTIFS(Trades!$D$2:$D$884,$A709,Trades!$Z$2:$Z$884,"Win")</f>
        <v>0</v>
      </c>
      <c r="D709" s="28" t="n">
        <f aca="false">COUNTIFS(Trades!$D$2:$D$884,$A709,Trades!$Z$2:$Z$884,"Loss")</f>
        <v>1</v>
      </c>
      <c r="E709" s="29" t="n">
        <f aca="false">IFERROR(C709/B709,0)</f>
        <v>0</v>
      </c>
      <c r="F709" s="30" t="n">
        <f aca="false">SUMIFS(Trades!$X$2:$X$884,Trades!$D$2:$D$884,$A709)</f>
        <v>-0.85</v>
      </c>
      <c r="G709" s="30" t="n">
        <f aca="false">SUMIFS(Trades!$X$2:$X$884,Trades!$D$2:$D$884,$A709,Trades!$X$2:$X$884,"&gt;0")</f>
        <v>0</v>
      </c>
      <c r="H709" s="30" t="n">
        <f aca="false">SUMIFS(Trades!$X$2:$X$884,Trades!$D$2:$D$884,$A709,Trades!$X$2:$X$884,"&lt;0")</f>
        <v>-0.85</v>
      </c>
      <c r="I709" s="31" t="n">
        <f aca="false">IFERROR(G709/-H709,"no loss")</f>
        <v>0</v>
      </c>
      <c r="J709" s="30" t="n">
        <f aca="false">_xlfn.MAXIFS(Trades!$X$2:$X$884,Trades!$D$2:$D$884,$A709)</f>
        <v>-0.85</v>
      </c>
      <c r="K709" s="30" t="n">
        <f aca="false">_xlfn.MINIFS(Trades!$X$2:$X$884,Trades!$D$2:$D$884,$A709)</f>
        <v>-0.85</v>
      </c>
      <c r="L709" s="32" t="n">
        <f aca="false">SUMIFS(Trades!$Y$2:$Y$884,Trades!$D$2:$D$884,$A709)</f>
        <v>-0.00454380225372618</v>
      </c>
      <c r="M709" s="30" t="n">
        <f aca="false">P708</f>
        <v>116035.08</v>
      </c>
      <c r="N709" s="29" t="n">
        <f aca="false">IFERROR(F709/M709,0)</f>
        <v>-7.32537091369265E-006</v>
      </c>
      <c r="O709" s="28" t="str">
        <f aca="false">IF(-N709&gt;=Summary!$C$7,"BREACH","")</f>
        <v/>
      </c>
      <c r="P709" s="30" t="n">
        <f aca="false">M709+F709</f>
        <v>116034.23</v>
      </c>
      <c r="Q709" s="30" t="n">
        <f aca="false">P709-Summary!$C$5</f>
        <v>16034.2300000001</v>
      </c>
      <c r="R709" s="2" t="str">
        <f aca="false">TEXT(A709,"ddd")</f>
        <v>Thu</v>
      </c>
    </row>
    <row r="710" customFormat="false" ht="15" hidden="false" customHeight="false" outlineLevel="0" collapsed="false">
      <c r="A710" s="42" t="n">
        <v>46178</v>
      </c>
      <c r="B710" s="28" t="n">
        <f aca="false">COUNTIFS(Trades!$D$2:$D$884,$A710)</f>
        <v>1</v>
      </c>
      <c r="C710" s="28" t="n">
        <f aca="false">COUNTIFS(Trades!$D$2:$D$884,$A710,Trades!$Z$2:$Z$884,"Win")</f>
        <v>1</v>
      </c>
      <c r="D710" s="28" t="n">
        <f aca="false">COUNTIFS(Trades!$D$2:$D$884,$A710,Trades!$Z$2:$Z$884,"Loss")</f>
        <v>0</v>
      </c>
      <c r="E710" s="29" t="n">
        <f aca="false">IFERROR(C710/B710,0)</f>
        <v>1</v>
      </c>
      <c r="F710" s="30" t="n">
        <f aca="false">SUMIFS(Trades!$X$2:$X$884,Trades!$D$2:$D$884,$A710)</f>
        <v>203.63</v>
      </c>
      <c r="G710" s="30" t="n">
        <f aca="false">SUMIFS(Trades!$X$2:$X$884,Trades!$D$2:$D$884,$A710,Trades!$X$2:$X$884,"&gt;0")</f>
        <v>203.63</v>
      </c>
      <c r="H710" s="30" t="n">
        <f aca="false">SUMIFS(Trades!$X$2:$X$884,Trades!$D$2:$D$884,$A710,Trades!$X$2:$X$884,"&lt;0")</f>
        <v>0</v>
      </c>
      <c r="I710" s="31" t="str">
        <f aca="false">IFERROR(G710/-H710,"no loss")</f>
        <v>no loss</v>
      </c>
      <c r="J710" s="30" t="n">
        <f aca="false">_xlfn.MAXIFS(Trades!$X$2:$X$884,Trades!$D$2:$D$884,$A710)</f>
        <v>203.63</v>
      </c>
      <c r="K710" s="30" t="n">
        <f aca="false">_xlfn.MINIFS(Trades!$X$2:$X$884,Trades!$D$2:$D$884,$A710)</f>
        <v>203.63</v>
      </c>
      <c r="L710" s="32" t="n">
        <f aca="false">SUMIFS(Trades!$Y$2:$Y$884,Trades!$D$2:$D$884,$A710)</f>
        <v>1.97075276309935</v>
      </c>
      <c r="M710" s="30" t="n">
        <f aca="false">P709</f>
        <v>116034.23</v>
      </c>
      <c r="N710" s="29" t="n">
        <f aca="false">IFERROR(F710/M710,0)</f>
        <v>0.00175491318380791</v>
      </c>
      <c r="O710" s="28" t="str">
        <f aca="false">IF(-N710&gt;=Summary!$C$7,"BREACH","")</f>
        <v/>
      </c>
      <c r="P710" s="30" t="n">
        <f aca="false">M710+F710</f>
        <v>116237.86</v>
      </c>
      <c r="Q710" s="30" t="n">
        <f aca="false">P710-Summary!$C$5</f>
        <v>16237.8600000001</v>
      </c>
      <c r="R710" s="2" t="str">
        <f aca="false">TEXT(A710,"ddd")</f>
        <v>Fri</v>
      </c>
    </row>
    <row r="711" customFormat="false" ht="15" hidden="false" customHeight="false" outlineLevel="0" collapsed="false">
      <c r="A711" s="42" t="n">
        <v>46182</v>
      </c>
      <c r="B711" s="28" t="n">
        <f aca="false">COUNTIFS(Trades!$D$2:$D$884,$A711)</f>
        <v>2</v>
      </c>
      <c r="C711" s="28" t="n">
        <f aca="false">COUNTIFS(Trades!$D$2:$D$884,$A711,Trades!$Z$2:$Z$884,"Win")</f>
        <v>0</v>
      </c>
      <c r="D711" s="28" t="n">
        <f aca="false">COUNTIFS(Trades!$D$2:$D$884,$A711,Trades!$Z$2:$Z$884,"Loss")</f>
        <v>2</v>
      </c>
      <c r="E711" s="29" t="n">
        <f aca="false">IFERROR(C711/B711,0)</f>
        <v>0</v>
      </c>
      <c r="F711" s="30" t="n">
        <f aca="false">SUMIFS(Trades!$X$2:$X$884,Trades!$D$2:$D$884,$A711)</f>
        <v>-462.49</v>
      </c>
      <c r="G711" s="30" t="n">
        <f aca="false">SUMIFS(Trades!$X$2:$X$884,Trades!$D$2:$D$884,$A711,Trades!$X$2:$X$884,"&gt;0")</f>
        <v>0</v>
      </c>
      <c r="H711" s="30" t="n">
        <f aca="false">SUMIFS(Trades!$X$2:$X$884,Trades!$D$2:$D$884,$A711,Trades!$X$2:$X$884,"&lt;0")</f>
        <v>-462.49</v>
      </c>
      <c r="I711" s="31" t="n">
        <f aca="false">IFERROR(G711/-H711,"no loss")</f>
        <v>0</v>
      </c>
      <c r="J711" s="30" t="n">
        <f aca="false">_xlfn.MAXIFS(Trades!$X$2:$X$884,Trades!$D$2:$D$884,$A711)</f>
        <v>-98.6</v>
      </c>
      <c r="K711" s="30" t="n">
        <f aca="false">_xlfn.MINIFS(Trades!$X$2:$X$884,Trades!$D$2:$D$884,$A711)</f>
        <v>-363.89</v>
      </c>
      <c r="L711" s="32" t="n">
        <f aca="false">SUMIFS(Trades!$Y$2:$Y$884,Trades!$D$2:$D$884,$A711)</f>
        <v>-2.05982986412633</v>
      </c>
      <c r="M711" s="30" t="n">
        <f aca="false">P710</f>
        <v>116237.86</v>
      </c>
      <c r="N711" s="29" t="n">
        <f aca="false">IFERROR(F711/M711,0)</f>
        <v>-0.0039788241111803</v>
      </c>
      <c r="O711" s="28" t="str">
        <f aca="false">IF(-N711&gt;=Summary!$C$7,"BREACH","")</f>
        <v/>
      </c>
      <c r="P711" s="30" t="n">
        <f aca="false">M711+F711</f>
        <v>115775.37</v>
      </c>
      <c r="Q711" s="30" t="n">
        <f aca="false">P711-Summary!$C$5</f>
        <v>15775.3700000001</v>
      </c>
      <c r="R711" s="2" t="str">
        <f aca="false">TEXT(A711,"ddd")</f>
        <v>Tue</v>
      </c>
    </row>
    <row r="712" customFormat="false" ht="15" hidden="false" customHeight="false" outlineLevel="0" collapsed="false">
      <c r="A712" s="42" t="n">
        <v>46184</v>
      </c>
      <c r="B712" s="28" t="n">
        <f aca="false">COUNTIFS(Trades!$D$2:$D$884,$A712)</f>
        <v>2</v>
      </c>
      <c r="C712" s="28" t="n">
        <f aca="false">COUNTIFS(Trades!$D$2:$D$884,$A712,Trades!$Z$2:$Z$884,"Win")</f>
        <v>0</v>
      </c>
      <c r="D712" s="28" t="n">
        <f aca="false">COUNTIFS(Trades!$D$2:$D$884,$A712,Trades!$Z$2:$Z$884,"Loss")</f>
        <v>2</v>
      </c>
      <c r="E712" s="29" t="n">
        <f aca="false">IFERROR(C712/B712,0)</f>
        <v>0</v>
      </c>
      <c r="F712" s="30" t="n">
        <f aca="false">SUMIFS(Trades!$X$2:$X$884,Trades!$D$2:$D$884,$A712)</f>
        <v>-350.68</v>
      </c>
      <c r="G712" s="30" t="n">
        <f aca="false">SUMIFS(Trades!$X$2:$X$884,Trades!$D$2:$D$884,$A712,Trades!$X$2:$X$884,"&gt;0")</f>
        <v>0</v>
      </c>
      <c r="H712" s="30" t="n">
        <f aca="false">SUMIFS(Trades!$X$2:$X$884,Trades!$D$2:$D$884,$A712,Trades!$X$2:$X$884,"&lt;0")</f>
        <v>-350.68</v>
      </c>
      <c r="I712" s="31" t="n">
        <f aca="false">IFERROR(G712/-H712,"no loss")</f>
        <v>0</v>
      </c>
      <c r="J712" s="30" t="n">
        <f aca="false">_xlfn.MAXIFS(Trades!$X$2:$X$884,Trades!$D$2:$D$884,$A712)</f>
        <v>-0.04</v>
      </c>
      <c r="K712" s="30" t="n">
        <f aca="false">_xlfn.MINIFS(Trades!$X$2:$X$884,Trades!$D$2:$D$884,$A712)</f>
        <v>-350.64</v>
      </c>
      <c r="L712" s="32" t="n">
        <f aca="false">SUMIFS(Trades!$Y$2:$Y$884,Trades!$D$2:$D$884,$A712)</f>
        <v>-1.01163216687856</v>
      </c>
      <c r="M712" s="30" t="n">
        <f aca="false">P711</f>
        <v>115775.37</v>
      </c>
      <c r="N712" s="29" t="n">
        <f aca="false">IFERROR(F712/M712,0)</f>
        <v>-0.0030289689421852</v>
      </c>
      <c r="O712" s="28" t="str">
        <f aca="false">IF(-N712&gt;=Summary!$C$7,"BREACH","")</f>
        <v/>
      </c>
      <c r="P712" s="30" t="n">
        <f aca="false">M712+F712</f>
        <v>115424.69</v>
      </c>
      <c r="Q712" s="30" t="n">
        <f aca="false">P712-Summary!$C$5</f>
        <v>15424.6900000001</v>
      </c>
      <c r="R712" s="2" t="str">
        <f aca="false">TEXT(A712,"ddd")</f>
        <v>Thu</v>
      </c>
    </row>
    <row r="713" customFormat="false" ht="15" hidden="false" customHeight="false" outlineLevel="0" collapsed="false">
      <c r="A713" s="42" t="n">
        <v>46185</v>
      </c>
      <c r="B713" s="28" t="n">
        <f aca="false">COUNTIFS(Trades!$D$2:$D$884,$A713)</f>
        <v>1</v>
      </c>
      <c r="C713" s="28" t="n">
        <f aca="false">COUNTIFS(Trades!$D$2:$D$884,$A713,Trades!$Z$2:$Z$884,"Win")</f>
        <v>0</v>
      </c>
      <c r="D713" s="28" t="n">
        <f aca="false">COUNTIFS(Trades!$D$2:$D$884,$A713,Trades!$Z$2:$Z$884,"Loss")</f>
        <v>1</v>
      </c>
      <c r="E713" s="29" t="n">
        <f aca="false">IFERROR(C713/B713,0)</f>
        <v>0</v>
      </c>
      <c r="F713" s="30" t="n">
        <f aca="false">SUMIFS(Trades!$X$2:$X$884,Trades!$D$2:$D$884,$A713)</f>
        <v>-2.18</v>
      </c>
      <c r="G713" s="30" t="n">
        <f aca="false">SUMIFS(Trades!$X$2:$X$884,Trades!$D$2:$D$884,$A713,Trades!$X$2:$X$884,"&gt;0")</f>
        <v>0</v>
      </c>
      <c r="H713" s="30" t="n">
        <f aca="false">SUMIFS(Trades!$X$2:$X$884,Trades!$D$2:$D$884,$A713,Trades!$X$2:$X$884,"&lt;0")</f>
        <v>-2.18</v>
      </c>
      <c r="I713" s="31" t="n">
        <f aca="false">IFERROR(G713/-H713,"no loss")</f>
        <v>0</v>
      </c>
      <c r="J713" s="30" t="n">
        <f aca="false">_xlfn.MAXIFS(Trades!$X$2:$X$884,Trades!$D$2:$D$884,$A713)</f>
        <v>-2.18</v>
      </c>
      <c r="K713" s="30" t="n">
        <f aca="false">_xlfn.MINIFS(Trades!$X$2:$X$884,Trades!$D$2:$D$884,$A713)</f>
        <v>-2.18</v>
      </c>
      <c r="L713" s="32" t="n">
        <f aca="false">SUMIFS(Trades!$Y$2:$Y$884,Trades!$D$2:$D$884,$A713)</f>
        <v>-0.0218013080784848</v>
      </c>
      <c r="M713" s="30" t="n">
        <f aca="false">P712</f>
        <v>115424.69</v>
      </c>
      <c r="N713" s="29" t="n">
        <f aca="false">IFERROR(F713/M713,0)</f>
        <v>-1.88867737050019E-005</v>
      </c>
      <c r="O713" s="28" t="str">
        <f aca="false">IF(-N713&gt;=Summary!$C$7,"BREACH","")</f>
        <v/>
      </c>
      <c r="P713" s="30" t="n">
        <f aca="false">M713+F713</f>
        <v>115422.51</v>
      </c>
      <c r="Q713" s="30" t="n">
        <f aca="false">P713-Summary!$C$5</f>
        <v>15422.5100000001</v>
      </c>
      <c r="R713" s="2" t="str">
        <f aca="false">TEXT(A713,"ddd")</f>
        <v>Fri</v>
      </c>
    </row>
    <row r="714" customFormat="false" ht="15" hidden="false" customHeight="false" outlineLevel="0" collapsed="false">
      <c r="A714" s="42" t="n">
        <v>46188</v>
      </c>
      <c r="B714" s="28" t="n">
        <f aca="false">COUNTIFS(Trades!$D$2:$D$884,$A714)</f>
        <v>1</v>
      </c>
      <c r="C714" s="28" t="n">
        <f aca="false">COUNTIFS(Trades!$D$2:$D$884,$A714,Trades!$Z$2:$Z$884,"Win")</f>
        <v>1</v>
      </c>
      <c r="D714" s="28" t="n">
        <f aca="false">COUNTIFS(Trades!$D$2:$D$884,$A714,Trades!$Z$2:$Z$884,"Loss")</f>
        <v>0</v>
      </c>
      <c r="E714" s="29" t="n">
        <f aca="false">IFERROR(C714/B714,0)</f>
        <v>1</v>
      </c>
      <c r="F714" s="30" t="n">
        <f aca="false">SUMIFS(Trades!$X$2:$X$884,Trades!$D$2:$D$884,$A714)</f>
        <v>603.53</v>
      </c>
      <c r="G714" s="30" t="n">
        <f aca="false">SUMIFS(Trades!$X$2:$X$884,Trades!$D$2:$D$884,$A714,Trades!$X$2:$X$884,"&gt;0")</f>
        <v>603.53</v>
      </c>
      <c r="H714" s="30" t="n">
        <f aca="false">SUMIFS(Trades!$X$2:$X$884,Trades!$D$2:$D$884,$A714,Trades!$X$2:$X$884,"&lt;0")</f>
        <v>0</v>
      </c>
      <c r="I714" s="31" t="str">
        <f aca="false">IFERROR(G714/-H714,"no loss")</f>
        <v>no loss</v>
      </c>
      <c r="J714" s="30" t="n">
        <f aca="false">_xlfn.MAXIFS(Trades!$X$2:$X$884,Trades!$D$2:$D$884,$A714)</f>
        <v>603.53</v>
      </c>
      <c r="K714" s="30" t="n">
        <f aca="false">_xlfn.MINIFS(Trades!$X$2:$X$884,Trades!$D$2:$D$884,$A714)</f>
        <v>603.53</v>
      </c>
      <c r="L714" s="32" t="n">
        <f aca="false">SUMIFS(Trades!$Y$2:$Y$884,Trades!$D$2:$D$884,$A714)</f>
        <v>2.00574941841143</v>
      </c>
      <c r="M714" s="30" t="n">
        <f aca="false">P713</f>
        <v>115422.51</v>
      </c>
      <c r="N714" s="29" t="n">
        <f aca="false">IFERROR(F714/M714,0)</f>
        <v>0.00522887606585578</v>
      </c>
      <c r="O714" s="28" t="str">
        <f aca="false">IF(-N714&gt;=Summary!$C$7,"BREACH","")</f>
        <v/>
      </c>
      <c r="P714" s="30" t="n">
        <f aca="false">M714+F714</f>
        <v>116026.04</v>
      </c>
      <c r="Q714" s="30" t="n">
        <f aca="false">P714-Summary!$C$5</f>
        <v>16026.0400000001</v>
      </c>
      <c r="R714" s="2" t="str">
        <f aca="false">TEXT(A714,"ddd")</f>
        <v>Mon</v>
      </c>
    </row>
    <row r="715" customFormat="false" ht="15" hidden="false" customHeight="false" outlineLevel="0" collapsed="false">
      <c r="A715" s="42" t="n">
        <v>46189</v>
      </c>
      <c r="B715" s="28" t="n">
        <f aca="false">COUNTIFS(Trades!$D$2:$D$884,$A715)</f>
        <v>1</v>
      </c>
      <c r="C715" s="28" t="n">
        <f aca="false">COUNTIFS(Trades!$D$2:$D$884,$A715,Trades!$Z$2:$Z$884,"Win")</f>
        <v>0</v>
      </c>
      <c r="D715" s="28" t="n">
        <f aca="false">COUNTIFS(Trades!$D$2:$D$884,$A715,Trades!$Z$2:$Z$884,"Loss")</f>
        <v>1</v>
      </c>
      <c r="E715" s="29" t="n">
        <f aca="false">IFERROR(C715/B715,0)</f>
        <v>0</v>
      </c>
      <c r="F715" s="30" t="n">
        <f aca="false">SUMIFS(Trades!$X$2:$X$884,Trades!$D$2:$D$884,$A715)</f>
        <v>-88.13</v>
      </c>
      <c r="G715" s="30" t="n">
        <f aca="false">SUMIFS(Trades!$X$2:$X$884,Trades!$D$2:$D$884,$A715,Trades!$X$2:$X$884,"&gt;0")</f>
        <v>0</v>
      </c>
      <c r="H715" s="30" t="n">
        <f aca="false">SUMIFS(Trades!$X$2:$X$884,Trades!$D$2:$D$884,$A715,Trades!$X$2:$X$884,"&lt;0")</f>
        <v>-88.13</v>
      </c>
      <c r="I715" s="31" t="n">
        <f aca="false">IFERROR(G715/-H715,"no loss")</f>
        <v>0</v>
      </c>
      <c r="J715" s="30" t="n">
        <f aca="false">_xlfn.MAXIFS(Trades!$X$2:$X$884,Trades!$D$2:$D$884,$A715)</f>
        <v>-88.13</v>
      </c>
      <c r="K715" s="30" t="n">
        <f aca="false">_xlfn.MINIFS(Trades!$X$2:$X$884,Trades!$D$2:$D$884,$A715)</f>
        <v>-88.13</v>
      </c>
      <c r="L715" s="32" t="n">
        <f aca="false">SUMIFS(Trades!$Y$2:$Y$884,Trades!$D$2:$D$884,$A715)</f>
        <v>-1.02291192720181</v>
      </c>
      <c r="M715" s="30" t="n">
        <f aca="false">P714</f>
        <v>116026.04</v>
      </c>
      <c r="N715" s="29" t="n">
        <f aca="false">IFERROR(F715/M715,0)</f>
        <v>-0.00075957086874636</v>
      </c>
      <c r="O715" s="28" t="str">
        <f aca="false">IF(-N715&gt;=Summary!$C$7,"BREACH","")</f>
        <v/>
      </c>
      <c r="P715" s="30" t="n">
        <f aca="false">M715+F715</f>
        <v>115937.91</v>
      </c>
      <c r="Q715" s="30" t="n">
        <f aca="false">P715-Summary!$C$5</f>
        <v>15937.9100000001</v>
      </c>
      <c r="R715" s="2" t="str">
        <f aca="false">TEXT(A715,"ddd")</f>
        <v>Tue</v>
      </c>
    </row>
    <row r="716" customFormat="false" ht="15" hidden="false" customHeight="false" outlineLevel="0" collapsed="false">
      <c r="A716" s="42" t="n">
        <v>46190</v>
      </c>
      <c r="B716" s="28" t="n">
        <f aca="false">COUNTIFS(Trades!$D$2:$D$884,$A716)</f>
        <v>1</v>
      </c>
      <c r="C716" s="28" t="n">
        <f aca="false">COUNTIFS(Trades!$D$2:$D$884,$A716,Trades!$Z$2:$Z$884,"Win")</f>
        <v>1</v>
      </c>
      <c r="D716" s="28" t="n">
        <f aca="false">COUNTIFS(Trades!$D$2:$D$884,$A716,Trades!$Z$2:$Z$884,"Loss")</f>
        <v>0</v>
      </c>
      <c r="E716" s="29" t="n">
        <f aca="false">IFERROR(C716/B716,0)</f>
        <v>1</v>
      </c>
      <c r="F716" s="30" t="n">
        <f aca="false">SUMIFS(Trades!$X$2:$X$884,Trades!$D$2:$D$884,$A716)</f>
        <v>566.2</v>
      </c>
      <c r="G716" s="30" t="n">
        <f aca="false">SUMIFS(Trades!$X$2:$X$884,Trades!$D$2:$D$884,$A716,Trades!$X$2:$X$884,"&gt;0")</f>
        <v>566.2</v>
      </c>
      <c r="H716" s="30" t="n">
        <f aca="false">SUMIFS(Trades!$X$2:$X$884,Trades!$D$2:$D$884,$A716,Trades!$X$2:$X$884,"&lt;0")</f>
        <v>0</v>
      </c>
      <c r="I716" s="31" t="str">
        <f aca="false">IFERROR(G716/-H716,"no loss")</f>
        <v>no loss</v>
      </c>
      <c r="J716" s="30" t="n">
        <f aca="false">_xlfn.MAXIFS(Trades!$X$2:$X$884,Trades!$D$2:$D$884,$A716)</f>
        <v>566.2</v>
      </c>
      <c r="K716" s="30" t="n">
        <f aca="false">_xlfn.MINIFS(Trades!$X$2:$X$884,Trades!$D$2:$D$884,$A716)</f>
        <v>566.2</v>
      </c>
      <c r="L716" s="32" t="n">
        <f aca="false">SUMIFS(Trades!$Y$2:$Y$884,Trades!$D$2:$D$884,$A716)</f>
        <v>2.00107440236366</v>
      </c>
      <c r="M716" s="30" t="n">
        <f aca="false">P715</f>
        <v>115937.91</v>
      </c>
      <c r="N716" s="29" t="n">
        <f aca="false">IFERROR(F716/M716,0)</f>
        <v>0.00488364849771744</v>
      </c>
      <c r="O716" s="28" t="str">
        <f aca="false">IF(-N716&gt;=Summary!$C$7,"BREACH","")</f>
        <v/>
      </c>
      <c r="P716" s="30" t="n">
        <f aca="false">M716+F716</f>
        <v>116504.11</v>
      </c>
      <c r="Q716" s="30" t="n">
        <f aca="false">P716-Summary!$C$5</f>
        <v>16504.1100000001</v>
      </c>
      <c r="R716" s="2" t="str">
        <f aca="false">TEXT(A716,"ddd")</f>
        <v>Wed</v>
      </c>
    </row>
    <row r="717" customFormat="false" ht="15" hidden="false" customHeight="false" outlineLevel="0" collapsed="false">
      <c r="A717" s="42" t="n">
        <v>46191</v>
      </c>
      <c r="B717" s="28" t="n">
        <f aca="false">COUNTIFS(Trades!$D$2:$D$884,$A717)</f>
        <v>1</v>
      </c>
      <c r="C717" s="28" t="n">
        <f aca="false">COUNTIFS(Trades!$D$2:$D$884,$A717,Trades!$Z$2:$Z$884,"Win")</f>
        <v>0</v>
      </c>
      <c r="D717" s="28" t="n">
        <f aca="false">COUNTIFS(Trades!$D$2:$D$884,$A717,Trades!$Z$2:$Z$884,"Loss")</f>
        <v>1</v>
      </c>
      <c r="E717" s="29" t="n">
        <f aca="false">IFERROR(C717/B717,0)</f>
        <v>0</v>
      </c>
      <c r="F717" s="30" t="n">
        <f aca="false">SUMIFS(Trades!$X$2:$X$884,Trades!$D$2:$D$884,$A717)</f>
        <v>-121.01</v>
      </c>
      <c r="G717" s="30" t="n">
        <f aca="false">SUMIFS(Trades!$X$2:$X$884,Trades!$D$2:$D$884,$A717,Trades!$X$2:$X$884,"&gt;0")</f>
        <v>0</v>
      </c>
      <c r="H717" s="30" t="n">
        <f aca="false">SUMIFS(Trades!$X$2:$X$884,Trades!$D$2:$D$884,$A717,Trades!$X$2:$X$884,"&lt;0")</f>
        <v>-121.01</v>
      </c>
      <c r="I717" s="31" t="n">
        <f aca="false">IFERROR(G717/-H717,"no loss")</f>
        <v>0</v>
      </c>
      <c r="J717" s="30" t="n">
        <f aca="false">_xlfn.MAXIFS(Trades!$X$2:$X$884,Trades!$D$2:$D$884,$A717)</f>
        <v>-121.01</v>
      </c>
      <c r="K717" s="30" t="n">
        <f aca="false">_xlfn.MINIFS(Trades!$X$2:$X$884,Trades!$D$2:$D$884,$A717)</f>
        <v>-121.01</v>
      </c>
      <c r="L717" s="32" t="n">
        <f aca="false">SUMIFS(Trades!$Y$2:$Y$884,Trades!$D$2:$D$884,$A717)</f>
        <v>-1.00625322223888</v>
      </c>
      <c r="M717" s="30" t="n">
        <f aca="false">P716</f>
        <v>116504.11</v>
      </c>
      <c r="N717" s="29" t="n">
        <f aca="false">IFERROR(F717/M717,0)</f>
        <v>-0.00103867580293948</v>
      </c>
      <c r="O717" s="28" t="str">
        <f aca="false">IF(-N717&gt;=Summary!$C$7,"BREACH","")</f>
        <v/>
      </c>
      <c r="P717" s="30" t="n">
        <f aca="false">M717+F717</f>
        <v>116383.1</v>
      </c>
      <c r="Q717" s="30" t="n">
        <f aca="false">P717-Summary!$C$5</f>
        <v>16383.1000000001</v>
      </c>
      <c r="R717" s="2" t="str">
        <f aca="false">TEXT(A717,"ddd")</f>
        <v>Thu</v>
      </c>
    </row>
    <row r="718" customFormat="false" ht="15" hidden="false" customHeight="false" outlineLevel="0" collapsed="false">
      <c r="A718" s="42" t="n">
        <v>46195</v>
      </c>
      <c r="B718" s="28" t="n">
        <f aca="false">COUNTIFS(Trades!$D$2:$D$884,$A718)</f>
        <v>2</v>
      </c>
      <c r="C718" s="28" t="n">
        <f aca="false">COUNTIFS(Trades!$D$2:$D$884,$A718,Trades!$Z$2:$Z$884,"Win")</f>
        <v>0</v>
      </c>
      <c r="D718" s="28" t="n">
        <f aca="false">COUNTIFS(Trades!$D$2:$D$884,$A718,Trades!$Z$2:$Z$884,"Loss")</f>
        <v>2</v>
      </c>
      <c r="E718" s="29" t="n">
        <f aca="false">IFERROR(C718/B718,0)</f>
        <v>0</v>
      </c>
      <c r="F718" s="30" t="n">
        <f aca="false">SUMIFS(Trades!$X$2:$X$884,Trades!$D$2:$D$884,$A718)</f>
        <v>-64.39</v>
      </c>
      <c r="G718" s="30" t="n">
        <f aca="false">SUMIFS(Trades!$X$2:$X$884,Trades!$D$2:$D$884,$A718,Trades!$X$2:$X$884,"&gt;0")</f>
        <v>0</v>
      </c>
      <c r="H718" s="30" t="n">
        <f aca="false">SUMIFS(Trades!$X$2:$X$884,Trades!$D$2:$D$884,$A718,Trades!$X$2:$X$884,"&lt;0")</f>
        <v>-64.39</v>
      </c>
      <c r="I718" s="31" t="n">
        <f aca="false">IFERROR(G718/-H718,"no loss")</f>
        <v>0</v>
      </c>
      <c r="J718" s="30" t="n">
        <f aca="false">_xlfn.MAXIFS(Trades!$X$2:$X$884,Trades!$D$2:$D$884,$A718)</f>
        <v>-1.46</v>
      </c>
      <c r="K718" s="30" t="n">
        <f aca="false">_xlfn.MINIFS(Trades!$X$2:$X$884,Trades!$D$2:$D$884,$A718)</f>
        <v>-62.93</v>
      </c>
      <c r="L718" s="32" t="n">
        <f aca="false">SUMIFS(Trades!$Y$2:$Y$884,Trades!$D$2:$D$884,$A718)</f>
        <v>-1.01453068297126</v>
      </c>
      <c r="M718" s="30" t="n">
        <f aca="false">P717</f>
        <v>116383.1</v>
      </c>
      <c r="N718" s="29" t="n">
        <f aca="false">IFERROR(F718/M718,0)</f>
        <v>-0.000553259021284018</v>
      </c>
      <c r="O718" s="28" t="str">
        <f aca="false">IF(-N718&gt;=Summary!$C$7,"BREACH","")</f>
        <v/>
      </c>
      <c r="P718" s="30" t="n">
        <f aca="false">M718+F718</f>
        <v>116318.71</v>
      </c>
      <c r="Q718" s="30" t="n">
        <f aca="false">P718-Summary!$C$5</f>
        <v>16318.7100000001</v>
      </c>
      <c r="R718" s="2" t="str">
        <f aca="false">TEXT(A718,"ddd")</f>
        <v>Mon</v>
      </c>
    </row>
    <row r="719" customFormat="false" ht="15" hidden="false" customHeight="false" outlineLevel="0" collapsed="false">
      <c r="A719" s="42" t="n">
        <v>46196</v>
      </c>
      <c r="B719" s="28" t="n">
        <f aca="false">COUNTIFS(Trades!$D$2:$D$884,$A719)</f>
        <v>1</v>
      </c>
      <c r="C719" s="28" t="n">
        <f aca="false">COUNTIFS(Trades!$D$2:$D$884,$A719,Trades!$Z$2:$Z$884,"Win")</f>
        <v>0</v>
      </c>
      <c r="D719" s="28" t="n">
        <f aca="false">COUNTIFS(Trades!$D$2:$D$884,$A719,Trades!$Z$2:$Z$884,"Loss")</f>
        <v>1</v>
      </c>
      <c r="E719" s="29" t="n">
        <f aca="false">IFERROR(C719/B719,0)</f>
        <v>0</v>
      </c>
      <c r="F719" s="30" t="n">
        <f aca="false">SUMIFS(Trades!$X$2:$X$884,Trades!$D$2:$D$884,$A719)</f>
        <v>-90.58</v>
      </c>
      <c r="G719" s="30" t="n">
        <f aca="false">SUMIFS(Trades!$X$2:$X$884,Trades!$D$2:$D$884,$A719,Trades!$X$2:$X$884,"&gt;0")</f>
        <v>0</v>
      </c>
      <c r="H719" s="30" t="n">
        <f aca="false">SUMIFS(Trades!$X$2:$X$884,Trades!$D$2:$D$884,$A719,Trades!$X$2:$X$884,"&lt;0")</f>
        <v>-90.58</v>
      </c>
      <c r="I719" s="31" t="n">
        <f aca="false">IFERROR(G719/-H719,"no loss")</f>
        <v>0</v>
      </c>
      <c r="J719" s="30" t="n">
        <f aca="false">_xlfn.MAXIFS(Trades!$X$2:$X$884,Trades!$D$2:$D$884,$A719)</f>
        <v>-90.58</v>
      </c>
      <c r="K719" s="30" t="n">
        <f aca="false">_xlfn.MINIFS(Trades!$X$2:$X$884,Trades!$D$2:$D$884,$A719)</f>
        <v>-90.58</v>
      </c>
      <c r="L719" s="32" t="n">
        <f aca="false">SUMIFS(Trades!$Y$2:$Y$884,Trades!$D$2:$D$884,$A719)</f>
        <v>-1.01143418643083</v>
      </c>
      <c r="M719" s="30" t="n">
        <f aca="false">P718</f>
        <v>116318.71</v>
      </c>
      <c r="N719" s="29" t="n">
        <f aca="false">IFERROR(F719/M719,0)</f>
        <v>-0.00077872252881759</v>
      </c>
      <c r="O719" s="28" t="str">
        <f aca="false">IF(-N719&gt;=Summary!$C$7,"BREACH","")</f>
        <v/>
      </c>
      <c r="P719" s="30" t="n">
        <f aca="false">M719+F719</f>
        <v>116228.13</v>
      </c>
      <c r="Q719" s="30" t="n">
        <f aca="false">P719-Summary!$C$5</f>
        <v>16228.1300000001</v>
      </c>
      <c r="R719" s="2" t="str">
        <f aca="false">TEXT(A719,"ddd")</f>
        <v>Tue</v>
      </c>
    </row>
    <row r="720" customFormat="false" ht="15" hidden="false" customHeight="false" outlineLevel="0" collapsed="false">
      <c r="A720" s="42" t="n">
        <v>46197</v>
      </c>
      <c r="B720" s="28" t="n">
        <f aca="false">COUNTIFS(Trades!$D$2:$D$884,$A720)</f>
        <v>1</v>
      </c>
      <c r="C720" s="28" t="n">
        <f aca="false">COUNTIFS(Trades!$D$2:$D$884,$A720,Trades!$Z$2:$Z$884,"Win")</f>
        <v>0</v>
      </c>
      <c r="D720" s="28" t="n">
        <f aca="false">COUNTIFS(Trades!$D$2:$D$884,$A720,Trades!$Z$2:$Z$884,"Loss")</f>
        <v>1</v>
      </c>
      <c r="E720" s="29" t="n">
        <f aca="false">IFERROR(C720/B720,0)</f>
        <v>0</v>
      </c>
      <c r="F720" s="30" t="n">
        <f aca="false">SUMIFS(Trades!$X$2:$X$884,Trades!$D$2:$D$884,$A720)</f>
        <v>-306.65</v>
      </c>
      <c r="G720" s="30" t="n">
        <f aca="false">SUMIFS(Trades!$X$2:$X$884,Trades!$D$2:$D$884,$A720,Trades!$X$2:$X$884,"&gt;0")</f>
        <v>0</v>
      </c>
      <c r="H720" s="30" t="n">
        <f aca="false">SUMIFS(Trades!$X$2:$X$884,Trades!$D$2:$D$884,$A720,Trades!$X$2:$X$884,"&lt;0")</f>
        <v>-306.65</v>
      </c>
      <c r="I720" s="31" t="n">
        <f aca="false">IFERROR(G720/-H720,"no loss")</f>
        <v>0</v>
      </c>
      <c r="J720" s="30" t="n">
        <f aca="false">_xlfn.MAXIFS(Trades!$X$2:$X$884,Trades!$D$2:$D$884,$A720)</f>
        <v>-306.65</v>
      </c>
      <c r="K720" s="30" t="n">
        <f aca="false">_xlfn.MINIFS(Trades!$X$2:$X$884,Trades!$D$2:$D$884,$A720)</f>
        <v>-306.65</v>
      </c>
      <c r="L720" s="32" t="n">
        <f aca="false">SUMIFS(Trades!$Y$2:$Y$884,Trades!$D$2:$D$884,$A720)</f>
        <v>-1.00190153822026</v>
      </c>
      <c r="M720" s="30" t="n">
        <f aca="false">P719</f>
        <v>116228.13</v>
      </c>
      <c r="N720" s="29" t="n">
        <f aca="false">IFERROR(F720/M720,0)</f>
        <v>-0.00263834581180993</v>
      </c>
      <c r="O720" s="28" t="str">
        <f aca="false">IF(-N720&gt;=Summary!$C$7,"BREACH","")</f>
        <v/>
      </c>
      <c r="P720" s="30" t="n">
        <f aca="false">M720+F720</f>
        <v>115921.48</v>
      </c>
      <c r="Q720" s="30" t="n">
        <f aca="false">P720-Summary!$C$5</f>
        <v>15921.4800000001</v>
      </c>
      <c r="R720" s="2" t="str">
        <f aca="false">TEXT(A720,"ddd")</f>
        <v>Wed</v>
      </c>
    </row>
    <row r="721" customFormat="false" ht="15" hidden="false" customHeight="false" outlineLevel="0" collapsed="false">
      <c r="A721" s="42" t="n">
        <v>46198</v>
      </c>
      <c r="B721" s="28" t="n">
        <f aca="false">COUNTIFS(Trades!$D$2:$D$884,$A721)</f>
        <v>1</v>
      </c>
      <c r="C721" s="28" t="n">
        <f aca="false">COUNTIFS(Trades!$D$2:$D$884,$A721,Trades!$Z$2:$Z$884,"Win")</f>
        <v>0</v>
      </c>
      <c r="D721" s="28" t="n">
        <f aca="false">COUNTIFS(Trades!$D$2:$D$884,$A721,Trades!$Z$2:$Z$884,"Loss")</f>
        <v>1</v>
      </c>
      <c r="E721" s="29" t="n">
        <f aca="false">IFERROR(C721/B721,0)</f>
        <v>0</v>
      </c>
      <c r="F721" s="30" t="n">
        <f aca="false">SUMIFS(Trades!$X$2:$X$884,Trades!$D$2:$D$884,$A721)</f>
        <v>-439.86</v>
      </c>
      <c r="G721" s="30" t="n">
        <f aca="false">SUMIFS(Trades!$X$2:$X$884,Trades!$D$2:$D$884,$A721,Trades!$X$2:$X$884,"&gt;0")</f>
        <v>0</v>
      </c>
      <c r="H721" s="30" t="n">
        <f aca="false">SUMIFS(Trades!$X$2:$X$884,Trades!$D$2:$D$884,$A721,Trades!$X$2:$X$884,"&lt;0")</f>
        <v>-439.86</v>
      </c>
      <c r="I721" s="31" t="n">
        <f aca="false">IFERROR(G721/-H721,"no loss")</f>
        <v>0</v>
      </c>
      <c r="J721" s="30" t="n">
        <f aca="false">_xlfn.MAXIFS(Trades!$X$2:$X$884,Trades!$D$2:$D$884,$A721)</f>
        <v>-439.86</v>
      </c>
      <c r="K721" s="30" t="n">
        <f aca="false">_xlfn.MINIFS(Trades!$X$2:$X$884,Trades!$D$2:$D$884,$A721)</f>
        <v>-439.86</v>
      </c>
      <c r="L721" s="32" t="n">
        <f aca="false">SUMIFS(Trades!$Y$2:$Y$884,Trades!$D$2:$D$884,$A721)</f>
        <v>-1.01435305186838</v>
      </c>
      <c r="M721" s="30" t="n">
        <f aca="false">P720</f>
        <v>115921.48</v>
      </c>
      <c r="N721" s="29" t="n">
        <f aca="false">IFERROR(F721/M721,0)</f>
        <v>-0.0037944650120064</v>
      </c>
      <c r="O721" s="28" t="str">
        <f aca="false">IF(-N721&gt;=Summary!$C$7,"BREACH","")</f>
        <v/>
      </c>
      <c r="P721" s="30" t="n">
        <f aca="false">M721+F721</f>
        <v>115481.62</v>
      </c>
      <c r="Q721" s="30" t="n">
        <f aca="false">P721-Summary!$C$5</f>
        <v>15481.6200000001</v>
      </c>
      <c r="R721" s="2" t="str">
        <f aca="false">TEXT(A721,"ddd")</f>
        <v>Thu</v>
      </c>
    </row>
    <row r="722" customFormat="false" ht="15" hidden="false" customHeight="false" outlineLevel="0" collapsed="false">
      <c r="A722" s="42" t="n">
        <v>46199</v>
      </c>
      <c r="B722" s="28" t="n">
        <f aca="false">COUNTIFS(Trades!$D$2:$D$884,$A722)</f>
        <v>1</v>
      </c>
      <c r="C722" s="28" t="n">
        <f aca="false">COUNTIFS(Trades!$D$2:$D$884,$A722,Trades!$Z$2:$Z$884,"Win")</f>
        <v>1</v>
      </c>
      <c r="D722" s="28" t="n">
        <f aca="false">COUNTIFS(Trades!$D$2:$D$884,$A722,Trades!$Z$2:$Z$884,"Loss")</f>
        <v>0</v>
      </c>
      <c r="E722" s="29" t="n">
        <f aca="false">IFERROR(C722/B722,0)</f>
        <v>1</v>
      </c>
      <c r="F722" s="30" t="n">
        <f aca="false">SUMIFS(Trades!$X$2:$X$884,Trades!$D$2:$D$884,$A722)</f>
        <v>262.28</v>
      </c>
      <c r="G722" s="30" t="n">
        <f aca="false">SUMIFS(Trades!$X$2:$X$884,Trades!$D$2:$D$884,$A722,Trades!$X$2:$X$884,"&gt;0")</f>
        <v>262.28</v>
      </c>
      <c r="H722" s="30" t="n">
        <f aca="false">SUMIFS(Trades!$X$2:$X$884,Trades!$D$2:$D$884,$A722,Trades!$X$2:$X$884,"&lt;0")</f>
        <v>0</v>
      </c>
      <c r="I722" s="31" t="str">
        <f aca="false">IFERROR(G722/-H722,"no loss")</f>
        <v>no loss</v>
      </c>
      <c r="J722" s="30" t="n">
        <f aca="false">_xlfn.MAXIFS(Trades!$X$2:$X$884,Trades!$D$2:$D$884,$A722)</f>
        <v>262.28</v>
      </c>
      <c r="K722" s="30" t="n">
        <f aca="false">_xlfn.MINIFS(Trades!$X$2:$X$884,Trades!$D$2:$D$884,$A722)</f>
        <v>262.28</v>
      </c>
      <c r="L722" s="32" t="n">
        <f aca="false">SUMIFS(Trades!$Y$2:$Y$884,Trades!$D$2:$D$884,$A722)</f>
        <v>2.01202859860688</v>
      </c>
      <c r="M722" s="30" t="n">
        <f aca="false">P721</f>
        <v>115481.62</v>
      </c>
      <c r="N722" s="29" t="n">
        <f aca="false">IFERROR(F722/M722,0)</f>
        <v>0.00227118393385891</v>
      </c>
      <c r="O722" s="28" t="str">
        <f aca="false">IF(-N722&gt;=Summary!$C$7,"BREACH","")</f>
        <v/>
      </c>
      <c r="P722" s="30" t="n">
        <f aca="false">M722+F722</f>
        <v>115743.9</v>
      </c>
      <c r="Q722" s="30" t="n">
        <f aca="false">P722-Summary!$C$5</f>
        <v>15743.9000000001</v>
      </c>
      <c r="R722" s="2" t="str">
        <f aca="false">TEXT(A722,"ddd")</f>
        <v>Fri</v>
      </c>
    </row>
    <row r="723" customFormat="false" ht="15" hidden="false" customHeight="false" outlineLevel="0" collapsed="false">
      <c r="A723" s="42" t="n">
        <v>46202</v>
      </c>
      <c r="B723" s="28" t="n">
        <f aca="false">COUNTIFS(Trades!$D$2:$D$884,$A723)</f>
        <v>1</v>
      </c>
      <c r="C723" s="28" t="n">
        <f aca="false">COUNTIFS(Trades!$D$2:$D$884,$A723,Trades!$Z$2:$Z$884,"Win")</f>
        <v>0</v>
      </c>
      <c r="D723" s="28" t="n">
        <f aca="false">COUNTIFS(Trades!$D$2:$D$884,$A723,Trades!$Z$2:$Z$884,"Loss")</f>
        <v>1</v>
      </c>
      <c r="E723" s="29" t="n">
        <f aca="false">IFERROR(C723/B723,0)</f>
        <v>0</v>
      </c>
      <c r="F723" s="30" t="n">
        <f aca="false">SUMIFS(Trades!$X$2:$X$884,Trades!$D$2:$D$884,$A723)</f>
        <v>-113.66</v>
      </c>
      <c r="G723" s="30" t="n">
        <f aca="false">SUMIFS(Trades!$X$2:$X$884,Trades!$D$2:$D$884,$A723,Trades!$X$2:$X$884,"&gt;0")</f>
        <v>0</v>
      </c>
      <c r="H723" s="30" t="n">
        <f aca="false">SUMIFS(Trades!$X$2:$X$884,Trades!$D$2:$D$884,$A723,Trades!$X$2:$X$884,"&lt;0")</f>
        <v>-113.66</v>
      </c>
      <c r="I723" s="31" t="n">
        <f aca="false">IFERROR(G723/-H723,"no loss")</f>
        <v>0</v>
      </c>
      <c r="J723" s="30" t="n">
        <f aca="false">_xlfn.MAXIFS(Trades!$X$2:$X$884,Trades!$D$2:$D$884,$A723)</f>
        <v>-113.66</v>
      </c>
      <c r="K723" s="30" t="n">
        <f aca="false">_xlfn.MINIFS(Trades!$X$2:$X$884,Trades!$D$2:$D$884,$A723)</f>
        <v>-113.66</v>
      </c>
      <c r="L723" s="32" t="n">
        <f aca="false">SUMIFS(Trades!$Y$2:$Y$884,Trades!$D$2:$D$884,$A723)</f>
        <v>-1.03850300604869</v>
      </c>
      <c r="M723" s="30" t="n">
        <f aca="false">P722</f>
        <v>115743.9</v>
      </c>
      <c r="N723" s="29" t="n">
        <f aca="false">IFERROR(F723/M723,0)</f>
        <v>-0.000981995595448226</v>
      </c>
      <c r="O723" s="28" t="str">
        <f aca="false">IF(-N723&gt;=Summary!$C$7,"BREACH","")</f>
        <v/>
      </c>
      <c r="P723" s="30" t="n">
        <f aca="false">M723+F723</f>
        <v>115630.24</v>
      </c>
      <c r="Q723" s="30" t="n">
        <f aca="false">P723-Summary!$C$5</f>
        <v>15630.2400000001</v>
      </c>
      <c r="R723" s="2" t="str">
        <f aca="false">TEXT(A723,"ddd")</f>
        <v>Mon</v>
      </c>
    </row>
    <row r="724" customFormat="false" ht="15" hidden="false" customHeight="false" outlineLevel="0" collapsed="false">
      <c r="A724" s="42" t="n">
        <v>46203</v>
      </c>
      <c r="B724" s="28" t="n">
        <f aca="false">COUNTIFS(Trades!$D$2:$D$884,$A724)</f>
        <v>1</v>
      </c>
      <c r="C724" s="28" t="n">
        <f aca="false">COUNTIFS(Trades!$D$2:$D$884,$A724,Trades!$Z$2:$Z$884,"Win")</f>
        <v>0</v>
      </c>
      <c r="D724" s="28" t="n">
        <f aca="false">COUNTIFS(Trades!$D$2:$D$884,$A724,Trades!$Z$2:$Z$884,"Loss")</f>
        <v>1</v>
      </c>
      <c r="E724" s="29" t="n">
        <f aca="false">IFERROR(C724/B724,0)</f>
        <v>0</v>
      </c>
      <c r="F724" s="30" t="n">
        <f aca="false">SUMIFS(Trades!$X$2:$X$884,Trades!$D$2:$D$884,$A724)</f>
        <v>-117.81</v>
      </c>
      <c r="G724" s="30" t="n">
        <f aca="false">SUMIFS(Trades!$X$2:$X$884,Trades!$D$2:$D$884,$A724,Trades!$X$2:$X$884,"&gt;0")</f>
        <v>0</v>
      </c>
      <c r="H724" s="30" t="n">
        <f aca="false">SUMIFS(Trades!$X$2:$X$884,Trades!$D$2:$D$884,$A724,Trades!$X$2:$X$884,"&lt;0")</f>
        <v>-117.81</v>
      </c>
      <c r="I724" s="31" t="n">
        <f aca="false">IFERROR(G724/-H724,"no loss")</f>
        <v>0</v>
      </c>
      <c r="J724" s="30" t="n">
        <f aca="false">_xlfn.MAXIFS(Trades!$X$2:$X$884,Trades!$D$2:$D$884,$A724)</f>
        <v>-117.81</v>
      </c>
      <c r="K724" s="30" t="n">
        <f aca="false">_xlfn.MINIFS(Trades!$X$2:$X$884,Trades!$D$2:$D$884,$A724)</f>
        <v>-117.81</v>
      </c>
      <c r="L724" s="32" t="n">
        <f aca="false">SUMIFS(Trades!$Y$2:$Y$884,Trades!$D$2:$D$884,$A724)</f>
        <v>-1.00844004656576</v>
      </c>
      <c r="M724" s="30" t="n">
        <f aca="false">P723</f>
        <v>115630.24</v>
      </c>
      <c r="N724" s="29" t="n">
        <f aca="false">IFERROR(F724/M724,0)</f>
        <v>-0.00101885112406581</v>
      </c>
      <c r="O724" s="28" t="str">
        <f aca="false">IF(-N724&gt;=Summary!$C$7,"BREACH","")</f>
        <v/>
      </c>
      <c r="P724" s="30" t="n">
        <f aca="false">M724+F724</f>
        <v>115512.43</v>
      </c>
      <c r="Q724" s="30" t="n">
        <f aca="false">P724-Summary!$C$5</f>
        <v>15512.4300000001</v>
      </c>
      <c r="R724" s="2" t="str">
        <f aca="false">TEXT(A724,"ddd")</f>
        <v>Tue</v>
      </c>
    </row>
    <row r="725" customFormat="false" ht="15" hidden="false" customHeight="false" outlineLevel="0" collapsed="false">
      <c r="A725" s="42" t="n">
        <v>46205</v>
      </c>
      <c r="B725" s="28" t="n">
        <f aca="false">COUNTIFS(Trades!$D$2:$D$884,$A725)</f>
        <v>1</v>
      </c>
      <c r="C725" s="28" t="n">
        <f aca="false">COUNTIFS(Trades!$D$2:$D$884,$A725,Trades!$Z$2:$Z$884,"Win")</f>
        <v>0</v>
      </c>
      <c r="D725" s="28" t="n">
        <f aca="false">COUNTIFS(Trades!$D$2:$D$884,$A725,Trades!$Z$2:$Z$884,"Loss")</f>
        <v>1</v>
      </c>
      <c r="E725" s="29" t="n">
        <f aca="false">IFERROR(C725/B725,0)</f>
        <v>0</v>
      </c>
      <c r="F725" s="30" t="n">
        <f aca="false">SUMIFS(Trades!$X$2:$X$884,Trades!$D$2:$D$884,$A725)</f>
        <v>-117.78</v>
      </c>
      <c r="G725" s="30" t="n">
        <f aca="false">SUMIFS(Trades!$X$2:$X$884,Trades!$D$2:$D$884,$A725,Trades!$X$2:$X$884,"&gt;0")</f>
        <v>0</v>
      </c>
      <c r="H725" s="30" t="n">
        <f aca="false">SUMIFS(Trades!$X$2:$X$884,Trades!$D$2:$D$884,$A725,Trades!$X$2:$X$884,"&lt;0")</f>
        <v>-117.78</v>
      </c>
      <c r="I725" s="31" t="n">
        <f aca="false">IFERROR(G725/-H725,"no loss")</f>
        <v>0</v>
      </c>
      <c r="J725" s="30" t="n">
        <f aca="false">_xlfn.MAXIFS(Trades!$X$2:$X$884,Trades!$D$2:$D$884,$A725)</f>
        <v>-117.78</v>
      </c>
      <c r="K725" s="30" t="n">
        <f aca="false">_xlfn.MINIFS(Trades!$X$2:$X$884,Trades!$D$2:$D$884,$A725)</f>
        <v>-117.78</v>
      </c>
      <c r="L725" s="32" t="n">
        <f aca="false">SUMIFS(Trades!$Y$2:$Y$884,Trades!$D$2:$D$884,$A725)</f>
        <v>-1.00525758765483</v>
      </c>
      <c r="M725" s="30" t="n">
        <f aca="false">P724</f>
        <v>115512.43</v>
      </c>
      <c r="N725" s="29" t="n">
        <f aca="false">IFERROR(F725/M725,0)</f>
        <v>-0.0010196305280739</v>
      </c>
      <c r="O725" s="28" t="str">
        <f aca="false">IF(-N725&gt;=Summary!$C$7,"BREACH","")</f>
        <v/>
      </c>
      <c r="P725" s="30" t="n">
        <f aca="false">M725+F725</f>
        <v>115394.65</v>
      </c>
      <c r="Q725" s="30" t="n">
        <f aca="false">P725-Summary!$C$5</f>
        <v>15394.6500000001</v>
      </c>
      <c r="R725" s="2" t="str">
        <f aca="false">TEXT(A725,"ddd")</f>
        <v>Thu</v>
      </c>
    </row>
    <row r="726" customFormat="false" ht="15" hidden="false" customHeight="false" outlineLevel="0" collapsed="false">
      <c r="A726" s="42" t="n">
        <v>46209</v>
      </c>
      <c r="B726" s="28" t="n">
        <f aca="false">COUNTIFS(Trades!$D$2:$D$884,$A726)</f>
        <v>1</v>
      </c>
      <c r="C726" s="28" t="n">
        <f aca="false">COUNTIFS(Trades!$D$2:$D$884,$A726,Trades!$Z$2:$Z$884,"Win")</f>
        <v>0</v>
      </c>
      <c r="D726" s="28" t="n">
        <f aca="false">COUNTIFS(Trades!$D$2:$D$884,$A726,Trades!$Z$2:$Z$884,"Loss")</f>
        <v>1</v>
      </c>
      <c r="E726" s="29" t="n">
        <f aca="false">IFERROR(C726/B726,0)</f>
        <v>0</v>
      </c>
      <c r="F726" s="30" t="n">
        <f aca="false">SUMIFS(Trades!$X$2:$X$884,Trades!$D$2:$D$884,$A726)</f>
        <v>-0.99</v>
      </c>
      <c r="G726" s="30" t="n">
        <f aca="false">SUMIFS(Trades!$X$2:$X$884,Trades!$D$2:$D$884,$A726,Trades!$X$2:$X$884,"&gt;0")</f>
        <v>0</v>
      </c>
      <c r="H726" s="30" t="n">
        <f aca="false">SUMIFS(Trades!$X$2:$X$884,Trades!$D$2:$D$884,$A726,Trades!$X$2:$X$884,"&lt;0")</f>
        <v>-0.99</v>
      </c>
      <c r="I726" s="31" t="n">
        <f aca="false">IFERROR(G726/-H726,"no loss")</f>
        <v>0</v>
      </c>
      <c r="J726" s="30" t="n">
        <f aca="false">_xlfn.MAXIFS(Trades!$X$2:$X$884,Trades!$D$2:$D$884,$A726)</f>
        <v>-0.99</v>
      </c>
      <c r="K726" s="30" t="n">
        <f aca="false">_xlfn.MINIFS(Trades!$X$2:$X$884,Trades!$D$2:$D$884,$A726)</f>
        <v>-0.99</v>
      </c>
      <c r="L726" s="32" t="n">
        <f aca="false">SUMIFS(Trades!$Y$2:$Y$884,Trades!$D$2:$D$884,$A726)</f>
        <v>-0.0133874239350913</v>
      </c>
      <c r="M726" s="30" t="n">
        <f aca="false">P725</f>
        <v>115394.65</v>
      </c>
      <c r="N726" s="29" t="n">
        <f aca="false">IFERROR(F726/M726,0)</f>
        <v>-8.57925389088661E-006</v>
      </c>
      <c r="O726" s="28" t="str">
        <f aca="false">IF(-N726&gt;=Summary!$C$7,"BREACH","")</f>
        <v/>
      </c>
      <c r="P726" s="30" t="n">
        <f aca="false">M726+F726</f>
        <v>115393.66</v>
      </c>
      <c r="Q726" s="30" t="n">
        <f aca="false">P726-Summary!$C$5</f>
        <v>15393.6600000001</v>
      </c>
      <c r="R726" s="2" t="str">
        <f aca="false">TEXT(A726,"ddd")</f>
        <v>Mon</v>
      </c>
    </row>
    <row r="727" customFormat="false" ht="15" hidden="false" customHeight="false" outlineLevel="0" collapsed="false">
      <c r="A727" s="42" t="n">
        <v>46210</v>
      </c>
      <c r="B727" s="28" t="n">
        <f aca="false">COUNTIFS(Trades!$D$2:$D$884,$A727)</f>
        <v>1</v>
      </c>
      <c r="C727" s="28" t="n">
        <f aca="false">COUNTIFS(Trades!$D$2:$D$884,$A727,Trades!$Z$2:$Z$884,"Win")</f>
        <v>1</v>
      </c>
      <c r="D727" s="28" t="n">
        <f aca="false">COUNTIFS(Trades!$D$2:$D$884,$A727,Trades!$Z$2:$Z$884,"Loss")</f>
        <v>0</v>
      </c>
      <c r="E727" s="29" t="n">
        <f aca="false">IFERROR(C727/B727,0)</f>
        <v>1</v>
      </c>
      <c r="F727" s="30" t="n">
        <f aca="false">SUMIFS(Trades!$X$2:$X$884,Trades!$D$2:$D$884,$A727)</f>
        <v>179.38</v>
      </c>
      <c r="G727" s="30" t="n">
        <f aca="false">SUMIFS(Trades!$X$2:$X$884,Trades!$D$2:$D$884,$A727,Trades!$X$2:$X$884,"&gt;0")</f>
        <v>179.38</v>
      </c>
      <c r="H727" s="30" t="n">
        <f aca="false">SUMIFS(Trades!$X$2:$X$884,Trades!$D$2:$D$884,$A727,Trades!$X$2:$X$884,"&lt;0")</f>
        <v>0</v>
      </c>
      <c r="I727" s="31" t="str">
        <f aca="false">IFERROR(G727/-H727,"no loss")</f>
        <v>no loss</v>
      </c>
      <c r="J727" s="30" t="n">
        <f aca="false">_xlfn.MAXIFS(Trades!$X$2:$X$884,Trades!$D$2:$D$884,$A727)</f>
        <v>179.38</v>
      </c>
      <c r="K727" s="30" t="n">
        <f aca="false">_xlfn.MINIFS(Trades!$X$2:$X$884,Trades!$D$2:$D$884,$A727)</f>
        <v>179.38</v>
      </c>
      <c r="L727" s="32" t="n">
        <f aca="false">SUMIFS(Trades!$Y$2:$Y$884,Trades!$D$2:$D$884,$A727)</f>
        <v>2.09443523340272</v>
      </c>
      <c r="M727" s="30" t="n">
        <f aca="false">P726</f>
        <v>115393.66</v>
      </c>
      <c r="N727" s="29" t="n">
        <f aca="false">IFERROR(F727/M727,0)</f>
        <v>0.00155450481421596</v>
      </c>
      <c r="O727" s="28" t="str">
        <f aca="false">IF(-N727&gt;=Summary!$C$7,"BREACH","")</f>
        <v/>
      </c>
      <c r="P727" s="30" t="n">
        <f aca="false">M727+F727</f>
        <v>115573.04</v>
      </c>
      <c r="Q727" s="30" t="n">
        <f aca="false">P727-Summary!$C$5</f>
        <v>15573.0400000001</v>
      </c>
      <c r="R727" s="2" t="str">
        <f aca="false">TEXT(A727,"ddd")</f>
        <v>Tue</v>
      </c>
    </row>
    <row r="728" customFormat="false" ht="15" hidden="false" customHeight="false" outlineLevel="0" collapsed="false">
      <c r="A728" s="42" t="n">
        <v>46211</v>
      </c>
      <c r="B728" s="28" t="n">
        <f aca="false">COUNTIFS(Trades!$D$2:$D$884,$A728)</f>
        <v>1</v>
      </c>
      <c r="C728" s="28" t="n">
        <f aca="false">COUNTIFS(Trades!$D$2:$D$884,$A728,Trades!$Z$2:$Z$884,"Win")</f>
        <v>1</v>
      </c>
      <c r="D728" s="28" t="n">
        <f aca="false">COUNTIFS(Trades!$D$2:$D$884,$A728,Trades!$Z$2:$Z$884,"Loss")</f>
        <v>0</v>
      </c>
      <c r="E728" s="29" t="n">
        <f aca="false">IFERROR(C728/B728,0)</f>
        <v>1</v>
      </c>
      <c r="F728" s="30" t="n">
        <f aca="false">SUMIFS(Trades!$X$2:$X$884,Trades!$D$2:$D$884,$A728)</f>
        <v>574.63</v>
      </c>
      <c r="G728" s="30" t="n">
        <f aca="false">SUMIFS(Trades!$X$2:$X$884,Trades!$D$2:$D$884,$A728,Trades!$X$2:$X$884,"&gt;0")</f>
        <v>574.63</v>
      </c>
      <c r="H728" s="30" t="n">
        <f aca="false">SUMIFS(Trades!$X$2:$X$884,Trades!$D$2:$D$884,$A728,Trades!$X$2:$X$884,"&lt;0")</f>
        <v>0</v>
      </c>
      <c r="I728" s="31" t="str">
        <f aca="false">IFERROR(G728/-H728,"no loss")</f>
        <v>no loss</v>
      </c>
      <c r="J728" s="30" t="n">
        <f aca="false">_xlfn.MAXIFS(Trades!$X$2:$X$884,Trades!$D$2:$D$884,$A728)</f>
        <v>574.63</v>
      </c>
      <c r="K728" s="30" t="n">
        <f aca="false">_xlfn.MINIFS(Trades!$X$2:$X$884,Trades!$D$2:$D$884,$A728)</f>
        <v>574.63</v>
      </c>
      <c r="L728" s="32" t="n">
        <f aca="false">SUMIFS(Trades!$Y$2:$Y$884,Trades!$D$2:$D$884,$A728)</f>
        <v>1.88080150822847</v>
      </c>
      <c r="M728" s="30" t="n">
        <f aca="false">P727</f>
        <v>115573.04</v>
      </c>
      <c r="N728" s="29" t="n">
        <f aca="false">IFERROR(F728/M728,0)</f>
        <v>0.00497200731243203</v>
      </c>
      <c r="O728" s="28" t="str">
        <f aca="false">IF(-N728&gt;=Summary!$C$7,"BREACH","")</f>
        <v/>
      </c>
      <c r="P728" s="30" t="n">
        <f aca="false">M728+F728</f>
        <v>116147.67</v>
      </c>
      <c r="Q728" s="30" t="n">
        <f aca="false">P728-Summary!$C$5</f>
        <v>16147.6700000001</v>
      </c>
      <c r="R728" s="2" t="str">
        <f aca="false">TEXT(A728,"ddd")</f>
        <v>Wed</v>
      </c>
    </row>
    <row r="729" customFormat="false" ht="15" hidden="false" customHeight="false" outlineLevel="0" collapsed="false">
      <c r="A729" s="42" t="n">
        <v>46212</v>
      </c>
      <c r="B729" s="28" t="n">
        <f aca="false">COUNTIFS(Trades!$D$2:$D$884,$A729)</f>
        <v>1</v>
      </c>
      <c r="C729" s="28" t="n">
        <f aca="false">COUNTIFS(Trades!$D$2:$D$884,$A729,Trades!$Z$2:$Z$884,"Win")</f>
        <v>0</v>
      </c>
      <c r="D729" s="28" t="n">
        <f aca="false">COUNTIFS(Trades!$D$2:$D$884,$A729,Trades!$Z$2:$Z$884,"Loss")</f>
        <v>1</v>
      </c>
      <c r="E729" s="29" t="n">
        <f aca="false">IFERROR(C729/B729,0)</f>
        <v>0</v>
      </c>
      <c r="F729" s="30" t="n">
        <f aca="false">SUMIFS(Trades!$X$2:$X$884,Trades!$D$2:$D$884,$A729)</f>
        <v>-150.38</v>
      </c>
      <c r="G729" s="30" t="n">
        <f aca="false">SUMIFS(Trades!$X$2:$X$884,Trades!$D$2:$D$884,$A729,Trades!$X$2:$X$884,"&gt;0")</f>
        <v>0</v>
      </c>
      <c r="H729" s="30" t="n">
        <f aca="false">SUMIFS(Trades!$X$2:$X$884,Trades!$D$2:$D$884,$A729,Trades!$X$2:$X$884,"&lt;0")</f>
        <v>-150.38</v>
      </c>
      <c r="I729" s="31" t="n">
        <f aca="false">IFERROR(G729/-H729,"no loss")</f>
        <v>0</v>
      </c>
      <c r="J729" s="30" t="n">
        <f aca="false">_xlfn.MAXIFS(Trades!$X$2:$X$884,Trades!$D$2:$D$884,$A729)</f>
        <v>-150.38</v>
      </c>
      <c r="K729" s="30" t="n">
        <f aca="false">_xlfn.MINIFS(Trades!$X$2:$X$884,Trades!$D$2:$D$884,$A729)</f>
        <v>-150.38</v>
      </c>
      <c r="L729" s="32" t="n">
        <f aca="false">SUMIFS(Trades!$Y$2:$Y$884,Trades!$D$2:$D$884,$A729)</f>
        <v>-1.08565075514747</v>
      </c>
      <c r="M729" s="30" t="n">
        <f aca="false">P728</f>
        <v>116147.67</v>
      </c>
      <c r="N729" s="29" t="n">
        <f aca="false">IFERROR(F729/M729,0)</f>
        <v>-0.00129473109533751</v>
      </c>
      <c r="O729" s="28" t="str">
        <f aca="false">IF(-N729&gt;=Summary!$C$7,"BREACH","")</f>
        <v/>
      </c>
      <c r="P729" s="30" t="n">
        <f aca="false">M729+F729</f>
        <v>115997.29</v>
      </c>
      <c r="Q729" s="30" t="n">
        <f aca="false">P729-Summary!$C$5</f>
        <v>15997.2900000001</v>
      </c>
      <c r="R729" s="2" t="str">
        <f aca="false">TEXT(A729,"ddd")</f>
        <v>Thu</v>
      </c>
    </row>
    <row r="730" customFormat="false" ht="15" hidden="false" customHeight="false" outlineLevel="0" collapsed="false">
      <c r="A730" s="42" t="n">
        <v>46213</v>
      </c>
      <c r="B730" s="28" t="n">
        <f aca="false">COUNTIFS(Trades!$D$2:$D$884,$A730)</f>
        <v>1</v>
      </c>
      <c r="C730" s="28" t="n">
        <f aca="false">COUNTIFS(Trades!$D$2:$D$884,$A730,Trades!$Z$2:$Z$884,"Win")</f>
        <v>0</v>
      </c>
      <c r="D730" s="28" t="n">
        <f aca="false">COUNTIFS(Trades!$D$2:$D$884,$A730,Trades!$Z$2:$Z$884,"Loss")</f>
        <v>1</v>
      </c>
      <c r="E730" s="29" t="n">
        <f aca="false">IFERROR(C730/B730,0)</f>
        <v>0</v>
      </c>
      <c r="F730" s="30" t="n">
        <f aca="false">SUMIFS(Trades!$X$2:$X$884,Trades!$D$2:$D$884,$A730)</f>
        <v>-124.2</v>
      </c>
      <c r="G730" s="30" t="n">
        <f aca="false">SUMIFS(Trades!$X$2:$X$884,Trades!$D$2:$D$884,$A730,Trades!$X$2:$X$884,"&gt;0")</f>
        <v>0</v>
      </c>
      <c r="H730" s="30" t="n">
        <f aca="false">SUMIFS(Trades!$X$2:$X$884,Trades!$D$2:$D$884,$A730,Trades!$X$2:$X$884,"&lt;0")</f>
        <v>-124.2</v>
      </c>
      <c r="I730" s="31" t="n">
        <f aca="false">IFERROR(G730/-H730,"no loss")</f>
        <v>0</v>
      </c>
      <c r="J730" s="30" t="n">
        <f aca="false">_xlfn.MAXIFS(Trades!$X$2:$X$884,Trades!$D$2:$D$884,$A730)</f>
        <v>-124.2</v>
      </c>
      <c r="K730" s="30" t="n">
        <f aca="false">_xlfn.MINIFS(Trades!$X$2:$X$884,Trades!$D$2:$D$884,$A730)</f>
        <v>-124.2</v>
      </c>
      <c r="L730" s="32" t="n">
        <f aca="false">SUMIFS(Trades!$Y$2:$Y$884,Trades!$D$2:$D$884,$A730)</f>
        <v>-1.02986782533704</v>
      </c>
      <c r="M730" s="30" t="n">
        <f aca="false">P729</f>
        <v>115997.29</v>
      </c>
      <c r="N730" s="29" t="n">
        <f aca="false">IFERROR(F730/M730,0)</f>
        <v>-0.00107071466928236</v>
      </c>
      <c r="O730" s="28" t="str">
        <f aca="false">IF(-N730&gt;=Summary!$C$7,"BREACH","")</f>
        <v/>
      </c>
      <c r="P730" s="30" t="n">
        <f aca="false">M730+F730</f>
        <v>115873.09</v>
      </c>
      <c r="Q730" s="30" t="n">
        <f aca="false">P730-Summary!$C$5</f>
        <v>15873.0900000001</v>
      </c>
      <c r="R730" s="2" t="str">
        <f aca="false">TEXT(A730,"ddd")</f>
        <v>Fri</v>
      </c>
    </row>
    <row r="731" customFormat="false" ht="15" hidden="false" customHeight="false" outlineLevel="0" collapsed="false">
      <c r="A731" s="42" t="n">
        <v>46216</v>
      </c>
      <c r="B731" s="28" t="n">
        <f aca="false">COUNTIFS(Trades!$D$2:$D$884,$A731)</f>
        <v>1</v>
      </c>
      <c r="C731" s="28" t="n">
        <f aca="false">COUNTIFS(Trades!$D$2:$D$884,$A731,Trades!$Z$2:$Z$884,"Win")</f>
        <v>0</v>
      </c>
      <c r="D731" s="28" t="n">
        <f aca="false">COUNTIFS(Trades!$D$2:$D$884,$A731,Trades!$Z$2:$Z$884,"Loss")</f>
        <v>1</v>
      </c>
      <c r="E731" s="29" t="n">
        <f aca="false">IFERROR(C731/B731,0)</f>
        <v>0</v>
      </c>
      <c r="F731" s="30" t="n">
        <f aca="false">SUMIFS(Trades!$X$2:$X$884,Trades!$D$2:$D$884,$A731)</f>
        <v>-0.54</v>
      </c>
      <c r="G731" s="30" t="n">
        <f aca="false">SUMIFS(Trades!$X$2:$X$884,Trades!$D$2:$D$884,$A731,Trades!$X$2:$X$884,"&gt;0")</f>
        <v>0</v>
      </c>
      <c r="H731" s="30" t="n">
        <f aca="false">SUMIFS(Trades!$X$2:$X$884,Trades!$D$2:$D$884,$A731,Trades!$X$2:$X$884,"&lt;0")</f>
        <v>-0.54</v>
      </c>
      <c r="I731" s="31" t="n">
        <f aca="false">IFERROR(G731/-H731,"no loss")</f>
        <v>0</v>
      </c>
      <c r="J731" s="30" t="n">
        <f aca="false">_xlfn.MAXIFS(Trades!$X$2:$X$884,Trades!$D$2:$D$884,$A731)</f>
        <v>-0.54</v>
      </c>
      <c r="K731" s="30" t="n">
        <f aca="false">_xlfn.MINIFS(Trades!$X$2:$X$884,Trades!$D$2:$D$884,$A731)</f>
        <v>-0.54</v>
      </c>
      <c r="L731" s="32" t="n">
        <f aca="false">SUMIFS(Trades!$Y$2:$Y$884,Trades!$D$2:$D$884,$A731)</f>
        <v>-0.00757384498864013</v>
      </c>
      <c r="M731" s="30" t="n">
        <f aca="false">P730</f>
        <v>115873.09</v>
      </c>
      <c r="N731" s="29" t="n">
        <f aca="false">IFERROR(F731/M731,0)</f>
        <v>-4.66027099130609E-006</v>
      </c>
      <c r="O731" s="28" t="str">
        <f aca="false">IF(-N731&gt;=Summary!$C$7,"BREACH","")</f>
        <v/>
      </c>
      <c r="P731" s="30" t="n">
        <f aca="false">M731+F731</f>
        <v>115872.55</v>
      </c>
      <c r="Q731" s="30" t="n">
        <f aca="false">P731-Summary!$C$5</f>
        <v>15872.5500000001</v>
      </c>
      <c r="R731" s="2" t="str">
        <f aca="false">TEXT(A731,"ddd")</f>
        <v>Mon</v>
      </c>
    </row>
    <row r="732" customFormat="false" ht="15" hidden="false" customHeight="false" outlineLevel="0" collapsed="false">
      <c r="A732" s="42" t="n">
        <v>46217</v>
      </c>
      <c r="B732" s="28" t="n">
        <f aca="false">COUNTIFS(Trades!$D$2:$D$884,$A732)</f>
        <v>1</v>
      </c>
      <c r="C732" s="28" t="n">
        <f aca="false">COUNTIFS(Trades!$D$2:$D$884,$A732,Trades!$Z$2:$Z$884,"Win")</f>
        <v>0</v>
      </c>
      <c r="D732" s="28" t="n">
        <f aca="false">COUNTIFS(Trades!$D$2:$D$884,$A732,Trades!$Z$2:$Z$884,"Loss")</f>
        <v>1</v>
      </c>
      <c r="E732" s="29" t="n">
        <f aca="false">IFERROR(C732/B732,0)</f>
        <v>0</v>
      </c>
      <c r="F732" s="30" t="n">
        <f aca="false">SUMIFS(Trades!$X$2:$X$884,Trades!$D$2:$D$884,$A732)</f>
        <v>-3.3</v>
      </c>
      <c r="G732" s="30" t="n">
        <f aca="false">SUMIFS(Trades!$X$2:$X$884,Trades!$D$2:$D$884,$A732,Trades!$X$2:$X$884,"&gt;0")</f>
        <v>0</v>
      </c>
      <c r="H732" s="30" t="n">
        <f aca="false">SUMIFS(Trades!$X$2:$X$884,Trades!$D$2:$D$884,$A732,Trades!$X$2:$X$884,"&lt;0")</f>
        <v>-3.3</v>
      </c>
      <c r="I732" s="31" t="n">
        <f aca="false">IFERROR(G732/-H732,"no loss")</f>
        <v>0</v>
      </c>
      <c r="J732" s="30" t="n">
        <f aca="false">_xlfn.MAXIFS(Trades!$X$2:$X$884,Trades!$D$2:$D$884,$A732)</f>
        <v>-3.3</v>
      </c>
      <c r="K732" s="30" t="n">
        <f aca="false">_xlfn.MINIFS(Trades!$X$2:$X$884,Trades!$D$2:$D$884,$A732)</f>
        <v>-3.3</v>
      </c>
      <c r="L732" s="32" t="n">
        <f aca="false">SUMIFS(Trades!$Y$2:$Y$884,Trades!$D$2:$D$884,$A732)</f>
        <v>-0.0588592016551864</v>
      </c>
      <c r="M732" s="30" t="n">
        <f aca="false">P731</f>
        <v>115872.55</v>
      </c>
      <c r="N732" s="29" t="n">
        <f aca="false">IFERROR(F732/M732,0)</f>
        <v>-2.84795665582573E-005</v>
      </c>
      <c r="O732" s="28" t="str">
        <f aca="false">IF(-N732&gt;=Summary!$C$7,"BREACH","")</f>
        <v/>
      </c>
      <c r="P732" s="30" t="n">
        <f aca="false">M732+F732</f>
        <v>115869.25</v>
      </c>
      <c r="Q732" s="30" t="n">
        <f aca="false">P732-Summary!$C$5</f>
        <v>15869.2500000001</v>
      </c>
      <c r="R732" s="2" t="str">
        <f aca="false">TEXT(A732,"ddd")</f>
        <v>Tue</v>
      </c>
    </row>
    <row r="733" customFormat="false" ht="15" hidden="false" customHeight="false" outlineLevel="0" collapsed="false">
      <c r="A733" s="42" t="n">
        <v>46218</v>
      </c>
      <c r="B733" s="28" t="n">
        <f aca="false">COUNTIFS(Trades!$D$2:$D$884,$A733)</f>
        <v>1</v>
      </c>
      <c r="C733" s="28" t="n">
        <f aca="false">COUNTIFS(Trades!$D$2:$D$884,$A733,Trades!$Z$2:$Z$884,"Win")</f>
        <v>0</v>
      </c>
      <c r="D733" s="28" t="n">
        <f aca="false">COUNTIFS(Trades!$D$2:$D$884,$A733,Trades!$Z$2:$Z$884,"Loss")</f>
        <v>1</v>
      </c>
      <c r="E733" s="29" t="n">
        <f aca="false">IFERROR(C733/B733,0)</f>
        <v>0</v>
      </c>
      <c r="F733" s="30" t="n">
        <f aca="false">SUMIFS(Trades!$X$2:$X$884,Trades!$D$2:$D$884,$A733)</f>
        <v>-107.58</v>
      </c>
      <c r="G733" s="30" t="n">
        <f aca="false">SUMIFS(Trades!$X$2:$X$884,Trades!$D$2:$D$884,$A733,Trades!$X$2:$X$884,"&gt;0")</f>
        <v>0</v>
      </c>
      <c r="H733" s="30" t="n">
        <f aca="false">SUMIFS(Trades!$X$2:$X$884,Trades!$D$2:$D$884,$A733,Trades!$X$2:$X$884,"&lt;0")</f>
        <v>-107.58</v>
      </c>
      <c r="I733" s="31" t="n">
        <f aca="false">IFERROR(G733/-H733,"no loss")</f>
        <v>0</v>
      </c>
      <c r="J733" s="30" t="n">
        <f aca="false">_xlfn.MAXIFS(Trades!$X$2:$X$884,Trades!$D$2:$D$884,$A733)</f>
        <v>-107.58</v>
      </c>
      <c r="K733" s="30" t="n">
        <f aca="false">_xlfn.MINIFS(Trades!$X$2:$X$884,Trades!$D$2:$D$884,$A733)</f>
        <v>-107.58</v>
      </c>
      <c r="L733" s="32" t="n">
        <f aca="false">SUMIFS(Trades!$Y$2:$Y$884,Trades!$D$2:$D$884,$A733)</f>
        <v>-1.00288990398063</v>
      </c>
      <c r="M733" s="30" t="n">
        <f aca="false">P732</f>
        <v>115869.25</v>
      </c>
      <c r="N733" s="29" t="n">
        <f aca="false">IFERROR(F733/M733,0)</f>
        <v>-0.000928460311946439</v>
      </c>
      <c r="O733" s="28" t="str">
        <f aca="false">IF(-N733&gt;=Summary!$C$7,"BREACH","")</f>
        <v/>
      </c>
      <c r="P733" s="30" t="n">
        <f aca="false">M733+F733</f>
        <v>115761.67</v>
      </c>
      <c r="Q733" s="30" t="n">
        <f aca="false">P733-Summary!$C$5</f>
        <v>15761.6700000001</v>
      </c>
      <c r="R733" s="2" t="str">
        <f aca="false">TEXT(A733,"ddd")</f>
        <v>Wed</v>
      </c>
    </row>
    <row r="734" customFormat="false" ht="15" hidden="false" customHeight="false" outlineLevel="0" collapsed="false">
      <c r="A734" s="42" t="n">
        <v>46219</v>
      </c>
      <c r="B734" s="28" t="n">
        <f aca="false">COUNTIFS(Trades!$D$2:$D$884,$A734)</f>
        <v>1</v>
      </c>
      <c r="C734" s="28" t="n">
        <f aca="false">COUNTIFS(Trades!$D$2:$D$884,$A734,Trades!$Z$2:$Z$884,"Win")</f>
        <v>0</v>
      </c>
      <c r="D734" s="28" t="n">
        <f aca="false">COUNTIFS(Trades!$D$2:$D$884,$A734,Trades!$Z$2:$Z$884,"Loss")</f>
        <v>1</v>
      </c>
      <c r="E734" s="29" t="n">
        <f aca="false">IFERROR(C734/B734,0)</f>
        <v>0</v>
      </c>
      <c r="F734" s="30" t="n">
        <f aca="false">SUMIFS(Trades!$X$2:$X$884,Trades!$D$2:$D$884,$A734)</f>
        <v>-136.71</v>
      </c>
      <c r="G734" s="30" t="n">
        <f aca="false">SUMIFS(Trades!$X$2:$X$884,Trades!$D$2:$D$884,$A734,Trades!$X$2:$X$884,"&gt;0")</f>
        <v>0</v>
      </c>
      <c r="H734" s="30" t="n">
        <f aca="false">SUMIFS(Trades!$X$2:$X$884,Trades!$D$2:$D$884,$A734,Trades!$X$2:$X$884,"&lt;0")</f>
        <v>-136.71</v>
      </c>
      <c r="I734" s="31" t="n">
        <f aca="false">IFERROR(G734/-H734,"no loss")</f>
        <v>0</v>
      </c>
      <c r="J734" s="30" t="n">
        <f aca="false">_xlfn.MAXIFS(Trades!$X$2:$X$884,Trades!$D$2:$D$884,$A734)</f>
        <v>-136.71</v>
      </c>
      <c r="K734" s="30" t="n">
        <f aca="false">_xlfn.MINIFS(Trades!$X$2:$X$884,Trades!$D$2:$D$884,$A734)</f>
        <v>-136.71</v>
      </c>
      <c r="L734" s="32" t="n">
        <f aca="false">SUMIFS(Trades!$Y$2:$Y$884,Trades!$D$2:$D$884,$A734)</f>
        <v>-1.0054719562244</v>
      </c>
      <c r="M734" s="30" t="n">
        <f aca="false">P733</f>
        <v>115761.67</v>
      </c>
      <c r="N734" s="29" t="n">
        <f aca="false">IFERROR(F734/M734,0)</f>
        <v>-0.00118096084826696</v>
      </c>
      <c r="O734" s="28" t="str">
        <f aca="false">IF(-N734&gt;=Summary!$C$7,"BREACH","")</f>
        <v/>
      </c>
      <c r="P734" s="30" t="n">
        <f aca="false">M734+F734</f>
        <v>115624.96</v>
      </c>
      <c r="Q734" s="30" t="n">
        <f aca="false">P734-Summary!$C$5</f>
        <v>15624.9600000001</v>
      </c>
      <c r="R734" s="2" t="str">
        <f aca="false">TEXT(A734,"ddd")</f>
        <v>Thu</v>
      </c>
    </row>
    <row r="735" customFormat="false" ht="15" hidden="false" customHeight="false" outlineLevel="0" collapsed="false">
      <c r="A735" s="42" t="n">
        <v>46220</v>
      </c>
      <c r="B735" s="28" t="n">
        <f aca="false">COUNTIFS(Trades!$D$2:$D$884,$A735)</f>
        <v>1</v>
      </c>
      <c r="C735" s="28" t="n">
        <f aca="false">COUNTIFS(Trades!$D$2:$D$884,$A735,Trades!$Z$2:$Z$884,"Win")</f>
        <v>0</v>
      </c>
      <c r="D735" s="28" t="n">
        <f aca="false">COUNTIFS(Trades!$D$2:$D$884,$A735,Trades!$Z$2:$Z$884,"Loss")</f>
        <v>1</v>
      </c>
      <c r="E735" s="29" t="n">
        <f aca="false">IFERROR(C735/B735,0)</f>
        <v>0</v>
      </c>
      <c r="F735" s="30" t="n">
        <f aca="false">SUMIFS(Trades!$X$2:$X$884,Trades!$D$2:$D$884,$A735)</f>
        <v>-79.63</v>
      </c>
      <c r="G735" s="30" t="n">
        <f aca="false">SUMIFS(Trades!$X$2:$X$884,Trades!$D$2:$D$884,$A735,Trades!$X$2:$X$884,"&gt;0")</f>
        <v>0</v>
      </c>
      <c r="H735" s="30" t="n">
        <f aca="false">SUMIFS(Trades!$X$2:$X$884,Trades!$D$2:$D$884,$A735,Trades!$X$2:$X$884,"&lt;0")</f>
        <v>-79.63</v>
      </c>
      <c r="I735" s="31" t="n">
        <f aca="false">IFERROR(G735/-H735,"no loss")</f>
        <v>0</v>
      </c>
      <c r="J735" s="30" t="n">
        <f aca="false">_xlfn.MAXIFS(Trades!$X$2:$X$884,Trades!$D$2:$D$884,$A735)</f>
        <v>-79.63</v>
      </c>
      <c r="K735" s="30" t="n">
        <f aca="false">_xlfn.MINIFS(Trades!$X$2:$X$884,Trades!$D$2:$D$884,$A735)</f>
        <v>-79.63</v>
      </c>
      <c r="L735" s="32" t="n">
        <f aca="false">SUMIFS(Trades!$Y$2:$Y$884,Trades!$D$2:$D$884,$A735)</f>
        <v>-1.00269467109896</v>
      </c>
      <c r="M735" s="30" t="n">
        <f aca="false">P734</f>
        <v>115624.96</v>
      </c>
      <c r="N735" s="29" t="n">
        <f aca="false">IFERROR(F735/M735,0)</f>
        <v>-0.000688692130142142</v>
      </c>
      <c r="O735" s="28" t="str">
        <f aca="false">IF(-N735&gt;=Summary!$C$7,"BREACH","")</f>
        <v/>
      </c>
      <c r="P735" s="30" t="n">
        <f aca="false">M735+F735</f>
        <v>115545.33</v>
      </c>
      <c r="Q735" s="30" t="n">
        <f aca="false">P735-Summary!$C$5</f>
        <v>15545.3300000001</v>
      </c>
      <c r="R735" s="2" t="str">
        <f aca="false">TEXT(A735,"ddd")</f>
        <v>Fri</v>
      </c>
    </row>
    <row r="736" customFormat="false" ht="15" hidden="false" customHeight="false" outlineLevel="0" collapsed="false">
      <c r="A736" s="42" t="n">
        <v>46224</v>
      </c>
      <c r="B736" s="28" t="n">
        <f aca="false">COUNTIFS(Trades!$D$2:$D$884,$A736)</f>
        <v>1</v>
      </c>
      <c r="C736" s="28" t="n">
        <f aca="false">COUNTIFS(Trades!$D$2:$D$884,$A736,Trades!$Z$2:$Z$884,"Win")</f>
        <v>0</v>
      </c>
      <c r="D736" s="28" t="n">
        <f aca="false">COUNTIFS(Trades!$D$2:$D$884,$A736,Trades!$Z$2:$Z$884,"Loss")</f>
        <v>1</v>
      </c>
      <c r="E736" s="29" t="n">
        <f aca="false">IFERROR(C736/B736,0)</f>
        <v>0</v>
      </c>
      <c r="F736" s="30" t="n">
        <f aca="false">SUMIFS(Trades!$X$2:$X$884,Trades!$D$2:$D$884,$A736)</f>
        <v>-45.39</v>
      </c>
      <c r="G736" s="30" t="n">
        <f aca="false">SUMIFS(Trades!$X$2:$X$884,Trades!$D$2:$D$884,$A736,Trades!$X$2:$X$884,"&gt;0")</f>
        <v>0</v>
      </c>
      <c r="H736" s="30" t="n">
        <f aca="false">SUMIFS(Trades!$X$2:$X$884,Trades!$D$2:$D$884,$A736,Trades!$X$2:$X$884,"&lt;0")</f>
        <v>-45.39</v>
      </c>
      <c r="I736" s="31" t="n">
        <f aca="false">IFERROR(G736/-H736,"no loss")</f>
        <v>0</v>
      </c>
      <c r="J736" s="30" t="n">
        <f aca="false">_xlfn.MAXIFS(Trades!$X$2:$X$884,Trades!$D$2:$D$884,$A736)</f>
        <v>-45.39</v>
      </c>
      <c r="K736" s="30" t="n">
        <f aca="false">_xlfn.MINIFS(Trades!$X$2:$X$884,Trades!$D$2:$D$884,$A736)</f>
        <v>-45.39</v>
      </c>
      <c r="L736" s="32" t="n">
        <f aca="false">SUMIFS(Trades!$Y$2:$Y$884,Trades!$D$2:$D$884,$A736)</f>
        <v>-1.01366742596824</v>
      </c>
      <c r="M736" s="30" t="n">
        <f aca="false">P735</f>
        <v>115545.33</v>
      </c>
      <c r="N736" s="29" t="n">
        <f aca="false">IFERROR(F736/M736,0)</f>
        <v>-0.000392832838852076</v>
      </c>
      <c r="O736" s="28" t="str">
        <f aca="false">IF(-N736&gt;=Summary!$C$7,"BREACH","")</f>
        <v/>
      </c>
      <c r="P736" s="30" t="n">
        <f aca="false">M736+F736</f>
        <v>115499.94</v>
      </c>
      <c r="Q736" s="30" t="n">
        <f aca="false">P736-Summary!$C$5</f>
        <v>15499.9400000001</v>
      </c>
      <c r="R736" s="2" t="str">
        <f aca="false">TEXT(A736,"ddd")</f>
        <v>Tue</v>
      </c>
    </row>
    <row r="737" customFormat="false" ht="15" hidden="false" customHeight="false" outlineLevel="0" collapsed="false">
      <c r="A737" s="42" t="n">
        <v>46226</v>
      </c>
      <c r="B737" s="28" t="n">
        <f aca="false">COUNTIFS(Trades!$D$2:$D$884,$A737)</f>
        <v>1</v>
      </c>
      <c r="C737" s="28" t="n">
        <f aca="false">COUNTIFS(Trades!$D$2:$D$884,$A737,Trades!$Z$2:$Z$884,"Win")</f>
        <v>0</v>
      </c>
      <c r="D737" s="28" t="n">
        <f aca="false">COUNTIFS(Trades!$D$2:$D$884,$A737,Trades!$Z$2:$Z$884,"Loss")</f>
        <v>1</v>
      </c>
      <c r="E737" s="29" t="n">
        <f aca="false">IFERROR(C737/B737,0)</f>
        <v>0</v>
      </c>
      <c r="F737" s="30" t="n">
        <f aca="false">SUMIFS(Trades!$X$2:$X$884,Trades!$D$2:$D$884,$A737)</f>
        <v>-128.7</v>
      </c>
      <c r="G737" s="30" t="n">
        <f aca="false">SUMIFS(Trades!$X$2:$X$884,Trades!$D$2:$D$884,$A737,Trades!$X$2:$X$884,"&gt;0")</f>
        <v>0</v>
      </c>
      <c r="H737" s="30" t="n">
        <f aca="false">SUMIFS(Trades!$X$2:$X$884,Trades!$D$2:$D$884,$A737,Trades!$X$2:$X$884,"&lt;0")</f>
        <v>-128.7</v>
      </c>
      <c r="I737" s="31" t="n">
        <f aca="false">IFERROR(G737/-H737,"no loss")</f>
        <v>0</v>
      </c>
      <c r="J737" s="30" t="n">
        <f aca="false">_xlfn.MAXIFS(Trades!$X$2:$X$884,Trades!$D$2:$D$884,$A737)</f>
        <v>-128.7</v>
      </c>
      <c r="K737" s="30" t="n">
        <f aca="false">_xlfn.MINIFS(Trades!$X$2:$X$884,Trades!$D$2:$D$884,$A737)</f>
        <v>-128.7</v>
      </c>
      <c r="L737" s="32" t="n">
        <f aca="false">SUMIFS(Trades!$Y$2:$Y$884,Trades!$D$2:$D$884,$A737)</f>
        <v>-1.01562499999998</v>
      </c>
      <c r="M737" s="30" t="n">
        <f aca="false">P736</f>
        <v>115499.94</v>
      </c>
      <c r="N737" s="29" t="n">
        <f aca="false">IFERROR(F737/M737,0)</f>
        <v>-0.00111428629313574</v>
      </c>
      <c r="O737" s="28" t="str">
        <f aca="false">IF(-N737&gt;=Summary!$C$7,"BREACH","")</f>
        <v/>
      </c>
      <c r="P737" s="30" t="n">
        <f aca="false">M737+F737</f>
        <v>115371.24</v>
      </c>
      <c r="Q737" s="30" t="n">
        <f aca="false">P737-Summary!$C$5</f>
        <v>15371.2400000001</v>
      </c>
      <c r="R737" s="2" t="str">
        <f aca="false">TEXT(A737,"ddd")</f>
        <v>Thu</v>
      </c>
    </row>
    <row r="738" customFormat="false" ht="15" hidden="false" customHeight="false" outlineLevel="0" collapsed="false">
      <c r="A738" s="42" t="n">
        <v>46227</v>
      </c>
      <c r="B738" s="28" t="n">
        <f aca="false">COUNTIFS(Trades!$D$2:$D$884,$A738)</f>
        <v>1</v>
      </c>
      <c r="C738" s="28" t="n">
        <f aca="false">COUNTIFS(Trades!$D$2:$D$884,$A738,Trades!$Z$2:$Z$884,"Win")</f>
        <v>0</v>
      </c>
      <c r="D738" s="28" t="n">
        <f aca="false">COUNTIFS(Trades!$D$2:$D$884,$A738,Trades!$Z$2:$Z$884,"Loss")</f>
        <v>1</v>
      </c>
      <c r="E738" s="29" t="n">
        <f aca="false">IFERROR(C738/B738,0)</f>
        <v>0</v>
      </c>
      <c r="F738" s="30" t="n">
        <f aca="false">SUMIFS(Trades!$X$2:$X$884,Trades!$D$2:$D$884,$A738)</f>
        <v>-6.01</v>
      </c>
      <c r="G738" s="30" t="n">
        <f aca="false">SUMIFS(Trades!$X$2:$X$884,Trades!$D$2:$D$884,$A738,Trades!$X$2:$X$884,"&gt;0")</f>
        <v>0</v>
      </c>
      <c r="H738" s="30" t="n">
        <f aca="false">SUMIFS(Trades!$X$2:$X$884,Trades!$D$2:$D$884,$A738,Trades!$X$2:$X$884,"&lt;0")</f>
        <v>-6.01</v>
      </c>
      <c r="I738" s="31" t="n">
        <f aca="false">IFERROR(G738/-H738,"no loss")</f>
        <v>0</v>
      </c>
      <c r="J738" s="30" t="n">
        <f aca="false">_xlfn.MAXIFS(Trades!$X$2:$X$884,Trades!$D$2:$D$884,$A738)</f>
        <v>-6.01</v>
      </c>
      <c r="K738" s="30" t="n">
        <f aca="false">_xlfn.MINIFS(Trades!$X$2:$X$884,Trades!$D$2:$D$884,$A738)</f>
        <v>-6.01</v>
      </c>
      <c r="L738" s="32" t="n">
        <f aca="false">SUMIFS(Trades!$Y$2:$Y$884,Trades!$D$2:$D$884,$A738)</f>
        <v>-0.0222622275562663</v>
      </c>
      <c r="M738" s="30" t="n">
        <f aca="false">P737</f>
        <v>115371.24</v>
      </c>
      <c r="N738" s="29" t="n">
        <f aca="false">IFERROR(F738/M738,0)</f>
        <v>-5.20927052530596E-005</v>
      </c>
      <c r="O738" s="28" t="str">
        <f aca="false">IF(-N738&gt;=Summary!$C$7,"BREACH","")</f>
        <v/>
      </c>
      <c r="P738" s="30" t="n">
        <f aca="false">M738+F738</f>
        <v>115365.23</v>
      </c>
      <c r="Q738" s="30" t="n">
        <f aca="false">P738-Summary!$C$5</f>
        <v>15365.2300000001</v>
      </c>
      <c r="R738" s="2" t="str">
        <f aca="false">TEXT(A738,"ddd")</f>
        <v>Fri</v>
      </c>
    </row>
    <row r="739" customFormat="false" ht="15" hidden="false" customHeight="false" outlineLevel="0" collapsed="false">
      <c r="A739" s="42" t="n">
        <v>46230</v>
      </c>
      <c r="B739" s="28" t="n">
        <f aca="false">COUNTIFS(Trades!$D$2:$D$884,$A739)</f>
        <v>2</v>
      </c>
      <c r="C739" s="28" t="n">
        <f aca="false">COUNTIFS(Trades!$D$2:$D$884,$A739,Trades!$Z$2:$Z$884,"Win")</f>
        <v>1</v>
      </c>
      <c r="D739" s="28" t="n">
        <f aca="false">COUNTIFS(Trades!$D$2:$D$884,$A739,Trades!$Z$2:$Z$884,"Loss")</f>
        <v>1</v>
      </c>
      <c r="E739" s="29" t="n">
        <f aca="false">IFERROR(C739/B739,0)</f>
        <v>0.5</v>
      </c>
      <c r="F739" s="30" t="n">
        <f aca="false">SUMIFS(Trades!$X$2:$X$884,Trades!$D$2:$D$884,$A739)</f>
        <v>557.35</v>
      </c>
      <c r="G739" s="30" t="n">
        <f aca="false">SUMIFS(Trades!$X$2:$X$884,Trades!$D$2:$D$884,$A739,Trades!$X$2:$X$884,"&gt;0")</f>
        <v>558.68</v>
      </c>
      <c r="H739" s="30" t="n">
        <f aca="false">SUMIFS(Trades!$X$2:$X$884,Trades!$D$2:$D$884,$A739,Trades!$X$2:$X$884,"&lt;0")</f>
        <v>-1.33</v>
      </c>
      <c r="I739" s="31" t="n">
        <f aca="false">IFERROR(G739/-H739,"no loss")</f>
        <v>420.06015037594</v>
      </c>
      <c r="J739" s="30" t="n">
        <f aca="false">_xlfn.MAXIFS(Trades!$X$2:$X$884,Trades!$D$2:$D$884,$A739)</f>
        <v>558.68</v>
      </c>
      <c r="K739" s="30" t="n">
        <f aca="false">_xlfn.MINIFS(Trades!$X$2:$X$884,Trades!$D$2:$D$884,$A739)</f>
        <v>-1.33</v>
      </c>
      <c r="L739" s="32" t="n">
        <f aca="false">SUMIFS(Trades!$Y$2:$Y$884,Trades!$D$2:$D$884,$A739)</f>
        <v>1.96652238020038</v>
      </c>
      <c r="M739" s="30" t="n">
        <f aca="false">P738</f>
        <v>115365.23</v>
      </c>
      <c r="N739" s="29" t="n">
        <f aca="false">IFERROR(F739/M739,0)</f>
        <v>0.00483117833683511</v>
      </c>
      <c r="O739" s="28" t="str">
        <f aca="false">IF(-N739&gt;=Summary!$C$7,"BREACH","")</f>
        <v/>
      </c>
      <c r="P739" s="30" t="n">
        <f aca="false">M739+F739</f>
        <v>115922.58</v>
      </c>
      <c r="Q739" s="30" t="n">
        <f aca="false">P739-Summary!$C$5</f>
        <v>15922.5800000001</v>
      </c>
      <c r="R739" s="2" t="str">
        <f aca="false">TEXT(A739,"ddd")</f>
        <v>Mon</v>
      </c>
    </row>
    <row r="740" customFormat="false" ht="15" hidden="false" customHeight="false" outlineLevel="0" collapsed="false">
      <c r="A740" s="42" t="n">
        <v>46231</v>
      </c>
      <c r="B740" s="28" t="n">
        <f aca="false">COUNTIFS(Trades!$D$2:$D$884,$A740)</f>
        <v>1</v>
      </c>
      <c r="C740" s="28" t="n">
        <f aca="false">COUNTIFS(Trades!$D$2:$D$884,$A740,Trades!$Z$2:$Z$884,"Win")</f>
        <v>1</v>
      </c>
      <c r="D740" s="28" t="n">
        <f aca="false">COUNTIFS(Trades!$D$2:$D$884,$A740,Trades!$Z$2:$Z$884,"Loss")</f>
        <v>0</v>
      </c>
      <c r="E740" s="29" t="n">
        <f aca="false">IFERROR(C740/B740,0)</f>
        <v>1</v>
      </c>
      <c r="F740" s="30" t="n">
        <f aca="false">SUMIFS(Trades!$X$2:$X$884,Trades!$D$2:$D$884,$A740)</f>
        <v>117.9</v>
      </c>
      <c r="G740" s="30" t="n">
        <f aca="false">SUMIFS(Trades!$X$2:$X$884,Trades!$D$2:$D$884,$A740,Trades!$X$2:$X$884,"&gt;0")</f>
        <v>117.9</v>
      </c>
      <c r="H740" s="30" t="n">
        <f aca="false">SUMIFS(Trades!$X$2:$X$884,Trades!$D$2:$D$884,$A740,Trades!$X$2:$X$884,"&lt;0")</f>
        <v>0</v>
      </c>
      <c r="I740" s="31" t="str">
        <f aca="false">IFERROR(G740/-H740,"no loss")</f>
        <v>no loss</v>
      </c>
      <c r="J740" s="30" t="n">
        <f aca="false">_xlfn.MAXIFS(Trades!$X$2:$X$884,Trades!$D$2:$D$884,$A740)</f>
        <v>117.9</v>
      </c>
      <c r="K740" s="30" t="n">
        <f aca="false">_xlfn.MINIFS(Trades!$X$2:$X$884,Trades!$D$2:$D$884,$A740)</f>
        <v>117.9</v>
      </c>
      <c r="L740" s="32" t="n">
        <f aca="false">SUMIFS(Trades!$Y$2:$Y$884,Trades!$D$2:$D$884,$A740)</f>
        <v>2.02912019826525</v>
      </c>
      <c r="M740" s="30" t="n">
        <f aca="false">P739</f>
        <v>115922.58</v>
      </c>
      <c r="N740" s="29" t="n">
        <f aca="false">IFERROR(F740/M740,0)</f>
        <v>0.00101705810895513</v>
      </c>
      <c r="O740" s="28" t="str">
        <f aca="false">IF(-N740&gt;=Summary!$C$7,"BREACH","")</f>
        <v/>
      </c>
      <c r="P740" s="30" t="n">
        <f aca="false">M740+F740</f>
        <v>116040.48</v>
      </c>
      <c r="Q740" s="30" t="n">
        <f aca="false">P740-Summary!$C$5</f>
        <v>16040.4800000001</v>
      </c>
      <c r="R740" s="2" t="str">
        <f aca="false">TEXT(A740,"ddd")</f>
        <v>Tue</v>
      </c>
    </row>
    <row r="741" customFormat="false" ht="15" hidden="false" customHeight="false" outlineLevel="0" collapsed="false">
      <c r="A741" s="42" t="n">
        <v>46232</v>
      </c>
      <c r="B741" s="28" t="n">
        <f aca="false">COUNTIFS(Trades!$D$2:$D$884,$A741)</f>
        <v>1</v>
      </c>
      <c r="C741" s="28" t="n">
        <f aca="false">COUNTIFS(Trades!$D$2:$D$884,$A741,Trades!$Z$2:$Z$884,"Win")</f>
        <v>0</v>
      </c>
      <c r="D741" s="28" t="n">
        <f aca="false">COUNTIFS(Trades!$D$2:$D$884,$A741,Trades!$Z$2:$Z$884,"Loss")</f>
        <v>1</v>
      </c>
      <c r="E741" s="29" t="n">
        <f aca="false">IFERROR(C741/B741,0)</f>
        <v>0</v>
      </c>
      <c r="F741" s="30" t="n">
        <f aca="false">SUMIFS(Trades!$X$2:$X$884,Trades!$D$2:$D$884,$A741)</f>
        <v>-265.58</v>
      </c>
      <c r="G741" s="30" t="n">
        <f aca="false">SUMIFS(Trades!$X$2:$X$884,Trades!$D$2:$D$884,$A741,Trades!$X$2:$X$884,"&gt;0")</f>
        <v>0</v>
      </c>
      <c r="H741" s="30" t="n">
        <f aca="false">SUMIFS(Trades!$X$2:$X$884,Trades!$D$2:$D$884,$A741,Trades!$X$2:$X$884,"&lt;0")</f>
        <v>-265.58</v>
      </c>
      <c r="I741" s="31" t="n">
        <f aca="false">IFERROR(G741/-H741,"no loss")</f>
        <v>0</v>
      </c>
      <c r="J741" s="30" t="n">
        <f aca="false">_xlfn.MAXIFS(Trades!$X$2:$X$884,Trades!$D$2:$D$884,$A741)</f>
        <v>-265.58</v>
      </c>
      <c r="K741" s="30" t="n">
        <f aca="false">_xlfn.MINIFS(Trades!$X$2:$X$884,Trades!$D$2:$D$884,$A741)</f>
        <v>-265.58</v>
      </c>
      <c r="L741" s="32" t="n">
        <f aca="false">SUMIFS(Trades!$Y$2:$Y$884,Trades!$D$2:$D$884,$A741)</f>
        <v>-1.00938003587823</v>
      </c>
      <c r="M741" s="30" t="n">
        <f aca="false">P740</f>
        <v>116040.48</v>
      </c>
      <c r="N741" s="29" t="n">
        <f aca="false">IFERROR(F741/M741,0)</f>
        <v>-0.00228868408679454</v>
      </c>
      <c r="O741" s="28" t="str">
        <f aca="false">IF(-N741&gt;=Summary!$C$7,"BREACH","")</f>
        <v/>
      </c>
      <c r="P741" s="30" t="n">
        <f aca="false">M741+F741</f>
        <v>115774.9</v>
      </c>
      <c r="Q741" s="30" t="n">
        <f aca="false">P741-Summary!$C$5</f>
        <v>15774.9000000001</v>
      </c>
      <c r="R741" s="2" t="str">
        <f aca="false">TEXT(A741,"ddd")</f>
        <v>Wed</v>
      </c>
    </row>
    <row r="742" customFormat="false" ht="15" hidden="false" customHeight="false" outlineLevel="0" collapsed="false">
      <c r="A742" s="42" t="n">
        <v>46233</v>
      </c>
      <c r="B742" s="28" t="n">
        <f aca="false">COUNTIFS(Trades!$D$2:$D$884,$A742)</f>
        <v>1</v>
      </c>
      <c r="C742" s="28" t="n">
        <f aca="false">COUNTIFS(Trades!$D$2:$D$884,$A742,Trades!$Z$2:$Z$884,"Win")</f>
        <v>0</v>
      </c>
      <c r="D742" s="28" t="n">
        <f aca="false">COUNTIFS(Trades!$D$2:$D$884,$A742,Trades!$Z$2:$Z$884,"Loss")</f>
        <v>1</v>
      </c>
      <c r="E742" s="29" t="n">
        <f aca="false">IFERROR(C742/B742,0)</f>
        <v>0</v>
      </c>
      <c r="F742" s="30" t="n">
        <f aca="false">SUMIFS(Trades!$X$2:$X$884,Trades!$D$2:$D$884,$A742)</f>
        <v>-246.56</v>
      </c>
      <c r="G742" s="30" t="n">
        <f aca="false">SUMIFS(Trades!$X$2:$X$884,Trades!$D$2:$D$884,$A742,Trades!$X$2:$X$884,"&gt;0")</f>
        <v>0</v>
      </c>
      <c r="H742" s="30" t="n">
        <f aca="false">SUMIFS(Trades!$X$2:$X$884,Trades!$D$2:$D$884,$A742,Trades!$X$2:$X$884,"&lt;0")</f>
        <v>-246.56</v>
      </c>
      <c r="I742" s="31" t="n">
        <f aca="false">IFERROR(G742/-H742,"no loss")</f>
        <v>0</v>
      </c>
      <c r="J742" s="30" t="n">
        <f aca="false">_xlfn.MAXIFS(Trades!$X$2:$X$884,Trades!$D$2:$D$884,$A742)</f>
        <v>-246.56</v>
      </c>
      <c r="K742" s="30" t="n">
        <f aca="false">_xlfn.MINIFS(Trades!$X$2:$X$884,Trades!$D$2:$D$884,$A742)</f>
        <v>-246.56</v>
      </c>
      <c r="L742" s="32" t="n">
        <f aca="false">SUMIFS(Trades!$Y$2:$Y$884,Trades!$D$2:$D$884,$A742)</f>
        <v>-1.00882145955059</v>
      </c>
      <c r="M742" s="30" t="n">
        <f aca="false">P741</f>
        <v>115774.9</v>
      </c>
      <c r="N742" s="29" t="n">
        <f aca="false">IFERROR(F742/M742,0)</f>
        <v>-0.00212964986365784</v>
      </c>
      <c r="O742" s="28" t="str">
        <f aca="false">IF(-N742&gt;=Summary!$C$7,"BREACH","")</f>
        <v/>
      </c>
      <c r="P742" s="30" t="n">
        <f aca="false">M742+F742</f>
        <v>115528.34</v>
      </c>
      <c r="Q742" s="30" t="n">
        <f aca="false">P742-Summary!$C$5</f>
        <v>15528.3400000001</v>
      </c>
      <c r="R742" s="2" t="str">
        <f aca="false">TEXT(A742,"ddd")</f>
        <v>Thu</v>
      </c>
    </row>
    <row r="743" customFormat="false" ht="15" hidden="false" customHeight="false" outlineLevel="0" collapsed="false">
      <c r="A743" s="42" t="n">
        <v>46234</v>
      </c>
      <c r="B743" s="28" t="n">
        <f aca="false">COUNTIFS(Trades!$D$2:$D$884,$A743)</f>
        <v>1</v>
      </c>
      <c r="C743" s="28" t="n">
        <f aca="false">COUNTIFS(Trades!$D$2:$D$884,$A743,Trades!$Z$2:$Z$884,"Win")</f>
        <v>0</v>
      </c>
      <c r="D743" s="28" t="n">
        <f aca="false">COUNTIFS(Trades!$D$2:$D$884,$A743,Trades!$Z$2:$Z$884,"Loss")</f>
        <v>1</v>
      </c>
      <c r="E743" s="29" t="n">
        <f aca="false">IFERROR(C743/B743,0)</f>
        <v>0</v>
      </c>
      <c r="F743" s="30" t="n">
        <f aca="false">SUMIFS(Trades!$X$2:$X$884,Trades!$D$2:$D$884,$A743)</f>
        <v>-191.48</v>
      </c>
      <c r="G743" s="30" t="n">
        <f aca="false">SUMIFS(Trades!$X$2:$X$884,Trades!$D$2:$D$884,$A743,Trades!$X$2:$X$884,"&gt;0")</f>
        <v>0</v>
      </c>
      <c r="H743" s="30" t="n">
        <f aca="false">SUMIFS(Trades!$X$2:$X$884,Trades!$D$2:$D$884,$A743,Trades!$X$2:$X$884,"&lt;0")</f>
        <v>-191.48</v>
      </c>
      <c r="I743" s="31" t="n">
        <f aca="false">IFERROR(G743/-H743,"no loss")</f>
        <v>0</v>
      </c>
      <c r="J743" s="30" t="n">
        <f aca="false">_xlfn.MAXIFS(Trades!$X$2:$X$884,Trades!$D$2:$D$884,$A743)</f>
        <v>-191.48</v>
      </c>
      <c r="K743" s="30" t="n">
        <f aca="false">_xlfn.MINIFS(Trades!$X$2:$X$884,Trades!$D$2:$D$884,$A743)</f>
        <v>-191.48</v>
      </c>
      <c r="L743" s="32" t="n">
        <f aca="false">SUMIFS(Trades!$Y$2:$Y$884,Trades!$D$2:$D$884,$A743)</f>
        <v>-1.01158023752163</v>
      </c>
      <c r="M743" s="30" t="n">
        <f aca="false">P742</f>
        <v>115528.34</v>
      </c>
      <c r="N743" s="29" t="n">
        <f aca="false">IFERROR(F743/M743,0)</f>
        <v>-0.00165742881789871</v>
      </c>
      <c r="O743" s="28" t="str">
        <f aca="false">IF(-N743&gt;=Summary!$C$7,"BREACH","")</f>
        <v/>
      </c>
      <c r="P743" s="30" t="n">
        <f aca="false">M743+F743</f>
        <v>115336.86</v>
      </c>
      <c r="Q743" s="30" t="n">
        <f aca="false">P743-Summary!$C$5</f>
        <v>15336.8600000001</v>
      </c>
      <c r="R743" s="2" t="str">
        <f aca="false">TEXT(A743,"ddd")</f>
        <v>Fri</v>
      </c>
    </row>
    <row r="744" customFormat="false" ht="15" hidden="false" customHeight="false" outlineLevel="0" collapsed="false">
      <c r="A744" s="42" t="n">
        <v>46237</v>
      </c>
      <c r="B744" s="28" t="n">
        <f aca="false">COUNTIFS(Trades!$D$2:$D$884,$A744)</f>
        <v>1</v>
      </c>
      <c r="C744" s="28" t="n">
        <f aca="false">COUNTIFS(Trades!$D$2:$D$884,$A744,Trades!$Z$2:$Z$884,"Win")</f>
        <v>1</v>
      </c>
      <c r="D744" s="28" t="n">
        <f aca="false">COUNTIFS(Trades!$D$2:$D$884,$A744,Trades!$Z$2:$Z$884,"Loss")</f>
        <v>0</v>
      </c>
      <c r="E744" s="29" t="n">
        <f aca="false">IFERROR(C744/B744,0)</f>
        <v>1</v>
      </c>
      <c r="F744" s="30" t="n">
        <f aca="false">SUMIFS(Trades!$X$2:$X$884,Trades!$D$2:$D$884,$A744)</f>
        <v>243.18</v>
      </c>
      <c r="G744" s="30" t="n">
        <f aca="false">SUMIFS(Trades!$X$2:$X$884,Trades!$D$2:$D$884,$A744,Trades!$X$2:$X$884,"&gt;0")</f>
        <v>243.18</v>
      </c>
      <c r="H744" s="30" t="n">
        <f aca="false">SUMIFS(Trades!$X$2:$X$884,Trades!$D$2:$D$884,$A744,Trades!$X$2:$X$884,"&lt;0")</f>
        <v>0</v>
      </c>
      <c r="I744" s="31" t="str">
        <f aca="false">IFERROR(G744/-H744,"no loss")</f>
        <v>no loss</v>
      </c>
      <c r="J744" s="30" t="n">
        <f aca="false">_xlfn.MAXIFS(Trades!$X$2:$X$884,Trades!$D$2:$D$884,$A744)</f>
        <v>243.18</v>
      </c>
      <c r="K744" s="30" t="n">
        <f aca="false">_xlfn.MINIFS(Trades!$X$2:$X$884,Trades!$D$2:$D$884,$A744)</f>
        <v>243.18</v>
      </c>
      <c r="L744" s="32" t="n">
        <f aca="false">SUMIFS(Trades!$Y$2:$Y$884,Trades!$D$2:$D$884,$A744)</f>
        <v>2.03341360626122</v>
      </c>
      <c r="M744" s="30" t="n">
        <f aca="false">P743</f>
        <v>115336.86</v>
      </c>
      <c r="N744" s="29" t="n">
        <f aca="false">IFERROR(F744/M744,0)</f>
        <v>0.00210843263810026</v>
      </c>
      <c r="O744" s="28" t="str">
        <f aca="false">IF(-N744&gt;=Summary!$C$7,"BREACH","")</f>
        <v/>
      </c>
      <c r="P744" s="30" t="n">
        <f aca="false">M744+F744</f>
        <v>115580.04</v>
      </c>
      <c r="Q744" s="30" t="n">
        <f aca="false">P744-Summary!$C$5</f>
        <v>15580.0400000001</v>
      </c>
      <c r="R744" s="2" t="str">
        <f aca="false">TEXT(A744,"ddd")</f>
        <v>Mon</v>
      </c>
    </row>
    <row r="745" customFormat="false" ht="15" hidden="false" customHeight="false" outlineLevel="0" collapsed="false">
      <c r="A745" s="42" t="n">
        <v>46238</v>
      </c>
      <c r="B745" s="28" t="n">
        <f aca="false">COUNTIFS(Trades!$D$2:$D$884,$A745)</f>
        <v>1</v>
      </c>
      <c r="C745" s="28" t="n">
        <f aca="false">COUNTIFS(Trades!$D$2:$D$884,$A745,Trades!$Z$2:$Z$884,"Win")</f>
        <v>0</v>
      </c>
      <c r="D745" s="28" t="n">
        <f aca="false">COUNTIFS(Trades!$D$2:$D$884,$A745,Trades!$Z$2:$Z$884,"Loss")</f>
        <v>1</v>
      </c>
      <c r="E745" s="29" t="n">
        <f aca="false">IFERROR(C745/B745,0)</f>
        <v>0</v>
      </c>
      <c r="F745" s="30" t="n">
        <f aca="false">SUMIFS(Trades!$X$2:$X$884,Trades!$D$2:$D$884,$A745)</f>
        <v>-52.2</v>
      </c>
      <c r="G745" s="30" t="n">
        <f aca="false">SUMIFS(Trades!$X$2:$X$884,Trades!$D$2:$D$884,$A745,Trades!$X$2:$X$884,"&gt;0")</f>
        <v>0</v>
      </c>
      <c r="H745" s="30" t="n">
        <f aca="false">SUMIFS(Trades!$X$2:$X$884,Trades!$D$2:$D$884,$A745,Trades!$X$2:$X$884,"&lt;0")</f>
        <v>-52.2</v>
      </c>
      <c r="I745" s="31" t="n">
        <f aca="false">IFERROR(G745/-H745,"no loss")</f>
        <v>0</v>
      </c>
      <c r="J745" s="30" t="n">
        <f aca="false">_xlfn.MAXIFS(Trades!$X$2:$X$884,Trades!$D$2:$D$884,$A745)</f>
        <v>-52.2</v>
      </c>
      <c r="K745" s="30" t="n">
        <f aca="false">_xlfn.MINIFS(Trades!$X$2:$X$884,Trades!$D$2:$D$884,$A745)</f>
        <v>-52.2</v>
      </c>
      <c r="L745" s="32" t="n">
        <f aca="false">SUMIFS(Trades!$Y$2:$Y$884,Trades!$D$2:$D$884,$A745)</f>
        <v>-1.06071689831734</v>
      </c>
      <c r="M745" s="30" t="n">
        <f aca="false">P744</f>
        <v>115580.04</v>
      </c>
      <c r="N745" s="29" t="n">
        <f aca="false">IFERROR(F745/M745,0)</f>
        <v>-0.00045163507470667</v>
      </c>
      <c r="O745" s="28" t="str">
        <f aca="false">IF(-N745&gt;=Summary!$C$7,"BREACH","")</f>
        <v/>
      </c>
      <c r="P745" s="30" t="n">
        <f aca="false">M745+F745</f>
        <v>115527.84</v>
      </c>
      <c r="Q745" s="30" t="n">
        <f aca="false">P745-Summary!$C$5</f>
        <v>15527.8400000001</v>
      </c>
      <c r="R745" s="2" t="str">
        <f aca="false">TEXT(A745,"ddd")</f>
        <v>Tue</v>
      </c>
    </row>
    <row r="746" customFormat="false" ht="15" hidden="false" customHeight="false" outlineLevel="0" collapsed="false">
      <c r="A746" s="42" t="n">
        <v>46239</v>
      </c>
      <c r="B746" s="28" t="n">
        <f aca="false">COUNTIFS(Trades!$D$2:$D$884,$A746)</f>
        <v>1</v>
      </c>
      <c r="C746" s="28" t="n">
        <f aca="false">COUNTIFS(Trades!$D$2:$D$884,$A746,Trades!$Z$2:$Z$884,"Win")</f>
        <v>1</v>
      </c>
      <c r="D746" s="28" t="n">
        <f aca="false">COUNTIFS(Trades!$D$2:$D$884,$A746,Trades!$Z$2:$Z$884,"Loss")</f>
        <v>0</v>
      </c>
      <c r="E746" s="29" t="n">
        <f aca="false">IFERROR(C746/B746,0)</f>
        <v>1</v>
      </c>
      <c r="F746" s="30" t="n">
        <f aca="false">SUMIFS(Trades!$X$2:$X$884,Trades!$D$2:$D$884,$A746)</f>
        <v>69.7</v>
      </c>
      <c r="G746" s="30" t="n">
        <f aca="false">SUMIFS(Trades!$X$2:$X$884,Trades!$D$2:$D$884,$A746,Trades!$X$2:$X$884,"&gt;0")</f>
        <v>69.7</v>
      </c>
      <c r="H746" s="30" t="n">
        <f aca="false">SUMIFS(Trades!$X$2:$X$884,Trades!$D$2:$D$884,$A746,Trades!$X$2:$X$884,"&lt;0")</f>
        <v>0</v>
      </c>
      <c r="I746" s="31" t="str">
        <f aca="false">IFERROR(G746/-H746,"no loss")</f>
        <v>no loss</v>
      </c>
      <c r="J746" s="30" t="n">
        <f aca="false">_xlfn.MAXIFS(Trades!$X$2:$X$884,Trades!$D$2:$D$884,$A746)</f>
        <v>69.7</v>
      </c>
      <c r="K746" s="30" t="n">
        <f aca="false">_xlfn.MINIFS(Trades!$X$2:$X$884,Trades!$D$2:$D$884,$A746)</f>
        <v>69.7</v>
      </c>
      <c r="L746" s="32" t="n">
        <f aca="false">SUMIFS(Trades!$Y$2:$Y$884,Trades!$D$2:$D$884,$A746)</f>
        <v>2.01375245579562</v>
      </c>
      <c r="M746" s="30" t="n">
        <f aca="false">P745</f>
        <v>115527.84</v>
      </c>
      <c r="N746" s="29" t="n">
        <f aca="false">IFERROR(F746/M746,0)</f>
        <v>0.000603317780372246</v>
      </c>
      <c r="O746" s="28" t="str">
        <f aca="false">IF(-N746&gt;=Summary!$C$7,"BREACH","")</f>
        <v/>
      </c>
      <c r="P746" s="30" t="n">
        <f aca="false">M746+F746</f>
        <v>115597.54</v>
      </c>
      <c r="Q746" s="30" t="n">
        <f aca="false">P746-Summary!$C$5</f>
        <v>15597.5400000001</v>
      </c>
      <c r="R746" s="2" t="str">
        <f aca="false">TEXT(A746,"ddd")</f>
        <v>Wed</v>
      </c>
    </row>
    <row r="747" customFormat="false" ht="15" hidden="false" customHeight="false" outlineLevel="0" collapsed="false">
      <c r="A747" s="42" t="n">
        <v>46240</v>
      </c>
      <c r="B747" s="28" t="n">
        <f aca="false">COUNTIFS(Trades!$D$2:$D$884,$A747)</f>
        <v>1</v>
      </c>
      <c r="C747" s="28" t="n">
        <f aca="false">COUNTIFS(Trades!$D$2:$D$884,$A747,Trades!$Z$2:$Z$884,"Win")</f>
        <v>0</v>
      </c>
      <c r="D747" s="28" t="n">
        <f aca="false">COUNTIFS(Trades!$D$2:$D$884,$A747,Trades!$Z$2:$Z$884,"Loss")</f>
        <v>1</v>
      </c>
      <c r="E747" s="29" t="n">
        <f aca="false">IFERROR(C747/B747,0)</f>
        <v>0</v>
      </c>
      <c r="F747" s="30" t="n">
        <f aca="false">SUMIFS(Trades!$X$2:$X$884,Trades!$D$2:$D$884,$A747)</f>
        <v>-1.94</v>
      </c>
      <c r="G747" s="30" t="n">
        <f aca="false">SUMIFS(Trades!$X$2:$X$884,Trades!$D$2:$D$884,$A747,Trades!$X$2:$X$884,"&gt;0")</f>
        <v>0</v>
      </c>
      <c r="H747" s="30" t="n">
        <f aca="false">SUMIFS(Trades!$X$2:$X$884,Trades!$D$2:$D$884,$A747,Trades!$X$2:$X$884,"&lt;0")</f>
        <v>-1.94</v>
      </c>
      <c r="I747" s="31" t="n">
        <f aca="false">IFERROR(G747/-H747,"no loss")</f>
        <v>0</v>
      </c>
      <c r="J747" s="30" t="n">
        <f aca="false">_xlfn.MAXIFS(Trades!$X$2:$X$884,Trades!$D$2:$D$884,$A747)</f>
        <v>-1.94</v>
      </c>
      <c r="K747" s="30" t="n">
        <f aca="false">_xlfn.MINIFS(Trades!$X$2:$X$884,Trades!$D$2:$D$884,$A747)</f>
        <v>-1.94</v>
      </c>
      <c r="L747" s="32" t="n">
        <f aca="false">SUMIFS(Trades!$Y$2:$Y$884,Trades!$D$2:$D$884,$A747)</f>
        <v>-0.0307926732484642</v>
      </c>
      <c r="M747" s="30" t="n">
        <f aca="false">P746</f>
        <v>115597.54</v>
      </c>
      <c r="N747" s="29" t="n">
        <f aca="false">IFERROR(F747/M747,0)</f>
        <v>-1.67823640537679E-005</v>
      </c>
      <c r="O747" s="28" t="str">
        <f aca="false">IF(-N747&gt;=Summary!$C$7,"BREACH","")</f>
        <v/>
      </c>
      <c r="P747" s="30" t="n">
        <f aca="false">M747+F747</f>
        <v>115595.6</v>
      </c>
      <c r="Q747" s="30" t="n">
        <f aca="false">P747-Summary!$C$5</f>
        <v>15595.6000000001</v>
      </c>
      <c r="R747" s="2" t="str">
        <f aca="false">TEXT(A747,"ddd")</f>
        <v>Thu</v>
      </c>
    </row>
    <row r="748" customFormat="false" ht="15" hidden="false" customHeight="false" outlineLevel="0" collapsed="false">
      <c r="A748" s="42" t="n">
        <v>46241</v>
      </c>
      <c r="B748" s="28" t="n">
        <f aca="false">COUNTIFS(Trades!$D$2:$D$884,$A748)</f>
        <v>1</v>
      </c>
      <c r="C748" s="28" t="n">
        <f aca="false">COUNTIFS(Trades!$D$2:$D$884,$A748,Trades!$Z$2:$Z$884,"Win")</f>
        <v>1</v>
      </c>
      <c r="D748" s="28" t="n">
        <f aca="false">COUNTIFS(Trades!$D$2:$D$884,$A748,Trades!$Z$2:$Z$884,"Loss")</f>
        <v>0</v>
      </c>
      <c r="E748" s="29" t="n">
        <f aca="false">IFERROR(C748/B748,0)</f>
        <v>1</v>
      </c>
      <c r="F748" s="30" t="n">
        <f aca="false">SUMIFS(Trades!$X$2:$X$884,Trades!$D$2:$D$884,$A748)</f>
        <v>329.39</v>
      </c>
      <c r="G748" s="30" t="n">
        <f aca="false">SUMIFS(Trades!$X$2:$X$884,Trades!$D$2:$D$884,$A748,Trades!$X$2:$X$884,"&gt;0")</f>
        <v>329.39</v>
      </c>
      <c r="H748" s="30" t="n">
        <f aca="false">SUMIFS(Trades!$X$2:$X$884,Trades!$D$2:$D$884,$A748,Trades!$X$2:$X$884,"&lt;0")</f>
        <v>0</v>
      </c>
      <c r="I748" s="31" t="str">
        <f aca="false">IFERROR(G748/-H748,"no loss")</f>
        <v>no loss</v>
      </c>
      <c r="J748" s="30" t="n">
        <f aca="false">_xlfn.MAXIFS(Trades!$X$2:$X$884,Trades!$D$2:$D$884,$A748)</f>
        <v>329.39</v>
      </c>
      <c r="K748" s="30" t="n">
        <f aca="false">_xlfn.MINIFS(Trades!$X$2:$X$884,Trades!$D$2:$D$884,$A748)</f>
        <v>329.39</v>
      </c>
      <c r="L748" s="32" t="n">
        <f aca="false">SUMIFS(Trades!$Y$2:$Y$884,Trades!$D$2:$D$884,$A748)</f>
        <v>2.07761981052335</v>
      </c>
      <c r="M748" s="30" t="n">
        <f aca="false">P747</f>
        <v>115595.6</v>
      </c>
      <c r="N748" s="29" t="n">
        <f aca="false">IFERROR(F748/M748,0)</f>
        <v>0.00284950292225655</v>
      </c>
      <c r="O748" s="28" t="str">
        <f aca="false">IF(-N748&gt;=Summary!$C$7,"BREACH","")</f>
        <v/>
      </c>
      <c r="P748" s="30" t="n">
        <f aca="false">M748+F748</f>
        <v>115924.99</v>
      </c>
      <c r="Q748" s="30" t="n">
        <f aca="false">P748-Summary!$C$5</f>
        <v>15924.9900000001</v>
      </c>
      <c r="R748" s="2" t="str">
        <f aca="false">TEXT(A748,"ddd")</f>
        <v>Fri</v>
      </c>
    </row>
    <row r="749" customFormat="false" ht="15" hidden="false" customHeight="false" outlineLevel="0" collapsed="false">
      <c r="A749" s="42" t="n">
        <v>46244</v>
      </c>
      <c r="B749" s="28" t="n">
        <f aca="false">COUNTIFS(Trades!$D$2:$D$884,$A749)</f>
        <v>1</v>
      </c>
      <c r="C749" s="28" t="n">
        <f aca="false">COUNTIFS(Trades!$D$2:$D$884,$A749,Trades!$Z$2:$Z$884,"Win")</f>
        <v>0</v>
      </c>
      <c r="D749" s="28" t="n">
        <f aca="false">COUNTIFS(Trades!$D$2:$D$884,$A749,Trades!$Z$2:$Z$884,"Loss")</f>
        <v>1</v>
      </c>
      <c r="E749" s="29" t="n">
        <f aca="false">IFERROR(C749/B749,0)</f>
        <v>0</v>
      </c>
      <c r="F749" s="30" t="n">
        <f aca="false">SUMIFS(Trades!$X$2:$X$884,Trades!$D$2:$D$884,$A749)</f>
        <v>-92.31</v>
      </c>
      <c r="G749" s="30" t="n">
        <f aca="false">SUMIFS(Trades!$X$2:$X$884,Trades!$D$2:$D$884,$A749,Trades!$X$2:$X$884,"&gt;0")</f>
        <v>0</v>
      </c>
      <c r="H749" s="30" t="n">
        <f aca="false">SUMIFS(Trades!$X$2:$X$884,Trades!$D$2:$D$884,$A749,Trades!$X$2:$X$884,"&lt;0")</f>
        <v>-92.31</v>
      </c>
      <c r="I749" s="31" t="n">
        <f aca="false">IFERROR(G749/-H749,"no loss")</f>
        <v>0</v>
      </c>
      <c r="J749" s="30" t="n">
        <f aca="false">_xlfn.MAXIFS(Trades!$X$2:$X$884,Trades!$D$2:$D$884,$A749)</f>
        <v>-92.31</v>
      </c>
      <c r="K749" s="30" t="n">
        <f aca="false">_xlfn.MINIFS(Trades!$X$2:$X$884,Trades!$D$2:$D$884,$A749)</f>
        <v>-92.31</v>
      </c>
      <c r="L749" s="32" t="n">
        <f aca="false">SUMIFS(Trades!$Y$2:$Y$884,Trades!$D$2:$D$884,$A749)</f>
        <v>-1.06721698113213</v>
      </c>
      <c r="M749" s="30" t="n">
        <f aca="false">P748</f>
        <v>115924.99</v>
      </c>
      <c r="N749" s="29" t="n">
        <f aca="false">IFERROR(F749/M749,0)</f>
        <v>-0.000796290773887493</v>
      </c>
      <c r="O749" s="28" t="str">
        <f aca="false">IF(-N749&gt;=Summary!$C$7,"BREACH","")</f>
        <v/>
      </c>
      <c r="P749" s="30" t="n">
        <f aca="false">M749+F749</f>
        <v>115832.68</v>
      </c>
      <c r="Q749" s="30" t="n">
        <f aca="false">P749-Summary!$C$5</f>
        <v>15832.6800000001</v>
      </c>
      <c r="R749" s="2" t="str">
        <f aca="false">TEXT(A749,"ddd")</f>
        <v>Mon</v>
      </c>
    </row>
    <row r="750" customFormat="false" ht="15" hidden="false" customHeight="false" outlineLevel="0" collapsed="false">
      <c r="A750" s="42" t="n">
        <v>46245</v>
      </c>
      <c r="B750" s="28" t="n">
        <f aca="false">COUNTIFS(Trades!$D$2:$D$884,$A750)</f>
        <v>1</v>
      </c>
      <c r="C750" s="28" t="n">
        <f aca="false">COUNTIFS(Trades!$D$2:$D$884,$A750,Trades!$Z$2:$Z$884,"Win")</f>
        <v>0</v>
      </c>
      <c r="D750" s="28" t="n">
        <f aca="false">COUNTIFS(Trades!$D$2:$D$884,$A750,Trades!$Z$2:$Z$884,"Loss")</f>
        <v>1</v>
      </c>
      <c r="E750" s="29" t="n">
        <f aca="false">IFERROR(C750/B750,0)</f>
        <v>0</v>
      </c>
      <c r="F750" s="30" t="n">
        <f aca="false">SUMIFS(Trades!$X$2:$X$884,Trades!$D$2:$D$884,$A750)</f>
        <v>-1.29</v>
      </c>
      <c r="G750" s="30" t="n">
        <f aca="false">SUMIFS(Trades!$X$2:$X$884,Trades!$D$2:$D$884,$A750,Trades!$X$2:$X$884,"&gt;0")</f>
        <v>0</v>
      </c>
      <c r="H750" s="30" t="n">
        <f aca="false">SUMIFS(Trades!$X$2:$X$884,Trades!$D$2:$D$884,$A750,Trades!$X$2:$X$884,"&lt;0")</f>
        <v>-1.29</v>
      </c>
      <c r="I750" s="31" t="n">
        <f aca="false">IFERROR(G750/-H750,"no loss")</f>
        <v>0</v>
      </c>
      <c r="J750" s="30" t="n">
        <f aca="false">_xlfn.MAXIFS(Trades!$X$2:$X$884,Trades!$D$2:$D$884,$A750)</f>
        <v>-1.29</v>
      </c>
      <c r="K750" s="30" t="n">
        <f aca="false">_xlfn.MINIFS(Trades!$X$2:$X$884,Trades!$D$2:$D$884,$A750)</f>
        <v>-1.29</v>
      </c>
      <c r="L750" s="32" t="n">
        <f aca="false">SUMIFS(Trades!$Y$2:$Y$884,Trades!$D$2:$D$884,$A750)</f>
        <v>-0.0518322082931554</v>
      </c>
      <c r="M750" s="30" t="n">
        <f aca="false">P749</f>
        <v>115832.68</v>
      </c>
      <c r="N750" s="29" t="n">
        <f aca="false">IFERROR(F750/M750,0)</f>
        <v>-1.11367534619764E-005</v>
      </c>
      <c r="O750" s="28" t="str">
        <f aca="false">IF(-N750&gt;=Summary!$C$7,"BREACH","")</f>
        <v/>
      </c>
      <c r="P750" s="30" t="n">
        <f aca="false">M750+F750</f>
        <v>115831.39</v>
      </c>
      <c r="Q750" s="30" t="n">
        <f aca="false">P750-Summary!$C$5</f>
        <v>15831.3900000001</v>
      </c>
      <c r="R750" s="2" t="str">
        <f aca="false">TEXT(A750,"ddd")</f>
        <v>Tue</v>
      </c>
    </row>
    <row r="751" customFormat="false" ht="15" hidden="false" customHeight="false" outlineLevel="0" collapsed="false">
      <c r="A751" s="42" t="n">
        <v>46246</v>
      </c>
      <c r="B751" s="28" t="n">
        <f aca="false">COUNTIFS(Trades!$D$2:$D$884,$A751)</f>
        <v>1</v>
      </c>
      <c r="C751" s="28" t="n">
        <f aca="false">COUNTIFS(Trades!$D$2:$D$884,$A751,Trades!$Z$2:$Z$884,"Win")</f>
        <v>0</v>
      </c>
      <c r="D751" s="28" t="n">
        <f aca="false">COUNTIFS(Trades!$D$2:$D$884,$A751,Trades!$Z$2:$Z$884,"Loss")</f>
        <v>1</v>
      </c>
      <c r="E751" s="29" t="n">
        <f aca="false">IFERROR(C751/B751,0)</f>
        <v>0</v>
      </c>
      <c r="F751" s="30" t="n">
        <f aca="false">SUMIFS(Trades!$X$2:$X$884,Trades!$D$2:$D$884,$A751)</f>
        <v>-107</v>
      </c>
      <c r="G751" s="30" t="n">
        <f aca="false">SUMIFS(Trades!$X$2:$X$884,Trades!$D$2:$D$884,$A751,Trades!$X$2:$X$884,"&gt;0")</f>
        <v>0</v>
      </c>
      <c r="H751" s="30" t="n">
        <f aca="false">SUMIFS(Trades!$X$2:$X$884,Trades!$D$2:$D$884,$A751,Trades!$X$2:$X$884,"&lt;0")</f>
        <v>-107</v>
      </c>
      <c r="I751" s="31" t="n">
        <f aca="false">IFERROR(G751/-H751,"no loss")</f>
        <v>0</v>
      </c>
      <c r="J751" s="30" t="n">
        <f aca="false">_xlfn.MAXIFS(Trades!$X$2:$X$884,Trades!$D$2:$D$884,$A751)</f>
        <v>-107</v>
      </c>
      <c r="K751" s="30" t="n">
        <f aca="false">_xlfn.MINIFS(Trades!$X$2:$X$884,Trades!$D$2:$D$884,$A751)</f>
        <v>-107</v>
      </c>
      <c r="L751" s="32" t="n">
        <f aca="false">SUMIFS(Trades!$Y$2:$Y$884,Trades!$D$2:$D$884,$A751)</f>
        <v>-1.14106556328108</v>
      </c>
      <c r="M751" s="30" t="n">
        <f aca="false">P750</f>
        <v>115831.39</v>
      </c>
      <c r="N751" s="29" t="n">
        <f aca="false">IFERROR(F751/M751,0)</f>
        <v>-0.000923756505037192</v>
      </c>
      <c r="O751" s="28" t="str">
        <f aca="false">IF(-N751&gt;=Summary!$C$7,"BREACH","")</f>
        <v/>
      </c>
      <c r="P751" s="30" t="n">
        <f aca="false">M751+F751</f>
        <v>115724.39</v>
      </c>
      <c r="Q751" s="30" t="n">
        <f aca="false">P751-Summary!$C$5</f>
        <v>15724.3900000001</v>
      </c>
      <c r="R751" s="2" t="str">
        <f aca="false">TEXT(A751,"ddd")</f>
        <v>Wed</v>
      </c>
    </row>
    <row r="752" customFormat="false" ht="15" hidden="false" customHeight="false" outlineLevel="0" collapsed="false">
      <c r="A752" s="42" t="n">
        <v>46247</v>
      </c>
      <c r="B752" s="28" t="n">
        <f aca="false">COUNTIFS(Trades!$D$2:$D$884,$A752)</f>
        <v>1</v>
      </c>
      <c r="C752" s="28" t="n">
        <f aca="false">COUNTIFS(Trades!$D$2:$D$884,$A752,Trades!$Z$2:$Z$884,"Win")</f>
        <v>1</v>
      </c>
      <c r="D752" s="28" t="n">
        <f aca="false">COUNTIFS(Trades!$D$2:$D$884,$A752,Trades!$Z$2:$Z$884,"Loss")</f>
        <v>0</v>
      </c>
      <c r="E752" s="29" t="n">
        <f aca="false">IFERROR(C752/B752,0)</f>
        <v>1</v>
      </c>
      <c r="F752" s="30" t="n">
        <f aca="false">SUMIFS(Trades!$X$2:$X$884,Trades!$D$2:$D$884,$A752)</f>
        <v>372.1</v>
      </c>
      <c r="G752" s="30" t="n">
        <f aca="false">SUMIFS(Trades!$X$2:$X$884,Trades!$D$2:$D$884,$A752,Trades!$X$2:$X$884,"&gt;0")</f>
        <v>372.1</v>
      </c>
      <c r="H752" s="30" t="n">
        <f aca="false">SUMIFS(Trades!$X$2:$X$884,Trades!$D$2:$D$884,$A752,Trades!$X$2:$X$884,"&lt;0")</f>
        <v>0</v>
      </c>
      <c r="I752" s="31" t="str">
        <f aca="false">IFERROR(G752/-H752,"no loss")</f>
        <v>no loss</v>
      </c>
      <c r="J752" s="30" t="n">
        <f aca="false">_xlfn.MAXIFS(Trades!$X$2:$X$884,Trades!$D$2:$D$884,$A752)</f>
        <v>372.1</v>
      </c>
      <c r="K752" s="30" t="n">
        <f aca="false">_xlfn.MINIFS(Trades!$X$2:$X$884,Trades!$D$2:$D$884,$A752)</f>
        <v>372.1</v>
      </c>
      <c r="L752" s="32" t="n">
        <f aca="false">SUMIFS(Trades!$Y$2:$Y$884,Trades!$D$2:$D$884,$A752)</f>
        <v>2.00075276911493</v>
      </c>
      <c r="M752" s="30" t="n">
        <f aca="false">P751</f>
        <v>115724.39</v>
      </c>
      <c r="N752" s="29" t="n">
        <f aca="false">IFERROR(F752/M752,0)</f>
        <v>0.00321539824059561</v>
      </c>
      <c r="O752" s="28" t="str">
        <f aca="false">IF(-N752&gt;=Summary!$C$7,"BREACH","")</f>
        <v/>
      </c>
      <c r="P752" s="30" t="n">
        <f aca="false">M752+F752</f>
        <v>116096.49</v>
      </c>
      <c r="Q752" s="30" t="n">
        <f aca="false">P752-Summary!$C$5</f>
        <v>16096.4900000001</v>
      </c>
      <c r="R752" s="2" t="str">
        <f aca="false">TEXT(A752,"ddd")</f>
        <v>Thu</v>
      </c>
    </row>
    <row r="753" customFormat="false" ht="15" hidden="false" customHeight="false" outlineLevel="0" collapsed="false">
      <c r="A753" s="42" t="n">
        <v>46248</v>
      </c>
      <c r="B753" s="28" t="n">
        <f aca="false">COUNTIFS(Trades!$D$2:$D$884,$A753)</f>
        <v>1</v>
      </c>
      <c r="C753" s="28" t="n">
        <f aca="false">COUNTIFS(Trades!$D$2:$D$884,$A753,Trades!$Z$2:$Z$884,"Win")</f>
        <v>0</v>
      </c>
      <c r="D753" s="28" t="n">
        <f aca="false">COUNTIFS(Trades!$D$2:$D$884,$A753,Trades!$Z$2:$Z$884,"Loss")</f>
        <v>1</v>
      </c>
      <c r="E753" s="29" t="n">
        <f aca="false">IFERROR(C753/B753,0)</f>
        <v>0</v>
      </c>
      <c r="F753" s="30" t="n">
        <f aca="false">SUMIFS(Trades!$X$2:$X$884,Trades!$D$2:$D$884,$A753)</f>
        <v>-29.78</v>
      </c>
      <c r="G753" s="30" t="n">
        <f aca="false">SUMIFS(Trades!$X$2:$X$884,Trades!$D$2:$D$884,$A753,Trades!$X$2:$X$884,"&gt;0")</f>
        <v>0</v>
      </c>
      <c r="H753" s="30" t="n">
        <f aca="false">SUMIFS(Trades!$X$2:$X$884,Trades!$D$2:$D$884,$A753,Trades!$X$2:$X$884,"&lt;0")</f>
        <v>-29.78</v>
      </c>
      <c r="I753" s="31" t="n">
        <f aca="false">IFERROR(G753/-H753,"no loss")</f>
        <v>0</v>
      </c>
      <c r="J753" s="30" t="n">
        <f aca="false">_xlfn.MAXIFS(Trades!$X$2:$X$884,Trades!$D$2:$D$884,$A753)</f>
        <v>-29.78</v>
      </c>
      <c r="K753" s="30" t="n">
        <f aca="false">_xlfn.MINIFS(Trades!$X$2:$X$884,Trades!$D$2:$D$884,$A753)</f>
        <v>-29.78</v>
      </c>
      <c r="L753" s="32" t="n">
        <f aca="false">SUMIFS(Trades!$Y$2:$Y$884,Trades!$D$2:$D$884,$A753)</f>
        <v>-1.00100840336134</v>
      </c>
      <c r="M753" s="30" t="n">
        <f aca="false">P752</f>
        <v>116096.49</v>
      </c>
      <c r="N753" s="29" t="n">
        <f aca="false">IFERROR(F753/M753,0)</f>
        <v>-0.000256510769619305</v>
      </c>
      <c r="O753" s="28" t="str">
        <f aca="false">IF(-N753&gt;=Summary!$C$7,"BREACH","")</f>
        <v/>
      </c>
      <c r="P753" s="30" t="n">
        <f aca="false">M753+F753</f>
        <v>116066.71</v>
      </c>
      <c r="Q753" s="30" t="n">
        <f aca="false">P753-Summary!$C$5</f>
        <v>16066.7100000001</v>
      </c>
      <c r="R753" s="2" t="str">
        <f aca="false">TEXT(A753,"ddd")</f>
        <v>Fri</v>
      </c>
    </row>
    <row r="754" customFormat="false" ht="15" hidden="false" customHeight="false" outlineLevel="0" collapsed="false">
      <c r="A754" s="42" t="n">
        <v>46251</v>
      </c>
      <c r="B754" s="28" t="n">
        <f aca="false">COUNTIFS(Trades!$D$2:$D$884,$A754)</f>
        <v>1</v>
      </c>
      <c r="C754" s="28" t="n">
        <f aca="false">COUNTIFS(Trades!$D$2:$D$884,$A754,Trades!$Z$2:$Z$884,"Win")</f>
        <v>0</v>
      </c>
      <c r="D754" s="28" t="n">
        <f aca="false">COUNTIFS(Trades!$D$2:$D$884,$A754,Trades!$Z$2:$Z$884,"Loss")</f>
        <v>1</v>
      </c>
      <c r="E754" s="29" t="n">
        <f aca="false">IFERROR(C754/B754,0)</f>
        <v>0</v>
      </c>
      <c r="F754" s="30" t="n">
        <f aca="false">SUMIFS(Trades!$X$2:$X$884,Trades!$D$2:$D$884,$A754)</f>
        <v>-0.78</v>
      </c>
      <c r="G754" s="30" t="n">
        <f aca="false">SUMIFS(Trades!$X$2:$X$884,Trades!$D$2:$D$884,$A754,Trades!$X$2:$X$884,"&gt;0")</f>
        <v>0</v>
      </c>
      <c r="H754" s="30" t="n">
        <f aca="false">SUMIFS(Trades!$X$2:$X$884,Trades!$D$2:$D$884,$A754,Trades!$X$2:$X$884,"&lt;0")</f>
        <v>-0.78</v>
      </c>
      <c r="I754" s="31" t="n">
        <f aca="false">IFERROR(G754/-H754,"no loss")</f>
        <v>0</v>
      </c>
      <c r="J754" s="30" t="n">
        <f aca="false">_xlfn.MAXIFS(Trades!$X$2:$X$884,Trades!$D$2:$D$884,$A754)</f>
        <v>-0.78</v>
      </c>
      <c r="K754" s="30" t="n">
        <f aca="false">_xlfn.MINIFS(Trades!$X$2:$X$884,Trades!$D$2:$D$884,$A754)</f>
        <v>-0.78</v>
      </c>
      <c r="L754" s="32" t="n">
        <f aca="false">SUMIFS(Trades!$Y$2:$Y$884,Trades!$D$2:$D$884,$A754)</f>
        <v>-0.026128902586084</v>
      </c>
      <c r="M754" s="30" t="n">
        <f aca="false">P753</f>
        <v>116066.71</v>
      </c>
      <c r="N754" s="29" t="n">
        <f aca="false">IFERROR(F754/M754,0)</f>
        <v>-6.72027319461368E-006</v>
      </c>
      <c r="O754" s="28" t="str">
        <f aca="false">IF(-N754&gt;=Summary!$C$7,"BREACH","")</f>
        <v/>
      </c>
      <c r="P754" s="30" t="n">
        <f aca="false">M754+F754</f>
        <v>116065.93</v>
      </c>
      <c r="Q754" s="30" t="n">
        <f aca="false">P754-Summary!$C$5</f>
        <v>16065.9300000001</v>
      </c>
      <c r="R754" s="2" t="str">
        <f aca="false">TEXT(A754,"ddd")</f>
        <v>Mon</v>
      </c>
    </row>
    <row r="755" customFormat="false" ht="15" hidden="false" customHeight="false" outlineLevel="0" collapsed="false">
      <c r="A755" s="42" t="n">
        <v>46252</v>
      </c>
      <c r="B755" s="28" t="n">
        <f aca="false">COUNTIFS(Trades!$D$2:$D$884,$A755)</f>
        <v>1</v>
      </c>
      <c r="C755" s="28" t="n">
        <f aca="false">COUNTIFS(Trades!$D$2:$D$884,$A755,Trades!$Z$2:$Z$884,"Win")</f>
        <v>0</v>
      </c>
      <c r="D755" s="28" t="n">
        <f aca="false">COUNTIFS(Trades!$D$2:$D$884,$A755,Trades!$Z$2:$Z$884,"Loss")</f>
        <v>1</v>
      </c>
      <c r="E755" s="29" t="n">
        <f aca="false">IFERROR(C755/B755,0)</f>
        <v>0</v>
      </c>
      <c r="F755" s="30" t="n">
        <f aca="false">SUMIFS(Trades!$X$2:$X$884,Trades!$D$2:$D$884,$A755)</f>
        <v>-46.55</v>
      </c>
      <c r="G755" s="30" t="n">
        <f aca="false">SUMIFS(Trades!$X$2:$X$884,Trades!$D$2:$D$884,$A755,Trades!$X$2:$X$884,"&gt;0")</f>
        <v>0</v>
      </c>
      <c r="H755" s="30" t="n">
        <f aca="false">SUMIFS(Trades!$X$2:$X$884,Trades!$D$2:$D$884,$A755,Trades!$X$2:$X$884,"&lt;0")</f>
        <v>-46.55</v>
      </c>
      <c r="I755" s="31" t="n">
        <f aca="false">IFERROR(G755/-H755,"no loss")</f>
        <v>0</v>
      </c>
      <c r="J755" s="30" t="n">
        <f aca="false">_xlfn.MAXIFS(Trades!$X$2:$X$884,Trades!$D$2:$D$884,$A755)</f>
        <v>-46.55</v>
      </c>
      <c r="K755" s="30" t="n">
        <f aca="false">_xlfn.MINIFS(Trades!$X$2:$X$884,Trades!$D$2:$D$884,$A755)</f>
        <v>-46.55</v>
      </c>
      <c r="L755" s="32" t="n">
        <f aca="false">SUMIFS(Trades!$Y$2:$Y$884,Trades!$D$2:$D$884,$A755)</f>
        <v>-1.02402217431455</v>
      </c>
      <c r="M755" s="30" t="n">
        <f aca="false">P754</f>
        <v>116065.93</v>
      </c>
      <c r="N755" s="29" t="n">
        <f aca="false">IFERROR(F755/M755,0)</f>
        <v>-0.000401065153227997</v>
      </c>
      <c r="O755" s="28" t="str">
        <f aca="false">IF(-N755&gt;=Summary!$C$7,"BREACH","")</f>
        <v/>
      </c>
      <c r="P755" s="30" t="n">
        <f aca="false">M755+F755</f>
        <v>116019.38</v>
      </c>
      <c r="Q755" s="30" t="n">
        <f aca="false">P755-Summary!$C$5</f>
        <v>16019.3800000001</v>
      </c>
      <c r="R755" s="2" t="str">
        <f aca="false">TEXT(A755,"ddd")</f>
        <v>Tue</v>
      </c>
    </row>
    <row r="756" customFormat="false" ht="15" hidden="false" customHeight="false" outlineLevel="0" collapsed="false">
      <c r="A756" s="42" t="n">
        <v>46253</v>
      </c>
      <c r="B756" s="28" t="n">
        <f aca="false">COUNTIFS(Trades!$D$2:$D$884,$A756)</f>
        <v>1</v>
      </c>
      <c r="C756" s="28" t="n">
        <f aca="false">COUNTIFS(Trades!$D$2:$D$884,$A756,Trades!$Z$2:$Z$884,"Win")</f>
        <v>0</v>
      </c>
      <c r="D756" s="28" t="n">
        <f aca="false">COUNTIFS(Trades!$D$2:$D$884,$A756,Trades!$Z$2:$Z$884,"Loss")</f>
        <v>1</v>
      </c>
      <c r="E756" s="29" t="n">
        <f aca="false">IFERROR(C756/B756,0)</f>
        <v>0</v>
      </c>
      <c r="F756" s="30" t="n">
        <f aca="false">SUMIFS(Trades!$X$2:$X$884,Trades!$D$2:$D$884,$A756)</f>
        <v>-91.12</v>
      </c>
      <c r="G756" s="30" t="n">
        <f aca="false">SUMIFS(Trades!$X$2:$X$884,Trades!$D$2:$D$884,$A756,Trades!$X$2:$X$884,"&gt;0")</f>
        <v>0</v>
      </c>
      <c r="H756" s="30" t="n">
        <f aca="false">SUMIFS(Trades!$X$2:$X$884,Trades!$D$2:$D$884,$A756,Trades!$X$2:$X$884,"&lt;0")</f>
        <v>-91.12</v>
      </c>
      <c r="I756" s="31" t="n">
        <f aca="false">IFERROR(G756/-H756,"no loss")</f>
        <v>0</v>
      </c>
      <c r="J756" s="30" t="n">
        <f aca="false">_xlfn.MAXIFS(Trades!$X$2:$X$884,Trades!$D$2:$D$884,$A756)</f>
        <v>-91.12</v>
      </c>
      <c r="K756" s="30" t="n">
        <f aca="false">_xlfn.MINIFS(Trades!$X$2:$X$884,Trades!$D$2:$D$884,$A756)</f>
        <v>-91.12</v>
      </c>
      <c r="L756" s="32" t="n">
        <f aca="false">SUMIFS(Trades!$Y$2:$Y$884,Trades!$D$2:$D$884,$A756)</f>
        <v>-1.02839600920946</v>
      </c>
      <c r="M756" s="30" t="n">
        <f aca="false">P755</f>
        <v>116019.38</v>
      </c>
      <c r="N756" s="29" t="n">
        <f aca="false">IFERROR(F756/M756,0)</f>
        <v>-0.000785386027748122</v>
      </c>
      <c r="O756" s="28" t="str">
        <f aca="false">IF(-N756&gt;=Summary!$C$7,"BREACH","")</f>
        <v/>
      </c>
      <c r="P756" s="30" t="n">
        <f aca="false">M756+F756</f>
        <v>115928.26</v>
      </c>
      <c r="Q756" s="30" t="n">
        <f aca="false">P756-Summary!$C$5</f>
        <v>15928.2600000001</v>
      </c>
      <c r="R756" s="2" t="str">
        <f aca="false">TEXT(A756,"ddd")</f>
        <v>Wed</v>
      </c>
    </row>
    <row r="757" customFormat="false" ht="15" hidden="false" customHeight="false" outlineLevel="0" collapsed="false">
      <c r="A757" s="42" t="n">
        <v>46254</v>
      </c>
      <c r="B757" s="28" t="n">
        <f aca="false">COUNTIFS(Trades!$D$2:$D$884,$A757)</f>
        <v>1</v>
      </c>
      <c r="C757" s="28" t="n">
        <f aca="false">COUNTIFS(Trades!$D$2:$D$884,$A757,Trades!$Z$2:$Z$884,"Win")</f>
        <v>1</v>
      </c>
      <c r="D757" s="28" t="n">
        <f aca="false">COUNTIFS(Trades!$D$2:$D$884,$A757,Trades!$Z$2:$Z$884,"Loss")</f>
        <v>0</v>
      </c>
      <c r="E757" s="29" t="n">
        <f aca="false">IFERROR(C757/B757,0)</f>
        <v>1</v>
      </c>
      <c r="F757" s="30" t="n">
        <f aca="false">SUMIFS(Trades!$X$2:$X$884,Trades!$D$2:$D$884,$A757)</f>
        <v>261.87</v>
      </c>
      <c r="G757" s="30" t="n">
        <f aca="false">SUMIFS(Trades!$X$2:$X$884,Trades!$D$2:$D$884,$A757,Trades!$X$2:$X$884,"&gt;0")</f>
        <v>261.87</v>
      </c>
      <c r="H757" s="30" t="n">
        <f aca="false">SUMIFS(Trades!$X$2:$X$884,Trades!$D$2:$D$884,$A757,Trades!$X$2:$X$884,"&lt;0")</f>
        <v>0</v>
      </c>
      <c r="I757" s="31" t="str">
        <f aca="false">IFERROR(G757/-H757,"no loss")</f>
        <v>no loss</v>
      </c>
      <c r="J757" s="30" t="n">
        <f aca="false">_xlfn.MAXIFS(Trades!$X$2:$X$884,Trades!$D$2:$D$884,$A757)</f>
        <v>261.87</v>
      </c>
      <c r="K757" s="30" t="n">
        <f aca="false">_xlfn.MINIFS(Trades!$X$2:$X$884,Trades!$D$2:$D$884,$A757)</f>
        <v>261.87</v>
      </c>
      <c r="L757" s="32" t="n">
        <f aca="false">SUMIFS(Trades!$Y$2:$Y$884,Trades!$D$2:$D$884,$A757)</f>
        <v>2.14601806172459</v>
      </c>
      <c r="M757" s="30" t="n">
        <f aca="false">P756</f>
        <v>115928.26</v>
      </c>
      <c r="N757" s="29" t="n">
        <f aca="false">IFERROR(F757/M757,0)</f>
        <v>0.00225889701096178</v>
      </c>
      <c r="O757" s="28" t="str">
        <f aca="false">IF(-N757&gt;=Summary!$C$7,"BREACH","")</f>
        <v/>
      </c>
      <c r="P757" s="30" t="n">
        <f aca="false">M757+F757</f>
        <v>116190.13</v>
      </c>
      <c r="Q757" s="30" t="n">
        <f aca="false">P757-Summary!$C$5</f>
        <v>16190.1300000001</v>
      </c>
      <c r="R757" s="2" t="str">
        <f aca="false">TEXT(A757,"ddd")</f>
        <v>Thu</v>
      </c>
    </row>
    <row r="758" customFormat="false" ht="15" hidden="false" customHeight="false" outlineLevel="0" collapsed="false">
      <c r="A758" s="42" t="n">
        <v>46258</v>
      </c>
      <c r="B758" s="28" t="n">
        <f aca="false">COUNTIFS(Trades!$D$2:$D$884,$A758)</f>
        <v>1</v>
      </c>
      <c r="C758" s="28" t="n">
        <f aca="false">COUNTIFS(Trades!$D$2:$D$884,$A758,Trades!$Z$2:$Z$884,"Win")</f>
        <v>0</v>
      </c>
      <c r="D758" s="28" t="n">
        <f aca="false">COUNTIFS(Trades!$D$2:$D$884,$A758,Trades!$Z$2:$Z$884,"Loss")</f>
        <v>1</v>
      </c>
      <c r="E758" s="29" t="n">
        <f aca="false">IFERROR(C758/B758,0)</f>
        <v>0</v>
      </c>
      <c r="F758" s="30" t="n">
        <f aca="false">SUMIFS(Trades!$X$2:$X$884,Trades!$D$2:$D$884,$A758)</f>
        <v>-56.24</v>
      </c>
      <c r="G758" s="30" t="n">
        <f aca="false">SUMIFS(Trades!$X$2:$X$884,Trades!$D$2:$D$884,$A758,Trades!$X$2:$X$884,"&gt;0")</f>
        <v>0</v>
      </c>
      <c r="H758" s="30" t="n">
        <f aca="false">SUMIFS(Trades!$X$2:$X$884,Trades!$D$2:$D$884,$A758,Trades!$X$2:$X$884,"&lt;0")</f>
        <v>-56.24</v>
      </c>
      <c r="I758" s="31" t="n">
        <f aca="false">IFERROR(G758/-H758,"no loss")</f>
        <v>0</v>
      </c>
      <c r="J758" s="30" t="n">
        <f aca="false">_xlfn.MAXIFS(Trades!$X$2:$X$884,Trades!$D$2:$D$884,$A758)</f>
        <v>-56.24</v>
      </c>
      <c r="K758" s="30" t="n">
        <f aca="false">_xlfn.MINIFS(Trades!$X$2:$X$884,Trades!$D$2:$D$884,$A758)</f>
        <v>-56.24</v>
      </c>
      <c r="L758" s="32" t="n">
        <f aca="false">SUMIFS(Trades!$Y$2:$Y$884,Trades!$D$2:$D$884,$A758)</f>
        <v>-1.00615428653221</v>
      </c>
      <c r="M758" s="30" t="n">
        <f aca="false">P757</f>
        <v>116190.13</v>
      </c>
      <c r="N758" s="29" t="n">
        <f aca="false">IFERROR(F758/M758,0)</f>
        <v>-0.000484034229069198</v>
      </c>
      <c r="O758" s="28" t="str">
        <f aca="false">IF(-N758&gt;=Summary!$C$7,"BREACH","")</f>
        <v/>
      </c>
      <c r="P758" s="30" t="n">
        <f aca="false">M758+F758</f>
        <v>116133.89</v>
      </c>
      <c r="Q758" s="30" t="n">
        <f aca="false">P758-Summary!$C$5</f>
        <v>16133.8900000001</v>
      </c>
      <c r="R758" s="2" t="str">
        <f aca="false">TEXT(A758,"ddd")</f>
        <v>Mon</v>
      </c>
    </row>
    <row r="759" customFormat="false" ht="15" hidden="false" customHeight="false" outlineLevel="0" collapsed="false">
      <c r="A759" s="42" t="n">
        <v>46261</v>
      </c>
      <c r="B759" s="28" t="n">
        <f aca="false">COUNTIFS(Trades!$D$2:$D$884,$A759)</f>
        <v>1</v>
      </c>
      <c r="C759" s="28" t="n">
        <f aca="false">COUNTIFS(Trades!$D$2:$D$884,$A759,Trades!$Z$2:$Z$884,"Win")</f>
        <v>1</v>
      </c>
      <c r="D759" s="28" t="n">
        <f aca="false">COUNTIFS(Trades!$D$2:$D$884,$A759,Trades!$Z$2:$Z$884,"Loss")</f>
        <v>0</v>
      </c>
      <c r="E759" s="29" t="n">
        <f aca="false">IFERROR(C759/B759,0)</f>
        <v>1</v>
      </c>
      <c r="F759" s="30" t="n">
        <f aca="false">SUMIFS(Trades!$X$2:$X$884,Trades!$D$2:$D$884,$A759)</f>
        <v>364.45</v>
      </c>
      <c r="G759" s="30" t="n">
        <f aca="false">SUMIFS(Trades!$X$2:$X$884,Trades!$D$2:$D$884,$A759,Trades!$X$2:$X$884,"&gt;0")</f>
        <v>364.45</v>
      </c>
      <c r="H759" s="30" t="n">
        <f aca="false">SUMIFS(Trades!$X$2:$X$884,Trades!$D$2:$D$884,$A759,Trades!$X$2:$X$884,"&lt;0")</f>
        <v>0</v>
      </c>
      <c r="I759" s="31" t="str">
        <f aca="false">IFERROR(G759/-H759,"no loss")</f>
        <v>no loss</v>
      </c>
      <c r="J759" s="30" t="n">
        <f aca="false">_xlfn.MAXIFS(Trades!$X$2:$X$884,Trades!$D$2:$D$884,$A759)</f>
        <v>364.45</v>
      </c>
      <c r="K759" s="30" t="n">
        <f aca="false">_xlfn.MINIFS(Trades!$X$2:$X$884,Trades!$D$2:$D$884,$A759)</f>
        <v>364.45</v>
      </c>
      <c r="L759" s="32" t="n">
        <f aca="false">SUMIFS(Trades!$Y$2:$Y$884,Trades!$D$2:$D$884,$A759)</f>
        <v>1.93660662096822</v>
      </c>
      <c r="M759" s="30" t="n">
        <f aca="false">P758</f>
        <v>116133.89</v>
      </c>
      <c r="N759" s="29" t="n">
        <f aca="false">IFERROR(F759/M759,0)</f>
        <v>0.00313818817228976</v>
      </c>
      <c r="O759" s="28" t="str">
        <f aca="false">IF(-N759&gt;=Summary!$C$7,"BREACH","")</f>
        <v/>
      </c>
      <c r="P759" s="30" t="n">
        <f aca="false">M759+F759</f>
        <v>116498.34</v>
      </c>
      <c r="Q759" s="30" t="n">
        <f aca="false">P759-Summary!$C$5</f>
        <v>16498.3400000001</v>
      </c>
      <c r="R759" s="2" t="str">
        <f aca="false">TEXT(A759,"ddd")</f>
        <v>Thu</v>
      </c>
    </row>
    <row r="760" customFormat="false" ht="15" hidden="false" customHeight="false" outlineLevel="0" collapsed="false">
      <c r="A760" s="42" t="n">
        <v>46262</v>
      </c>
      <c r="B760" s="28" t="n">
        <f aca="false">COUNTIFS(Trades!$D$2:$D$884,$A760)</f>
        <v>1</v>
      </c>
      <c r="C760" s="28" t="n">
        <f aca="false">COUNTIFS(Trades!$D$2:$D$884,$A760,Trades!$Z$2:$Z$884,"Win")</f>
        <v>0</v>
      </c>
      <c r="D760" s="28" t="n">
        <f aca="false">COUNTIFS(Trades!$D$2:$D$884,$A760,Trades!$Z$2:$Z$884,"Loss")</f>
        <v>1</v>
      </c>
      <c r="E760" s="29" t="n">
        <f aca="false">IFERROR(C760/B760,0)</f>
        <v>0</v>
      </c>
      <c r="F760" s="30" t="n">
        <f aca="false">SUMIFS(Trades!$X$2:$X$884,Trades!$D$2:$D$884,$A760)</f>
        <v>-54.43</v>
      </c>
      <c r="G760" s="30" t="n">
        <f aca="false">SUMIFS(Trades!$X$2:$X$884,Trades!$D$2:$D$884,$A760,Trades!$X$2:$X$884,"&gt;0")</f>
        <v>0</v>
      </c>
      <c r="H760" s="30" t="n">
        <f aca="false">SUMIFS(Trades!$X$2:$X$884,Trades!$D$2:$D$884,$A760,Trades!$X$2:$X$884,"&lt;0")</f>
        <v>-54.43</v>
      </c>
      <c r="I760" s="31" t="n">
        <f aca="false">IFERROR(G760/-H760,"no loss")</f>
        <v>0</v>
      </c>
      <c r="J760" s="30" t="n">
        <f aca="false">_xlfn.MAXIFS(Trades!$X$2:$X$884,Trades!$D$2:$D$884,$A760)</f>
        <v>-54.43</v>
      </c>
      <c r="K760" s="30" t="n">
        <f aca="false">_xlfn.MINIFS(Trades!$X$2:$X$884,Trades!$D$2:$D$884,$A760)</f>
        <v>-54.43</v>
      </c>
      <c r="L760" s="32" t="n">
        <f aca="false">SUMIFS(Trades!$Y$2:$Y$884,Trades!$D$2:$D$884,$A760)</f>
        <v>-1.05321207430336</v>
      </c>
      <c r="M760" s="30" t="n">
        <f aca="false">P759</f>
        <v>116498.34</v>
      </c>
      <c r="N760" s="29" t="n">
        <f aca="false">IFERROR(F760/M760,0)</f>
        <v>-0.000467216957769527</v>
      </c>
      <c r="O760" s="28" t="str">
        <f aca="false">IF(-N760&gt;=Summary!$C$7,"BREACH","")</f>
        <v/>
      </c>
      <c r="P760" s="30" t="n">
        <f aca="false">M760+F760</f>
        <v>116443.91</v>
      </c>
      <c r="Q760" s="30" t="n">
        <f aca="false">P760-Summary!$C$5</f>
        <v>16443.9100000001</v>
      </c>
      <c r="R760" s="2" t="str">
        <f aca="false">TEXT(A760,"ddd")</f>
        <v>Fri</v>
      </c>
    </row>
    <row r="761" customFormat="false" ht="15" hidden="false" customHeight="false" outlineLevel="0" collapsed="false">
      <c r="A761" s="42" t="n">
        <v>46265</v>
      </c>
      <c r="B761" s="28" t="n">
        <f aca="false">COUNTIFS(Trades!$D$2:$D$884,$A761)</f>
        <v>1</v>
      </c>
      <c r="C761" s="28" t="n">
        <f aca="false">COUNTIFS(Trades!$D$2:$D$884,$A761,Trades!$Z$2:$Z$884,"Win")</f>
        <v>1</v>
      </c>
      <c r="D761" s="28" t="n">
        <f aca="false">COUNTIFS(Trades!$D$2:$D$884,$A761,Trades!$Z$2:$Z$884,"Loss")</f>
        <v>0</v>
      </c>
      <c r="E761" s="29" t="n">
        <f aca="false">IFERROR(C761/B761,0)</f>
        <v>1</v>
      </c>
      <c r="F761" s="30" t="n">
        <f aca="false">SUMIFS(Trades!$X$2:$X$884,Trades!$D$2:$D$884,$A761)</f>
        <v>167.35</v>
      </c>
      <c r="G761" s="30" t="n">
        <f aca="false">SUMIFS(Trades!$X$2:$X$884,Trades!$D$2:$D$884,$A761,Trades!$X$2:$X$884,"&gt;0")</f>
        <v>167.35</v>
      </c>
      <c r="H761" s="30" t="n">
        <f aca="false">SUMIFS(Trades!$X$2:$X$884,Trades!$D$2:$D$884,$A761,Trades!$X$2:$X$884,"&lt;0")</f>
        <v>0</v>
      </c>
      <c r="I761" s="31" t="str">
        <f aca="false">IFERROR(G761/-H761,"no loss")</f>
        <v>no loss</v>
      </c>
      <c r="J761" s="30" t="n">
        <f aca="false">_xlfn.MAXIFS(Trades!$X$2:$X$884,Trades!$D$2:$D$884,$A761)</f>
        <v>167.35</v>
      </c>
      <c r="K761" s="30" t="n">
        <f aca="false">_xlfn.MINIFS(Trades!$X$2:$X$884,Trades!$D$2:$D$884,$A761)</f>
        <v>167.35</v>
      </c>
      <c r="L761" s="32" t="n">
        <f aca="false">SUMIFS(Trades!$Y$2:$Y$884,Trades!$D$2:$D$884,$A761)</f>
        <v>2.02553861050599</v>
      </c>
      <c r="M761" s="30" t="n">
        <f aca="false">P760</f>
        <v>116443.91</v>
      </c>
      <c r="N761" s="29" t="n">
        <f aca="false">IFERROR(F761/M761,0)</f>
        <v>0.00143717262671787</v>
      </c>
      <c r="O761" s="28" t="str">
        <f aca="false">IF(-N761&gt;=Summary!$C$7,"BREACH","")</f>
        <v/>
      </c>
      <c r="P761" s="30" t="n">
        <f aca="false">M761+F761</f>
        <v>116611.26</v>
      </c>
      <c r="Q761" s="30" t="n">
        <f aca="false">P761-Summary!$C$5</f>
        <v>16611.2600000001</v>
      </c>
      <c r="R761" s="2" t="str">
        <f aca="false">TEXT(A761,"ddd")</f>
        <v>Mon</v>
      </c>
    </row>
    <row r="762" customFormat="false" ht="15" hidden="false" customHeight="false" outlineLevel="0" collapsed="false">
      <c r="A762" s="42" t="n">
        <v>46266</v>
      </c>
      <c r="B762" s="28" t="n">
        <f aca="false">COUNTIFS(Trades!$D$2:$D$884,$A762)</f>
        <v>2</v>
      </c>
      <c r="C762" s="28" t="n">
        <f aca="false">COUNTIFS(Trades!$D$2:$D$884,$A762,Trades!$Z$2:$Z$884,"Win")</f>
        <v>2</v>
      </c>
      <c r="D762" s="28" t="n">
        <f aca="false">COUNTIFS(Trades!$D$2:$D$884,$A762,Trades!$Z$2:$Z$884,"Loss")</f>
        <v>0</v>
      </c>
      <c r="E762" s="29" t="n">
        <f aca="false">IFERROR(C762/B762,0)</f>
        <v>1</v>
      </c>
      <c r="F762" s="30" t="n">
        <f aca="false">SUMIFS(Trades!$X$2:$X$884,Trades!$D$2:$D$884,$A762)</f>
        <v>268.67</v>
      </c>
      <c r="G762" s="30" t="n">
        <f aca="false">SUMIFS(Trades!$X$2:$X$884,Trades!$D$2:$D$884,$A762,Trades!$X$2:$X$884,"&gt;0")</f>
        <v>268.67</v>
      </c>
      <c r="H762" s="30" t="n">
        <f aca="false">SUMIFS(Trades!$X$2:$X$884,Trades!$D$2:$D$884,$A762,Trades!$X$2:$X$884,"&lt;0")</f>
        <v>0</v>
      </c>
      <c r="I762" s="31" t="str">
        <f aca="false">IFERROR(G762/-H762,"no loss")</f>
        <v>no loss</v>
      </c>
      <c r="J762" s="30" t="n">
        <f aca="false">_xlfn.MAXIFS(Trades!$X$2:$X$884,Trades!$D$2:$D$884,$A762)</f>
        <v>194.11</v>
      </c>
      <c r="K762" s="30" t="n">
        <f aca="false">_xlfn.MINIFS(Trades!$X$2:$X$884,Trades!$D$2:$D$884,$A762)</f>
        <v>74.56</v>
      </c>
      <c r="L762" s="32" t="n">
        <f aca="false">SUMIFS(Trades!$Y$2:$Y$884,Trades!$D$2:$D$884,$A762)</f>
        <v>4.0077157890966</v>
      </c>
      <c r="M762" s="30" t="n">
        <f aca="false">P761</f>
        <v>116611.26</v>
      </c>
      <c r="N762" s="29" t="n">
        <f aca="false">IFERROR(F762/M762,0)</f>
        <v>0.00230397990725767</v>
      </c>
      <c r="O762" s="28" t="str">
        <f aca="false">IF(-N762&gt;=Summary!$C$7,"BREACH","")</f>
        <v/>
      </c>
      <c r="P762" s="30" t="n">
        <f aca="false">M762+F762</f>
        <v>116879.93</v>
      </c>
      <c r="Q762" s="30" t="n">
        <f aca="false">P762-Summary!$C$5</f>
        <v>16879.9300000001</v>
      </c>
      <c r="R762" s="2" t="str">
        <f aca="false">TEXT(A762,"ddd")</f>
        <v>Tue</v>
      </c>
    </row>
    <row r="763" customFormat="false" ht="15" hidden="false" customHeight="false" outlineLevel="0" collapsed="false">
      <c r="A763" s="42" t="n">
        <v>46267</v>
      </c>
      <c r="B763" s="28" t="n">
        <f aca="false">COUNTIFS(Trades!$D$2:$D$884,$A763)</f>
        <v>1</v>
      </c>
      <c r="C763" s="28" t="n">
        <f aca="false">COUNTIFS(Trades!$D$2:$D$884,$A763,Trades!$Z$2:$Z$884,"Win")</f>
        <v>0</v>
      </c>
      <c r="D763" s="28" t="n">
        <f aca="false">COUNTIFS(Trades!$D$2:$D$884,$A763,Trades!$Z$2:$Z$884,"Loss")</f>
        <v>1</v>
      </c>
      <c r="E763" s="29" t="n">
        <f aca="false">IFERROR(C763/B763,0)</f>
        <v>0</v>
      </c>
      <c r="F763" s="30" t="n">
        <f aca="false">SUMIFS(Trades!$X$2:$X$884,Trades!$D$2:$D$884,$A763)</f>
        <v>-7.7</v>
      </c>
      <c r="G763" s="30" t="n">
        <f aca="false">SUMIFS(Trades!$X$2:$X$884,Trades!$D$2:$D$884,$A763,Trades!$X$2:$X$884,"&gt;0")</f>
        <v>0</v>
      </c>
      <c r="H763" s="30" t="n">
        <f aca="false">SUMIFS(Trades!$X$2:$X$884,Trades!$D$2:$D$884,$A763,Trades!$X$2:$X$884,"&lt;0")</f>
        <v>-7.7</v>
      </c>
      <c r="I763" s="31" t="n">
        <f aca="false">IFERROR(G763/-H763,"no loss")</f>
        <v>0</v>
      </c>
      <c r="J763" s="30" t="n">
        <f aca="false">_xlfn.MAXIFS(Trades!$X$2:$X$884,Trades!$D$2:$D$884,$A763)</f>
        <v>-7.7</v>
      </c>
      <c r="K763" s="30" t="n">
        <f aca="false">_xlfn.MINIFS(Trades!$X$2:$X$884,Trades!$D$2:$D$884,$A763)</f>
        <v>-7.7</v>
      </c>
      <c r="L763" s="32" t="n">
        <f aca="false">SUMIFS(Trades!$Y$2:$Y$884,Trades!$D$2:$D$884,$A763)</f>
        <v>-0.12250222731323</v>
      </c>
      <c r="M763" s="30" t="n">
        <f aca="false">P762</f>
        <v>116879.93</v>
      </c>
      <c r="N763" s="29" t="n">
        <f aca="false">IFERROR(F763/M763,0)</f>
        <v>-6.58795740209632E-005</v>
      </c>
      <c r="O763" s="28" t="str">
        <f aca="false">IF(-N763&gt;=Summary!$C$7,"BREACH","")</f>
        <v/>
      </c>
      <c r="P763" s="30" t="n">
        <f aca="false">M763+F763</f>
        <v>116872.23</v>
      </c>
      <c r="Q763" s="30" t="n">
        <f aca="false">P763-Summary!$C$5</f>
        <v>16872.2300000001</v>
      </c>
      <c r="R763" s="2" t="str">
        <f aca="false">TEXT(A763,"ddd")</f>
        <v>Wed</v>
      </c>
    </row>
    <row r="764" customFormat="false" ht="15" hidden="false" customHeight="false" outlineLevel="0" collapsed="false">
      <c r="A764" s="42" t="n">
        <v>46268</v>
      </c>
      <c r="B764" s="28" t="n">
        <f aca="false">COUNTIFS(Trades!$D$2:$D$884,$A764)</f>
        <v>1</v>
      </c>
      <c r="C764" s="28" t="n">
        <f aca="false">COUNTIFS(Trades!$D$2:$D$884,$A764,Trades!$Z$2:$Z$884,"Win")</f>
        <v>0</v>
      </c>
      <c r="D764" s="28" t="n">
        <f aca="false">COUNTIFS(Trades!$D$2:$D$884,$A764,Trades!$Z$2:$Z$884,"Loss")</f>
        <v>1</v>
      </c>
      <c r="E764" s="29" t="n">
        <f aca="false">IFERROR(C764/B764,0)</f>
        <v>0</v>
      </c>
      <c r="F764" s="30" t="n">
        <f aca="false">SUMIFS(Trades!$X$2:$X$884,Trades!$D$2:$D$884,$A764)</f>
        <v>-47.2</v>
      </c>
      <c r="G764" s="30" t="n">
        <f aca="false">SUMIFS(Trades!$X$2:$X$884,Trades!$D$2:$D$884,$A764,Trades!$X$2:$X$884,"&gt;0")</f>
        <v>0</v>
      </c>
      <c r="H764" s="30" t="n">
        <f aca="false">SUMIFS(Trades!$X$2:$X$884,Trades!$D$2:$D$884,$A764,Trades!$X$2:$X$884,"&lt;0")</f>
        <v>-47.2</v>
      </c>
      <c r="I764" s="31" t="n">
        <f aca="false">IFERROR(G764/-H764,"no loss")</f>
        <v>0</v>
      </c>
      <c r="J764" s="30" t="n">
        <f aca="false">_xlfn.MAXIFS(Trades!$X$2:$X$884,Trades!$D$2:$D$884,$A764)</f>
        <v>-47.2</v>
      </c>
      <c r="K764" s="30" t="n">
        <f aca="false">_xlfn.MINIFS(Trades!$X$2:$X$884,Trades!$D$2:$D$884,$A764)</f>
        <v>-47.2</v>
      </c>
      <c r="L764" s="32" t="n">
        <f aca="false">SUMIFS(Trades!$Y$2:$Y$884,Trades!$D$2:$D$884,$A764)</f>
        <v>-1.01244101244124</v>
      </c>
      <c r="M764" s="30" t="n">
        <f aca="false">P763</f>
        <v>116872.23</v>
      </c>
      <c r="N764" s="29" t="n">
        <f aca="false">IFERROR(F764/M764,0)</f>
        <v>-0.000403859839073833</v>
      </c>
      <c r="O764" s="28" t="str">
        <f aca="false">IF(-N764&gt;=Summary!$C$7,"BREACH","")</f>
        <v/>
      </c>
      <c r="P764" s="30" t="n">
        <f aca="false">M764+F764</f>
        <v>116825.03</v>
      </c>
      <c r="Q764" s="30" t="n">
        <f aca="false">P764-Summary!$C$5</f>
        <v>16825.0300000001</v>
      </c>
      <c r="R764" s="2" t="str">
        <f aca="false">TEXT(A764,"ddd")</f>
        <v>Thu</v>
      </c>
    </row>
    <row r="765" customFormat="false" ht="15" hidden="false" customHeight="false" outlineLevel="0" collapsed="false">
      <c r="A765" s="42" t="n">
        <v>46269</v>
      </c>
      <c r="B765" s="28" t="n">
        <f aca="false">COUNTIFS(Trades!$D$2:$D$884,$A765)</f>
        <v>1</v>
      </c>
      <c r="C765" s="28" t="n">
        <f aca="false">COUNTIFS(Trades!$D$2:$D$884,$A765,Trades!$Z$2:$Z$884,"Win")</f>
        <v>1</v>
      </c>
      <c r="D765" s="28" t="n">
        <f aca="false">COUNTIFS(Trades!$D$2:$D$884,$A765,Trades!$Z$2:$Z$884,"Loss")</f>
        <v>0</v>
      </c>
      <c r="E765" s="29" t="n">
        <f aca="false">IFERROR(C765/B765,0)</f>
        <v>1</v>
      </c>
      <c r="F765" s="30" t="n">
        <f aca="false">SUMIFS(Trades!$X$2:$X$884,Trades!$D$2:$D$884,$A765)</f>
        <v>54.64</v>
      </c>
      <c r="G765" s="30" t="n">
        <f aca="false">SUMIFS(Trades!$X$2:$X$884,Trades!$D$2:$D$884,$A765,Trades!$X$2:$X$884,"&gt;0")</f>
        <v>54.64</v>
      </c>
      <c r="H765" s="30" t="n">
        <f aca="false">SUMIFS(Trades!$X$2:$X$884,Trades!$D$2:$D$884,$A765,Trades!$X$2:$X$884,"&lt;0")</f>
        <v>0</v>
      </c>
      <c r="I765" s="31" t="str">
        <f aca="false">IFERROR(G765/-H765,"no loss")</f>
        <v>no loss</v>
      </c>
      <c r="J765" s="30" t="n">
        <f aca="false">_xlfn.MAXIFS(Trades!$X$2:$X$884,Trades!$D$2:$D$884,$A765)</f>
        <v>54.64</v>
      </c>
      <c r="K765" s="30" t="n">
        <f aca="false">_xlfn.MINIFS(Trades!$X$2:$X$884,Trades!$D$2:$D$884,$A765)</f>
        <v>54.64</v>
      </c>
      <c r="L765" s="32" t="n">
        <f aca="false">SUMIFS(Trades!$Y$2:$Y$884,Trades!$D$2:$D$884,$A765)</f>
        <v>2.00131858471936</v>
      </c>
      <c r="M765" s="30" t="n">
        <f aca="false">P764</f>
        <v>116825.03</v>
      </c>
      <c r="N765" s="29" t="n">
        <f aca="false">IFERROR(F765/M765,0)</f>
        <v>0.000467707990316801</v>
      </c>
      <c r="O765" s="28" t="str">
        <f aca="false">IF(-N765&gt;=Summary!$C$7,"BREACH","")</f>
        <v/>
      </c>
      <c r="P765" s="30" t="n">
        <f aca="false">M765+F765</f>
        <v>116879.67</v>
      </c>
      <c r="Q765" s="30" t="n">
        <f aca="false">P765-Summary!$C$5</f>
        <v>16879.6700000001</v>
      </c>
      <c r="R765" s="2" t="str">
        <f aca="false">TEXT(A765,"ddd")</f>
        <v>Fri</v>
      </c>
    </row>
    <row r="766" customFormat="false" ht="15" hidden="false" customHeight="false" outlineLevel="0" collapsed="false">
      <c r="A766" s="42" t="n">
        <v>46273</v>
      </c>
      <c r="B766" s="28" t="n">
        <f aca="false">COUNTIFS(Trades!$D$2:$D$884,$A766)</f>
        <v>2</v>
      </c>
      <c r="C766" s="28" t="n">
        <f aca="false">COUNTIFS(Trades!$D$2:$D$884,$A766,Trades!$Z$2:$Z$884,"Win")</f>
        <v>1</v>
      </c>
      <c r="D766" s="28" t="n">
        <f aca="false">COUNTIFS(Trades!$D$2:$D$884,$A766,Trades!$Z$2:$Z$884,"Loss")</f>
        <v>1</v>
      </c>
      <c r="E766" s="29" t="n">
        <f aca="false">IFERROR(C766/B766,0)</f>
        <v>0.5</v>
      </c>
      <c r="F766" s="30" t="n">
        <f aca="false">SUMIFS(Trades!$X$2:$X$884,Trades!$D$2:$D$884,$A766)</f>
        <v>43.01</v>
      </c>
      <c r="G766" s="30" t="n">
        <f aca="false">SUMIFS(Trades!$X$2:$X$884,Trades!$D$2:$D$884,$A766,Trades!$X$2:$X$884,"&gt;0")</f>
        <v>91.7</v>
      </c>
      <c r="H766" s="30" t="n">
        <f aca="false">SUMIFS(Trades!$X$2:$X$884,Trades!$D$2:$D$884,$A766,Trades!$X$2:$X$884,"&lt;0")</f>
        <v>-48.69</v>
      </c>
      <c r="I766" s="31" t="n">
        <f aca="false">IFERROR(G766/-H766,"no loss")</f>
        <v>1.88334360238242</v>
      </c>
      <c r="J766" s="30" t="n">
        <f aca="false">_xlfn.MAXIFS(Trades!$X$2:$X$884,Trades!$D$2:$D$884,$A766)</f>
        <v>91.7</v>
      </c>
      <c r="K766" s="30" t="n">
        <f aca="false">_xlfn.MINIFS(Trades!$X$2:$X$884,Trades!$D$2:$D$884,$A766)</f>
        <v>-48.69</v>
      </c>
      <c r="L766" s="32" t="n">
        <f aca="false">SUMIFS(Trades!$Y$2:$Y$884,Trades!$D$2:$D$884,$A766)</f>
        <v>0.975265840164176</v>
      </c>
      <c r="M766" s="30" t="n">
        <f aca="false">P765</f>
        <v>116879.67</v>
      </c>
      <c r="N766" s="29" t="n">
        <f aca="false">IFERROR(F766/M766,0)</f>
        <v>0.000367985296330833</v>
      </c>
      <c r="O766" s="28" t="str">
        <f aca="false">IF(-N766&gt;=Summary!$C$7,"BREACH","")</f>
        <v/>
      </c>
      <c r="P766" s="30" t="n">
        <f aca="false">M766+F766</f>
        <v>116922.68</v>
      </c>
      <c r="Q766" s="30" t="n">
        <f aca="false">P766-Summary!$C$5</f>
        <v>16922.6800000001</v>
      </c>
      <c r="R766" s="2" t="str">
        <f aca="false">TEXT(A766,"ddd")</f>
        <v>Tue</v>
      </c>
    </row>
    <row r="767" customFormat="false" ht="15" hidden="false" customHeight="false" outlineLevel="0" collapsed="false">
      <c r="A767" s="42" t="n">
        <v>46274</v>
      </c>
      <c r="B767" s="28" t="n">
        <f aca="false">COUNTIFS(Trades!$D$2:$D$884,$A767)</f>
        <v>1</v>
      </c>
      <c r="C767" s="28" t="n">
        <f aca="false">COUNTIFS(Trades!$D$2:$D$884,$A767,Trades!$Z$2:$Z$884,"Win")</f>
        <v>0</v>
      </c>
      <c r="D767" s="28" t="n">
        <f aca="false">COUNTIFS(Trades!$D$2:$D$884,$A767,Trades!$Z$2:$Z$884,"Loss")</f>
        <v>1</v>
      </c>
      <c r="E767" s="29" t="n">
        <f aca="false">IFERROR(C767/B767,0)</f>
        <v>0</v>
      </c>
      <c r="F767" s="30" t="n">
        <f aca="false">SUMIFS(Trades!$X$2:$X$884,Trades!$D$2:$D$884,$A767)</f>
        <v>-0.58</v>
      </c>
      <c r="G767" s="30" t="n">
        <f aca="false">SUMIFS(Trades!$X$2:$X$884,Trades!$D$2:$D$884,$A767,Trades!$X$2:$X$884,"&gt;0")</f>
        <v>0</v>
      </c>
      <c r="H767" s="30" t="n">
        <f aca="false">SUMIFS(Trades!$X$2:$X$884,Trades!$D$2:$D$884,$A767,Trades!$X$2:$X$884,"&lt;0")</f>
        <v>-0.58</v>
      </c>
      <c r="I767" s="31" t="n">
        <f aca="false">IFERROR(G767/-H767,"no loss")</f>
        <v>0</v>
      </c>
      <c r="J767" s="30" t="n">
        <f aca="false">_xlfn.MAXIFS(Trades!$X$2:$X$884,Trades!$D$2:$D$884,$A767)</f>
        <v>-0.58</v>
      </c>
      <c r="K767" s="30" t="n">
        <f aca="false">_xlfn.MINIFS(Trades!$X$2:$X$884,Trades!$D$2:$D$884,$A767)</f>
        <v>-0.58</v>
      </c>
      <c r="L767" s="32" t="n">
        <f aca="false">SUMIFS(Trades!$Y$2:$Y$884,Trades!$D$2:$D$884,$A767)</f>
        <v>-0.00687578538065835</v>
      </c>
      <c r="M767" s="30" t="n">
        <f aca="false">P766</f>
        <v>116922.68</v>
      </c>
      <c r="N767" s="29" t="n">
        <f aca="false">IFERROR(F767/M767,0)</f>
        <v>-4.96054315552808E-006</v>
      </c>
      <c r="O767" s="28" t="str">
        <f aca="false">IF(-N767&gt;=Summary!$C$7,"BREACH","")</f>
        <v/>
      </c>
      <c r="P767" s="30" t="n">
        <f aca="false">M767+F767</f>
        <v>116922.1</v>
      </c>
      <c r="Q767" s="30" t="n">
        <f aca="false">P767-Summary!$C$5</f>
        <v>16922.1000000001</v>
      </c>
      <c r="R767" s="2" t="str">
        <f aca="false">TEXT(A767,"ddd")</f>
        <v>Wed</v>
      </c>
    </row>
    <row r="768" customFormat="false" ht="15" hidden="false" customHeight="false" outlineLevel="0" collapsed="false">
      <c r="A768" s="42" t="n">
        <v>46275</v>
      </c>
      <c r="B768" s="28" t="n">
        <f aca="false">COUNTIFS(Trades!$D$2:$D$884,$A768)</f>
        <v>1</v>
      </c>
      <c r="C768" s="28" t="n">
        <f aca="false">COUNTIFS(Trades!$D$2:$D$884,$A768,Trades!$Z$2:$Z$884,"Win")</f>
        <v>0</v>
      </c>
      <c r="D768" s="28" t="n">
        <f aca="false">COUNTIFS(Trades!$D$2:$D$884,$A768,Trades!$Z$2:$Z$884,"Loss")</f>
        <v>1</v>
      </c>
      <c r="E768" s="29" t="n">
        <f aca="false">IFERROR(C768/B768,0)</f>
        <v>0</v>
      </c>
      <c r="F768" s="30" t="n">
        <f aca="false">SUMIFS(Trades!$X$2:$X$884,Trades!$D$2:$D$884,$A768)</f>
        <v>-81.74</v>
      </c>
      <c r="G768" s="30" t="n">
        <f aca="false">SUMIFS(Trades!$X$2:$X$884,Trades!$D$2:$D$884,$A768,Trades!$X$2:$X$884,"&gt;0")</f>
        <v>0</v>
      </c>
      <c r="H768" s="30" t="n">
        <f aca="false">SUMIFS(Trades!$X$2:$X$884,Trades!$D$2:$D$884,$A768,Trades!$X$2:$X$884,"&lt;0")</f>
        <v>-81.74</v>
      </c>
      <c r="I768" s="31" t="n">
        <f aca="false">IFERROR(G768/-H768,"no loss")</f>
        <v>0</v>
      </c>
      <c r="J768" s="30" t="n">
        <f aca="false">_xlfn.MAXIFS(Trades!$X$2:$X$884,Trades!$D$2:$D$884,$A768)</f>
        <v>-81.74</v>
      </c>
      <c r="K768" s="30" t="n">
        <f aca="false">_xlfn.MINIFS(Trades!$X$2:$X$884,Trades!$D$2:$D$884,$A768)</f>
        <v>-81.74</v>
      </c>
      <c r="L768" s="32" t="n">
        <f aca="false">SUMIFS(Trades!$Y$2:$Y$884,Trades!$D$2:$D$884,$A768)</f>
        <v>-1.00548625974842</v>
      </c>
      <c r="M768" s="30" t="n">
        <f aca="false">P767</f>
        <v>116922.1</v>
      </c>
      <c r="N768" s="29" t="n">
        <f aca="false">IFERROR(F768/M768,0)</f>
        <v>-0.000699097946410473</v>
      </c>
      <c r="O768" s="28" t="str">
        <f aca="false">IF(-N768&gt;=Summary!$C$7,"BREACH","")</f>
        <v/>
      </c>
      <c r="P768" s="30" t="n">
        <f aca="false">M768+F768</f>
        <v>116840.36</v>
      </c>
      <c r="Q768" s="30" t="n">
        <f aca="false">P768-Summary!$C$5</f>
        <v>16840.3600000001</v>
      </c>
      <c r="R768" s="2" t="str">
        <f aca="false">TEXT(A768,"ddd")</f>
        <v>Thu</v>
      </c>
    </row>
    <row r="769" customFormat="false" ht="15" hidden="false" customHeight="false" outlineLevel="0" collapsed="false">
      <c r="A769" s="42" t="n">
        <v>46279</v>
      </c>
      <c r="B769" s="28" t="n">
        <f aca="false">COUNTIFS(Trades!$D$2:$D$884,$A769)</f>
        <v>1</v>
      </c>
      <c r="C769" s="28" t="n">
        <f aca="false">COUNTIFS(Trades!$D$2:$D$884,$A769,Trades!$Z$2:$Z$884,"Win")</f>
        <v>1</v>
      </c>
      <c r="D769" s="28" t="n">
        <f aca="false">COUNTIFS(Trades!$D$2:$D$884,$A769,Trades!$Z$2:$Z$884,"Loss")</f>
        <v>0</v>
      </c>
      <c r="E769" s="29" t="n">
        <f aca="false">IFERROR(C769/B769,0)</f>
        <v>1</v>
      </c>
      <c r="F769" s="30" t="n">
        <f aca="false">SUMIFS(Trades!$X$2:$X$884,Trades!$D$2:$D$884,$A769)</f>
        <v>720.14</v>
      </c>
      <c r="G769" s="30" t="n">
        <f aca="false">SUMIFS(Trades!$X$2:$X$884,Trades!$D$2:$D$884,$A769,Trades!$X$2:$X$884,"&gt;0")</f>
        <v>720.14</v>
      </c>
      <c r="H769" s="30" t="n">
        <f aca="false">SUMIFS(Trades!$X$2:$X$884,Trades!$D$2:$D$884,$A769,Trades!$X$2:$X$884,"&lt;0")</f>
        <v>0</v>
      </c>
      <c r="I769" s="31" t="str">
        <f aca="false">IFERROR(G769/-H769,"no loss")</f>
        <v>no loss</v>
      </c>
      <c r="J769" s="30" t="n">
        <f aca="false">_xlfn.MAXIFS(Trades!$X$2:$X$884,Trades!$D$2:$D$884,$A769)</f>
        <v>720.14</v>
      </c>
      <c r="K769" s="30" t="n">
        <f aca="false">_xlfn.MINIFS(Trades!$X$2:$X$884,Trades!$D$2:$D$884,$A769)</f>
        <v>720.14</v>
      </c>
      <c r="L769" s="32" t="n">
        <f aca="false">SUMIFS(Trades!$Y$2:$Y$884,Trades!$D$2:$D$884,$A769)</f>
        <v>1.96598416598417</v>
      </c>
      <c r="M769" s="30" t="n">
        <f aca="false">P768</f>
        <v>116840.36</v>
      </c>
      <c r="N769" s="29" t="n">
        <f aca="false">IFERROR(F769/M769,0)</f>
        <v>0.00616345242346052</v>
      </c>
      <c r="O769" s="28" t="str">
        <f aca="false">IF(-N769&gt;=Summary!$C$7,"BREACH","")</f>
        <v/>
      </c>
      <c r="P769" s="30" t="n">
        <f aca="false">M769+F769</f>
        <v>117560.5</v>
      </c>
      <c r="Q769" s="30" t="n">
        <f aca="false">P769-Summary!$C$5</f>
        <v>17560.5000000001</v>
      </c>
      <c r="R769" s="2" t="str">
        <f aca="false">TEXT(A769,"ddd")</f>
        <v>Mon</v>
      </c>
    </row>
    <row r="770" customFormat="false" ht="15" hidden="false" customHeight="false" outlineLevel="0" collapsed="false">
      <c r="A770" s="42" t="n">
        <v>46281</v>
      </c>
      <c r="B770" s="28" t="n">
        <f aca="false">COUNTIFS(Trades!$D$2:$D$884,$A770)</f>
        <v>2</v>
      </c>
      <c r="C770" s="28" t="n">
        <f aca="false">COUNTIFS(Trades!$D$2:$D$884,$A770,Trades!$Z$2:$Z$884,"Win")</f>
        <v>0</v>
      </c>
      <c r="D770" s="28" t="n">
        <f aca="false">COUNTIFS(Trades!$D$2:$D$884,$A770,Trades!$Z$2:$Z$884,"Loss")</f>
        <v>1</v>
      </c>
      <c r="E770" s="29" t="n">
        <f aca="false">IFERROR(C770/B770,0)</f>
        <v>0</v>
      </c>
      <c r="F770" s="30" t="n">
        <f aca="false">SUMIFS(Trades!$X$2:$X$884,Trades!$D$2:$D$884,$A770)</f>
        <v>-2.41</v>
      </c>
      <c r="G770" s="30" t="n">
        <f aca="false">SUMIFS(Trades!$X$2:$X$884,Trades!$D$2:$D$884,$A770,Trades!$X$2:$X$884,"&gt;0")</f>
        <v>0</v>
      </c>
      <c r="H770" s="30" t="n">
        <f aca="false">SUMIFS(Trades!$X$2:$X$884,Trades!$D$2:$D$884,$A770,Trades!$X$2:$X$884,"&lt;0")</f>
        <v>-2.41</v>
      </c>
      <c r="I770" s="31" t="n">
        <f aca="false">IFERROR(G770/-H770,"no loss")</f>
        <v>0</v>
      </c>
      <c r="J770" s="30" t="n">
        <f aca="false">_xlfn.MAXIFS(Trades!$X$2:$X$884,Trades!$D$2:$D$884,$A770)</f>
        <v>0</v>
      </c>
      <c r="K770" s="30" t="n">
        <f aca="false">_xlfn.MINIFS(Trades!$X$2:$X$884,Trades!$D$2:$D$884,$A770)</f>
        <v>-2.41</v>
      </c>
      <c r="L770" s="32" t="n">
        <f aca="false">SUMIFS(Trades!$Y$2:$Y$884,Trades!$D$2:$D$884,$A770)</f>
        <v>-0.0319391433418164</v>
      </c>
      <c r="M770" s="30" t="n">
        <f aca="false">P769</f>
        <v>117560.5</v>
      </c>
      <c r="N770" s="29" t="n">
        <f aca="false">IFERROR(F770/M770,0)</f>
        <v>-2.05000829360202E-005</v>
      </c>
      <c r="O770" s="28" t="str">
        <f aca="false">IF(-N770&gt;=Summary!$C$7,"BREACH","")</f>
        <v/>
      </c>
      <c r="P770" s="30" t="n">
        <f aca="false">M770+F770</f>
        <v>117558.09</v>
      </c>
      <c r="Q770" s="30" t="n">
        <f aca="false">P770-Summary!$C$5</f>
        <v>17558.0900000001</v>
      </c>
      <c r="R770" s="2" t="str">
        <f aca="false">TEXT(A770,"ddd")</f>
        <v>Wed</v>
      </c>
    </row>
    <row r="771" customFormat="false" ht="15" hidden="false" customHeight="false" outlineLevel="0" collapsed="false">
      <c r="A771" s="42" t="n">
        <v>46282</v>
      </c>
      <c r="B771" s="28" t="n">
        <f aca="false">COUNTIFS(Trades!$D$2:$D$884,$A771)</f>
        <v>1</v>
      </c>
      <c r="C771" s="28" t="n">
        <f aca="false">COUNTIFS(Trades!$D$2:$D$884,$A771,Trades!$Z$2:$Z$884,"Win")</f>
        <v>0</v>
      </c>
      <c r="D771" s="28" t="n">
        <f aca="false">COUNTIFS(Trades!$D$2:$D$884,$A771,Trades!$Z$2:$Z$884,"Loss")</f>
        <v>1</v>
      </c>
      <c r="E771" s="29" t="n">
        <f aca="false">IFERROR(C771/B771,0)</f>
        <v>0</v>
      </c>
      <c r="F771" s="30" t="n">
        <f aca="false">SUMIFS(Trades!$X$2:$X$884,Trades!$D$2:$D$884,$A771)</f>
        <v>-0.5</v>
      </c>
      <c r="G771" s="30" t="n">
        <f aca="false">SUMIFS(Trades!$X$2:$X$884,Trades!$D$2:$D$884,$A771,Trades!$X$2:$X$884,"&gt;0")</f>
        <v>0</v>
      </c>
      <c r="H771" s="30" t="n">
        <f aca="false">SUMIFS(Trades!$X$2:$X$884,Trades!$D$2:$D$884,$A771,Trades!$X$2:$X$884,"&lt;0")</f>
        <v>-0.5</v>
      </c>
      <c r="I771" s="31" t="n">
        <f aca="false">IFERROR(G771/-H771,"no loss")</f>
        <v>0</v>
      </c>
      <c r="J771" s="30" t="n">
        <f aca="false">_xlfn.MAXIFS(Trades!$X$2:$X$884,Trades!$D$2:$D$884,$A771)</f>
        <v>-0.5</v>
      </c>
      <c r="K771" s="30" t="n">
        <f aca="false">_xlfn.MINIFS(Trades!$X$2:$X$884,Trades!$D$2:$D$884,$A771)</f>
        <v>-0.5</v>
      </c>
      <c r="L771" s="32" t="n">
        <f aca="false">SUMIFS(Trades!$Y$2:$Y$884,Trades!$D$2:$D$884,$A771)</f>
        <v>-0.00800512327889917</v>
      </c>
      <c r="M771" s="30" t="n">
        <f aca="false">P770</f>
        <v>117558.09</v>
      </c>
      <c r="N771" s="29" t="n">
        <f aca="false">IFERROR(F771/M771,0)</f>
        <v>-4.25321643112779E-006</v>
      </c>
      <c r="O771" s="28" t="str">
        <f aca="false">IF(-N771&gt;=Summary!$C$7,"BREACH","")</f>
        <v/>
      </c>
      <c r="P771" s="30" t="n">
        <f aca="false">M771+F771</f>
        <v>117557.59</v>
      </c>
      <c r="Q771" s="30" t="n">
        <f aca="false">P771-Summary!$C$5</f>
        <v>17557.5900000001</v>
      </c>
      <c r="R771" s="2" t="str">
        <f aca="false">TEXT(A771,"ddd")</f>
        <v>Thu</v>
      </c>
    </row>
    <row r="772" customFormat="false" ht="15" hidden="false" customHeight="false" outlineLevel="0" collapsed="false">
      <c r="A772" s="42" t="n">
        <v>46283</v>
      </c>
      <c r="B772" s="28" t="n">
        <f aca="false">COUNTIFS(Trades!$D$2:$D$884,$A772)</f>
        <v>1</v>
      </c>
      <c r="C772" s="28" t="n">
        <f aca="false">COUNTIFS(Trades!$D$2:$D$884,$A772,Trades!$Z$2:$Z$884,"Win")</f>
        <v>1</v>
      </c>
      <c r="D772" s="28" t="n">
        <f aca="false">COUNTIFS(Trades!$D$2:$D$884,$A772,Trades!$Z$2:$Z$884,"Loss")</f>
        <v>0</v>
      </c>
      <c r="E772" s="29" t="n">
        <f aca="false">IFERROR(C772/B772,0)</f>
        <v>1</v>
      </c>
      <c r="F772" s="30" t="n">
        <f aca="false">SUMIFS(Trades!$X$2:$X$884,Trades!$D$2:$D$884,$A772)</f>
        <v>89.25</v>
      </c>
      <c r="G772" s="30" t="n">
        <f aca="false">SUMIFS(Trades!$X$2:$X$884,Trades!$D$2:$D$884,$A772,Trades!$X$2:$X$884,"&gt;0")</f>
        <v>89.25</v>
      </c>
      <c r="H772" s="30" t="n">
        <f aca="false">SUMIFS(Trades!$X$2:$X$884,Trades!$D$2:$D$884,$A772,Trades!$X$2:$X$884,"&lt;0")</f>
        <v>0</v>
      </c>
      <c r="I772" s="31" t="str">
        <f aca="false">IFERROR(G772/-H772,"no loss")</f>
        <v>no loss</v>
      </c>
      <c r="J772" s="30" t="n">
        <f aca="false">_xlfn.MAXIFS(Trades!$X$2:$X$884,Trades!$D$2:$D$884,$A772)</f>
        <v>89.25</v>
      </c>
      <c r="K772" s="30" t="n">
        <f aca="false">_xlfn.MINIFS(Trades!$X$2:$X$884,Trades!$D$2:$D$884,$A772)</f>
        <v>89.25</v>
      </c>
      <c r="L772" s="32" t="n">
        <f aca="false">SUMIFS(Trades!$Y$2:$Y$884,Trades!$D$2:$D$884,$A772)</f>
        <v>2.016129032258</v>
      </c>
      <c r="M772" s="30" t="n">
        <f aca="false">P771</f>
        <v>117557.59</v>
      </c>
      <c r="N772" s="29" t="n">
        <f aca="false">IFERROR(F772/M772,0)</f>
        <v>0.000759202362008271</v>
      </c>
      <c r="O772" s="28" t="str">
        <f aca="false">IF(-N772&gt;=Summary!$C$7,"BREACH","")</f>
        <v/>
      </c>
      <c r="P772" s="30" t="n">
        <f aca="false">M772+F772</f>
        <v>117646.84</v>
      </c>
      <c r="Q772" s="30" t="n">
        <f aca="false">P772-Summary!$C$5</f>
        <v>17646.8400000001</v>
      </c>
      <c r="R772" s="2" t="str">
        <f aca="false">TEXT(A772,"ddd")</f>
        <v>Fri</v>
      </c>
    </row>
    <row r="773" customFormat="false" ht="15" hidden="false" customHeight="false" outlineLevel="0" collapsed="false">
      <c r="A773" s="42" t="n">
        <v>46286</v>
      </c>
      <c r="B773" s="28" t="n">
        <f aca="false">COUNTIFS(Trades!$D$2:$D$884,$A773)</f>
        <v>1</v>
      </c>
      <c r="C773" s="28" t="n">
        <f aca="false">COUNTIFS(Trades!$D$2:$D$884,$A773,Trades!$Z$2:$Z$884,"Win")</f>
        <v>0</v>
      </c>
      <c r="D773" s="28" t="n">
        <f aca="false">COUNTIFS(Trades!$D$2:$D$884,$A773,Trades!$Z$2:$Z$884,"Loss")</f>
        <v>1</v>
      </c>
      <c r="E773" s="29" t="n">
        <f aca="false">IFERROR(C773/B773,0)</f>
        <v>0</v>
      </c>
      <c r="F773" s="30" t="n">
        <f aca="false">SUMIFS(Trades!$X$2:$X$884,Trades!$D$2:$D$884,$A773)</f>
        <v>-1.77</v>
      </c>
      <c r="G773" s="30" t="n">
        <f aca="false">SUMIFS(Trades!$X$2:$X$884,Trades!$D$2:$D$884,$A773,Trades!$X$2:$X$884,"&gt;0")</f>
        <v>0</v>
      </c>
      <c r="H773" s="30" t="n">
        <f aca="false">SUMIFS(Trades!$X$2:$X$884,Trades!$D$2:$D$884,$A773,Trades!$X$2:$X$884,"&lt;0")</f>
        <v>-1.77</v>
      </c>
      <c r="I773" s="31" t="n">
        <f aca="false">IFERROR(G773/-H773,"no loss")</f>
        <v>0</v>
      </c>
      <c r="J773" s="30" t="n">
        <f aca="false">_xlfn.MAXIFS(Trades!$X$2:$X$884,Trades!$D$2:$D$884,$A773)</f>
        <v>-1.77</v>
      </c>
      <c r="K773" s="30" t="n">
        <f aca="false">_xlfn.MINIFS(Trades!$X$2:$X$884,Trades!$D$2:$D$884,$A773)</f>
        <v>-1.77</v>
      </c>
      <c r="L773" s="32" t="n">
        <f aca="false">SUMIFS(Trades!$Y$2:$Y$884,Trades!$D$2:$D$884,$A773)</f>
        <v>-0.0234710656128995</v>
      </c>
      <c r="M773" s="30" t="n">
        <f aca="false">P772</f>
        <v>117646.84</v>
      </c>
      <c r="N773" s="29" t="n">
        <f aca="false">IFERROR(F773/M773,0)</f>
        <v>-1.5045027983752E-005</v>
      </c>
      <c r="O773" s="28" t="str">
        <f aca="false">IF(-N773&gt;=Summary!$C$7,"BREACH","")</f>
        <v/>
      </c>
      <c r="P773" s="30" t="n">
        <f aca="false">M773+F773</f>
        <v>117645.07</v>
      </c>
      <c r="Q773" s="30" t="n">
        <f aca="false">P773-Summary!$C$5</f>
        <v>17645.0700000001</v>
      </c>
      <c r="R773" s="2" t="str">
        <f aca="false">TEXT(A773,"ddd")</f>
        <v>Mon</v>
      </c>
    </row>
    <row r="774" customFormat="false" ht="15" hidden="false" customHeight="false" outlineLevel="0" collapsed="false">
      <c r="A774" s="42" t="n">
        <v>46287</v>
      </c>
      <c r="B774" s="28" t="n">
        <f aca="false">COUNTIFS(Trades!$D$2:$D$884,$A774)</f>
        <v>1</v>
      </c>
      <c r="C774" s="28" t="n">
        <f aca="false">COUNTIFS(Trades!$D$2:$D$884,$A774,Trades!$Z$2:$Z$884,"Win")</f>
        <v>1</v>
      </c>
      <c r="D774" s="28" t="n">
        <f aca="false">COUNTIFS(Trades!$D$2:$D$884,$A774,Trades!$Z$2:$Z$884,"Loss")</f>
        <v>0</v>
      </c>
      <c r="E774" s="29" t="n">
        <f aca="false">IFERROR(C774/B774,0)</f>
        <v>1</v>
      </c>
      <c r="F774" s="30" t="n">
        <f aca="false">SUMIFS(Trades!$X$2:$X$884,Trades!$D$2:$D$884,$A774)</f>
        <v>72.28</v>
      </c>
      <c r="G774" s="30" t="n">
        <f aca="false">SUMIFS(Trades!$X$2:$X$884,Trades!$D$2:$D$884,$A774,Trades!$X$2:$X$884,"&gt;0")</f>
        <v>72.28</v>
      </c>
      <c r="H774" s="30" t="n">
        <f aca="false">SUMIFS(Trades!$X$2:$X$884,Trades!$D$2:$D$884,$A774,Trades!$X$2:$X$884,"&lt;0")</f>
        <v>0</v>
      </c>
      <c r="I774" s="31" t="str">
        <f aca="false">IFERROR(G774/-H774,"no loss")</f>
        <v>no loss</v>
      </c>
      <c r="J774" s="30" t="n">
        <f aca="false">_xlfn.MAXIFS(Trades!$X$2:$X$884,Trades!$D$2:$D$884,$A774)</f>
        <v>72.28</v>
      </c>
      <c r="K774" s="30" t="n">
        <f aca="false">_xlfn.MINIFS(Trades!$X$2:$X$884,Trades!$D$2:$D$884,$A774)</f>
        <v>72.28</v>
      </c>
      <c r="L774" s="32" t="n">
        <f aca="false">SUMIFS(Trades!$Y$2:$Y$884,Trades!$D$2:$D$884,$A774)</f>
        <v>2.30073847720957</v>
      </c>
      <c r="M774" s="30" t="n">
        <f aca="false">P773</f>
        <v>117645.07</v>
      </c>
      <c r="N774" s="29" t="n">
        <f aca="false">IFERROR(F774/M774,0)</f>
        <v>0.000614390386269479</v>
      </c>
      <c r="O774" s="28" t="str">
        <f aca="false">IF(-N774&gt;=Summary!$C$7,"BREACH","")</f>
        <v/>
      </c>
      <c r="P774" s="30" t="n">
        <f aca="false">M774+F774</f>
        <v>117717.35</v>
      </c>
      <c r="Q774" s="30" t="n">
        <f aca="false">P774-Summary!$C$5</f>
        <v>17717.3500000001</v>
      </c>
      <c r="R774" s="2" t="str">
        <f aca="false">TEXT(A774,"ddd")</f>
        <v>Tue</v>
      </c>
    </row>
    <row r="775" customFormat="false" ht="15" hidden="false" customHeight="false" outlineLevel="0" collapsed="false">
      <c r="A775" s="42" t="n">
        <v>46288</v>
      </c>
      <c r="B775" s="28" t="n">
        <f aca="false">COUNTIFS(Trades!$D$2:$D$884,$A775)</f>
        <v>2</v>
      </c>
      <c r="C775" s="28" t="n">
        <f aca="false">COUNTIFS(Trades!$D$2:$D$884,$A775,Trades!$Z$2:$Z$884,"Win")</f>
        <v>0</v>
      </c>
      <c r="D775" s="28" t="n">
        <f aca="false">COUNTIFS(Trades!$D$2:$D$884,$A775,Trades!$Z$2:$Z$884,"Loss")</f>
        <v>2</v>
      </c>
      <c r="E775" s="29" t="n">
        <f aca="false">IFERROR(C775/B775,0)</f>
        <v>0</v>
      </c>
      <c r="F775" s="30" t="n">
        <f aca="false">SUMIFS(Trades!$X$2:$X$884,Trades!$D$2:$D$884,$A775)</f>
        <v>-220.83</v>
      </c>
      <c r="G775" s="30" t="n">
        <f aca="false">SUMIFS(Trades!$X$2:$X$884,Trades!$D$2:$D$884,$A775,Trades!$X$2:$X$884,"&gt;0")</f>
        <v>0</v>
      </c>
      <c r="H775" s="30" t="n">
        <f aca="false">SUMIFS(Trades!$X$2:$X$884,Trades!$D$2:$D$884,$A775,Trades!$X$2:$X$884,"&lt;0")</f>
        <v>-220.83</v>
      </c>
      <c r="I775" s="31" t="n">
        <f aca="false">IFERROR(G775/-H775,"no loss")</f>
        <v>0</v>
      </c>
      <c r="J775" s="30" t="n">
        <f aca="false">_xlfn.MAXIFS(Trades!$X$2:$X$884,Trades!$D$2:$D$884,$A775)</f>
        <v>-39.95</v>
      </c>
      <c r="K775" s="30" t="n">
        <f aca="false">_xlfn.MINIFS(Trades!$X$2:$X$884,Trades!$D$2:$D$884,$A775)</f>
        <v>-180.88</v>
      </c>
      <c r="L775" s="32" t="n">
        <f aca="false">SUMIFS(Trades!$Y$2:$Y$884,Trades!$D$2:$D$884,$A775)</f>
        <v>-2.04782326035532</v>
      </c>
      <c r="M775" s="30" t="n">
        <f aca="false">P774</f>
        <v>117717.35</v>
      </c>
      <c r="N775" s="29" t="n">
        <f aca="false">IFERROR(F775/M775,0)</f>
        <v>-0.00187593417622806</v>
      </c>
      <c r="O775" s="28" t="str">
        <f aca="false">IF(-N775&gt;=Summary!$C$7,"BREACH","")</f>
        <v/>
      </c>
      <c r="P775" s="30" t="n">
        <f aca="false">M775+F775</f>
        <v>117496.52</v>
      </c>
      <c r="Q775" s="30" t="n">
        <f aca="false">P775-Summary!$C$5</f>
        <v>17496.5200000001</v>
      </c>
      <c r="R775" s="2" t="str">
        <f aca="false">TEXT(A775,"ddd")</f>
        <v>Wed</v>
      </c>
    </row>
    <row r="776" customFormat="false" ht="15" hidden="false" customHeight="false" outlineLevel="0" collapsed="false">
      <c r="A776" s="42" t="n">
        <v>46289</v>
      </c>
      <c r="B776" s="28" t="n">
        <f aca="false">COUNTIFS(Trades!$D$2:$D$884,$A776)</f>
        <v>1</v>
      </c>
      <c r="C776" s="28" t="n">
        <f aca="false">COUNTIFS(Trades!$D$2:$D$884,$A776,Trades!$Z$2:$Z$884,"Win")</f>
        <v>1</v>
      </c>
      <c r="D776" s="28" t="n">
        <f aca="false">COUNTIFS(Trades!$D$2:$D$884,$A776,Trades!$Z$2:$Z$884,"Loss")</f>
        <v>0</v>
      </c>
      <c r="E776" s="29" t="n">
        <f aca="false">IFERROR(C776/B776,0)</f>
        <v>1</v>
      </c>
      <c r="F776" s="30" t="n">
        <f aca="false">SUMIFS(Trades!$X$2:$X$884,Trades!$D$2:$D$884,$A776)</f>
        <v>110.06</v>
      </c>
      <c r="G776" s="30" t="n">
        <f aca="false">SUMIFS(Trades!$X$2:$X$884,Trades!$D$2:$D$884,$A776,Trades!$X$2:$X$884,"&gt;0")</f>
        <v>110.06</v>
      </c>
      <c r="H776" s="30" t="n">
        <f aca="false">SUMIFS(Trades!$X$2:$X$884,Trades!$D$2:$D$884,$A776,Trades!$X$2:$X$884,"&lt;0")</f>
        <v>0</v>
      </c>
      <c r="I776" s="31" t="str">
        <f aca="false">IFERROR(G776/-H776,"no loss")</f>
        <v>no loss</v>
      </c>
      <c r="J776" s="30" t="n">
        <f aca="false">_xlfn.MAXIFS(Trades!$X$2:$X$884,Trades!$D$2:$D$884,$A776)</f>
        <v>110.06</v>
      </c>
      <c r="K776" s="30" t="n">
        <f aca="false">_xlfn.MINIFS(Trades!$X$2:$X$884,Trades!$D$2:$D$884,$A776)</f>
        <v>110.06</v>
      </c>
      <c r="L776" s="32" t="n">
        <f aca="false">SUMIFS(Trades!$Y$2:$Y$884,Trades!$D$2:$D$884,$A776)</f>
        <v>2.02442703160089</v>
      </c>
      <c r="M776" s="30" t="n">
        <f aca="false">P775</f>
        <v>117496.52</v>
      </c>
      <c r="N776" s="29" t="n">
        <f aca="false">IFERROR(F776/M776,0)</f>
        <v>0.000936708593582175</v>
      </c>
      <c r="O776" s="28" t="str">
        <f aca="false">IF(-N776&gt;=Summary!$C$7,"BREACH","")</f>
        <v/>
      </c>
      <c r="P776" s="30" t="n">
        <f aca="false">M776+F776</f>
        <v>117606.58</v>
      </c>
      <c r="Q776" s="30" t="n">
        <f aca="false">P776-Summary!$C$5</f>
        <v>17606.5800000001</v>
      </c>
      <c r="R776" s="2" t="str">
        <f aca="false">TEXT(A776,"ddd")</f>
        <v>Thu</v>
      </c>
    </row>
    <row r="777" customFormat="false" ht="15" hidden="false" customHeight="false" outlineLevel="0" collapsed="false">
      <c r="A777" s="42" t="n">
        <v>46290</v>
      </c>
      <c r="B777" s="28" t="n">
        <f aca="false">COUNTIFS(Trades!$D$2:$D$884,$A777)</f>
        <v>1</v>
      </c>
      <c r="C777" s="28" t="n">
        <f aca="false">COUNTIFS(Trades!$D$2:$D$884,$A777,Trades!$Z$2:$Z$884,"Win")</f>
        <v>1</v>
      </c>
      <c r="D777" s="28" t="n">
        <f aca="false">COUNTIFS(Trades!$D$2:$D$884,$A777,Trades!$Z$2:$Z$884,"Loss")</f>
        <v>0</v>
      </c>
      <c r="E777" s="29" t="n">
        <f aca="false">IFERROR(C777/B777,0)</f>
        <v>1</v>
      </c>
      <c r="F777" s="30" t="n">
        <f aca="false">SUMIFS(Trades!$X$2:$X$884,Trades!$D$2:$D$884,$A777)</f>
        <v>111.11</v>
      </c>
      <c r="G777" s="30" t="n">
        <f aca="false">SUMIFS(Trades!$X$2:$X$884,Trades!$D$2:$D$884,$A777,Trades!$X$2:$X$884,"&gt;0")</f>
        <v>111.11</v>
      </c>
      <c r="H777" s="30" t="n">
        <f aca="false">SUMIFS(Trades!$X$2:$X$884,Trades!$D$2:$D$884,$A777,Trades!$X$2:$X$884,"&lt;0")</f>
        <v>0</v>
      </c>
      <c r="I777" s="31" t="str">
        <f aca="false">IFERROR(G777/-H777,"no loss")</f>
        <v>no loss</v>
      </c>
      <c r="J777" s="30" t="n">
        <f aca="false">_xlfn.MAXIFS(Trades!$X$2:$X$884,Trades!$D$2:$D$884,$A777)</f>
        <v>111.11</v>
      </c>
      <c r="K777" s="30" t="n">
        <f aca="false">_xlfn.MINIFS(Trades!$X$2:$X$884,Trades!$D$2:$D$884,$A777)</f>
        <v>111.11</v>
      </c>
      <c r="L777" s="32" t="n">
        <f aca="false">SUMIFS(Trades!$Y$2:$Y$884,Trades!$D$2:$D$884,$A777)</f>
        <v>2.00487188740491</v>
      </c>
      <c r="M777" s="30" t="n">
        <f aca="false">P776</f>
        <v>117606.58</v>
      </c>
      <c r="N777" s="29" t="n">
        <f aca="false">IFERROR(F777/M777,0)</f>
        <v>0.00094476006359508</v>
      </c>
      <c r="O777" s="28" t="str">
        <f aca="false">IF(-N777&gt;=Summary!$C$7,"BREACH","")</f>
        <v/>
      </c>
      <c r="P777" s="30" t="n">
        <f aca="false">M777+F777</f>
        <v>117717.69</v>
      </c>
      <c r="Q777" s="30" t="n">
        <f aca="false">P777-Summary!$C$5</f>
        <v>17717.6900000001</v>
      </c>
      <c r="R777" s="2" t="str">
        <f aca="false">TEXT(A777,"ddd")</f>
        <v>Fri</v>
      </c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customFormat="false" ht="15" hidden="false" customHeight="false" outlineLevel="0" collapsed="false">
      <c r="A779" s="33" t="s">
        <v>140</v>
      </c>
      <c r="B779" s="33" t="n">
        <f aca="false">SUM(B2:B777)</f>
        <v>883</v>
      </c>
      <c r="C779" s="33" t="n">
        <f aca="false">SUM(C2:C777)</f>
        <v>282</v>
      </c>
      <c r="D779" s="33" t="n">
        <f aca="false">SUM(D2:D777)</f>
        <v>593</v>
      </c>
      <c r="E779" s="34" t="n">
        <f aca="false">IFERROR(C779/B779,0)</f>
        <v>0.319365798414496</v>
      </c>
      <c r="F779" s="35" t="n">
        <f aca="false">SUM(F2:F777)</f>
        <v>17717.69</v>
      </c>
      <c r="G779" s="35" t="n">
        <f aca="false">SUM(G2:G777)</f>
        <v>64334.51</v>
      </c>
      <c r="H779" s="35" t="n">
        <f aca="false">SUM(H2:H777)</f>
        <v>-46616.82</v>
      </c>
      <c r="I779" s="36" t="n">
        <f aca="false">IFERROR(G779/-H779,0)</f>
        <v>1.38007075557706</v>
      </c>
      <c r="J779" s="37"/>
      <c r="K779" s="37"/>
      <c r="L779" s="38" t="n">
        <f aca="false">SUM(L2:L777)</f>
        <v>176.669443405622</v>
      </c>
      <c r="M779" s="37"/>
      <c r="N779" s="34" t="n">
        <f aca="false">IFERROR(F779/M2,0)</f>
        <v>0.1771769</v>
      </c>
      <c r="O779" s="37" t="str">
        <f aca="false">COUNTIF(F2:F777,"&gt;0")&amp;" up / "&amp;COUNTIF(F2:F777,"&lt;0")&amp;" down"</f>
        <v>265 up / 505 down</v>
      </c>
      <c r="P779" s="37"/>
      <c r="Q779" s="37"/>
      <c r="R779" s="2"/>
    </row>
  </sheetData>
  <conditionalFormatting sqref="F2:F77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0" min="9" style="0" width="6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5" min="13" style="0" width="11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20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1"/>
    <col collapsed="false" customWidth="true" hidden="fals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8"/>
    <col collapsed="false" customWidth="true" hidden="false" outlineLevel="0" max="29" min="28" style="0" width="11"/>
    <col collapsed="false" customWidth="true" hidden="false" outlineLevel="0" max="31" min="30" style="0" width="12"/>
    <col collapsed="false" customWidth="true" hidden="false" outlineLevel="0" max="32" min="32" style="0" width="10"/>
    <col collapsed="false" customWidth="true" hidden="false" outlineLevel="0" max="33" min="33" style="0" width="9"/>
  </cols>
  <sheetData>
    <row r="1" customFormat="false" ht="45" hidden="false" customHeight="true" outlineLevel="0" collapsed="false">
      <c r="A1" s="26" t="s">
        <v>204</v>
      </c>
      <c r="B1" s="26" t="s">
        <v>205</v>
      </c>
      <c r="C1" s="26" t="s">
        <v>206</v>
      </c>
      <c r="D1" s="26" t="s">
        <v>207</v>
      </c>
      <c r="E1" s="26" t="s">
        <v>201</v>
      </c>
      <c r="F1" s="26" t="s">
        <v>142</v>
      </c>
      <c r="G1" s="26" t="s">
        <v>132</v>
      </c>
      <c r="H1" s="26" t="s">
        <v>203</v>
      </c>
      <c r="I1" s="26" t="s">
        <v>208</v>
      </c>
      <c r="J1" s="26" t="s">
        <v>209</v>
      </c>
      <c r="K1" s="26" t="s">
        <v>210</v>
      </c>
      <c r="L1" s="26" t="s">
        <v>211</v>
      </c>
      <c r="M1" s="26" t="s">
        <v>212</v>
      </c>
      <c r="N1" s="26" t="s">
        <v>213</v>
      </c>
      <c r="O1" s="26" t="s">
        <v>214</v>
      </c>
      <c r="P1" s="26" t="s">
        <v>215</v>
      </c>
      <c r="Q1" s="26" t="s">
        <v>216</v>
      </c>
      <c r="R1" s="26" t="s">
        <v>217</v>
      </c>
      <c r="S1" s="26" t="s">
        <v>218</v>
      </c>
      <c r="T1" s="26" t="s">
        <v>219</v>
      </c>
      <c r="U1" s="26" t="s">
        <v>220</v>
      </c>
      <c r="V1" s="26" t="s">
        <v>221</v>
      </c>
      <c r="W1" s="26" t="s">
        <v>222</v>
      </c>
      <c r="X1" s="26" t="s">
        <v>223</v>
      </c>
      <c r="Y1" s="26" t="s">
        <v>17</v>
      </c>
      <c r="Z1" s="26" t="s">
        <v>224</v>
      </c>
      <c r="AA1" s="26" t="s">
        <v>225</v>
      </c>
      <c r="AB1" s="26" t="s">
        <v>226</v>
      </c>
      <c r="AC1" s="26" t="s">
        <v>227</v>
      </c>
      <c r="AD1" s="26" t="s">
        <v>228</v>
      </c>
      <c r="AE1" s="26" t="s">
        <v>229</v>
      </c>
      <c r="AF1" s="26" t="s">
        <v>230</v>
      </c>
      <c r="AG1" s="26" t="s">
        <v>231</v>
      </c>
    </row>
    <row r="2" customFormat="false" ht="15" hidden="false" customHeight="false" outlineLevel="0" collapsed="false">
      <c r="A2" s="28" t="n">
        <v>1</v>
      </c>
      <c r="B2" s="43" t="n">
        <v>45020.5131944444</v>
      </c>
      <c r="C2" s="43" t="n">
        <v>45020.5148148148</v>
      </c>
      <c r="D2" s="42" t="n">
        <f aca="false">INT(C2)</f>
        <v>45020</v>
      </c>
      <c r="E2" s="42" t="n">
        <f aca="false">D2-WEEKDAY(D2,3)</f>
        <v>45019</v>
      </c>
      <c r="F2" s="28" t="s">
        <v>143</v>
      </c>
      <c r="G2" s="28" t="n">
        <v>2023</v>
      </c>
      <c r="H2" s="28" t="s">
        <v>232</v>
      </c>
      <c r="I2" s="28" t="n">
        <v>12</v>
      </c>
      <c r="J2" s="28" t="s">
        <v>233</v>
      </c>
      <c r="K2" s="28" t="s">
        <v>234</v>
      </c>
      <c r="L2" s="28" t="n">
        <v>0.34</v>
      </c>
      <c r="M2" s="31" t="n">
        <v>13160.42</v>
      </c>
      <c r="N2" s="31" t="n">
        <v>13154.24</v>
      </c>
      <c r="O2" s="31" t="n">
        <v>13172.77</v>
      </c>
      <c r="P2" s="44" t="n">
        <f aca="false">ABS(M2-N2)</f>
        <v>6.18000000000029</v>
      </c>
      <c r="Q2" s="44" t="n">
        <f aca="false">IF(O2="","",ABS(O2-M2))</f>
        <v>12.3500000000004</v>
      </c>
      <c r="R2" s="30" t="n">
        <f aca="false">P2*L2*Summary!$C$6</f>
        <v>42.024000000002</v>
      </c>
      <c r="S2" s="31" t="n">
        <v>13173.02</v>
      </c>
      <c r="T2" s="28" t="s">
        <v>214</v>
      </c>
      <c r="U2" s="44" t="n">
        <f aca="false">IF(J2="BUY",S2-M2,M2-S2)</f>
        <v>12.6000000000004</v>
      </c>
      <c r="V2" s="45" t="n">
        <v>0</v>
      </c>
      <c r="W2" s="45" t="n">
        <v>0</v>
      </c>
      <c r="X2" s="45" t="n">
        <v>85.68</v>
      </c>
      <c r="Y2" s="32" t="n">
        <f aca="false">IFERROR(X2/R2,0)</f>
        <v>2.03883495145622</v>
      </c>
      <c r="Z2" s="28" t="str">
        <f aca="false">IF(X2&gt;0,"Win",IF(X2&lt;0,"Loss","Flat"))</f>
        <v>Win</v>
      </c>
      <c r="AA2" s="28" t="n">
        <f aca="false">ROUND((C2-B2)*1440,1)</f>
        <v>2.3</v>
      </c>
      <c r="AB2" s="28" t="str">
        <f aca="false">IF(AA2&lt;1,"a) &lt;1 min",IF(AA2&lt;10,"b) 1-10 min",IF(AA2&lt;60,"c) 10-60 min",IF(AA2&lt;240,"d) 1-4 h","e) 4 h+"))))</f>
        <v>b) 1-10 min</v>
      </c>
      <c r="AC2" s="28" t="str">
        <f aca="false">IF(P2&lt;10,"a) &lt;10",IF(P2&lt;20,"b) 10-20",IF(P2&lt;40,"c) 20-40",IF(P2&lt;80,"d) 40-80","e) 80+"))))</f>
        <v>a) &lt;10</v>
      </c>
      <c r="AD2" s="30" t="n">
        <f aca="false">Summary!$C$5+SUM(X$2:X2)</f>
        <v>100085.68</v>
      </c>
      <c r="AE2" s="30" t="n">
        <f aca="false">MAX(Summary!$C$5,AD2)</f>
        <v>100085.68</v>
      </c>
      <c r="AF2" s="30" t="n">
        <f aca="false">AE2-AD2</f>
        <v>0</v>
      </c>
      <c r="AG2" s="29" t="n">
        <f aca="false">IFERROR(AF2/AE2,0)</f>
        <v>0</v>
      </c>
    </row>
    <row r="3" customFormat="false" ht="15" hidden="false" customHeight="false" outlineLevel="0" collapsed="false">
      <c r="A3" s="28" t="n">
        <v>2</v>
      </c>
      <c r="B3" s="43" t="n">
        <v>45021.6909722222</v>
      </c>
      <c r="C3" s="43" t="n">
        <v>45021.708900463</v>
      </c>
      <c r="D3" s="42" t="n">
        <f aca="false">INT(C3)</f>
        <v>45021</v>
      </c>
      <c r="E3" s="42" t="n">
        <f aca="false">D3-WEEKDAY(D3,3)</f>
        <v>45019</v>
      </c>
      <c r="F3" s="28" t="s">
        <v>143</v>
      </c>
      <c r="G3" s="28" t="n">
        <v>2023</v>
      </c>
      <c r="H3" s="28" t="s">
        <v>235</v>
      </c>
      <c r="I3" s="28" t="n">
        <v>16</v>
      </c>
      <c r="J3" s="28" t="s">
        <v>236</v>
      </c>
      <c r="K3" s="28" t="s">
        <v>237</v>
      </c>
      <c r="L3" s="28" t="n">
        <v>0.34</v>
      </c>
      <c r="M3" s="31" t="n">
        <v>13040.29</v>
      </c>
      <c r="N3" s="31" t="n">
        <v>13060.33</v>
      </c>
      <c r="O3" s="31" t="n">
        <v>13000.06</v>
      </c>
      <c r="P3" s="44" t="n">
        <f aca="false">ABS(M3-N3)</f>
        <v>20.0399999999991</v>
      </c>
      <c r="Q3" s="44" t="n">
        <f aca="false">IF(O3="","",ABS(O3-M3))</f>
        <v>40.2300000000014</v>
      </c>
      <c r="R3" s="30" t="n">
        <f aca="false">P3*L3*Summary!$C$6</f>
        <v>136.271999999994</v>
      </c>
      <c r="S3" s="31" t="n">
        <v>13040.57</v>
      </c>
      <c r="T3" s="28" t="s">
        <v>238</v>
      </c>
      <c r="U3" s="44" t="n">
        <f aca="false">IF(J3="BUY",S3-M3,M3-S3)</f>
        <v>-0.279999999998836</v>
      </c>
      <c r="V3" s="45" t="n">
        <v>0</v>
      </c>
      <c r="W3" s="45" t="n">
        <v>0</v>
      </c>
      <c r="X3" s="45" t="n">
        <v>-1.9</v>
      </c>
      <c r="Y3" s="32" t="n">
        <f aca="false">IFERROR(X3/R3,0)</f>
        <v>-0.0139427028296355</v>
      </c>
      <c r="Z3" s="28" t="str">
        <f aca="false">IF(X3&gt;0,"Win",IF(X3&lt;0,"Loss","Flat"))</f>
        <v>Loss</v>
      </c>
      <c r="AA3" s="28" t="n">
        <f aca="false">ROUND((C3-B3)*1440,1)</f>
        <v>25.8</v>
      </c>
      <c r="AB3" s="28" t="str">
        <f aca="false">IF(AA3&lt;1,"a) &lt;1 min",IF(AA3&lt;10,"b) 1-10 min",IF(AA3&lt;60,"c) 10-60 min",IF(AA3&lt;240,"d) 1-4 h","e) 4 h+"))))</f>
        <v>c) 10-60 min</v>
      </c>
      <c r="AC3" s="28" t="str">
        <f aca="false">IF(P3&lt;10,"a) &lt;10",IF(P3&lt;20,"b) 10-20",IF(P3&lt;40,"c) 20-40",IF(P3&lt;80,"d) 40-80","e) 80+"))))</f>
        <v>c) 20-40</v>
      </c>
      <c r="AD3" s="30" t="n">
        <f aca="false">Summary!$C$5+SUM(X$2:X3)</f>
        <v>100083.78</v>
      </c>
      <c r="AE3" s="30" t="n">
        <f aca="false">MAX(AE2,AD3)</f>
        <v>100085.68</v>
      </c>
      <c r="AF3" s="30" t="n">
        <f aca="false">AE3-AD3</f>
        <v>1.89999999999418</v>
      </c>
      <c r="AG3" s="29" t="n">
        <f aca="false">IFERROR(AF3/AE3,0)</f>
        <v>1.898373473602E-005</v>
      </c>
    </row>
    <row r="4" customFormat="false" ht="15" hidden="false" customHeight="false" outlineLevel="0" collapsed="false">
      <c r="A4" s="28" t="n">
        <v>3</v>
      </c>
      <c r="B4" s="43" t="n">
        <v>45022.5409722222</v>
      </c>
      <c r="C4" s="43" t="n">
        <v>45022.5437731482</v>
      </c>
      <c r="D4" s="42" t="n">
        <f aca="false">INT(C4)</f>
        <v>45022</v>
      </c>
      <c r="E4" s="42" t="n">
        <f aca="false">D4-WEEKDAY(D4,3)</f>
        <v>45019</v>
      </c>
      <c r="F4" s="28" t="s">
        <v>143</v>
      </c>
      <c r="G4" s="28" t="n">
        <v>2023</v>
      </c>
      <c r="H4" s="28" t="s">
        <v>239</v>
      </c>
      <c r="I4" s="28" t="n">
        <v>12</v>
      </c>
      <c r="J4" s="28" t="s">
        <v>236</v>
      </c>
      <c r="K4" s="28" t="s">
        <v>237</v>
      </c>
      <c r="L4" s="28" t="n">
        <v>0.34</v>
      </c>
      <c r="M4" s="31" t="n">
        <v>12891.4</v>
      </c>
      <c r="N4" s="31" t="n">
        <v>12901.55</v>
      </c>
      <c r="O4" s="31" t="n">
        <v>12871.13</v>
      </c>
      <c r="P4" s="44" t="n">
        <f aca="false">ABS(M4-N4)</f>
        <v>10.1499999999996</v>
      </c>
      <c r="Q4" s="44" t="n">
        <f aca="false">IF(O4="","",ABS(O4-M4))</f>
        <v>20.2700000000004</v>
      </c>
      <c r="R4" s="30" t="n">
        <f aca="false">P4*L4*Summary!$C$6</f>
        <v>69.0199999999975</v>
      </c>
      <c r="S4" s="31" t="n">
        <v>12870.73</v>
      </c>
      <c r="T4" s="28" t="s">
        <v>214</v>
      </c>
      <c r="U4" s="44" t="n">
        <f aca="false">IF(J4="BUY",S4-M4,M4-S4)</f>
        <v>20.6700000000001</v>
      </c>
      <c r="V4" s="45" t="n">
        <v>0</v>
      </c>
      <c r="W4" s="45" t="n">
        <v>0</v>
      </c>
      <c r="X4" s="45" t="n">
        <v>140.56</v>
      </c>
      <c r="Y4" s="32" t="n">
        <f aca="false">IFERROR(X4/R4,0)</f>
        <v>2.03651115618669</v>
      </c>
      <c r="Z4" s="28" t="str">
        <f aca="false">IF(X4&gt;0,"Win",IF(X4&lt;0,"Loss","Flat"))</f>
        <v>Win</v>
      </c>
      <c r="AA4" s="28" t="n">
        <f aca="false">ROUND((C4-B4)*1440,1)</f>
        <v>4</v>
      </c>
      <c r="AB4" s="28" t="str">
        <f aca="false">IF(AA4&lt;1,"a) &lt;1 min",IF(AA4&lt;10,"b) 1-10 min",IF(AA4&lt;60,"c) 10-60 min",IF(AA4&lt;240,"d) 1-4 h","e) 4 h+"))))</f>
        <v>b) 1-10 min</v>
      </c>
      <c r="AC4" s="28" t="str">
        <f aca="false">IF(P4&lt;10,"a) &lt;10",IF(P4&lt;20,"b) 10-20",IF(P4&lt;40,"c) 20-40",IF(P4&lt;80,"d) 40-80","e) 80+"))))</f>
        <v>b) 10-20</v>
      </c>
      <c r="AD4" s="30" t="n">
        <f aca="false">Summary!$C$5+SUM(X$2:X4)</f>
        <v>100224.34</v>
      </c>
      <c r="AE4" s="30" t="n">
        <f aca="false">MAX(AE3,AD4)</f>
        <v>100224.34</v>
      </c>
      <c r="AF4" s="30" t="n">
        <f aca="false">AE4-AD4</f>
        <v>0</v>
      </c>
      <c r="AG4" s="29" t="n">
        <f aca="false">IFERROR(AF4/AE4,0)</f>
        <v>0</v>
      </c>
    </row>
    <row r="5" customFormat="false" ht="15" hidden="false" customHeight="false" outlineLevel="0" collapsed="false">
      <c r="A5" s="28" t="n">
        <v>4</v>
      </c>
      <c r="B5" s="43" t="n">
        <v>45026.0527777778</v>
      </c>
      <c r="C5" s="43" t="n">
        <v>45026.0571643519</v>
      </c>
      <c r="D5" s="42" t="n">
        <f aca="false">INT(C5)</f>
        <v>45026</v>
      </c>
      <c r="E5" s="42" t="n">
        <f aca="false">D5-WEEKDAY(D5,3)</f>
        <v>45026</v>
      </c>
      <c r="F5" s="28" t="s">
        <v>143</v>
      </c>
      <c r="G5" s="28" t="n">
        <v>2023</v>
      </c>
      <c r="H5" s="28" t="s">
        <v>240</v>
      </c>
      <c r="I5" s="28" t="n">
        <v>1</v>
      </c>
      <c r="J5" s="28" t="s">
        <v>233</v>
      </c>
      <c r="K5" s="28" t="s">
        <v>234</v>
      </c>
      <c r="L5" s="28" t="n">
        <v>0.34</v>
      </c>
      <c r="M5" s="31" t="n">
        <v>13086.8</v>
      </c>
      <c r="N5" s="31" t="n">
        <v>13076.65</v>
      </c>
      <c r="O5" s="31" t="n">
        <v>13107.1</v>
      </c>
      <c r="P5" s="44" t="n">
        <f aca="false">ABS(M5-N5)</f>
        <v>10.1499999999996</v>
      </c>
      <c r="Q5" s="44" t="n">
        <f aca="false">IF(O5="","",ABS(O5-M5))</f>
        <v>20.3000000000011</v>
      </c>
      <c r="R5" s="30" t="n">
        <f aca="false">P5*L5*Summary!$C$6</f>
        <v>69.0199999999975</v>
      </c>
      <c r="S5" s="31" t="n">
        <v>13076.61</v>
      </c>
      <c r="T5" s="28" t="s">
        <v>241</v>
      </c>
      <c r="U5" s="44" t="n">
        <f aca="false">IF(J5="BUY",S5-M5,M5-S5)</f>
        <v>-10.1899999999987</v>
      </c>
      <c r="V5" s="45" t="n">
        <v>0</v>
      </c>
      <c r="W5" s="45" t="n">
        <v>0</v>
      </c>
      <c r="X5" s="45" t="n">
        <v>-69.29</v>
      </c>
      <c r="Y5" s="32" t="n">
        <f aca="false">IFERROR(X5/R5,0)</f>
        <v>-1.00391190959146</v>
      </c>
      <c r="Z5" s="28" t="str">
        <f aca="false">IF(X5&gt;0,"Win",IF(X5&lt;0,"Loss","Flat"))</f>
        <v>Loss</v>
      </c>
      <c r="AA5" s="28" t="n">
        <f aca="false">ROUND((C5-B5)*1440,1)</f>
        <v>6.3</v>
      </c>
      <c r="AB5" s="28" t="str">
        <f aca="false">IF(AA5&lt;1,"a) &lt;1 min",IF(AA5&lt;10,"b) 1-10 min",IF(AA5&lt;60,"c) 10-60 min",IF(AA5&lt;240,"d) 1-4 h","e) 4 h+"))))</f>
        <v>b) 1-10 min</v>
      </c>
      <c r="AC5" s="28" t="str">
        <f aca="false">IF(P5&lt;10,"a) &lt;10",IF(P5&lt;20,"b) 10-20",IF(P5&lt;40,"c) 20-40",IF(P5&lt;80,"d) 40-80","e) 80+"))))</f>
        <v>b) 10-20</v>
      </c>
      <c r="AD5" s="30" t="n">
        <f aca="false">Summary!$C$5+SUM(X$2:X5)</f>
        <v>100155.05</v>
      </c>
      <c r="AE5" s="30" t="n">
        <f aca="false">MAX(AE4,AD5)</f>
        <v>100224.34</v>
      </c>
      <c r="AF5" s="30" t="n">
        <f aca="false">AE5-AD5</f>
        <v>69.2899999999936</v>
      </c>
      <c r="AG5" s="29" t="n">
        <f aca="false">IFERROR(AF5/AE5,0)</f>
        <v>0.000691349027591437</v>
      </c>
    </row>
    <row r="6" customFormat="false" ht="15" hidden="false" customHeight="false" outlineLevel="0" collapsed="false">
      <c r="A6" s="28" t="n">
        <v>5</v>
      </c>
      <c r="B6" s="43" t="n">
        <v>45026.3708333333</v>
      </c>
      <c r="C6" s="43" t="n">
        <v>45026.389375</v>
      </c>
      <c r="D6" s="42" t="n">
        <f aca="false">INT(C6)</f>
        <v>45026</v>
      </c>
      <c r="E6" s="42" t="n">
        <f aca="false">D6-WEEKDAY(D6,3)</f>
        <v>45026</v>
      </c>
      <c r="F6" s="28" t="s">
        <v>143</v>
      </c>
      <c r="G6" s="28" t="n">
        <v>2023</v>
      </c>
      <c r="H6" s="28" t="s">
        <v>240</v>
      </c>
      <c r="I6" s="28" t="n">
        <v>8</v>
      </c>
      <c r="J6" s="28" t="s">
        <v>236</v>
      </c>
      <c r="K6" s="28" t="s">
        <v>237</v>
      </c>
      <c r="L6" s="28" t="n">
        <v>0.34</v>
      </c>
      <c r="M6" s="31" t="n">
        <v>13011.15</v>
      </c>
      <c r="N6" s="31" t="n">
        <v>13015.51</v>
      </c>
      <c r="O6" s="31" t="n">
        <v>13002.37</v>
      </c>
      <c r="P6" s="44" t="n">
        <f aca="false">ABS(M6-N6)</f>
        <v>4.36000000000058</v>
      </c>
      <c r="Q6" s="44" t="n">
        <f aca="false">IF(O6="","",ABS(O6-M6))</f>
        <v>8.77999999999884</v>
      </c>
      <c r="R6" s="30" t="n">
        <f aca="false">P6*L6*Summary!$C$6</f>
        <v>29.648000000004</v>
      </c>
      <c r="S6" s="31" t="n">
        <v>13002.22</v>
      </c>
      <c r="T6" s="28" t="s">
        <v>214</v>
      </c>
      <c r="U6" s="44" t="n">
        <f aca="false">IF(J6="BUY",S6-M6,M6-S6)</f>
        <v>8.93000000000029</v>
      </c>
      <c r="V6" s="45" t="n">
        <v>0</v>
      </c>
      <c r="W6" s="45" t="n">
        <v>0</v>
      </c>
      <c r="X6" s="45" t="n">
        <v>60.72</v>
      </c>
      <c r="Y6" s="32" t="n">
        <f aca="false">IFERROR(X6/R6,0)</f>
        <v>2.04803022126254</v>
      </c>
      <c r="Z6" s="28" t="str">
        <f aca="false">IF(X6&gt;0,"Win",IF(X6&lt;0,"Loss","Flat"))</f>
        <v>Win</v>
      </c>
      <c r="AA6" s="28" t="n">
        <f aca="false">ROUND((C6-B6)*1440,1)</f>
        <v>26.7</v>
      </c>
      <c r="AB6" s="28" t="str">
        <f aca="false">IF(AA6&lt;1,"a) &lt;1 min",IF(AA6&lt;10,"b) 1-10 min",IF(AA6&lt;60,"c) 10-60 min",IF(AA6&lt;240,"d) 1-4 h","e) 4 h+"))))</f>
        <v>c) 10-60 min</v>
      </c>
      <c r="AC6" s="28" t="str">
        <f aca="false">IF(P6&lt;10,"a) &lt;10",IF(P6&lt;20,"b) 10-20",IF(P6&lt;40,"c) 20-40",IF(P6&lt;80,"d) 40-80","e) 80+"))))</f>
        <v>a) &lt;10</v>
      </c>
      <c r="AD6" s="30" t="n">
        <f aca="false">Summary!$C$5+SUM(X$2:X6)</f>
        <v>100215.77</v>
      </c>
      <c r="AE6" s="30" t="n">
        <f aca="false">MAX(AE5,AD6)</f>
        <v>100224.34</v>
      </c>
      <c r="AF6" s="30" t="n">
        <f aca="false">AE6-AD6</f>
        <v>8.56999999999243</v>
      </c>
      <c r="AG6" s="29" t="n">
        <f aca="false">IFERROR(AF6/AE6,0)</f>
        <v>8.55081709691721E-005</v>
      </c>
    </row>
    <row r="7" customFormat="false" ht="15" hidden="false" customHeight="false" outlineLevel="0" collapsed="false">
      <c r="A7" s="28" t="n">
        <v>6</v>
      </c>
      <c r="B7" s="43" t="n">
        <v>45027.5284722222</v>
      </c>
      <c r="C7" s="43" t="n">
        <v>45027.5338194444</v>
      </c>
      <c r="D7" s="42" t="n">
        <f aca="false">INT(C7)</f>
        <v>45027</v>
      </c>
      <c r="E7" s="42" t="n">
        <f aca="false">D7-WEEKDAY(D7,3)</f>
        <v>45026</v>
      </c>
      <c r="F7" s="28" t="s">
        <v>143</v>
      </c>
      <c r="G7" s="28" t="n">
        <v>2023</v>
      </c>
      <c r="H7" s="28" t="s">
        <v>232</v>
      </c>
      <c r="I7" s="28" t="n">
        <v>12</v>
      </c>
      <c r="J7" s="28" t="s">
        <v>233</v>
      </c>
      <c r="K7" s="28" t="s">
        <v>234</v>
      </c>
      <c r="L7" s="28" t="n">
        <v>0.34</v>
      </c>
      <c r="M7" s="31" t="n">
        <v>13088.56</v>
      </c>
      <c r="N7" s="31" t="n">
        <v>13083.42</v>
      </c>
      <c r="O7" s="31" t="n">
        <v>13098.85</v>
      </c>
      <c r="P7" s="44" t="n">
        <f aca="false">ABS(M7-N7)</f>
        <v>5.13999999999942</v>
      </c>
      <c r="Q7" s="44" t="n">
        <f aca="false">IF(O7="","",ABS(O7-M7))</f>
        <v>10.2900000000009</v>
      </c>
      <c r="R7" s="30" t="n">
        <f aca="false">P7*L7*Summary!$C$6</f>
        <v>34.9519999999961</v>
      </c>
      <c r="S7" s="31" t="n">
        <v>13083.36</v>
      </c>
      <c r="T7" s="28" t="s">
        <v>241</v>
      </c>
      <c r="U7" s="44" t="n">
        <f aca="false">IF(J7="BUY",S7-M7,M7-S7)</f>
        <v>-5.19999999999891</v>
      </c>
      <c r="V7" s="45" t="n">
        <v>0</v>
      </c>
      <c r="W7" s="45" t="n">
        <v>0</v>
      </c>
      <c r="X7" s="45" t="n">
        <v>-35.36</v>
      </c>
      <c r="Y7" s="32" t="n">
        <f aca="false">IFERROR(X7/R7,0)</f>
        <v>-1.01167315175109</v>
      </c>
      <c r="Z7" s="28" t="str">
        <f aca="false">IF(X7&gt;0,"Win",IF(X7&lt;0,"Loss","Flat"))</f>
        <v>Loss</v>
      </c>
      <c r="AA7" s="28" t="n">
        <f aca="false">ROUND((C7-B7)*1440,1)</f>
        <v>7.7</v>
      </c>
      <c r="AB7" s="28" t="str">
        <f aca="false">IF(AA7&lt;1,"a) &lt;1 min",IF(AA7&lt;10,"b) 1-10 min",IF(AA7&lt;60,"c) 10-60 min",IF(AA7&lt;240,"d) 1-4 h","e) 4 h+"))))</f>
        <v>b) 1-10 min</v>
      </c>
      <c r="AC7" s="28" t="str">
        <f aca="false">IF(P7&lt;10,"a) &lt;10",IF(P7&lt;20,"b) 10-20",IF(P7&lt;40,"c) 20-40",IF(P7&lt;80,"d) 40-80","e) 80+"))))</f>
        <v>a) &lt;10</v>
      </c>
      <c r="AD7" s="30" t="n">
        <f aca="false">Summary!$C$5+SUM(X$2:X7)</f>
        <v>100180.41</v>
      </c>
      <c r="AE7" s="30" t="n">
        <f aca="false">MAX(AE6,AD7)</f>
        <v>100224.34</v>
      </c>
      <c r="AF7" s="30" t="n">
        <f aca="false">AE7-AD7</f>
        <v>43.929999999993</v>
      </c>
      <c r="AG7" s="29" t="n">
        <f aca="false">IFERROR(AF7/AE7,0)</f>
        <v>0.000438316680359212</v>
      </c>
    </row>
    <row r="8" customFormat="false" ht="15" hidden="false" customHeight="false" outlineLevel="0" collapsed="false">
      <c r="A8" s="28" t="n">
        <v>7</v>
      </c>
      <c r="B8" s="43" t="n">
        <v>45028.3944560185</v>
      </c>
      <c r="C8" s="43" t="n">
        <v>45028.4072222222</v>
      </c>
      <c r="D8" s="42" t="n">
        <f aca="false">INT(C8)</f>
        <v>45028</v>
      </c>
      <c r="E8" s="42" t="n">
        <f aca="false">D8-WEEKDAY(D8,3)</f>
        <v>45026</v>
      </c>
      <c r="F8" s="28" t="s">
        <v>143</v>
      </c>
      <c r="G8" s="28" t="n">
        <v>2023</v>
      </c>
      <c r="H8" s="28" t="s">
        <v>235</v>
      </c>
      <c r="I8" s="28" t="n">
        <v>9</v>
      </c>
      <c r="J8" s="28" t="s">
        <v>236</v>
      </c>
      <c r="K8" s="28" t="s">
        <v>237</v>
      </c>
      <c r="L8" s="28" t="n">
        <v>0.34</v>
      </c>
      <c r="M8" s="31" t="n">
        <v>12942.33</v>
      </c>
      <c r="N8" s="31" t="n">
        <v>12949.13</v>
      </c>
      <c r="O8" s="31" t="n">
        <v>12928.88</v>
      </c>
      <c r="P8" s="44" t="n">
        <f aca="false">ABS(M8-N8)</f>
        <v>6.79999999999927</v>
      </c>
      <c r="Q8" s="44" t="n">
        <f aca="false">IF(O8="","",ABS(O8-M8))</f>
        <v>13.4500000000007</v>
      </c>
      <c r="R8" s="30" t="n">
        <f aca="false">P8*L8*Summary!$C$6</f>
        <v>46.2399999999951</v>
      </c>
      <c r="S8" s="31" t="n">
        <v>12949.29</v>
      </c>
      <c r="T8" s="28" t="s">
        <v>241</v>
      </c>
      <c r="U8" s="44" t="n">
        <f aca="false">IF(J8="BUY",S8-M8,M8-S8)</f>
        <v>-6.96000000000095</v>
      </c>
      <c r="V8" s="45" t="n">
        <v>0</v>
      </c>
      <c r="W8" s="45" t="n">
        <v>0</v>
      </c>
      <c r="X8" s="45" t="n">
        <v>-47.33</v>
      </c>
      <c r="Y8" s="32" t="n">
        <f aca="false">IFERROR(X8/R8,0)</f>
        <v>-1.02357266435997</v>
      </c>
      <c r="Z8" s="28" t="str">
        <f aca="false">IF(X8&gt;0,"Win",IF(X8&lt;0,"Loss","Flat"))</f>
        <v>Loss</v>
      </c>
      <c r="AA8" s="28" t="n">
        <f aca="false">ROUND((C8-B8)*1440,1)</f>
        <v>18.4</v>
      </c>
      <c r="AB8" s="28" t="str">
        <f aca="false">IF(AA8&lt;1,"a) &lt;1 min",IF(AA8&lt;10,"b) 1-10 min",IF(AA8&lt;60,"c) 10-60 min",IF(AA8&lt;240,"d) 1-4 h","e) 4 h+"))))</f>
        <v>c) 10-60 min</v>
      </c>
      <c r="AC8" s="28" t="str">
        <f aca="false">IF(P8&lt;10,"a) &lt;10",IF(P8&lt;20,"b) 10-20",IF(P8&lt;40,"c) 20-40",IF(P8&lt;80,"d) 40-80","e) 80+"))))</f>
        <v>a) &lt;10</v>
      </c>
      <c r="AD8" s="30" t="n">
        <f aca="false">Summary!$C$5+SUM(X$2:X8)</f>
        <v>100133.08</v>
      </c>
      <c r="AE8" s="30" t="n">
        <f aca="false">MAX(AE7,AD8)</f>
        <v>100224.34</v>
      </c>
      <c r="AF8" s="30" t="n">
        <f aca="false">AE8-AD8</f>
        <v>91.2599999999948</v>
      </c>
      <c r="AG8" s="29" t="n">
        <f aca="false">IFERROR(AF8/AE8,0)</f>
        <v>0.000910557255852169</v>
      </c>
    </row>
    <row r="9" customFormat="false" ht="15" hidden="false" customHeight="false" outlineLevel="0" collapsed="false">
      <c r="A9" s="28" t="n">
        <v>8</v>
      </c>
      <c r="B9" s="43" t="n">
        <v>45028.6486111111</v>
      </c>
      <c r="C9" s="43" t="n">
        <v>45028.6673148148</v>
      </c>
      <c r="D9" s="42" t="n">
        <f aca="false">INT(C9)</f>
        <v>45028</v>
      </c>
      <c r="E9" s="42" t="n">
        <f aca="false">D9-WEEKDAY(D9,3)</f>
        <v>45026</v>
      </c>
      <c r="F9" s="28" t="s">
        <v>143</v>
      </c>
      <c r="G9" s="28" t="n">
        <v>2023</v>
      </c>
      <c r="H9" s="28" t="s">
        <v>235</v>
      </c>
      <c r="I9" s="28" t="n">
        <v>15</v>
      </c>
      <c r="J9" s="28" t="s">
        <v>233</v>
      </c>
      <c r="K9" s="28" t="s">
        <v>234</v>
      </c>
      <c r="L9" s="28" t="n">
        <v>0.34</v>
      </c>
      <c r="M9" s="31" t="n">
        <v>13106.9</v>
      </c>
      <c r="N9" s="31" t="n">
        <v>13055.19</v>
      </c>
      <c r="O9" s="31" t="n">
        <v>13210.2</v>
      </c>
      <c r="P9" s="44" t="n">
        <f aca="false">ABS(M9-N9)</f>
        <v>51.7099999999991</v>
      </c>
      <c r="Q9" s="44" t="n">
        <f aca="false">IF(O9="","",ABS(O9-M9))</f>
        <v>103.300000000001</v>
      </c>
      <c r="R9" s="30" t="n">
        <f aca="false">P9*L9*Summary!$C$6</f>
        <v>351.627999999994</v>
      </c>
      <c r="S9" s="31" t="n">
        <v>13054.77</v>
      </c>
      <c r="T9" s="28" t="s">
        <v>241</v>
      </c>
      <c r="U9" s="44" t="n">
        <f aca="false">IF(J9="BUY",S9-M9,M9-S9)</f>
        <v>-52.1299999999992</v>
      </c>
      <c r="V9" s="45" t="n">
        <v>0</v>
      </c>
      <c r="W9" s="45" t="n">
        <v>0</v>
      </c>
      <c r="X9" s="45" t="n">
        <v>-354.48</v>
      </c>
      <c r="Y9" s="32" t="n">
        <f aca="false">IFERROR(X9/R9,0)</f>
        <v>-1.00811084441514</v>
      </c>
      <c r="Z9" s="28" t="str">
        <f aca="false">IF(X9&gt;0,"Win",IF(X9&lt;0,"Loss","Flat"))</f>
        <v>Loss</v>
      </c>
      <c r="AA9" s="28" t="n">
        <f aca="false">ROUND((C9-B9)*1440,1)</f>
        <v>26.9</v>
      </c>
      <c r="AB9" s="28" t="str">
        <f aca="false">IF(AA9&lt;1,"a) &lt;1 min",IF(AA9&lt;10,"b) 1-10 min",IF(AA9&lt;60,"c) 10-60 min",IF(AA9&lt;240,"d) 1-4 h","e) 4 h+"))))</f>
        <v>c) 10-60 min</v>
      </c>
      <c r="AC9" s="28" t="str">
        <f aca="false">IF(P9&lt;10,"a) &lt;10",IF(P9&lt;20,"b) 10-20",IF(P9&lt;40,"c) 20-40",IF(P9&lt;80,"d) 40-80","e) 80+"))))</f>
        <v>d) 40-80</v>
      </c>
      <c r="AD9" s="30" t="n">
        <f aca="false">Summary!$C$5+SUM(X$2:X9)</f>
        <v>99778.6</v>
      </c>
      <c r="AE9" s="30" t="n">
        <f aca="false">MAX(AE8,AD9)</f>
        <v>100224.34</v>
      </c>
      <c r="AF9" s="30" t="n">
        <f aca="false">AE9-AD9</f>
        <v>445.739999999991</v>
      </c>
      <c r="AG9" s="29" t="n">
        <f aca="false">IFERROR(AF9/AE9,0)</f>
        <v>0.00444742265202236</v>
      </c>
    </row>
    <row r="10" customFormat="false" ht="15" hidden="false" customHeight="false" outlineLevel="0" collapsed="false">
      <c r="A10" s="28" t="n">
        <v>9</v>
      </c>
      <c r="B10" s="43" t="n">
        <v>45029.0722337963</v>
      </c>
      <c r="C10" s="43" t="n">
        <v>45029.0838541667</v>
      </c>
      <c r="D10" s="42" t="n">
        <f aca="false">INT(C10)</f>
        <v>45029</v>
      </c>
      <c r="E10" s="42" t="n">
        <f aca="false">D10-WEEKDAY(D10,3)</f>
        <v>45026</v>
      </c>
      <c r="F10" s="28" t="s">
        <v>143</v>
      </c>
      <c r="G10" s="28" t="n">
        <v>2023</v>
      </c>
      <c r="H10" s="28" t="s">
        <v>239</v>
      </c>
      <c r="I10" s="28" t="n">
        <v>1</v>
      </c>
      <c r="J10" s="28" t="s">
        <v>236</v>
      </c>
      <c r="K10" s="28" t="s">
        <v>237</v>
      </c>
      <c r="L10" s="28" t="n">
        <v>0.35</v>
      </c>
      <c r="M10" s="31" t="n">
        <v>12826.8</v>
      </c>
      <c r="N10" s="31" t="n">
        <v>12831.31</v>
      </c>
      <c r="O10" s="31" t="n">
        <v>12817.77</v>
      </c>
      <c r="P10" s="44" t="n">
        <f aca="false">ABS(M10-N10)</f>
        <v>4.51000000000022</v>
      </c>
      <c r="Q10" s="44" t="n">
        <f aca="false">IF(O10="","",ABS(O10-M10))</f>
        <v>9.02999999999884</v>
      </c>
      <c r="R10" s="30" t="n">
        <f aca="false">P10*L10*Summary!$C$6</f>
        <v>31.5700000000015</v>
      </c>
      <c r="S10" s="31" t="n">
        <v>12831.79</v>
      </c>
      <c r="T10" s="28" t="s">
        <v>241</v>
      </c>
      <c r="U10" s="44" t="n">
        <f aca="false">IF(J10="BUY",S10-M10,M10-S10)</f>
        <v>-4.9900000000016</v>
      </c>
      <c r="V10" s="45" t="n">
        <v>0</v>
      </c>
      <c r="W10" s="45" t="n">
        <v>0</v>
      </c>
      <c r="X10" s="45" t="n">
        <v>-34.93</v>
      </c>
      <c r="Y10" s="32" t="n">
        <f aca="false">IFERROR(X10/R10,0)</f>
        <v>-1.10643015521059</v>
      </c>
      <c r="Z10" s="28" t="str">
        <f aca="false">IF(X10&gt;0,"Win",IF(X10&lt;0,"Loss","Flat"))</f>
        <v>Loss</v>
      </c>
      <c r="AA10" s="28" t="n">
        <f aca="false">ROUND((C10-B10)*1440,1)</f>
        <v>16.7</v>
      </c>
      <c r="AB10" s="28" t="str">
        <f aca="false">IF(AA10&lt;1,"a) &lt;1 min",IF(AA10&lt;10,"b) 1-10 min",IF(AA10&lt;60,"c) 10-60 min",IF(AA10&lt;240,"d) 1-4 h","e) 4 h+"))))</f>
        <v>c) 10-60 min</v>
      </c>
      <c r="AC10" s="28" t="str">
        <f aca="false">IF(P10&lt;10,"a) &lt;10",IF(P10&lt;20,"b) 10-20",IF(P10&lt;40,"c) 20-40",IF(P10&lt;80,"d) 40-80","e) 80+"))))</f>
        <v>a) &lt;10</v>
      </c>
      <c r="AD10" s="30" t="n">
        <f aca="false">Summary!$C$5+SUM(X$2:X10)</f>
        <v>99743.67</v>
      </c>
      <c r="AE10" s="30" t="n">
        <f aca="false">MAX(AE9,AD10)</f>
        <v>100224.34</v>
      </c>
      <c r="AF10" s="30" t="n">
        <f aca="false">AE10-AD10</f>
        <v>480.669999999998</v>
      </c>
      <c r="AG10" s="29" t="n">
        <f aca="false">IFERROR(AF10/AE10,0)</f>
        <v>0.00479594078643968</v>
      </c>
    </row>
    <row r="11" customFormat="false" ht="15" hidden="false" customHeight="false" outlineLevel="0" collapsed="false">
      <c r="A11" s="28" t="n">
        <v>10</v>
      </c>
      <c r="B11" s="43" t="n">
        <v>45030.7020833333</v>
      </c>
      <c r="C11" s="43" t="n">
        <v>45030.7088425926</v>
      </c>
      <c r="D11" s="42" t="n">
        <f aca="false">INT(C11)</f>
        <v>45030</v>
      </c>
      <c r="E11" s="42" t="n">
        <f aca="false">D11-WEEKDAY(D11,3)</f>
        <v>45026</v>
      </c>
      <c r="F11" s="28" t="s">
        <v>143</v>
      </c>
      <c r="G11" s="28" t="n">
        <v>2023</v>
      </c>
      <c r="H11" s="28" t="s">
        <v>242</v>
      </c>
      <c r="I11" s="28" t="n">
        <v>16</v>
      </c>
      <c r="J11" s="28" t="s">
        <v>233</v>
      </c>
      <c r="K11" s="28" t="s">
        <v>234</v>
      </c>
      <c r="L11" s="28" t="n">
        <v>0.34</v>
      </c>
      <c r="M11" s="31" t="n">
        <v>13133.29</v>
      </c>
      <c r="N11" s="31" t="n">
        <v>13113.72</v>
      </c>
      <c r="O11" s="31" t="n">
        <v>13171.86</v>
      </c>
      <c r="P11" s="44" t="n">
        <f aca="false">ABS(M11-N11)</f>
        <v>19.5700000000015</v>
      </c>
      <c r="Q11" s="44" t="n">
        <f aca="false">IF(O11="","",ABS(O11-M11))</f>
        <v>38.5699999999997</v>
      </c>
      <c r="R11" s="30" t="n">
        <f aca="false">P11*L11*Summary!$C$6</f>
        <v>133.07600000001</v>
      </c>
      <c r="S11" s="31" t="n">
        <v>13112.82</v>
      </c>
      <c r="T11" s="28" t="s">
        <v>241</v>
      </c>
      <c r="U11" s="44" t="n">
        <f aca="false">IF(J11="BUY",S11-M11,M11-S11)</f>
        <v>-20.4700000000012</v>
      </c>
      <c r="V11" s="45" t="n">
        <v>0</v>
      </c>
      <c r="W11" s="45" t="n">
        <v>0</v>
      </c>
      <c r="X11" s="45" t="n">
        <v>-139.2</v>
      </c>
      <c r="Y11" s="32" t="n">
        <f aca="false">IFERROR(X11/R11,0)</f>
        <v>-1.04601881631541</v>
      </c>
      <c r="Z11" s="28" t="str">
        <f aca="false">IF(X11&gt;0,"Win",IF(X11&lt;0,"Loss","Flat"))</f>
        <v>Loss</v>
      </c>
      <c r="AA11" s="28" t="n">
        <f aca="false">ROUND((C11-B11)*1440,1)</f>
        <v>9.7</v>
      </c>
      <c r="AB11" s="28" t="str">
        <f aca="false">IF(AA11&lt;1,"a) &lt;1 min",IF(AA11&lt;10,"b) 1-10 min",IF(AA11&lt;60,"c) 10-60 min",IF(AA11&lt;240,"d) 1-4 h","e) 4 h+"))))</f>
        <v>b) 1-10 min</v>
      </c>
      <c r="AC11" s="28" t="str">
        <f aca="false">IF(P11&lt;10,"a) &lt;10",IF(P11&lt;20,"b) 10-20",IF(P11&lt;40,"c) 20-40",IF(P11&lt;80,"d) 40-80","e) 80+"))))</f>
        <v>b) 10-20</v>
      </c>
      <c r="AD11" s="30" t="n">
        <f aca="false">Summary!$C$5+SUM(X$2:X11)</f>
        <v>99604.47</v>
      </c>
      <c r="AE11" s="30" t="n">
        <f aca="false">MAX(AE10,AD11)</f>
        <v>100224.34</v>
      </c>
      <c r="AF11" s="30" t="n">
        <f aca="false">AE11-AD11</f>
        <v>619.869999999995</v>
      </c>
      <c r="AG11" s="29" t="n">
        <f aca="false">IFERROR(AF11/AE11,0)</f>
        <v>0.00618482496367644</v>
      </c>
    </row>
    <row r="12" customFormat="false" ht="15" hidden="false" customHeight="false" outlineLevel="0" collapsed="false">
      <c r="A12" s="28" t="n">
        <v>11</v>
      </c>
      <c r="B12" s="43" t="n">
        <v>45034.4631944444</v>
      </c>
      <c r="C12" s="43" t="n">
        <v>45034.4646527778</v>
      </c>
      <c r="D12" s="42" t="n">
        <f aca="false">INT(C12)</f>
        <v>45034</v>
      </c>
      <c r="E12" s="42" t="n">
        <f aca="false">D12-WEEKDAY(D12,3)</f>
        <v>45033</v>
      </c>
      <c r="F12" s="28" t="s">
        <v>143</v>
      </c>
      <c r="G12" s="28" t="n">
        <v>2023</v>
      </c>
      <c r="H12" s="28" t="s">
        <v>232</v>
      </c>
      <c r="I12" s="28" t="n">
        <v>11</v>
      </c>
      <c r="J12" s="28" t="s">
        <v>233</v>
      </c>
      <c r="K12" s="28" t="s">
        <v>234</v>
      </c>
      <c r="L12" s="28" t="n">
        <v>0.34</v>
      </c>
      <c r="M12" s="31" t="n">
        <v>13122.88</v>
      </c>
      <c r="N12" s="31" t="n">
        <v>13112.51</v>
      </c>
      <c r="O12" s="31" t="n">
        <v>13143.47</v>
      </c>
      <c r="P12" s="44" t="n">
        <f aca="false">ABS(M12-N12)</f>
        <v>10.369999999999</v>
      </c>
      <c r="Q12" s="44" t="n">
        <f aca="false">IF(O12="","",ABS(O12-M12))</f>
        <v>20.5900000000001</v>
      </c>
      <c r="R12" s="30" t="n">
        <f aca="false">P12*L12*Summary!$C$6</f>
        <v>70.5159999999931</v>
      </c>
      <c r="S12" s="31" t="n">
        <v>13112.36</v>
      </c>
      <c r="T12" s="28" t="s">
        <v>241</v>
      </c>
      <c r="U12" s="44" t="n">
        <f aca="false">IF(J12="BUY",S12-M12,M12-S12)</f>
        <v>-10.5199999999986</v>
      </c>
      <c r="V12" s="45" t="n">
        <v>0</v>
      </c>
      <c r="W12" s="45" t="n">
        <v>0</v>
      </c>
      <c r="X12" s="45" t="n">
        <v>-71.54</v>
      </c>
      <c r="Y12" s="32" t="n">
        <f aca="false">IFERROR(X12/R12,0)</f>
        <v>-1.01452152702943</v>
      </c>
      <c r="Z12" s="28" t="str">
        <f aca="false">IF(X12&gt;0,"Win",IF(X12&lt;0,"Loss","Flat"))</f>
        <v>Loss</v>
      </c>
      <c r="AA12" s="28" t="n">
        <f aca="false">ROUND((C12-B12)*1440,1)</f>
        <v>2.1</v>
      </c>
      <c r="AB12" s="28" t="str">
        <f aca="false">IF(AA12&lt;1,"a) &lt;1 min",IF(AA12&lt;10,"b) 1-10 min",IF(AA12&lt;60,"c) 10-60 min",IF(AA12&lt;240,"d) 1-4 h","e) 4 h+"))))</f>
        <v>b) 1-10 min</v>
      </c>
      <c r="AC12" s="28" t="str">
        <f aca="false">IF(P12&lt;10,"a) &lt;10",IF(P12&lt;20,"b) 10-20",IF(P12&lt;40,"c) 20-40",IF(P12&lt;80,"d) 40-80","e) 80+"))))</f>
        <v>b) 10-20</v>
      </c>
      <c r="AD12" s="30" t="n">
        <f aca="false">Summary!$C$5+SUM(X$2:X12)</f>
        <v>99532.93</v>
      </c>
      <c r="AE12" s="30" t="n">
        <f aca="false">MAX(AE11,AD12)</f>
        <v>100224.34</v>
      </c>
      <c r="AF12" s="30" t="n">
        <f aca="false">AE12-AD12</f>
        <v>691.410000000004</v>
      </c>
      <c r="AG12" s="29" t="n">
        <f aca="false">IFERROR(AF12/AE12,0)</f>
        <v>0.00689862362775353</v>
      </c>
    </row>
    <row r="13" customFormat="false" ht="15" hidden="false" customHeight="false" outlineLevel="0" collapsed="false">
      <c r="A13" s="28" t="n">
        <v>12</v>
      </c>
      <c r="B13" s="43" t="n">
        <v>45035.3840277778</v>
      </c>
      <c r="C13" s="43" t="n">
        <v>45035.3920833333</v>
      </c>
      <c r="D13" s="42" t="n">
        <f aca="false">INT(C13)</f>
        <v>45035</v>
      </c>
      <c r="E13" s="42" t="n">
        <f aca="false">D13-WEEKDAY(D13,3)</f>
        <v>45033</v>
      </c>
      <c r="F13" s="28" t="s">
        <v>143</v>
      </c>
      <c r="G13" s="28" t="n">
        <v>2023</v>
      </c>
      <c r="H13" s="28" t="s">
        <v>235</v>
      </c>
      <c r="I13" s="28" t="n">
        <v>9</v>
      </c>
      <c r="J13" s="28" t="s">
        <v>236</v>
      </c>
      <c r="K13" s="28" t="s">
        <v>237</v>
      </c>
      <c r="L13" s="28" t="n">
        <v>0.34</v>
      </c>
      <c r="M13" s="31" t="n">
        <v>13039.78</v>
      </c>
      <c r="N13" s="31" t="n">
        <v>13048.7</v>
      </c>
      <c r="O13" s="31" t="n">
        <v>13021.8</v>
      </c>
      <c r="P13" s="44" t="n">
        <f aca="false">ABS(M13-N13)</f>
        <v>8.92000000000007</v>
      </c>
      <c r="Q13" s="44" t="n">
        <f aca="false">IF(O13="","",ABS(O13-M13))</f>
        <v>17.9800000000014</v>
      </c>
      <c r="R13" s="30" t="n">
        <f aca="false">P13*L13*Summary!$C$6</f>
        <v>60.6560000000005</v>
      </c>
      <c r="S13" s="31" t="n">
        <v>13021.55</v>
      </c>
      <c r="T13" s="28" t="s">
        <v>214</v>
      </c>
      <c r="U13" s="44" t="n">
        <f aca="false">IF(J13="BUY",S13-M13,M13-S13)</f>
        <v>18.2300000000014</v>
      </c>
      <c r="V13" s="45" t="n">
        <v>0</v>
      </c>
      <c r="W13" s="45" t="n">
        <v>0</v>
      </c>
      <c r="X13" s="45" t="n">
        <v>123.96</v>
      </c>
      <c r="Y13" s="32" t="n">
        <f aca="false">IFERROR(X13/R13,0)</f>
        <v>2.04365602743338</v>
      </c>
      <c r="Z13" s="28" t="str">
        <f aca="false">IF(X13&gt;0,"Win",IF(X13&lt;0,"Loss","Flat"))</f>
        <v>Win</v>
      </c>
      <c r="AA13" s="28" t="n">
        <f aca="false">ROUND((C13-B13)*1440,1)</f>
        <v>11.6</v>
      </c>
      <c r="AB13" s="28" t="str">
        <f aca="false">IF(AA13&lt;1,"a) &lt;1 min",IF(AA13&lt;10,"b) 1-10 min",IF(AA13&lt;60,"c) 10-60 min",IF(AA13&lt;240,"d) 1-4 h","e) 4 h+"))))</f>
        <v>c) 10-60 min</v>
      </c>
      <c r="AC13" s="28" t="str">
        <f aca="false">IF(P13&lt;10,"a) &lt;10",IF(P13&lt;20,"b) 10-20",IF(P13&lt;40,"c) 20-40",IF(P13&lt;80,"d) 40-80","e) 80+"))))</f>
        <v>a) &lt;10</v>
      </c>
      <c r="AD13" s="30" t="n">
        <f aca="false">Summary!$C$5+SUM(X$2:X13)</f>
        <v>99656.89</v>
      </c>
      <c r="AE13" s="30" t="n">
        <f aca="false">MAX(AE12,AD13)</f>
        <v>100224.34</v>
      </c>
      <c r="AF13" s="30" t="n">
        <f aca="false">AE13-AD13</f>
        <v>567.449999999997</v>
      </c>
      <c r="AG13" s="29" t="n">
        <f aca="false">IFERROR(AF13/AE13,0)</f>
        <v>0.00566179832164519</v>
      </c>
    </row>
    <row r="14" customFormat="false" ht="15" hidden="false" customHeight="false" outlineLevel="0" collapsed="false">
      <c r="A14" s="28" t="n">
        <v>13</v>
      </c>
      <c r="B14" s="43" t="n">
        <v>45036.4472222222</v>
      </c>
      <c r="C14" s="43" t="n">
        <v>45036.4893055556</v>
      </c>
      <c r="D14" s="42" t="n">
        <f aca="false">INT(C14)</f>
        <v>45036</v>
      </c>
      <c r="E14" s="42" t="n">
        <f aca="false">D14-WEEKDAY(D14,3)</f>
        <v>45033</v>
      </c>
      <c r="F14" s="28" t="s">
        <v>143</v>
      </c>
      <c r="G14" s="28" t="n">
        <v>2023</v>
      </c>
      <c r="H14" s="28" t="s">
        <v>239</v>
      </c>
      <c r="I14" s="28" t="n">
        <v>10</v>
      </c>
      <c r="J14" s="28" t="s">
        <v>236</v>
      </c>
      <c r="K14" s="28" t="s">
        <v>237</v>
      </c>
      <c r="L14" s="28" t="n">
        <v>0.34</v>
      </c>
      <c r="M14" s="31" t="n">
        <v>12964.08</v>
      </c>
      <c r="N14" s="31" t="n">
        <v>12976.42</v>
      </c>
      <c r="O14" s="31" t="n">
        <v>12939.25</v>
      </c>
      <c r="P14" s="44" t="n">
        <f aca="false">ABS(M14-N14)</f>
        <v>12.3400000000001</v>
      </c>
      <c r="Q14" s="44" t="n">
        <f aca="false">IF(O14="","",ABS(O14-M14))</f>
        <v>24.8299999999999</v>
      </c>
      <c r="R14" s="30" t="n">
        <f aca="false">P14*L14*Summary!$C$6</f>
        <v>83.912000000001</v>
      </c>
      <c r="S14" s="31" t="n">
        <v>12939.07</v>
      </c>
      <c r="T14" s="28" t="s">
        <v>214</v>
      </c>
      <c r="U14" s="44" t="n">
        <f aca="false">IF(J14="BUY",S14-M14,M14-S14)</f>
        <v>25.0100000000002</v>
      </c>
      <c r="V14" s="45" t="n">
        <v>0</v>
      </c>
      <c r="W14" s="45" t="n">
        <v>0</v>
      </c>
      <c r="X14" s="45" t="n">
        <v>170.07</v>
      </c>
      <c r="Y14" s="32" t="n">
        <f aca="false">IFERROR(X14/R14,0)</f>
        <v>2.02676613595193</v>
      </c>
      <c r="Z14" s="28" t="str">
        <f aca="false">IF(X14&gt;0,"Win",IF(X14&lt;0,"Loss","Flat"))</f>
        <v>Win</v>
      </c>
      <c r="AA14" s="28" t="n">
        <f aca="false">ROUND((C14-B14)*1440,1)</f>
        <v>60.6</v>
      </c>
      <c r="AB14" s="28" t="str">
        <f aca="false">IF(AA14&lt;1,"a) &lt;1 min",IF(AA14&lt;10,"b) 1-10 min",IF(AA14&lt;60,"c) 10-60 min",IF(AA14&lt;240,"d) 1-4 h","e) 4 h+"))))</f>
        <v>d) 1-4 h</v>
      </c>
      <c r="AC14" s="28" t="str">
        <f aca="false">IF(P14&lt;10,"a) &lt;10",IF(P14&lt;20,"b) 10-20",IF(P14&lt;40,"c) 20-40",IF(P14&lt;80,"d) 40-80","e) 80+"))))</f>
        <v>b) 10-20</v>
      </c>
      <c r="AD14" s="30" t="n">
        <f aca="false">Summary!$C$5+SUM(X$2:X14)</f>
        <v>99826.96</v>
      </c>
      <c r="AE14" s="30" t="n">
        <f aca="false">MAX(AE13,AD14)</f>
        <v>100224.34</v>
      </c>
      <c r="AF14" s="30" t="n">
        <f aca="false">AE14-AD14</f>
        <v>397.37999999999</v>
      </c>
      <c r="AG14" s="29" t="n">
        <f aca="false">IFERROR(AF14/AE14,0)</f>
        <v>0.00396490513182716</v>
      </c>
    </row>
    <row r="15" customFormat="false" ht="15" hidden="false" customHeight="false" outlineLevel="0" collapsed="false">
      <c r="A15" s="28" t="n">
        <v>14</v>
      </c>
      <c r="B15" s="43" t="n">
        <v>45037.5770833333</v>
      </c>
      <c r="C15" s="43" t="n">
        <v>45037.5911111111</v>
      </c>
      <c r="D15" s="42" t="n">
        <f aca="false">INT(C15)</f>
        <v>45037</v>
      </c>
      <c r="E15" s="42" t="n">
        <f aca="false">D15-WEEKDAY(D15,3)</f>
        <v>45033</v>
      </c>
      <c r="F15" s="28" t="s">
        <v>143</v>
      </c>
      <c r="G15" s="28" t="n">
        <v>2023</v>
      </c>
      <c r="H15" s="28" t="s">
        <v>242</v>
      </c>
      <c r="I15" s="28" t="n">
        <v>13</v>
      </c>
      <c r="J15" s="28" t="s">
        <v>236</v>
      </c>
      <c r="K15" s="28" t="s">
        <v>237</v>
      </c>
      <c r="L15" s="28" t="n">
        <v>0.34</v>
      </c>
      <c r="M15" s="31" t="n">
        <v>12922.61</v>
      </c>
      <c r="N15" s="31" t="n">
        <v>12933.05</v>
      </c>
      <c r="O15" s="31" t="n">
        <v>12902.17</v>
      </c>
      <c r="P15" s="44" t="n">
        <f aca="false">ABS(M15-N15)</f>
        <v>10.4399999999987</v>
      </c>
      <c r="Q15" s="44" t="n">
        <f aca="false">IF(O15="","",ABS(O15-M15))</f>
        <v>20.4400000000005</v>
      </c>
      <c r="R15" s="30" t="n">
        <f aca="false">P15*L15*Summary!$C$6</f>
        <v>70.9919999999911</v>
      </c>
      <c r="S15" s="31" t="n">
        <v>12933.11</v>
      </c>
      <c r="T15" s="28" t="s">
        <v>241</v>
      </c>
      <c r="U15" s="44" t="n">
        <f aca="false">IF(J15="BUY",S15-M15,M15-S15)</f>
        <v>-10.5</v>
      </c>
      <c r="V15" s="45" t="n">
        <v>0</v>
      </c>
      <c r="W15" s="45" t="n">
        <v>0</v>
      </c>
      <c r="X15" s="45" t="n">
        <v>-71.4</v>
      </c>
      <c r="Y15" s="32" t="n">
        <f aca="false">IFERROR(X15/R15,0)</f>
        <v>-1.00574712643691</v>
      </c>
      <c r="Z15" s="28" t="str">
        <f aca="false">IF(X15&gt;0,"Win",IF(X15&lt;0,"Loss","Flat"))</f>
        <v>Loss</v>
      </c>
      <c r="AA15" s="28" t="n">
        <f aca="false">ROUND((C15-B15)*1440,1)</f>
        <v>20.2</v>
      </c>
      <c r="AB15" s="28" t="str">
        <f aca="false">IF(AA15&lt;1,"a) &lt;1 min",IF(AA15&lt;10,"b) 1-10 min",IF(AA15&lt;60,"c) 10-60 min",IF(AA15&lt;240,"d) 1-4 h","e) 4 h+"))))</f>
        <v>c) 10-60 min</v>
      </c>
      <c r="AC15" s="28" t="str">
        <f aca="false">IF(P15&lt;10,"a) &lt;10",IF(P15&lt;20,"b) 10-20",IF(P15&lt;40,"c) 20-40",IF(P15&lt;80,"d) 40-80","e) 80+"))))</f>
        <v>b) 10-20</v>
      </c>
      <c r="AD15" s="30" t="n">
        <f aca="false">Summary!$C$5+SUM(X$2:X15)</f>
        <v>99755.56</v>
      </c>
      <c r="AE15" s="30" t="n">
        <f aca="false">MAX(AE14,AD15)</f>
        <v>100224.34</v>
      </c>
      <c r="AF15" s="30" t="n">
        <f aca="false">AE15-AD15</f>
        <v>468.779999999999</v>
      </c>
      <c r="AG15" s="29" t="n">
        <f aca="false">IFERROR(AF15/AE15,0)</f>
        <v>0.00467730692963405</v>
      </c>
    </row>
    <row r="16" customFormat="false" ht="15" hidden="false" customHeight="false" outlineLevel="0" collapsed="false">
      <c r="A16" s="28" t="n">
        <v>15</v>
      </c>
      <c r="B16" s="43" t="n">
        <v>45040.6951388889</v>
      </c>
      <c r="C16" s="43" t="n">
        <v>45040.7090162037</v>
      </c>
      <c r="D16" s="42" t="n">
        <f aca="false">INT(C16)</f>
        <v>45040</v>
      </c>
      <c r="E16" s="42" t="n">
        <f aca="false">D16-WEEKDAY(D16,3)</f>
        <v>45040</v>
      </c>
      <c r="F16" s="28" t="s">
        <v>143</v>
      </c>
      <c r="G16" s="28" t="n">
        <v>2023</v>
      </c>
      <c r="H16" s="28" t="s">
        <v>240</v>
      </c>
      <c r="I16" s="28" t="n">
        <v>16</v>
      </c>
      <c r="J16" s="28" t="s">
        <v>233</v>
      </c>
      <c r="K16" s="28" t="s">
        <v>234</v>
      </c>
      <c r="L16" s="28" t="n">
        <v>0.34</v>
      </c>
      <c r="M16" s="31" t="n">
        <v>13038.5</v>
      </c>
      <c r="N16" s="31" t="n">
        <v>13007.67</v>
      </c>
      <c r="O16" s="31" t="n">
        <v>13100.15</v>
      </c>
      <c r="P16" s="44" t="n">
        <f aca="false">ABS(M16-N16)</f>
        <v>30.8299999999999</v>
      </c>
      <c r="Q16" s="44" t="n">
        <f aca="false">IF(O16="","",ABS(O16-M16))</f>
        <v>61.6499999999996</v>
      </c>
      <c r="R16" s="30" t="n">
        <f aca="false">P16*L16*Summary!$C$6</f>
        <v>209.644</v>
      </c>
      <c r="S16" s="31" t="n">
        <v>13007.62</v>
      </c>
      <c r="T16" s="28" t="s">
        <v>241</v>
      </c>
      <c r="U16" s="44" t="n">
        <f aca="false">IF(J16="BUY",S16-M16,M16-S16)</f>
        <v>-30.8799999999992</v>
      </c>
      <c r="V16" s="45" t="n">
        <v>0</v>
      </c>
      <c r="W16" s="45" t="n">
        <v>0</v>
      </c>
      <c r="X16" s="45" t="n">
        <v>-209.98</v>
      </c>
      <c r="Y16" s="32" t="n">
        <f aca="false">IFERROR(X16/R16,0)</f>
        <v>-1.00160271698689</v>
      </c>
      <c r="Z16" s="28" t="str">
        <f aca="false">IF(X16&gt;0,"Win",IF(X16&lt;0,"Loss","Flat"))</f>
        <v>Loss</v>
      </c>
      <c r="AA16" s="28" t="n">
        <f aca="false">ROUND((C16-B16)*1440,1)</f>
        <v>20</v>
      </c>
      <c r="AB16" s="28" t="str">
        <f aca="false">IF(AA16&lt;1,"a) &lt;1 min",IF(AA16&lt;10,"b) 1-10 min",IF(AA16&lt;60,"c) 10-60 min",IF(AA16&lt;240,"d) 1-4 h","e) 4 h+"))))</f>
        <v>c) 10-60 min</v>
      </c>
      <c r="AC16" s="28" t="str">
        <f aca="false">IF(P16&lt;10,"a) &lt;10",IF(P16&lt;20,"b) 10-20",IF(P16&lt;40,"c) 20-40",IF(P16&lt;80,"d) 40-80","e) 80+"))))</f>
        <v>c) 20-40</v>
      </c>
      <c r="AD16" s="30" t="n">
        <f aca="false">Summary!$C$5+SUM(X$2:X16)</f>
        <v>99545.58</v>
      </c>
      <c r="AE16" s="30" t="n">
        <f aca="false">MAX(AE15,AD16)</f>
        <v>100224.34</v>
      </c>
      <c r="AF16" s="30" t="n">
        <f aca="false">AE16-AD16</f>
        <v>678.759999999995</v>
      </c>
      <c r="AG16" s="29" t="n">
        <f aca="false">IFERROR(AF16/AE16,0)</f>
        <v>0.00677240678262381</v>
      </c>
    </row>
    <row r="17" customFormat="false" ht="15" hidden="false" customHeight="false" outlineLevel="0" collapsed="false">
      <c r="A17" s="28" t="n">
        <v>16</v>
      </c>
      <c r="B17" s="43" t="n">
        <v>45040.7854166667</v>
      </c>
      <c r="C17" s="43" t="n">
        <v>45040.7935300926</v>
      </c>
      <c r="D17" s="42" t="n">
        <f aca="false">INT(C17)</f>
        <v>45040</v>
      </c>
      <c r="E17" s="42" t="n">
        <f aca="false">D17-WEEKDAY(D17,3)</f>
        <v>45040</v>
      </c>
      <c r="F17" s="28" t="s">
        <v>143</v>
      </c>
      <c r="G17" s="28" t="n">
        <v>2023</v>
      </c>
      <c r="H17" s="28" t="s">
        <v>240</v>
      </c>
      <c r="I17" s="28" t="n">
        <v>18</v>
      </c>
      <c r="J17" s="28" t="s">
        <v>236</v>
      </c>
      <c r="K17" s="28" t="s">
        <v>237</v>
      </c>
      <c r="L17" s="28" t="n">
        <v>0.34</v>
      </c>
      <c r="M17" s="31" t="n">
        <v>12892.22</v>
      </c>
      <c r="N17" s="31" t="n">
        <v>12905.24</v>
      </c>
      <c r="O17" s="31" t="n">
        <v>12866.18</v>
      </c>
      <c r="P17" s="44" t="n">
        <f aca="false">ABS(M17-N17)</f>
        <v>13.0200000000004</v>
      </c>
      <c r="Q17" s="44" t="n">
        <f aca="false">IF(O17="","",ABS(O17-M17))</f>
        <v>26.0399999999991</v>
      </c>
      <c r="R17" s="30" t="n">
        <f aca="false">P17*L17*Summary!$C$6</f>
        <v>88.536000000003</v>
      </c>
      <c r="S17" s="31" t="n">
        <v>12905.4</v>
      </c>
      <c r="T17" s="28" t="s">
        <v>241</v>
      </c>
      <c r="U17" s="44" t="n">
        <f aca="false">IF(J17="BUY",S17-M17,M17-S17)</f>
        <v>-13.1800000000003</v>
      </c>
      <c r="V17" s="45" t="n">
        <v>0</v>
      </c>
      <c r="W17" s="45" t="n">
        <v>0</v>
      </c>
      <c r="X17" s="45" t="n">
        <v>-89.62</v>
      </c>
      <c r="Y17" s="32" t="n">
        <f aca="false">IFERROR(X17/R17,0)</f>
        <v>-1.01224360712023</v>
      </c>
      <c r="Z17" s="28" t="str">
        <f aca="false">IF(X17&gt;0,"Win",IF(X17&lt;0,"Loss","Flat"))</f>
        <v>Loss</v>
      </c>
      <c r="AA17" s="28" t="n">
        <f aca="false">ROUND((C17-B17)*1440,1)</f>
        <v>11.7</v>
      </c>
      <c r="AB17" s="28" t="str">
        <f aca="false">IF(AA17&lt;1,"a) &lt;1 min",IF(AA17&lt;10,"b) 1-10 min",IF(AA17&lt;60,"c) 10-60 min",IF(AA17&lt;240,"d) 1-4 h","e) 4 h+"))))</f>
        <v>c) 10-60 min</v>
      </c>
      <c r="AC17" s="28" t="str">
        <f aca="false">IF(P17&lt;10,"a) &lt;10",IF(P17&lt;20,"b) 10-20",IF(P17&lt;40,"c) 20-40",IF(P17&lt;80,"d) 40-80","e) 80+"))))</f>
        <v>b) 10-20</v>
      </c>
      <c r="AD17" s="30" t="n">
        <f aca="false">Summary!$C$5+SUM(X$2:X17)</f>
        <v>99455.96</v>
      </c>
      <c r="AE17" s="30" t="n">
        <f aca="false">MAX(AE16,AD17)</f>
        <v>100224.34</v>
      </c>
      <c r="AF17" s="30" t="n">
        <f aca="false">AE17-AD17</f>
        <v>768.37999999999</v>
      </c>
      <c r="AG17" s="29" t="n">
        <f aca="false">IFERROR(AF17/AE17,0)</f>
        <v>0.0076666007478821</v>
      </c>
    </row>
    <row r="18" customFormat="false" ht="15" hidden="false" customHeight="false" outlineLevel="0" collapsed="false">
      <c r="A18" s="28" t="n">
        <v>17</v>
      </c>
      <c r="B18" s="43" t="n">
        <v>45041.4736111111</v>
      </c>
      <c r="C18" s="43" t="n">
        <v>45041.481412037</v>
      </c>
      <c r="D18" s="42" t="n">
        <f aca="false">INT(C18)</f>
        <v>45041</v>
      </c>
      <c r="E18" s="42" t="n">
        <f aca="false">D18-WEEKDAY(D18,3)</f>
        <v>45040</v>
      </c>
      <c r="F18" s="28" t="s">
        <v>143</v>
      </c>
      <c r="G18" s="28" t="n">
        <v>2023</v>
      </c>
      <c r="H18" s="28" t="s">
        <v>232</v>
      </c>
      <c r="I18" s="28" t="n">
        <v>11</v>
      </c>
      <c r="J18" s="28" t="s">
        <v>236</v>
      </c>
      <c r="K18" s="28" t="s">
        <v>237</v>
      </c>
      <c r="L18" s="28" t="n">
        <v>0.34</v>
      </c>
      <c r="M18" s="31" t="n">
        <v>12879.68</v>
      </c>
      <c r="N18" s="31" t="n">
        <v>12891.6</v>
      </c>
      <c r="O18" s="31" t="n">
        <v>12857.97</v>
      </c>
      <c r="P18" s="44" t="n">
        <f aca="false">ABS(M18-N18)</f>
        <v>11.9200000000001</v>
      </c>
      <c r="Q18" s="44" t="n">
        <f aca="false">IF(O18="","",ABS(O18-M18))</f>
        <v>21.7100000000009</v>
      </c>
      <c r="R18" s="30" t="n">
        <f aca="false">P18*L18*Summary!$C$6</f>
        <v>81.0560000000005</v>
      </c>
      <c r="S18" s="31" t="n">
        <v>12891.63</v>
      </c>
      <c r="T18" s="28" t="s">
        <v>241</v>
      </c>
      <c r="U18" s="44" t="n">
        <f aca="false">IF(J18="BUY",S18-M18,M18-S18)</f>
        <v>-11.9499999999989</v>
      </c>
      <c r="V18" s="45" t="n">
        <v>0</v>
      </c>
      <c r="W18" s="45" t="n">
        <v>0</v>
      </c>
      <c r="X18" s="45" t="n">
        <v>-81.26</v>
      </c>
      <c r="Y18" s="32" t="n">
        <f aca="false">IFERROR(X18/R18,0)</f>
        <v>-1.00251677852348</v>
      </c>
      <c r="Z18" s="28" t="str">
        <f aca="false">IF(X18&gt;0,"Win",IF(X18&lt;0,"Loss","Flat"))</f>
        <v>Loss</v>
      </c>
      <c r="AA18" s="28" t="n">
        <f aca="false">ROUND((C18-B18)*1440,1)</f>
        <v>11.2</v>
      </c>
      <c r="AB18" s="28" t="str">
        <f aca="false">IF(AA18&lt;1,"a) &lt;1 min",IF(AA18&lt;10,"b) 1-10 min",IF(AA18&lt;60,"c) 10-60 min",IF(AA18&lt;240,"d) 1-4 h","e) 4 h+"))))</f>
        <v>c) 10-60 min</v>
      </c>
      <c r="AC18" s="28" t="str">
        <f aca="false">IF(P18&lt;10,"a) &lt;10",IF(P18&lt;20,"b) 10-20",IF(P18&lt;40,"c) 20-40",IF(P18&lt;80,"d) 40-80","e) 80+"))))</f>
        <v>b) 10-20</v>
      </c>
      <c r="AD18" s="30" t="n">
        <f aca="false">Summary!$C$5+SUM(X$2:X18)</f>
        <v>99374.7</v>
      </c>
      <c r="AE18" s="30" t="n">
        <f aca="false">MAX(AE17,AD18)</f>
        <v>100224.34</v>
      </c>
      <c r="AF18" s="30" t="n">
        <f aca="false">AE18-AD18</f>
        <v>849.639999999999</v>
      </c>
      <c r="AG18" s="29" t="n">
        <f aca="false">IFERROR(AF18/AE18,0)</f>
        <v>0.0084773818415766</v>
      </c>
    </row>
    <row r="19" customFormat="false" ht="15" hidden="false" customHeight="false" outlineLevel="0" collapsed="false">
      <c r="A19" s="28" t="n">
        <v>18</v>
      </c>
      <c r="B19" s="43" t="n">
        <v>45043.6263888889</v>
      </c>
      <c r="C19" s="43" t="n">
        <v>45043.6458449074</v>
      </c>
      <c r="D19" s="42" t="n">
        <f aca="false">INT(C19)</f>
        <v>45043</v>
      </c>
      <c r="E19" s="42" t="n">
        <f aca="false">D19-WEEKDAY(D19,3)</f>
        <v>45040</v>
      </c>
      <c r="F19" s="28" t="s">
        <v>143</v>
      </c>
      <c r="G19" s="28" t="n">
        <v>2023</v>
      </c>
      <c r="H19" s="28" t="s">
        <v>239</v>
      </c>
      <c r="I19" s="28" t="n">
        <v>15</v>
      </c>
      <c r="J19" s="28" t="s">
        <v>233</v>
      </c>
      <c r="K19" s="28" t="s">
        <v>234</v>
      </c>
      <c r="L19" s="28" t="n">
        <v>0.34</v>
      </c>
      <c r="M19" s="31" t="n">
        <v>12938.55</v>
      </c>
      <c r="N19" s="31" t="n">
        <v>12929.96</v>
      </c>
      <c r="O19" s="31" t="n">
        <v>12955.94</v>
      </c>
      <c r="P19" s="44" t="n">
        <f aca="false">ABS(M19-N19)</f>
        <v>8.59000000000015</v>
      </c>
      <c r="Q19" s="44" t="n">
        <f aca="false">IF(O19="","",ABS(O19-M19))</f>
        <v>17.3900000000012</v>
      </c>
      <c r="R19" s="30" t="n">
        <f aca="false">P19*L19*Summary!$C$6</f>
        <v>58.412000000001</v>
      </c>
      <c r="S19" s="31" t="n">
        <v>12936.65</v>
      </c>
      <c r="T19" s="28" t="s">
        <v>238</v>
      </c>
      <c r="U19" s="44" t="n">
        <f aca="false">IF(J19="BUY",S19-M19,M19-S19)</f>
        <v>-1.89999999999964</v>
      </c>
      <c r="V19" s="45" t="n">
        <v>0</v>
      </c>
      <c r="W19" s="45" t="n">
        <v>0</v>
      </c>
      <c r="X19" s="45" t="n">
        <v>-12.92</v>
      </c>
      <c r="Y19" s="32" t="n">
        <f aca="false">IFERROR(X19/R19,0)</f>
        <v>-0.221187427240974</v>
      </c>
      <c r="Z19" s="28" t="str">
        <f aca="false">IF(X19&gt;0,"Win",IF(X19&lt;0,"Loss","Flat"))</f>
        <v>Loss</v>
      </c>
      <c r="AA19" s="28" t="n">
        <f aca="false">ROUND((C19-B19)*1440,1)</f>
        <v>28</v>
      </c>
      <c r="AB19" s="28" t="str">
        <f aca="false">IF(AA19&lt;1,"a) &lt;1 min",IF(AA19&lt;10,"b) 1-10 min",IF(AA19&lt;60,"c) 10-60 min",IF(AA19&lt;240,"d) 1-4 h","e) 4 h+"))))</f>
        <v>c) 10-60 min</v>
      </c>
      <c r="AC19" s="28" t="str">
        <f aca="false">IF(P19&lt;10,"a) &lt;10",IF(P19&lt;20,"b) 10-20",IF(P19&lt;40,"c) 20-40",IF(P19&lt;80,"d) 40-80","e) 80+"))))</f>
        <v>a) &lt;10</v>
      </c>
      <c r="AD19" s="30" t="n">
        <f aca="false">Summary!$C$5+SUM(X$2:X19)</f>
        <v>99361.78</v>
      </c>
      <c r="AE19" s="30" t="n">
        <f aca="false">MAX(AE18,AD19)</f>
        <v>100224.34</v>
      </c>
      <c r="AF19" s="30" t="n">
        <f aca="false">AE19-AD19</f>
        <v>862.559999999998</v>
      </c>
      <c r="AG19" s="29" t="n">
        <f aca="false">IFERROR(AF19/AE19,0)</f>
        <v>0.00860629264308448</v>
      </c>
    </row>
    <row r="20" customFormat="false" ht="15" hidden="false" customHeight="false" outlineLevel="0" collapsed="false">
      <c r="A20" s="28" t="n">
        <v>19</v>
      </c>
      <c r="B20" s="43" t="n">
        <v>45044.9590277778</v>
      </c>
      <c r="C20" s="43" t="n">
        <v>45047.0420138889</v>
      </c>
      <c r="D20" s="42" t="n">
        <f aca="false">INT(C20)</f>
        <v>45047</v>
      </c>
      <c r="E20" s="42" t="n">
        <f aca="false">D20-WEEKDAY(D20,3)</f>
        <v>45047</v>
      </c>
      <c r="F20" s="28" t="s">
        <v>144</v>
      </c>
      <c r="G20" s="28" t="n">
        <v>2023</v>
      </c>
      <c r="H20" s="28" t="s">
        <v>242</v>
      </c>
      <c r="I20" s="28" t="n">
        <v>23</v>
      </c>
      <c r="J20" s="28" t="s">
        <v>233</v>
      </c>
      <c r="K20" s="28" t="s">
        <v>234</v>
      </c>
      <c r="L20" s="28" t="n">
        <v>0.33</v>
      </c>
      <c r="M20" s="31" t="n">
        <v>13256.2</v>
      </c>
      <c r="N20" s="31" t="n">
        <v>13238.42</v>
      </c>
      <c r="O20" s="31" t="n">
        <v>13290.92</v>
      </c>
      <c r="P20" s="44" t="n">
        <f aca="false">ABS(M20-N20)</f>
        <v>17.7800000000007</v>
      </c>
      <c r="Q20" s="44" t="n">
        <f aca="false">IF(O20="","",ABS(O20-M20))</f>
        <v>34.7199999999993</v>
      </c>
      <c r="R20" s="30" t="n">
        <f aca="false">P20*L20*Summary!$C$6</f>
        <v>117.348000000004</v>
      </c>
      <c r="S20" s="31" t="n">
        <v>13238.33</v>
      </c>
      <c r="T20" s="28" t="s">
        <v>241</v>
      </c>
      <c r="U20" s="44" t="n">
        <f aca="false">IF(J20="BUY",S20-M20,M20-S20)</f>
        <v>-17.8700000000008</v>
      </c>
      <c r="V20" s="45" t="n">
        <v>0</v>
      </c>
      <c r="W20" s="45" t="n">
        <v>-53.41</v>
      </c>
      <c r="X20" s="45" t="n">
        <v>-171.35</v>
      </c>
      <c r="Y20" s="32" t="n">
        <f aca="false">IFERROR(X20/R20,0)</f>
        <v>-1.46018679483241</v>
      </c>
      <c r="Z20" s="28" t="str">
        <f aca="false">IF(X20&gt;0,"Win",IF(X20&lt;0,"Loss","Flat"))</f>
        <v>Loss</v>
      </c>
      <c r="AA20" s="28" t="n">
        <f aca="false">ROUND((C20-B20)*1440,1)</f>
        <v>2999.5</v>
      </c>
      <c r="AB20" s="28" t="str">
        <f aca="false">IF(AA20&lt;1,"a) &lt;1 min",IF(AA20&lt;10,"b) 1-10 min",IF(AA20&lt;60,"c) 10-60 min",IF(AA20&lt;240,"d) 1-4 h","e) 4 h+"))))</f>
        <v>e) 4 h+</v>
      </c>
      <c r="AC20" s="28" t="str">
        <f aca="false">IF(P20&lt;10,"a) &lt;10",IF(P20&lt;20,"b) 10-20",IF(P20&lt;40,"c) 20-40",IF(P20&lt;80,"d) 40-80","e) 80+"))))</f>
        <v>b) 10-20</v>
      </c>
      <c r="AD20" s="30" t="n">
        <f aca="false">Summary!$C$5+SUM(X$2:X20)</f>
        <v>99190.43</v>
      </c>
      <c r="AE20" s="30" t="n">
        <f aca="false">MAX(AE19,AD20)</f>
        <v>100224.34</v>
      </c>
      <c r="AF20" s="30" t="n">
        <f aca="false">AE20-AD20</f>
        <v>1033.91</v>
      </c>
      <c r="AG20" s="29" t="n">
        <f aca="false">IFERROR(AF20/AE20,0)</f>
        <v>0.0103159571816587</v>
      </c>
    </row>
    <row r="21" customFormat="false" ht="15" hidden="false" customHeight="false" outlineLevel="0" collapsed="false">
      <c r="A21" s="28" t="n">
        <v>20</v>
      </c>
      <c r="B21" s="43" t="n">
        <v>45047.2472222222</v>
      </c>
      <c r="C21" s="43" t="n">
        <v>45047.2655902778</v>
      </c>
      <c r="D21" s="42" t="n">
        <f aca="false">INT(C21)</f>
        <v>45047</v>
      </c>
      <c r="E21" s="42" t="n">
        <f aca="false">D21-WEEKDAY(D21,3)</f>
        <v>45047</v>
      </c>
      <c r="F21" s="28" t="s">
        <v>144</v>
      </c>
      <c r="G21" s="28" t="n">
        <v>2023</v>
      </c>
      <c r="H21" s="28" t="s">
        <v>240</v>
      </c>
      <c r="I21" s="28" t="n">
        <v>5</v>
      </c>
      <c r="J21" s="28" t="s">
        <v>233</v>
      </c>
      <c r="K21" s="28" t="s">
        <v>234</v>
      </c>
      <c r="L21" s="28" t="n">
        <v>0.33</v>
      </c>
      <c r="M21" s="31" t="n">
        <v>13259.9</v>
      </c>
      <c r="N21" s="31" t="n">
        <v>13250.02</v>
      </c>
      <c r="O21" s="31" t="n">
        <v>13279.65</v>
      </c>
      <c r="P21" s="44" t="n">
        <f aca="false">ABS(M21-N21)</f>
        <v>9.8799999999992</v>
      </c>
      <c r="Q21" s="44" t="n">
        <f aca="false">IF(O21="","",ABS(O21-M21))</f>
        <v>19.75</v>
      </c>
      <c r="R21" s="30" t="n">
        <f aca="false">P21*L21*Summary!$C$6</f>
        <v>65.2079999999947</v>
      </c>
      <c r="S21" s="31" t="n">
        <v>13248.63</v>
      </c>
      <c r="T21" s="28" t="s">
        <v>241</v>
      </c>
      <c r="U21" s="44" t="n">
        <f aca="false">IF(J21="BUY",S21-M21,M21-S21)</f>
        <v>-11.2700000000004</v>
      </c>
      <c r="V21" s="45" t="n">
        <v>0</v>
      </c>
      <c r="W21" s="45" t="n">
        <v>0</v>
      </c>
      <c r="X21" s="45" t="n">
        <v>-74.38</v>
      </c>
      <c r="Y21" s="32" t="n">
        <f aca="false">IFERROR(X21/R21,0)</f>
        <v>-1.1406575880261</v>
      </c>
      <c r="Z21" s="28" t="str">
        <f aca="false">IF(X21&gt;0,"Win",IF(X21&lt;0,"Loss","Flat"))</f>
        <v>Loss</v>
      </c>
      <c r="AA21" s="28" t="n">
        <f aca="false">ROUND((C21-B21)*1440,1)</f>
        <v>26.5</v>
      </c>
      <c r="AB21" s="28" t="str">
        <f aca="false">IF(AA21&lt;1,"a) &lt;1 min",IF(AA21&lt;10,"b) 1-10 min",IF(AA21&lt;60,"c) 10-60 min",IF(AA21&lt;240,"d) 1-4 h","e) 4 h+"))))</f>
        <v>c) 10-60 min</v>
      </c>
      <c r="AC21" s="28" t="str">
        <f aca="false">IF(P21&lt;10,"a) &lt;10",IF(P21&lt;20,"b) 10-20",IF(P21&lt;40,"c) 20-40",IF(P21&lt;80,"d) 40-80","e) 80+"))))</f>
        <v>a) &lt;10</v>
      </c>
      <c r="AD21" s="30" t="n">
        <f aca="false">Summary!$C$5+SUM(X$2:X21)</f>
        <v>99116.05</v>
      </c>
      <c r="AE21" s="30" t="n">
        <f aca="false">MAX(AE20,AD21)</f>
        <v>100224.34</v>
      </c>
      <c r="AF21" s="30" t="n">
        <f aca="false">AE21-AD21</f>
        <v>1108.28999999999</v>
      </c>
      <c r="AG21" s="29" t="n">
        <f aca="false">IFERROR(AF21/AE21,0)</f>
        <v>0.0110580922757884</v>
      </c>
    </row>
    <row r="22" customFormat="false" ht="15" hidden="false" customHeight="false" outlineLevel="0" collapsed="false">
      <c r="A22" s="28" t="n">
        <v>21</v>
      </c>
      <c r="B22" s="43" t="n">
        <v>45048.7159722222</v>
      </c>
      <c r="C22" s="43" t="n">
        <v>45048.7256481482</v>
      </c>
      <c r="D22" s="42" t="n">
        <f aca="false">INT(C22)</f>
        <v>45048</v>
      </c>
      <c r="E22" s="42" t="n">
        <f aca="false">D22-WEEKDAY(D22,3)</f>
        <v>45047</v>
      </c>
      <c r="F22" s="28" t="s">
        <v>144</v>
      </c>
      <c r="G22" s="28" t="n">
        <v>2023</v>
      </c>
      <c r="H22" s="28" t="s">
        <v>232</v>
      </c>
      <c r="I22" s="28" t="n">
        <v>17</v>
      </c>
      <c r="J22" s="28" t="s">
        <v>236</v>
      </c>
      <c r="K22" s="28" t="s">
        <v>237</v>
      </c>
      <c r="L22" s="28" t="n">
        <v>0.33</v>
      </c>
      <c r="M22" s="31" t="n">
        <v>13176.38</v>
      </c>
      <c r="N22" s="31" t="n">
        <v>13199.77</v>
      </c>
      <c r="O22" s="31" t="n">
        <v>13129.6</v>
      </c>
      <c r="P22" s="44" t="n">
        <f aca="false">ABS(M22-N22)</f>
        <v>23.3900000000012</v>
      </c>
      <c r="Q22" s="44" t="n">
        <f aca="false">IF(O22="","",ABS(O22-M22))</f>
        <v>46.7799999999988</v>
      </c>
      <c r="R22" s="30" t="n">
        <f aca="false">P22*L22*Summary!$C$6</f>
        <v>154.374000000008</v>
      </c>
      <c r="S22" s="31" t="n">
        <v>13129.26</v>
      </c>
      <c r="T22" s="28" t="s">
        <v>214</v>
      </c>
      <c r="U22" s="44" t="n">
        <f aca="false">IF(J22="BUY",S22-M22,M22-S22)</f>
        <v>47.119999999999</v>
      </c>
      <c r="V22" s="45" t="n">
        <v>0</v>
      </c>
      <c r="W22" s="45" t="n">
        <v>0</v>
      </c>
      <c r="X22" s="45" t="n">
        <v>310.99</v>
      </c>
      <c r="Y22" s="32" t="n">
        <f aca="false">IFERROR(X22/R22,0)</f>
        <v>2.01452317100019</v>
      </c>
      <c r="Z22" s="28" t="str">
        <f aca="false">IF(X22&gt;0,"Win",IF(X22&lt;0,"Loss","Flat"))</f>
        <v>Win</v>
      </c>
      <c r="AA22" s="28" t="n">
        <f aca="false">ROUND((C22-B22)*1440,1)</f>
        <v>13.9</v>
      </c>
      <c r="AB22" s="28" t="str">
        <f aca="false">IF(AA22&lt;1,"a) &lt;1 min",IF(AA22&lt;10,"b) 1-10 min",IF(AA22&lt;60,"c) 10-60 min",IF(AA22&lt;240,"d) 1-4 h","e) 4 h+"))))</f>
        <v>c) 10-60 min</v>
      </c>
      <c r="AC22" s="28" t="str">
        <f aca="false">IF(P22&lt;10,"a) &lt;10",IF(P22&lt;20,"b) 10-20",IF(P22&lt;40,"c) 20-40",IF(P22&lt;80,"d) 40-80","e) 80+"))))</f>
        <v>c) 20-40</v>
      </c>
      <c r="AD22" s="30" t="n">
        <f aca="false">Summary!$C$5+SUM(X$2:X22)</f>
        <v>99427.04</v>
      </c>
      <c r="AE22" s="30" t="n">
        <f aca="false">MAX(AE21,AD22)</f>
        <v>100224.34</v>
      </c>
      <c r="AF22" s="30" t="n">
        <f aca="false">AE22-AD22</f>
        <v>797.300000000003</v>
      </c>
      <c r="AG22" s="29" t="n">
        <f aca="false">IFERROR(AF22/AE22,0)</f>
        <v>0.00795515340884263</v>
      </c>
    </row>
    <row r="23" customFormat="false" ht="15" hidden="false" customHeight="false" outlineLevel="0" collapsed="false">
      <c r="A23" s="28" t="n">
        <v>22</v>
      </c>
      <c r="B23" s="43" t="n">
        <v>45049.9395833333</v>
      </c>
      <c r="C23" s="43" t="n">
        <v>45050.1329166667</v>
      </c>
      <c r="D23" s="42" t="n">
        <f aca="false">INT(C23)</f>
        <v>45050</v>
      </c>
      <c r="E23" s="42" t="n">
        <f aca="false">D23-WEEKDAY(D23,3)</f>
        <v>45047</v>
      </c>
      <c r="F23" s="28" t="s">
        <v>144</v>
      </c>
      <c r="G23" s="28" t="n">
        <v>2023</v>
      </c>
      <c r="H23" s="28" t="s">
        <v>235</v>
      </c>
      <c r="I23" s="28" t="n">
        <v>22</v>
      </c>
      <c r="J23" s="28" t="s">
        <v>236</v>
      </c>
      <c r="K23" s="28" t="s">
        <v>237</v>
      </c>
      <c r="L23" s="28" t="n">
        <v>0.34</v>
      </c>
      <c r="M23" s="31" t="n">
        <v>13037.81</v>
      </c>
      <c r="N23" s="31" t="n">
        <v>13077.51</v>
      </c>
      <c r="O23" s="31" t="n">
        <v>12961.26</v>
      </c>
      <c r="P23" s="44" t="n">
        <f aca="false">ABS(M23-N23)</f>
        <v>39.7000000000007</v>
      </c>
      <c r="Q23" s="44" t="n">
        <f aca="false">IF(O23="","",ABS(O23-M23))</f>
        <v>76.5499999999993</v>
      </c>
      <c r="R23" s="30" t="n">
        <f aca="false">P23*L23*Summary!$C$6</f>
        <v>269.960000000005</v>
      </c>
      <c r="S23" s="31" t="n">
        <v>13037.82</v>
      </c>
      <c r="T23" s="28" t="s">
        <v>238</v>
      </c>
      <c r="U23" s="44" t="n">
        <f aca="false">IF(J23="BUY",S23-M23,M23-S23)</f>
        <v>-0.0100000000002183</v>
      </c>
      <c r="V23" s="45" t="n">
        <v>0</v>
      </c>
      <c r="W23" s="45" t="n">
        <v>-3.28</v>
      </c>
      <c r="X23" s="45" t="n">
        <v>-3.35</v>
      </c>
      <c r="Y23" s="32" t="n">
        <f aca="false">IFERROR(X23/R23,0)</f>
        <v>-0.0124092458141945</v>
      </c>
      <c r="Z23" s="28" t="str">
        <f aca="false">IF(X23&gt;0,"Win",IF(X23&lt;0,"Loss","Flat"))</f>
        <v>Loss</v>
      </c>
      <c r="AA23" s="28" t="n">
        <f aca="false">ROUND((C23-B23)*1440,1)</f>
        <v>278.4</v>
      </c>
      <c r="AB23" s="28" t="str">
        <f aca="false">IF(AA23&lt;1,"a) &lt;1 min",IF(AA23&lt;10,"b) 1-10 min",IF(AA23&lt;60,"c) 10-60 min",IF(AA23&lt;240,"d) 1-4 h","e) 4 h+"))))</f>
        <v>e) 4 h+</v>
      </c>
      <c r="AC23" s="28" t="str">
        <f aca="false">IF(P23&lt;10,"a) &lt;10",IF(P23&lt;20,"b) 10-20",IF(P23&lt;40,"c) 20-40",IF(P23&lt;80,"d) 40-80","e) 80+"))))</f>
        <v>c) 20-40</v>
      </c>
      <c r="AD23" s="30" t="n">
        <f aca="false">Summary!$C$5+SUM(X$2:X23)</f>
        <v>99423.69</v>
      </c>
      <c r="AE23" s="30" t="n">
        <f aca="false">MAX(AE22,AD23)</f>
        <v>100224.34</v>
      </c>
      <c r="AF23" s="30" t="n">
        <f aca="false">AE23-AD23</f>
        <v>800.649999999994</v>
      </c>
      <c r="AG23" s="29" t="n">
        <f aca="false">IFERROR(AF23/AE23,0)</f>
        <v>0.00798857842316541</v>
      </c>
    </row>
    <row r="24" customFormat="false" ht="15" hidden="false" customHeight="false" outlineLevel="0" collapsed="false">
      <c r="A24" s="28" t="n">
        <v>23</v>
      </c>
      <c r="B24" s="43" t="n">
        <v>45051.7006944444</v>
      </c>
      <c r="C24" s="43" t="n">
        <v>45051.7122916667</v>
      </c>
      <c r="D24" s="42" t="n">
        <f aca="false">INT(C24)</f>
        <v>45051</v>
      </c>
      <c r="E24" s="42" t="n">
        <f aca="false">D24-WEEKDAY(D24,3)</f>
        <v>45047</v>
      </c>
      <c r="F24" s="28" t="s">
        <v>144</v>
      </c>
      <c r="G24" s="28" t="n">
        <v>2023</v>
      </c>
      <c r="H24" s="28" t="s">
        <v>242</v>
      </c>
      <c r="I24" s="28" t="n">
        <v>16</v>
      </c>
      <c r="J24" s="28" t="s">
        <v>233</v>
      </c>
      <c r="K24" s="28" t="s">
        <v>234</v>
      </c>
      <c r="L24" s="28" t="n">
        <v>0.34</v>
      </c>
      <c r="M24" s="31" t="n">
        <v>13103.12</v>
      </c>
      <c r="N24" s="31" t="n">
        <v>13084.29</v>
      </c>
      <c r="O24" s="31" t="n">
        <v>13137.45</v>
      </c>
      <c r="P24" s="44" t="n">
        <f aca="false">ABS(M24-N24)</f>
        <v>18.8299999999999</v>
      </c>
      <c r="Q24" s="44" t="n">
        <f aca="false">IF(O24="","",ABS(O24-M24))</f>
        <v>34.3299999999999</v>
      </c>
      <c r="R24" s="30" t="n">
        <f aca="false">P24*L24*Summary!$C$6</f>
        <v>128.044</v>
      </c>
      <c r="S24" s="31" t="n">
        <v>13137.61</v>
      </c>
      <c r="T24" s="28" t="s">
        <v>214</v>
      </c>
      <c r="U24" s="44" t="n">
        <f aca="false">IF(J24="BUY",S24-M24,M24-S24)</f>
        <v>34.4899999999998</v>
      </c>
      <c r="V24" s="45" t="n">
        <v>0</v>
      </c>
      <c r="W24" s="45" t="n">
        <v>0</v>
      </c>
      <c r="X24" s="45" t="n">
        <v>234.53</v>
      </c>
      <c r="Y24" s="32" t="n">
        <f aca="false">IFERROR(X24/R24,0)</f>
        <v>1.83163600012496</v>
      </c>
      <c r="Z24" s="28" t="str">
        <f aca="false">IF(X24&gt;0,"Win",IF(X24&lt;0,"Loss","Flat"))</f>
        <v>Win</v>
      </c>
      <c r="AA24" s="28" t="n">
        <f aca="false">ROUND((C24-B24)*1440,1)</f>
        <v>16.7</v>
      </c>
      <c r="AB24" s="28" t="str">
        <f aca="false">IF(AA24&lt;1,"a) &lt;1 min",IF(AA24&lt;10,"b) 1-10 min",IF(AA24&lt;60,"c) 10-60 min",IF(AA24&lt;240,"d) 1-4 h","e) 4 h+"))))</f>
        <v>c) 10-60 min</v>
      </c>
      <c r="AC24" s="28" t="str">
        <f aca="false">IF(P24&lt;10,"a) &lt;10",IF(P24&lt;20,"b) 10-20",IF(P24&lt;40,"c) 20-40",IF(P24&lt;80,"d) 40-80","e) 80+"))))</f>
        <v>b) 10-20</v>
      </c>
      <c r="AD24" s="30" t="n">
        <f aca="false">Summary!$C$5+SUM(X$2:X24)</f>
        <v>99658.22</v>
      </c>
      <c r="AE24" s="30" t="n">
        <f aca="false">MAX(AE23,AD24)</f>
        <v>100224.34</v>
      </c>
      <c r="AF24" s="30" t="n">
        <f aca="false">AE24-AD24</f>
        <v>566.119999999995</v>
      </c>
      <c r="AG24" s="29" t="n">
        <f aca="false">IFERROR(AF24/AE24,0)</f>
        <v>0.00564852809207819</v>
      </c>
    </row>
    <row r="25" customFormat="false" ht="15" hidden="false" customHeight="false" outlineLevel="0" collapsed="false">
      <c r="A25" s="28" t="n">
        <v>24</v>
      </c>
      <c r="B25" s="43" t="n">
        <v>45054.9083333333</v>
      </c>
      <c r="C25" s="43" t="n">
        <v>45054.9265625</v>
      </c>
      <c r="D25" s="42" t="n">
        <f aca="false">INT(C25)</f>
        <v>45054</v>
      </c>
      <c r="E25" s="42" t="n">
        <f aca="false">D25-WEEKDAY(D25,3)</f>
        <v>45054</v>
      </c>
      <c r="F25" s="28" t="s">
        <v>144</v>
      </c>
      <c r="G25" s="28" t="n">
        <v>2023</v>
      </c>
      <c r="H25" s="28" t="s">
        <v>240</v>
      </c>
      <c r="I25" s="28" t="n">
        <v>21</v>
      </c>
      <c r="J25" s="28" t="s">
        <v>233</v>
      </c>
      <c r="K25" s="28" t="s">
        <v>234</v>
      </c>
      <c r="L25" s="28" t="n">
        <v>0.33</v>
      </c>
      <c r="M25" s="31" t="n">
        <v>13295.7</v>
      </c>
      <c r="N25" s="31" t="n">
        <v>13285.7</v>
      </c>
      <c r="O25" s="31" t="n">
        <v>13315.7</v>
      </c>
      <c r="P25" s="44" t="n">
        <f aca="false">ABS(M25-N25)</f>
        <v>10</v>
      </c>
      <c r="Q25" s="44" t="n">
        <f aca="false">IF(O25="","",ABS(O25-M25))</f>
        <v>20</v>
      </c>
      <c r="R25" s="30" t="n">
        <f aca="false">P25*L25*Summary!$C$6</f>
        <v>66</v>
      </c>
      <c r="S25" s="31" t="n">
        <v>13285.39</v>
      </c>
      <c r="T25" s="28" t="s">
        <v>241</v>
      </c>
      <c r="U25" s="44" t="n">
        <f aca="false">IF(J25="BUY",S25-M25,M25-S25)</f>
        <v>-10.3100000000013</v>
      </c>
      <c r="V25" s="45" t="n">
        <v>0</v>
      </c>
      <c r="W25" s="45" t="n">
        <v>0</v>
      </c>
      <c r="X25" s="45" t="n">
        <v>-68.05</v>
      </c>
      <c r="Y25" s="32" t="n">
        <f aca="false">IFERROR(X25/R25,0)</f>
        <v>-1.03106060606061</v>
      </c>
      <c r="Z25" s="28" t="str">
        <f aca="false">IF(X25&gt;0,"Win",IF(X25&lt;0,"Loss","Flat"))</f>
        <v>Loss</v>
      </c>
      <c r="AA25" s="28" t="n">
        <f aca="false">ROUND((C25-B25)*1440,1)</f>
        <v>26.3</v>
      </c>
      <c r="AB25" s="28" t="str">
        <f aca="false">IF(AA25&lt;1,"a) &lt;1 min",IF(AA25&lt;10,"b) 1-10 min",IF(AA25&lt;60,"c) 10-60 min",IF(AA25&lt;240,"d) 1-4 h","e) 4 h+"))))</f>
        <v>c) 10-60 min</v>
      </c>
      <c r="AC25" s="28" t="str">
        <f aca="false">IF(P25&lt;10,"a) &lt;10",IF(P25&lt;20,"b) 10-20",IF(P25&lt;40,"c) 20-40",IF(P25&lt;80,"d) 40-80","e) 80+"))))</f>
        <v>b) 10-20</v>
      </c>
      <c r="AD25" s="30" t="n">
        <f aca="false">Summary!$C$5+SUM(X$2:X25)</f>
        <v>99590.17</v>
      </c>
      <c r="AE25" s="30" t="n">
        <f aca="false">MAX(AE24,AD25)</f>
        <v>100224.34</v>
      </c>
      <c r="AF25" s="30" t="n">
        <f aca="false">AE25-AD25</f>
        <v>634.169999999998</v>
      </c>
      <c r="AG25" s="29" t="n">
        <f aca="false">IFERROR(AF25/AE25,0)</f>
        <v>0.00632750487556215</v>
      </c>
    </row>
    <row r="26" customFormat="false" ht="15" hidden="false" customHeight="false" outlineLevel="0" collapsed="false">
      <c r="A26" s="28" t="n">
        <v>25</v>
      </c>
      <c r="B26" s="43" t="n">
        <v>45056.0437615741</v>
      </c>
      <c r="C26" s="43" t="n">
        <v>45056.0550694445</v>
      </c>
      <c r="D26" s="42" t="n">
        <f aca="false">INT(C26)</f>
        <v>45056</v>
      </c>
      <c r="E26" s="42" t="n">
        <f aca="false">D26-WEEKDAY(D26,3)</f>
        <v>45054</v>
      </c>
      <c r="F26" s="28" t="s">
        <v>144</v>
      </c>
      <c r="G26" s="28" t="n">
        <v>2023</v>
      </c>
      <c r="H26" s="28" t="s">
        <v>235</v>
      </c>
      <c r="I26" s="28" t="n">
        <v>1</v>
      </c>
      <c r="J26" s="28" t="s">
        <v>236</v>
      </c>
      <c r="K26" s="28" t="s">
        <v>237</v>
      </c>
      <c r="L26" s="28" t="n">
        <v>0.33</v>
      </c>
      <c r="M26" s="31" t="n">
        <v>13191.67</v>
      </c>
      <c r="N26" s="31" t="n">
        <v>13199.4</v>
      </c>
      <c r="O26" s="31" t="n">
        <v>13176.21</v>
      </c>
      <c r="P26" s="44" t="n">
        <f aca="false">ABS(M26-N26)</f>
        <v>7.72999999999956</v>
      </c>
      <c r="Q26" s="44" t="n">
        <f aca="false">IF(O26="","",ABS(O26-M26))</f>
        <v>15.4600000000009</v>
      </c>
      <c r="R26" s="30" t="n">
        <f aca="false">P26*L26*Summary!$C$6</f>
        <v>51.0179999999971</v>
      </c>
      <c r="S26" s="31" t="n">
        <v>13200.19</v>
      </c>
      <c r="T26" s="28" t="s">
        <v>241</v>
      </c>
      <c r="U26" s="44" t="n">
        <f aca="false">IF(J26="BUY",S26-M26,M26-S26)</f>
        <v>-8.52000000000044</v>
      </c>
      <c r="V26" s="45" t="n">
        <v>0</v>
      </c>
      <c r="W26" s="45" t="n">
        <v>0</v>
      </c>
      <c r="X26" s="45" t="n">
        <v>-56.23</v>
      </c>
      <c r="Y26" s="32" t="n">
        <f aca="false">IFERROR(X26/R26,0)</f>
        <v>-1.1021600219531</v>
      </c>
      <c r="Z26" s="28" t="str">
        <f aca="false">IF(X26&gt;0,"Win",IF(X26&lt;0,"Loss","Flat"))</f>
        <v>Loss</v>
      </c>
      <c r="AA26" s="28" t="n">
        <f aca="false">ROUND((C26-B26)*1440,1)</f>
        <v>16.3</v>
      </c>
      <c r="AB26" s="28" t="str">
        <f aca="false">IF(AA26&lt;1,"a) &lt;1 min",IF(AA26&lt;10,"b) 1-10 min",IF(AA26&lt;60,"c) 10-60 min",IF(AA26&lt;240,"d) 1-4 h","e) 4 h+"))))</f>
        <v>c) 10-60 min</v>
      </c>
      <c r="AC26" s="28" t="str">
        <f aca="false">IF(P26&lt;10,"a) &lt;10",IF(P26&lt;20,"b) 10-20",IF(P26&lt;40,"c) 20-40",IF(P26&lt;80,"d) 40-80","e) 80+"))))</f>
        <v>a) &lt;10</v>
      </c>
      <c r="AD26" s="30" t="n">
        <f aca="false">Summary!$C$5+SUM(X$2:X26)</f>
        <v>99533.94</v>
      </c>
      <c r="AE26" s="30" t="n">
        <f aca="false">MAX(AE25,AD26)</f>
        <v>100224.34</v>
      </c>
      <c r="AF26" s="30" t="n">
        <f aca="false">AE26-AD26</f>
        <v>690.399999999994</v>
      </c>
      <c r="AG26" s="29" t="n">
        <f aca="false">IFERROR(AF26/AE26,0)</f>
        <v>0.0068885462353755</v>
      </c>
    </row>
    <row r="27" customFormat="false" ht="15" hidden="false" customHeight="false" outlineLevel="0" collapsed="false">
      <c r="A27" s="28" t="n">
        <v>26</v>
      </c>
      <c r="B27" s="43" t="n">
        <v>45056.6548611111</v>
      </c>
      <c r="C27" s="43" t="n">
        <v>45056.6889467593</v>
      </c>
      <c r="D27" s="42" t="n">
        <f aca="false">INT(C27)</f>
        <v>45056</v>
      </c>
      <c r="E27" s="42" t="n">
        <f aca="false">D27-WEEKDAY(D27,3)</f>
        <v>45054</v>
      </c>
      <c r="F27" s="28" t="s">
        <v>144</v>
      </c>
      <c r="G27" s="28" t="n">
        <v>2023</v>
      </c>
      <c r="H27" s="28" t="s">
        <v>235</v>
      </c>
      <c r="I27" s="28" t="n">
        <v>15</v>
      </c>
      <c r="J27" s="28" t="s">
        <v>233</v>
      </c>
      <c r="K27" s="28" t="s">
        <v>234</v>
      </c>
      <c r="L27" s="28" t="n">
        <v>0.33</v>
      </c>
      <c r="M27" s="31" t="n">
        <v>13299.23</v>
      </c>
      <c r="N27" s="31" t="n">
        <v>13274.61</v>
      </c>
      <c r="O27" s="31" t="n">
        <v>13346.61</v>
      </c>
      <c r="P27" s="44" t="n">
        <f aca="false">ABS(M27-N27)</f>
        <v>24.619999999999</v>
      </c>
      <c r="Q27" s="44" t="n">
        <f aca="false">IF(O27="","",ABS(O27-M27))</f>
        <v>47.380000000001</v>
      </c>
      <c r="R27" s="30" t="n">
        <f aca="false">P27*L27*Summary!$C$6</f>
        <v>162.491999999993</v>
      </c>
      <c r="S27" s="31" t="n">
        <v>13347.21</v>
      </c>
      <c r="T27" s="28" t="s">
        <v>214</v>
      </c>
      <c r="U27" s="44" t="n">
        <f aca="false">IF(J27="BUY",S27-M27,M27-S27)</f>
        <v>47.9799999999996</v>
      </c>
      <c r="V27" s="45" t="n">
        <v>0</v>
      </c>
      <c r="W27" s="45" t="n">
        <v>0</v>
      </c>
      <c r="X27" s="45" t="n">
        <v>316.67</v>
      </c>
      <c r="Y27" s="32" t="n">
        <f aca="false">IFERROR(X27/R27,0)</f>
        <v>1.94883440415536</v>
      </c>
      <c r="Z27" s="28" t="str">
        <f aca="false">IF(X27&gt;0,"Win",IF(X27&lt;0,"Loss","Flat"))</f>
        <v>Win</v>
      </c>
      <c r="AA27" s="28" t="n">
        <f aca="false">ROUND((C27-B27)*1440,1)</f>
        <v>49.1</v>
      </c>
      <c r="AB27" s="28" t="str">
        <f aca="false">IF(AA27&lt;1,"a) &lt;1 min",IF(AA27&lt;10,"b) 1-10 min",IF(AA27&lt;60,"c) 10-60 min",IF(AA27&lt;240,"d) 1-4 h","e) 4 h+"))))</f>
        <v>c) 10-60 min</v>
      </c>
      <c r="AC27" s="28" t="str">
        <f aca="false">IF(P27&lt;10,"a) &lt;10",IF(P27&lt;20,"b) 10-20",IF(P27&lt;40,"c) 20-40",IF(P27&lt;80,"d) 40-80","e) 80+"))))</f>
        <v>c) 20-40</v>
      </c>
      <c r="AD27" s="30" t="n">
        <f aca="false">Summary!$C$5+SUM(X$2:X27)</f>
        <v>99850.61</v>
      </c>
      <c r="AE27" s="30" t="n">
        <f aca="false">MAX(AE26,AD27)</f>
        <v>100224.34</v>
      </c>
      <c r="AF27" s="30" t="n">
        <f aca="false">AE27-AD27</f>
        <v>373.729999999996</v>
      </c>
      <c r="AG27" s="29" t="n">
        <f aca="false">IFERROR(AF27/AE27,0)</f>
        <v>0.00372893450832399</v>
      </c>
    </row>
    <row r="28" customFormat="false" ht="15" hidden="false" customHeight="false" outlineLevel="0" collapsed="false">
      <c r="A28" s="28" t="n">
        <v>27</v>
      </c>
      <c r="B28" s="43" t="n">
        <v>45057.4493055556</v>
      </c>
      <c r="C28" s="43" t="n">
        <v>45057.4543634259</v>
      </c>
      <c r="D28" s="42" t="n">
        <f aca="false">INT(C28)</f>
        <v>45057</v>
      </c>
      <c r="E28" s="42" t="n">
        <f aca="false">D28-WEEKDAY(D28,3)</f>
        <v>45054</v>
      </c>
      <c r="F28" s="28" t="s">
        <v>144</v>
      </c>
      <c r="G28" s="28" t="n">
        <v>2023</v>
      </c>
      <c r="H28" s="28" t="s">
        <v>239</v>
      </c>
      <c r="I28" s="28" t="n">
        <v>10</v>
      </c>
      <c r="J28" s="28" t="s">
        <v>233</v>
      </c>
      <c r="K28" s="28" t="s">
        <v>234</v>
      </c>
      <c r="L28" s="28" t="n">
        <v>0.33</v>
      </c>
      <c r="M28" s="31" t="n">
        <v>13388.53</v>
      </c>
      <c r="N28" s="31" t="n">
        <v>13380.12</v>
      </c>
      <c r="O28" s="31" t="n">
        <v>13405.77</v>
      </c>
      <c r="P28" s="44" t="n">
        <f aca="false">ABS(M28-N28)</f>
        <v>8.40999999999985</v>
      </c>
      <c r="Q28" s="44" t="n">
        <f aca="false">IF(O28="","",ABS(O28-M28))</f>
        <v>17.2399999999998</v>
      </c>
      <c r="R28" s="30" t="n">
        <f aca="false">P28*L28*Summary!$C$6</f>
        <v>55.505999999999</v>
      </c>
      <c r="S28" s="31" t="n">
        <v>13379.73</v>
      </c>
      <c r="T28" s="28" t="s">
        <v>241</v>
      </c>
      <c r="U28" s="44" t="n">
        <f aca="false">IF(J28="BUY",S28-M28,M28-S28)</f>
        <v>-8.80000000000109</v>
      </c>
      <c r="V28" s="45" t="n">
        <v>0</v>
      </c>
      <c r="W28" s="45" t="n">
        <v>0</v>
      </c>
      <c r="X28" s="45" t="n">
        <v>-58.08</v>
      </c>
      <c r="Y28" s="32" t="n">
        <f aca="false">IFERROR(X28/R28,0)</f>
        <v>-1.04637336504164</v>
      </c>
      <c r="Z28" s="28" t="str">
        <f aca="false">IF(X28&gt;0,"Win",IF(X28&lt;0,"Loss","Flat"))</f>
        <v>Loss</v>
      </c>
      <c r="AA28" s="28" t="n">
        <f aca="false">ROUND((C28-B28)*1440,1)</f>
        <v>7.3</v>
      </c>
      <c r="AB28" s="28" t="str">
        <f aca="false">IF(AA28&lt;1,"a) &lt;1 min",IF(AA28&lt;10,"b) 1-10 min",IF(AA28&lt;60,"c) 10-60 min",IF(AA28&lt;240,"d) 1-4 h","e) 4 h+"))))</f>
        <v>b) 1-10 min</v>
      </c>
      <c r="AC28" s="28" t="str">
        <f aca="false">IF(P28&lt;10,"a) &lt;10",IF(P28&lt;20,"b) 10-20",IF(P28&lt;40,"c) 20-40",IF(P28&lt;80,"d) 40-80","e) 80+"))))</f>
        <v>a) &lt;10</v>
      </c>
      <c r="AD28" s="30" t="n">
        <f aca="false">Summary!$C$5+SUM(X$2:X28)</f>
        <v>99792.53</v>
      </c>
      <c r="AE28" s="30" t="n">
        <f aca="false">MAX(AE27,AD28)</f>
        <v>100224.34</v>
      </c>
      <c r="AF28" s="30" t="n">
        <f aca="false">AE28-AD28</f>
        <v>431.809999999998</v>
      </c>
      <c r="AG28" s="29" t="n">
        <f aca="false">IFERROR(AF28/AE28,0)</f>
        <v>0.00430843445813659</v>
      </c>
    </row>
    <row r="29" customFormat="false" ht="15" hidden="false" customHeight="false" outlineLevel="0" collapsed="false">
      <c r="A29" s="28" t="n">
        <v>28</v>
      </c>
      <c r="B29" s="43" t="n">
        <v>45058.1354166667</v>
      </c>
      <c r="C29" s="43" t="n">
        <v>45058.1379398148</v>
      </c>
      <c r="D29" s="42" t="n">
        <f aca="false">INT(C29)</f>
        <v>45058</v>
      </c>
      <c r="E29" s="42" t="n">
        <f aca="false">D29-WEEKDAY(D29,3)</f>
        <v>45054</v>
      </c>
      <c r="F29" s="28" t="s">
        <v>144</v>
      </c>
      <c r="G29" s="28" t="n">
        <v>2023</v>
      </c>
      <c r="H29" s="28" t="s">
        <v>242</v>
      </c>
      <c r="I29" s="28" t="n">
        <v>3</v>
      </c>
      <c r="J29" s="28" t="s">
        <v>233</v>
      </c>
      <c r="K29" s="28" t="s">
        <v>234</v>
      </c>
      <c r="L29" s="28" t="n">
        <v>0.33</v>
      </c>
      <c r="M29" s="31" t="n">
        <v>13413.53</v>
      </c>
      <c r="N29" s="31" t="n">
        <v>13407.11</v>
      </c>
      <c r="O29" s="31" t="n">
        <v>13426.73</v>
      </c>
      <c r="P29" s="44" t="n">
        <f aca="false">ABS(M29-N29)</f>
        <v>6.42000000000007</v>
      </c>
      <c r="Q29" s="44" t="n">
        <f aca="false">IF(O29="","",ABS(O29-M29))</f>
        <v>13.1999999999989</v>
      </c>
      <c r="R29" s="30" t="n">
        <f aca="false">P29*L29*Summary!$C$6</f>
        <v>42.3720000000005</v>
      </c>
      <c r="S29" s="31" t="n">
        <v>13407.06</v>
      </c>
      <c r="T29" s="28" t="s">
        <v>241</v>
      </c>
      <c r="U29" s="44" t="n">
        <f aca="false">IF(J29="BUY",S29-M29,M29-S29)</f>
        <v>-6.47000000000116</v>
      </c>
      <c r="V29" s="45" t="n">
        <v>0</v>
      </c>
      <c r="W29" s="45" t="n">
        <v>0</v>
      </c>
      <c r="X29" s="45" t="n">
        <v>-42.7</v>
      </c>
      <c r="Y29" s="32" t="n">
        <f aca="false">IFERROR(X29/R29,0)</f>
        <v>-1.00774096101198</v>
      </c>
      <c r="Z29" s="28" t="str">
        <f aca="false">IF(X29&gt;0,"Win",IF(X29&lt;0,"Loss","Flat"))</f>
        <v>Loss</v>
      </c>
      <c r="AA29" s="28" t="n">
        <f aca="false">ROUND((C29-B29)*1440,1)</f>
        <v>3.6</v>
      </c>
      <c r="AB29" s="28" t="str">
        <f aca="false">IF(AA29&lt;1,"a) &lt;1 min",IF(AA29&lt;10,"b) 1-10 min",IF(AA29&lt;60,"c) 10-60 min",IF(AA29&lt;240,"d) 1-4 h","e) 4 h+"))))</f>
        <v>b) 1-10 min</v>
      </c>
      <c r="AC29" s="28" t="str">
        <f aca="false">IF(P29&lt;10,"a) &lt;10",IF(P29&lt;20,"b) 10-20",IF(P29&lt;40,"c) 20-40",IF(P29&lt;80,"d) 40-80","e) 80+"))))</f>
        <v>a) &lt;10</v>
      </c>
      <c r="AD29" s="30" t="n">
        <f aca="false">Summary!$C$5+SUM(X$2:X29)</f>
        <v>99749.83</v>
      </c>
      <c r="AE29" s="30" t="n">
        <f aca="false">MAX(AE28,AD29)</f>
        <v>100224.34</v>
      </c>
      <c r="AF29" s="30" t="n">
        <f aca="false">AE29-AD29</f>
        <v>474.509999999995</v>
      </c>
      <c r="AG29" s="29" t="n">
        <f aca="false">IFERROR(AF29/AE29,0)</f>
        <v>0.00473447867055044</v>
      </c>
    </row>
    <row r="30" customFormat="false" ht="15" hidden="false" customHeight="false" outlineLevel="0" collapsed="false">
      <c r="A30" s="28" t="n">
        <v>29</v>
      </c>
      <c r="B30" s="43" t="n">
        <v>45058.8076388889</v>
      </c>
      <c r="C30" s="43" t="n">
        <v>45058.8230092593</v>
      </c>
      <c r="D30" s="42" t="n">
        <f aca="false">INT(C30)</f>
        <v>45058</v>
      </c>
      <c r="E30" s="42" t="n">
        <f aca="false">D30-WEEKDAY(D30,3)</f>
        <v>45054</v>
      </c>
      <c r="F30" s="28" t="s">
        <v>144</v>
      </c>
      <c r="G30" s="28" t="n">
        <v>2023</v>
      </c>
      <c r="H30" s="28" t="s">
        <v>242</v>
      </c>
      <c r="I30" s="28" t="n">
        <v>19</v>
      </c>
      <c r="J30" s="28" t="s">
        <v>236</v>
      </c>
      <c r="K30" s="28" t="s">
        <v>237</v>
      </c>
      <c r="L30" s="28" t="n">
        <v>0.33</v>
      </c>
      <c r="M30" s="31" t="n">
        <v>13300.22</v>
      </c>
      <c r="N30" s="31" t="n">
        <v>13312.78</v>
      </c>
      <c r="O30" s="31" t="n">
        <v>13275.1</v>
      </c>
      <c r="P30" s="44" t="n">
        <f aca="false">ABS(M30-N30)</f>
        <v>12.5600000000013</v>
      </c>
      <c r="Q30" s="44" t="n">
        <f aca="false">IF(O30="","",ABS(O30-M30))</f>
        <v>25.119999999999</v>
      </c>
      <c r="R30" s="30" t="n">
        <f aca="false">P30*L30*Summary!$C$6</f>
        <v>82.8960000000087</v>
      </c>
      <c r="S30" s="31" t="n">
        <v>13274.82</v>
      </c>
      <c r="T30" s="28" t="s">
        <v>214</v>
      </c>
      <c r="U30" s="44" t="n">
        <f aca="false">IF(J30="BUY",S30-M30,M30-S30)</f>
        <v>25.3999999999996</v>
      </c>
      <c r="V30" s="45" t="n">
        <v>0</v>
      </c>
      <c r="W30" s="45" t="n">
        <v>0</v>
      </c>
      <c r="X30" s="45" t="n">
        <v>167.64</v>
      </c>
      <c r="Y30" s="32" t="n">
        <f aca="false">IFERROR(X30/R30,0)</f>
        <v>2.02229299363036</v>
      </c>
      <c r="Z30" s="28" t="str">
        <f aca="false">IF(X30&gt;0,"Win",IF(X30&lt;0,"Loss","Flat"))</f>
        <v>Win</v>
      </c>
      <c r="AA30" s="28" t="n">
        <f aca="false">ROUND((C30-B30)*1440,1)</f>
        <v>22.1</v>
      </c>
      <c r="AB30" s="28" t="str">
        <f aca="false">IF(AA30&lt;1,"a) &lt;1 min",IF(AA30&lt;10,"b) 1-10 min",IF(AA30&lt;60,"c) 10-60 min",IF(AA30&lt;240,"d) 1-4 h","e) 4 h+"))))</f>
        <v>c) 10-60 min</v>
      </c>
      <c r="AC30" s="28" t="str">
        <f aca="false">IF(P30&lt;10,"a) &lt;10",IF(P30&lt;20,"b) 10-20",IF(P30&lt;40,"c) 20-40",IF(P30&lt;80,"d) 40-80","e) 80+"))))</f>
        <v>b) 10-20</v>
      </c>
      <c r="AD30" s="30" t="n">
        <f aca="false">Summary!$C$5+SUM(X$2:X30)</f>
        <v>99917.47</v>
      </c>
      <c r="AE30" s="30" t="n">
        <f aca="false">MAX(AE29,AD30)</f>
        <v>100224.34</v>
      </c>
      <c r="AF30" s="30" t="n">
        <f aca="false">AE30-AD30</f>
        <v>306.869999999995</v>
      </c>
      <c r="AG30" s="29" t="n">
        <f aca="false">IFERROR(AF30/AE30,0)</f>
        <v>0.00306183108813683</v>
      </c>
    </row>
    <row r="31" customFormat="false" ht="15" hidden="false" customHeight="false" outlineLevel="0" collapsed="false">
      <c r="A31" s="28" t="n">
        <v>30</v>
      </c>
      <c r="B31" s="43" t="n">
        <v>45062.44375</v>
      </c>
      <c r="C31" s="43" t="n">
        <v>45062.4601967593</v>
      </c>
      <c r="D31" s="42" t="n">
        <f aca="false">INT(C31)</f>
        <v>45062</v>
      </c>
      <c r="E31" s="42" t="n">
        <f aca="false">D31-WEEKDAY(D31,3)</f>
        <v>45061</v>
      </c>
      <c r="F31" s="28" t="s">
        <v>144</v>
      </c>
      <c r="G31" s="28" t="n">
        <v>2023</v>
      </c>
      <c r="H31" s="28" t="s">
        <v>232</v>
      </c>
      <c r="I31" s="28" t="n">
        <v>10</v>
      </c>
      <c r="J31" s="28" t="s">
        <v>233</v>
      </c>
      <c r="K31" s="28" t="s">
        <v>234</v>
      </c>
      <c r="L31" s="28" t="n">
        <v>0.33</v>
      </c>
      <c r="M31" s="31" t="n">
        <v>13423.58</v>
      </c>
      <c r="N31" s="31" t="n">
        <v>13415.62</v>
      </c>
      <c r="O31" s="31" t="n">
        <v>13440.56</v>
      </c>
      <c r="P31" s="44" t="n">
        <f aca="false">ABS(M31-N31)</f>
        <v>7.95999999999913</v>
      </c>
      <c r="Q31" s="44" t="n">
        <f aca="false">IF(O31="","",ABS(O31-M31))</f>
        <v>16.9799999999996</v>
      </c>
      <c r="R31" s="30" t="n">
        <f aca="false">P31*L31*Summary!$C$6</f>
        <v>52.5359999999942</v>
      </c>
      <c r="S31" s="31" t="n">
        <v>13423.45</v>
      </c>
      <c r="T31" s="28" t="s">
        <v>238</v>
      </c>
      <c r="U31" s="44" t="n">
        <f aca="false">IF(J31="BUY",S31-M31,M31-S31)</f>
        <v>-0.1299999999992</v>
      </c>
      <c r="V31" s="45" t="n">
        <v>0</v>
      </c>
      <c r="W31" s="45" t="n">
        <v>0</v>
      </c>
      <c r="X31" s="45" t="n">
        <v>-0.86</v>
      </c>
      <c r="Y31" s="32" t="n">
        <f aca="false">IFERROR(X31/R31,0)</f>
        <v>-0.0163697274250056</v>
      </c>
      <c r="Z31" s="28" t="str">
        <f aca="false">IF(X31&gt;0,"Win",IF(X31&lt;0,"Loss","Flat"))</f>
        <v>Loss</v>
      </c>
      <c r="AA31" s="28" t="n">
        <f aca="false">ROUND((C31-B31)*1440,1)</f>
        <v>23.7</v>
      </c>
      <c r="AB31" s="28" t="str">
        <f aca="false">IF(AA31&lt;1,"a) &lt;1 min",IF(AA31&lt;10,"b) 1-10 min",IF(AA31&lt;60,"c) 10-60 min",IF(AA31&lt;240,"d) 1-4 h","e) 4 h+"))))</f>
        <v>c) 10-60 min</v>
      </c>
      <c r="AC31" s="28" t="str">
        <f aca="false">IF(P31&lt;10,"a) &lt;10",IF(P31&lt;20,"b) 10-20",IF(P31&lt;40,"c) 20-40",IF(P31&lt;80,"d) 40-80","e) 80+"))))</f>
        <v>a) &lt;10</v>
      </c>
      <c r="AD31" s="30" t="n">
        <f aca="false">Summary!$C$5+SUM(X$2:X31)</f>
        <v>99916.61</v>
      </c>
      <c r="AE31" s="30" t="n">
        <f aca="false">MAX(AE30,AD31)</f>
        <v>100224.34</v>
      </c>
      <c r="AF31" s="30" t="n">
        <f aca="false">AE31-AD31</f>
        <v>307.729999999996</v>
      </c>
      <c r="AG31" s="29" t="n">
        <f aca="false">IFERROR(AF31/AE31,0)</f>
        <v>0.00307041183808241</v>
      </c>
    </row>
    <row r="32" customFormat="false" ht="15" hidden="false" customHeight="false" outlineLevel="0" collapsed="false">
      <c r="A32" s="28" t="n">
        <v>31</v>
      </c>
      <c r="B32" s="43" t="n">
        <v>45063.7826388889</v>
      </c>
      <c r="C32" s="43" t="n">
        <v>45063.7845023148</v>
      </c>
      <c r="D32" s="42" t="n">
        <f aca="false">INT(C32)</f>
        <v>45063</v>
      </c>
      <c r="E32" s="42" t="n">
        <f aca="false">D32-WEEKDAY(D32,3)</f>
        <v>45061</v>
      </c>
      <c r="F32" s="28" t="s">
        <v>144</v>
      </c>
      <c r="G32" s="28" t="n">
        <v>2023</v>
      </c>
      <c r="H32" s="28" t="s">
        <v>235</v>
      </c>
      <c r="I32" s="28" t="n">
        <v>18</v>
      </c>
      <c r="J32" s="28" t="s">
        <v>233</v>
      </c>
      <c r="K32" s="28" t="s">
        <v>234</v>
      </c>
      <c r="L32" s="28" t="n">
        <v>0.33</v>
      </c>
      <c r="M32" s="31" t="n">
        <v>13500.37</v>
      </c>
      <c r="N32" s="31" t="n">
        <v>13489.78</v>
      </c>
      <c r="O32" s="31" t="n">
        <v>13522.29</v>
      </c>
      <c r="P32" s="44" t="n">
        <f aca="false">ABS(M32-N32)</f>
        <v>10.5900000000001</v>
      </c>
      <c r="Q32" s="44" t="n">
        <f aca="false">IF(O32="","",ABS(O32-M32))</f>
        <v>21.9200000000001</v>
      </c>
      <c r="R32" s="30" t="n">
        <f aca="false">P32*L32*Summary!$C$6</f>
        <v>69.894000000001</v>
      </c>
      <c r="S32" s="31" t="n">
        <v>13489.76</v>
      </c>
      <c r="T32" s="28" t="s">
        <v>241</v>
      </c>
      <c r="U32" s="44" t="n">
        <f aca="false">IF(J32="BUY",S32-M32,M32-S32)</f>
        <v>-10.6100000000006</v>
      </c>
      <c r="V32" s="45" t="n">
        <v>0</v>
      </c>
      <c r="W32" s="45" t="n">
        <v>0</v>
      </c>
      <c r="X32" s="45" t="n">
        <v>-70.03</v>
      </c>
      <c r="Y32" s="32" t="n">
        <f aca="false">IFERROR(X32/R32,0)</f>
        <v>-1.00194580364551</v>
      </c>
      <c r="Z32" s="28" t="str">
        <f aca="false">IF(X32&gt;0,"Win",IF(X32&lt;0,"Loss","Flat"))</f>
        <v>Loss</v>
      </c>
      <c r="AA32" s="28" t="n">
        <f aca="false">ROUND((C32-B32)*1440,1)</f>
        <v>2.7</v>
      </c>
      <c r="AB32" s="28" t="str">
        <f aca="false">IF(AA32&lt;1,"a) &lt;1 min",IF(AA32&lt;10,"b) 1-10 min",IF(AA32&lt;60,"c) 10-60 min",IF(AA32&lt;240,"d) 1-4 h","e) 4 h+"))))</f>
        <v>b) 1-10 min</v>
      </c>
      <c r="AC32" s="28" t="str">
        <f aca="false">IF(P32&lt;10,"a) &lt;10",IF(P32&lt;20,"b) 10-20",IF(P32&lt;40,"c) 20-40",IF(P32&lt;80,"d) 40-80","e) 80+"))))</f>
        <v>b) 10-20</v>
      </c>
      <c r="AD32" s="30" t="n">
        <f aca="false">Summary!$C$5+SUM(X$2:X32)</f>
        <v>99846.58</v>
      </c>
      <c r="AE32" s="30" t="n">
        <f aca="false">MAX(AE31,AD32)</f>
        <v>100224.34</v>
      </c>
      <c r="AF32" s="30" t="n">
        <f aca="false">AE32-AD32</f>
        <v>377.759999999995</v>
      </c>
      <c r="AG32" s="29" t="n">
        <f aca="false">IFERROR(AF32/AE32,0)</f>
        <v>0.00376914430167357</v>
      </c>
    </row>
    <row r="33" customFormat="false" ht="15" hidden="false" customHeight="false" outlineLevel="0" collapsed="false">
      <c r="A33" s="28" t="n">
        <v>32</v>
      </c>
      <c r="B33" s="43" t="n">
        <v>45064.4625</v>
      </c>
      <c r="C33" s="43" t="n">
        <v>45064.5007291667</v>
      </c>
      <c r="D33" s="42" t="n">
        <f aca="false">INT(C33)</f>
        <v>45064</v>
      </c>
      <c r="E33" s="42" t="n">
        <f aca="false">D33-WEEKDAY(D33,3)</f>
        <v>45061</v>
      </c>
      <c r="F33" s="28" t="s">
        <v>144</v>
      </c>
      <c r="G33" s="28" t="n">
        <v>2023</v>
      </c>
      <c r="H33" s="28" t="s">
        <v>239</v>
      </c>
      <c r="I33" s="28" t="n">
        <v>11</v>
      </c>
      <c r="J33" s="28" t="s">
        <v>233</v>
      </c>
      <c r="K33" s="28" t="s">
        <v>234</v>
      </c>
      <c r="L33" s="28" t="n">
        <v>0.33</v>
      </c>
      <c r="M33" s="31" t="n">
        <v>13608.18</v>
      </c>
      <c r="N33" s="31" t="n">
        <v>13599.35</v>
      </c>
      <c r="O33" s="31" t="n">
        <v>13628.79</v>
      </c>
      <c r="P33" s="44" t="n">
        <f aca="false">ABS(M33-N33)</f>
        <v>8.82999999999993</v>
      </c>
      <c r="Q33" s="44" t="n">
        <f aca="false">IF(O33="","",ABS(O33-M33))</f>
        <v>20.6100000000006</v>
      </c>
      <c r="R33" s="30" t="n">
        <f aca="false">P33*L33*Summary!$C$6</f>
        <v>58.2779999999995</v>
      </c>
      <c r="S33" s="31" t="n">
        <v>13598.64</v>
      </c>
      <c r="T33" s="28" t="s">
        <v>241</v>
      </c>
      <c r="U33" s="44" t="n">
        <f aca="false">IF(J33="BUY",S33-M33,M33-S33)</f>
        <v>-9.54000000000087</v>
      </c>
      <c r="V33" s="45" t="n">
        <v>0</v>
      </c>
      <c r="W33" s="45" t="n">
        <v>0</v>
      </c>
      <c r="X33" s="45" t="n">
        <v>-62.96</v>
      </c>
      <c r="Y33" s="32" t="n">
        <f aca="false">IFERROR(X33/R33,0)</f>
        <v>-1.08033906448403</v>
      </c>
      <c r="Z33" s="28" t="str">
        <f aca="false">IF(X33&gt;0,"Win",IF(X33&lt;0,"Loss","Flat"))</f>
        <v>Loss</v>
      </c>
      <c r="AA33" s="28" t="n">
        <f aca="false">ROUND((C33-B33)*1440,1)</f>
        <v>55.1</v>
      </c>
      <c r="AB33" s="28" t="str">
        <f aca="false">IF(AA33&lt;1,"a) &lt;1 min",IF(AA33&lt;10,"b) 1-10 min",IF(AA33&lt;60,"c) 10-60 min",IF(AA33&lt;240,"d) 1-4 h","e) 4 h+"))))</f>
        <v>c) 10-60 min</v>
      </c>
      <c r="AC33" s="28" t="str">
        <f aca="false">IF(P33&lt;10,"a) &lt;10",IF(P33&lt;20,"b) 10-20",IF(P33&lt;40,"c) 20-40",IF(P33&lt;80,"d) 40-80","e) 80+"))))</f>
        <v>a) &lt;10</v>
      </c>
      <c r="AD33" s="30" t="n">
        <f aca="false">Summary!$C$5+SUM(X$2:X33)</f>
        <v>99783.62</v>
      </c>
      <c r="AE33" s="30" t="n">
        <f aca="false">MAX(AE32,AD33)</f>
        <v>100224.34</v>
      </c>
      <c r="AF33" s="30" t="n">
        <f aca="false">AE33-AD33</f>
        <v>440.720000000001</v>
      </c>
      <c r="AG33" s="29" t="n">
        <f aca="false">IFERROR(AF33/AE33,0)</f>
        <v>0.00439733501861924</v>
      </c>
    </row>
    <row r="34" customFormat="false" ht="15" hidden="false" customHeight="false" outlineLevel="0" collapsed="false">
      <c r="A34" s="28" t="n">
        <v>33</v>
      </c>
      <c r="B34" s="43" t="n">
        <v>45065.0423611111</v>
      </c>
      <c r="C34" s="43" t="n">
        <v>45065.0472222222</v>
      </c>
      <c r="D34" s="42" t="n">
        <f aca="false">INT(C34)</f>
        <v>45065</v>
      </c>
      <c r="E34" s="42" t="n">
        <f aca="false">D34-WEEKDAY(D34,3)</f>
        <v>45061</v>
      </c>
      <c r="F34" s="28" t="s">
        <v>144</v>
      </c>
      <c r="G34" s="28" t="n">
        <v>2023</v>
      </c>
      <c r="H34" s="28" t="s">
        <v>242</v>
      </c>
      <c r="I34" s="28" t="n">
        <v>1</v>
      </c>
      <c r="J34" s="28" t="s">
        <v>233</v>
      </c>
      <c r="K34" s="28" t="s">
        <v>234</v>
      </c>
      <c r="L34" s="28" t="n">
        <v>0.32</v>
      </c>
      <c r="M34" s="31" t="n">
        <v>13849.42</v>
      </c>
      <c r="N34" s="31" t="n">
        <v>13842.17</v>
      </c>
      <c r="O34" s="31" t="n">
        <v>13863.92</v>
      </c>
      <c r="P34" s="44" t="n">
        <f aca="false">ABS(M34-N34)</f>
        <v>7.25</v>
      </c>
      <c r="Q34" s="44" t="n">
        <f aca="false">IF(O34="","",ABS(O34-M34))</f>
        <v>14.5</v>
      </c>
      <c r="R34" s="30" t="n">
        <f aca="false">P34*L34*Summary!$C$6</f>
        <v>46.4</v>
      </c>
      <c r="S34" s="31" t="n">
        <v>13869.49</v>
      </c>
      <c r="T34" s="28" t="s">
        <v>214</v>
      </c>
      <c r="U34" s="44" t="n">
        <f aca="false">IF(J34="BUY",S34-M34,M34-S34)</f>
        <v>20.0699999999997</v>
      </c>
      <c r="V34" s="45" t="n">
        <v>0</v>
      </c>
      <c r="W34" s="45" t="n">
        <v>0</v>
      </c>
      <c r="X34" s="45" t="n">
        <v>128.45</v>
      </c>
      <c r="Y34" s="32" t="n">
        <f aca="false">IFERROR(X34/R34,0)</f>
        <v>2.76831896551724</v>
      </c>
      <c r="Z34" s="28" t="str">
        <f aca="false">IF(X34&gt;0,"Win",IF(X34&lt;0,"Loss","Flat"))</f>
        <v>Win</v>
      </c>
      <c r="AA34" s="28" t="n">
        <f aca="false">ROUND((C34-B34)*1440,1)</f>
        <v>7</v>
      </c>
      <c r="AB34" s="28" t="str">
        <f aca="false">IF(AA34&lt;1,"a) &lt;1 min",IF(AA34&lt;10,"b) 1-10 min",IF(AA34&lt;60,"c) 10-60 min",IF(AA34&lt;240,"d) 1-4 h","e) 4 h+"))))</f>
        <v>b) 1-10 min</v>
      </c>
      <c r="AC34" s="28" t="str">
        <f aca="false">IF(P34&lt;10,"a) &lt;10",IF(P34&lt;20,"b) 10-20",IF(P34&lt;40,"c) 20-40",IF(P34&lt;80,"d) 40-80","e) 80+"))))</f>
        <v>a) &lt;10</v>
      </c>
      <c r="AD34" s="30" t="n">
        <f aca="false">Summary!$C$5+SUM(X$2:X34)</f>
        <v>99912.07</v>
      </c>
      <c r="AE34" s="30" t="n">
        <f aca="false">MAX(AE33,AD34)</f>
        <v>100224.34</v>
      </c>
      <c r="AF34" s="30" t="n">
        <f aca="false">AE34-AD34</f>
        <v>312.26999999999</v>
      </c>
      <c r="AG34" s="29" t="n">
        <f aca="false">IFERROR(AF34/AE34,0)</f>
        <v>0.00311571021570199</v>
      </c>
    </row>
    <row r="35" customFormat="false" ht="15" hidden="false" customHeight="false" outlineLevel="0" collapsed="false">
      <c r="A35" s="28" t="n">
        <v>34</v>
      </c>
      <c r="B35" s="43" t="n">
        <v>45068.0423611111</v>
      </c>
      <c r="C35" s="43" t="n">
        <v>45068.0555787037</v>
      </c>
      <c r="D35" s="42" t="n">
        <f aca="false">INT(C35)</f>
        <v>45068</v>
      </c>
      <c r="E35" s="42" t="n">
        <f aca="false">D35-WEEKDAY(D35,3)</f>
        <v>45068</v>
      </c>
      <c r="F35" s="28" t="s">
        <v>144</v>
      </c>
      <c r="G35" s="28" t="n">
        <v>2023</v>
      </c>
      <c r="H35" s="28" t="s">
        <v>240</v>
      </c>
      <c r="I35" s="28" t="n">
        <v>1</v>
      </c>
      <c r="J35" s="28" t="s">
        <v>236</v>
      </c>
      <c r="K35" s="28" t="s">
        <v>237</v>
      </c>
      <c r="L35" s="28" t="n">
        <v>0.32</v>
      </c>
      <c r="M35" s="31" t="n">
        <v>13758.01</v>
      </c>
      <c r="N35" s="31" t="n">
        <v>13769.45</v>
      </c>
      <c r="O35" s="31" t="n">
        <v>13735.13</v>
      </c>
      <c r="P35" s="44" t="n">
        <f aca="false">ABS(M35-N35)</f>
        <v>11.4400000000005</v>
      </c>
      <c r="Q35" s="44" t="n">
        <f aca="false">IF(O35="","",ABS(O35-M35))</f>
        <v>22.880000000001</v>
      </c>
      <c r="R35" s="30" t="n">
        <f aca="false">P35*L35*Summary!$C$6</f>
        <v>73.2160000000033</v>
      </c>
      <c r="S35" s="31" t="n">
        <v>13769.66</v>
      </c>
      <c r="T35" s="28" t="s">
        <v>241</v>
      </c>
      <c r="U35" s="44" t="n">
        <f aca="false">IF(J35="BUY",S35-M35,M35-S35)</f>
        <v>-11.6499999999996</v>
      </c>
      <c r="V35" s="45" t="n">
        <v>0</v>
      </c>
      <c r="W35" s="45" t="n">
        <v>0</v>
      </c>
      <c r="X35" s="45" t="n">
        <v>-74.56</v>
      </c>
      <c r="Y35" s="32" t="n">
        <f aca="false">IFERROR(X35/R35,0)</f>
        <v>-1.0183566433566</v>
      </c>
      <c r="Z35" s="28" t="str">
        <f aca="false">IF(X35&gt;0,"Win",IF(X35&lt;0,"Loss","Flat"))</f>
        <v>Loss</v>
      </c>
      <c r="AA35" s="28" t="n">
        <f aca="false">ROUND((C35-B35)*1440,1)</f>
        <v>19</v>
      </c>
      <c r="AB35" s="28" t="str">
        <f aca="false">IF(AA35&lt;1,"a) &lt;1 min",IF(AA35&lt;10,"b) 1-10 min",IF(AA35&lt;60,"c) 10-60 min",IF(AA35&lt;240,"d) 1-4 h","e) 4 h+"))))</f>
        <v>c) 10-60 min</v>
      </c>
      <c r="AC35" s="28" t="str">
        <f aca="false">IF(P35&lt;10,"a) &lt;10",IF(P35&lt;20,"b) 10-20",IF(P35&lt;40,"c) 20-40",IF(P35&lt;80,"d) 40-80","e) 80+"))))</f>
        <v>b) 10-20</v>
      </c>
      <c r="AD35" s="30" t="n">
        <f aca="false">Summary!$C$5+SUM(X$2:X35)</f>
        <v>99837.51</v>
      </c>
      <c r="AE35" s="30" t="n">
        <f aca="false">MAX(AE34,AD35)</f>
        <v>100224.34</v>
      </c>
      <c r="AF35" s="30" t="n">
        <f aca="false">AE35-AD35</f>
        <v>386.830000000002</v>
      </c>
      <c r="AG35" s="29" t="n">
        <f aca="false">IFERROR(AF35/AE35,0)</f>
        <v>0.00385964128075078</v>
      </c>
    </row>
    <row r="36" customFormat="false" ht="15" hidden="false" customHeight="false" outlineLevel="0" collapsed="false">
      <c r="A36" s="28" t="n">
        <v>35</v>
      </c>
      <c r="B36" s="43" t="n">
        <v>45069.0986111111</v>
      </c>
      <c r="C36" s="43" t="n">
        <v>45069.0999884259</v>
      </c>
      <c r="D36" s="42" t="n">
        <f aca="false">INT(C36)</f>
        <v>45069</v>
      </c>
      <c r="E36" s="42" t="n">
        <f aca="false">D36-WEEKDAY(D36,3)</f>
        <v>45068</v>
      </c>
      <c r="F36" s="28" t="s">
        <v>144</v>
      </c>
      <c r="G36" s="28" t="n">
        <v>2023</v>
      </c>
      <c r="H36" s="28" t="s">
        <v>232</v>
      </c>
      <c r="I36" s="28" t="n">
        <v>2</v>
      </c>
      <c r="J36" s="28" t="s">
        <v>233</v>
      </c>
      <c r="K36" s="28" t="s">
        <v>234</v>
      </c>
      <c r="L36" s="28" t="n">
        <v>0.32</v>
      </c>
      <c r="M36" s="31" t="n">
        <v>13896.42</v>
      </c>
      <c r="N36" s="31" t="n">
        <v>13889.69</v>
      </c>
      <c r="O36" s="31" t="n">
        <v>13909.87</v>
      </c>
      <c r="P36" s="44" t="n">
        <f aca="false">ABS(M36-N36)</f>
        <v>6.72999999999956</v>
      </c>
      <c r="Q36" s="44" t="n">
        <f aca="false">IF(O36="","",ABS(O36-M36))</f>
        <v>13.4500000000007</v>
      </c>
      <c r="R36" s="30" t="n">
        <f aca="false">P36*L36*Summary!$C$6</f>
        <v>43.0719999999972</v>
      </c>
      <c r="S36" s="31" t="n">
        <v>13889.68</v>
      </c>
      <c r="T36" s="28" t="s">
        <v>241</v>
      </c>
      <c r="U36" s="44" t="n">
        <f aca="false">IF(J36="BUY",S36-M36,M36-S36)</f>
        <v>-6.73999999999978</v>
      </c>
      <c r="V36" s="45" t="n">
        <v>0</v>
      </c>
      <c r="W36" s="45" t="n">
        <v>0</v>
      </c>
      <c r="X36" s="45" t="n">
        <v>-43.14</v>
      </c>
      <c r="Y36" s="32" t="n">
        <f aca="false">IFERROR(X36/R36,0)</f>
        <v>-1.00157875185742</v>
      </c>
      <c r="Z36" s="28" t="str">
        <f aca="false">IF(X36&gt;0,"Win",IF(X36&lt;0,"Loss","Flat"))</f>
        <v>Loss</v>
      </c>
      <c r="AA36" s="28" t="n">
        <f aca="false">ROUND((C36-B36)*1440,1)</f>
        <v>2</v>
      </c>
      <c r="AB36" s="28" t="str">
        <f aca="false">IF(AA36&lt;1,"a) &lt;1 min",IF(AA36&lt;10,"b) 1-10 min",IF(AA36&lt;60,"c) 10-60 min",IF(AA36&lt;240,"d) 1-4 h","e) 4 h+"))))</f>
        <v>b) 1-10 min</v>
      </c>
      <c r="AC36" s="28" t="str">
        <f aca="false">IF(P36&lt;10,"a) &lt;10",IF(P36&lt;20,"b) 10-20",IF(P36&lt;40,"c) 20-40",IF(P36&lt;80,"d) 40-80","e) 80+"))))</f>
        <v>a) &lt;10</v>
      </c>
      <c r="AD36" s="30" t="n">
        <f aca="false">Summary!$C$5+SUM(X$2:X36)</f>
        <v>99794.37</v>
      </c>
      <c r="AE36" s="30" t="n">
        <f aca="false">MAX(AE35,AD36)</f>
        <v>100224.34</v>
      </c>
      <c r="AF36" s="30" t="n">
        <f aca="false">AE36-AD36</f>
        <v>429.970000000001</v>
      </c>
      <c r="AG36" s="29" t="n">
        <f aca="false">IFERROR(AF36/AE36,0)</f>
        <v>0.00429007564429959</v>
      </c>
    </row>
    <row r="37" customFormat="false" ht="15" hidden="false" customHeight="false" outlineLevel="0" collapsed="false">
      <c r="A37" s="28" t="n">
        <v>36</v>
      </c>
      <c r="B37" s="43" t="n">
        <v>45069.81875</v>
      </c>
      <c r="C37" s="43" t="n">
        <v>45069.831087963</v>
      </c>
      <c r="D37" s="42" t="n">
        <f aca="false">INT(C37)</f>
        <v>45069</v>
      </c>
      <c r="E37" s="42" t="n">
        <f aca="false">D37-WEEKDAY(D37,3)</f>
        <v>45068</v>
      </c>
      <c r="F37" s="28" t="s">
        <v>144</v>
      </c>
      <c r="G37" s="28" t="n">
        <v>2023</v>
      </c>
      <c r="H37" s="28" t="s">
        <v>232</v>
      </c>
      <c r="I37" s="28" t="n">
        <v>19</v>
      </c>
      <c r="J37" s="28" t="s">
        <v>236</v>
      </c>
      <c r="K37" s="28" t="s">
        <v>237</v>
      </c>
      <c r="L37" s="28" t="n">
        <v>0.32</v>
      </c>
      <c r="M37" s="31" t="n">
        <v>13749.6</v>
      </c>
      <c r="N37" s="31" t="n">
        <v>13768.25</v>
      </c>
      <c r="O37" s="31" t="n">
        <v>13712.81</v>
      </c>
      <c r="P37" s="44" t="n">
        <f aca="false">ABS(M37-N37)</f>
        <v>18.6499999999996</v>
      </c>
      <c r="Q37" s="44" t="n">
        <f aca="false">IF(O37="","",ABS(O37-M37))</f>
        <v>36.7900000000009</v>
      </c>
      <c r="R37" s="30" t="n">
        <f aca="false">P37*L37*Summary!$C$6</f>
        <v>119.359999999998</v>
      </c>
      <c r="S37" s="31" t="n">
        <v>13749.92</v>
      </c>
      <c r="T37" s="28" t="s">
        <v>238</v>
      </c>
      <c r="U37" s="44" t="n">
        <f aca="false">IF(J37="BUY",S37-M37,M37-S37)</f>
        <v>-0.319999999999709</v>
      </c>
      <c r="V37" s="45" t="n">
        <v>0</v>
      </c>
      <c r="W37" s="45" t="n">
        <v>0</v>
      </c>
      <c r="X37" s="45" t="n">
        <v>-2.05</v>
      </c>
      <c r="Y37" s="32" t="n">
        <f aca="false">IFERROR(X37/R37,0)</f>
        <v>-0.0171749329758716</v>
      </c>
      <c r="Z37" s="28" t="str">
        <f aca="false">IF(X37&gt;0,"Win",IF(X37&lt;0,"Loss","Flat"))</f>
        <v>Loss</v>
      </c>
      <c r="AA37" s="28" t="n">
        <f aca="false">ROUND((C37-B37)*1440,1)</f>
        <v>17.8</v>
      </c>
      <c r="AB37" s="28" t="str">
        <f aca="false">IF(AA37&lt;1,"a) &lt;1 min",IF(AA37&lt;10,"b) 1-10 min",IF(AA37&lt;60,"c) 10-60 min",IF(AA37&lt;240,"d) 1-4 h","e) 4 h+"))))</f>
        <v>c) 10-60 min</v>
      </c>
      <c r="AC37" s="28" t="str">
        <f aca="false">IF(P37&lt;10,"a) &lt;10",IF(P37&lt;20,"b) 10-20",IF(P37&lt;40,"c) 20-40",IF(P37&lt;80,"d) 40-80","e) 80+"))))</f>
        <v>b) 10-20</v>
      </c>
      <c r="AD37" s="30" t="n">
        <f aca="false">Summary!$C$5+SUM(X$2:X37)</f>
        <v>99792.32</v>
      </c>
      <c r="AE37" s="30" t="n">
        <f aca="false">MAX(AE36,AD37)</f>
        <v>100224.34</v>
      </c>
      <c r="AF37" s="30" t="n">
        <f aca="false">AE37-AD37</f>
        <v>432.01999999999</v>
      </c>
      <c r="AG37" s="29" t="n">
        <f aca="false">IFERROR(AF37/AE37,0)</f>
        <v>0.00431052975754183</v>
      </c>
    </row>
    <row r="38" customFormat="false" ht="15" hidden="false" customHeight="false" outlineLevel="0" collapsed="false">
      <c r="A38" s="28" t="n">
        <v>37</v>
      </c>
      <c r="B38" s="43" t="n">
        <v>45070.4194444444</v>
      </c>
      <c r="C38" s="43" t="n">
        <v>45070.4243055556</v>
      </c>
      <c r="D38" s="42" t="n">
        <f aca="false">INT(C38)</f>
        <v>45070</v>
      </c>
      <c r="E38" s="42" t="n">
        <f aca="false">D38-WEEKDAY(D38,3)</f>
        <v>45068</v>
      </c>
      <c r="F38" s="28" t="s">
        <v>144</v>
      </c>
      <c r="G38" s="28" t="n">
        <v>2023</v>
      </c>
      <c r="H38" s="28" t="s">
        <v>235</v>
      </c>
      <c r="I38" s="28" t="n">
        <v>10</v>
      </c>
      <c r="J38" s="28" t="s">
        <v>236</v>
      </c>
      <c r="K38" s="28" t="s">
        <v>237</v>
      </c>
      <c r="L38" s="28" t="n">
        <v>0.32</v>
      </c>
      <c r="M38" s="31" t="n">
        <v>13656.89</v>
      </c>
      <c r="N38" s="31" t="n">
        <v>13665.23</v>
      </c>
      <c r="O38" s="31" t="n">
        <v>13640.13</v>
      </c>
      <c r="P38" s="44" t="n">
        <f aca="false">ABS(M38-N38)</f>
        <v>8.34000000000015</v>
      </c>
      <c r="Q38" s="44" t="n">
        <f aca="false">IF(O38="","",ABS(O38-M38))</f>
        <v>16.7600000000002</v>
      </c>
      <c r="R38" s="30" t="n">
        <f aca="false">P38*L38*Summary!$C$6</f>
        <v>53.3760000000009</v>
      </c>
      <c r="S38" s="31" t="n">
        <v>13665.6</v>
      </c>
      <c r="T38" s="28" t="s">
        <v>241</v>
      </c>
      <c r="U38" s="44" t="n">
        <f aca="false">IF(J38="BUY",S38-M38,M38-S38)</f>
        <v>-8.71000000000095</v>
      </c>
      <c r="V38" s="45" t="n">
        <v>0</v>
      </c>
      <c r="W38" s="45" t="n">
        <v>0</v>
      </c>
      <c r="X38" s="45" t="n">
        <v>-55.74</v>
      </c>
      <c r="Y38" s="32" t="n">
        <f aca="false">IFERROR(X38/R38,0)</f>
        <v>-1.04428956834531</v>
      </c>
      <c r="Z38" s="28" t="str">
        <f aca="false">IF(X38&gt;0,"Win",IF(X38&lt;0,"Loss","Flat"))</f>
        <v>Loss</v>
      </c>
      <c r="AA38" s="28" t="n">
        <f aca="false">ROUND((C38-B38)*1440,1)</f>
        <v>7</v>
      </c>
      <c r="AB38" s="28" t="str">
        <f aca="false">IF(AA38&lt;1,"a) &lt;1 min",IF(AA38&lt;10,"b) 1-10 min",IF(AA38&lt;60,"c) 10-60 min",IF(AA38&lt;240,"d) 1-4 h","e) 4 h+"))))</f>
        <v>b) 1-10 min</v>
      </c>
      <c r="AC38" s="28" t="str">
        <f aca="false">IF(P38&lt;10,"a) &lt;10",IF(P38&lt;20,"b) 10-20",IF(P38&lt;40,"c) 20-40",IF(P38&lt;80,"d) 40-80","e) 80+"))))</f>
        <v>a) &lt;10</v>
      </c>
      <c r="AD38" s="30" t="n">
        <f aca="false">Summary!$C$5+SUM(X$2:X38)</f>
        <v>99736.58</v>
      </c>
      <c r="AE38" s="30" t="n">
        <f aca="false">MAX(AE37,AD38)</f>
        <v>100224.34</v>
      </c>
      <c r="AF38" s="30" t="n">
        <f aca="false">AE38-AD38</f>
        <v>487.759999999995</v>
      </c>
      <c r="AG38" s="29" t="n">
        <f aca="false">IFERROR(AF38/AE38,0)</f>
        <v>0.00486668208540954</v>
      </c>
    </row>
    <row r="39" customFormat="false" ht="15" hidden="false" customHeight="false" outlineLevel="0" collapsed="false">
      <c r="A39" s="28" t="n">
        <v>38</v>
      </c>
      <c r="B39" s="43" t="n">
        <v>45071.0423611111</v>
      </c>
      <c r="C39" s="43" t="n">
        <v>45071.0674652778</v>
      </c>
      <c r="D39" s="42" t="n">
        <f aca="false">INT(C39)</f>
        <v>45071</v>
      </c>
      <c r="E39" s="42" t="n">
        <f aca="false">D39-WEEKDAY(D39,3)</f>
        <v>45068</v>
      </c>
      <c r="F39" s="28" t="s">
        <v>144</v>
      </c>
      <c r="G39" s="28" t="n">
        <v>2023</v>
      </c>
      <c r="H39" s="28" t="s">
        <v>239</v>
      </c>
      <c r="I39" s="28" t="n">
        <v>1</v>
      </c>
      <c r="J39" s="28" t="s">
        <v>233</v>
      </c>
      <c r="K39" s="28" t="s">
        <v>234</v>
      </c>
      <c r="L39" s="28" t="n">
        <v>0.32</v>
      </c>
      <c r="M39" s="31" t="n">
        <v>13824.78</v>
      </c>
      <c r="N39" s="31" t="n">
        <v>13768.36</v>
      </c>
      <c r="O39" s="31" t="n">
        <v>13937.63</v>
      </c>
      <c r="P39" s="44" t="n">
        <f aca="false">ABS(M39-N39)</f>
        <v>56.4200000000001</v>
      </c>
      <c r="Q39" s="44" t="n">
        <f aca="false">IF(O39="","",ABS(O39-M39))</f>
        <v>112.849999999999</v>
      </c>
      <c r="R39" s="30" t="n">
        <f aca="false">P39*L39*Summary!$C$6</f>
        <v>361.088</v>
      </c>
      <c r="S39" s="31" t="n">
        <v>13767.74</v>
      </c>
      <c r="T39" s="28" t="s">
        <v>241</v>
      </c>
      <c r="U39" s="44" t="n">
        <f aca="false">IF(J39="BUY",S39-M39,M39-S39)</f>
        <v>-57.0400000000009</v>
      </c>
      <c r="V39" s="45" t="n">
        <v>0</v>
      </c>
      <c r="W39" s="45" t="n">
        <v>0</v>
      </c>
      <c r="X39" s="45" t="n">
        <v>-365.06</v>
      </c>
      <c r="Y39" s="32" t="n">
        <f aca="false">IFERROR(X39/R39,0)</f>
        <v>-1.01100008862106</v>
      </c>
      <c r="Z39" s="28" t="str">
        <f aca="false">IF(X39&gt;0,"Win",IF(X39&lt;0,"Loss","Flat"))</f>
        <v>Loss</v>
      </c>
      <c r="AA39" s="28" t="n">
        <f aca="false">ROUND((C39-B39)*1440,1)</f>
        <v>36.2</v>
      </c>
      <c r="AB39" s="28" t="str">
        <f aca="false">IF(AA39&lt;1,"a) &lt;1 min",IF(AA39&lt;10,"b) 1-10 min",IF(AA39&lt;60,"c) 10-60 min",IF(AA39&lt;240,"d) 1-4 h","e) 4 h+"))))</f>
        <v>c) 10-60 min</v>
      </c>
      <c r="AC39" s="28" t="str">
        <f aca="false">IF(P39&lt;10,"a) &lt;10",IF(P39&lt;20,"b) 10-20",IF(P39&lt;40,"c) 20-40",IF(P39&lt;80,"d) 40-80","e) 80+"))))</f>
        <v>d) 40-80</v>
      </c>
      <c r="AD39" s="30" t="n">
        <f aca="false">Summary!$C$5+SUM(X$2:X39)</f>
        <v>99371.52</v>
      </c>
      <c r="AE39" s="30" t="n">
        <f aca="false">MAX(AE38,AD39)</f>
        <v>100224.34</v>
      </c>
      <c r="AF39" s="30" t="n">
        <f aca="false">AE39-AD39</f>
        <v>852.819999999992</v>
      </c>
      <c r="AG39" s="29" t="n">
        <f aca="false">IFERROR(AF39/AE39,0)</f>
        <v>0.00850911066114272</v>
      </c>
    </row>
    <row r="40" customFormat="false" ht="15" hidden="false" customHeight="false" outlineLevel="0" collapsed="false">
      <c r="A40" s="28" t="n">
        <v>39</v>
      </c>
      <c r="B40" s="43" t="n">
        <v>45072.6013888889</v>
      </c>
      <c r="C40" s="43" t="n">
        <v>45072.6245601852</v>
      </c>
      <c r="D40" s="42" t="n">
        <f aca="false">INT(C40)</f>
        <v>45072</v>
      </c>
      <c r="E40" s="42" t="n">
        <f aca="false">D40-WEEKDAY(D40,3)</f>
        <v>45068</v>
      </c>
      <c r="F40" s="28" t="s">
        <v>144</v>
      </c>
      <c r="G40" s="28" t="n">
        <v>2023</v>
      </c>
      <c r="H40" s="28" t="s">
        <v>242</v>
      </c>
      <c r="I40" s="28" t="n">
        <v>14</v>
      </c>
      <c r="J40" s="28" t="s">
        <v>233</v>
      </c>
      <c r="K40" s="28" t="s">
        <v>234</v>
      </c>
      <c r="L40" s="28" t="n">
        <v>0.31</v>
      </c>
      <c r="M40" s="31" t="n">
        <v>13991.59</v>
      </c>
      <c r="N40" s="31" t="n">
        <v>13983.68</v>
      </c>
      <c r="O40" s="31" t="n">
        <v>14007.3</v>
      </c>
      <c r="P40" s="44" t="n">
        <f aca="false">ABS(M40-N40)</f>
        <v>7.90999999999985</v>
      </c>
      <c r="Q40" s="44" t="n">
        <f aca="false">IF(O40="","",ABS(O40-M40))</f>
        <v>15.7099999999991</v>
      </c>
      <c r="R40" s="30" t="n">
        <f aca="false">P40*L40*Summary!$C$6</f>
        <v>49.0419999999991</v>
      </c>
      <c r="S40" s="31" t="n">
        <v>13991.16</v>
      </c>
      <c r="T40" s="28" t="s">
        <v>238</v>
      </c>
      <c r="U40" s="44" t="n">
        <f aca="false">IF(J40="BUY",S40-M40,M40-S40)</f>
        <v>-0.430000000000291</v>
      </c>
      <c r="V40" s="45" t="n">
        <v>0</v>
      </c>
      <c r="W40" s="45" t="n">
        <v>0</v>
      </c>
      <c r="X40" s="45" t="n">
        <v>-2.67</v>
      </c>
      <c r="Y40" s="32" t="n">
        <f aca="false">IFERROR(X40/R40,0)</f>
        <v>-0.0544431303780443</v>
      </c>
      <c r="Z40" s="28" t="str">
        <f aca="false">IF(X40&gt;0,"Win",IF(X40&lt;0,"Loss","Flat"))</f>
        <v>Loss</v>
      </c>
      <c r="AA40" s="28" t="n">
        <f aca="false">ROUND((C40-B40)*1440,1)</f>
        <v>33.4</v>
      </c>
      <c r="AB40" s="28" t="str">
        <f aca="false">IF(AA40&lt;1,"a) &lt;1 min",IF(AA40&lt;10,"b) 1-10 min",IF(AA40&lt;60,"c) 10-60 min",IF(AA40&lt;240,"d) 1-4 h","e) 4 h+"))))</f>
        <v>c) 10-60 min</v>
      </c>
      <c r="AC40" s="28" t="str">
        <f aca="false">IF(P40&lt;10,"a) &lt;10",IF(P40&lt;20,"b) 10-20",IF(P40&lt;40,"c) 20-40",IF(P40&lt;80,"d) 40-80","e) 80+"))))</f>
        <v>a) &lt;10</v>
      </c>
      <c r="AD40" s="30" t="n">
        <f aca="false">Summary!$C$5+SUM(X$2:X40)</f>
        <v>99368.85</v>
      </c>
      <c r="AE40" s="30" t="n">
        <f aca="false">MAX(AE39,AD40)</f>
        <v>100224.34</v>
      </c>
      <c r="AF40" s="30" t="n">
        <f aca="false">AE40-AD40</f>
        <v>855.489999999991</v>
      </c>
      <c r="AG40" s="29" t="n">
        <f aca="false">IFERROR(AF40/AE40,0)</f>
        <v>0.00853575089643884</v>
      </c>
    </row>
    <row r="41" customFormat="false" ht="15" hidden="false" customHeight="false" outlineLevel="0" collapsed="false">
      <c r="A41" s="28" t="n">
        <v>40</v>
      </c>
      <c r="B41" s="43" t="n">
        <v>45075.0423611111</v>
      </c>
      <c r="C41" s="43" t="n">
        <v>45075.0528356481</v>
      </c>
      <c r="D41" s="42" t="n">
        <f aca="false">INT(C41)</f>
        <v>45075</v>
      </c>
      <c r="E41" s="42" t="n">
        <f aca="false">D41-WEEKDAY(D41,3)</f>
        <v>45075</v>
      </c>
      <c r="F41" s="28" t="s">
        <v>144</v>
      </c>
      <c r="G41" s="28" t="n">
        <v>2023</v>
      </c>
      <c r="H41" s="28" t="s">
        <v>240</v>
      </c>
      <c r="I41" s="28" t="n">
        <v>1</v>
      </c>
      <c r="J41" s="28" t="s">
        <v>233</v>
      </c>
      <c r="K41" s="28" t="s">
        <v>234</v>
      </c>
      <c r="L41" s="28" t="n">
        <v>0.31</v>
      </c>
      <c r="M41" s="31" t="n">
        <v>14384.91</v>
      </c>
      <c r="N41" s="31" t="n">
        <v>14365.61</v>
      </c>
      <c r="O41" s="31" t="n">
        <v>14430.75</v>
      </c>
      <c r="P41" s="44" t="n">
        <f aca="false">ABS(M41-N41)</f>
        <v>19.2999999999993</v>
      </c>
      <c r="Q41" s="44" t="n">
        <f aca="false">IF(O41="","",ABS(O41-M41))</f>
        <v>45.8400000000001</v>
      </c>
      <c r="R41" s="30" t="n">
        <f aca="false">P41*L41*Summary!$C$6</f>
        <v>119.659999999995</v>
      </c>
      <c r="S41" s="31" t="n">
        <v>14364.84</v>
      </c>
      <c r="T41" s="28" t="s">
        <v>241</v>
      </c>
      <c r="U41" s="44" t="n">
        <f aca="false">IF(J41="BUY",S41-M41,M41-S41)</f>
        <v>-20.0699999999997</v>
      </c>
      <c r="V41" s="45" t="n">
        <v>0</v>
      </c>
      <c r="W41" s="45" t="n">
        <v>0</v>
      </c>
      <c r="X41" s="45" t="n">
        <v>-124.43</v>
      </c>
      <c r="Y41" s="32" t="n">
        <f aca="false">IFERROR(X41/R41,0)</f>
        <v>-1.0398629450109</v>
      </c>
      <c r="Z41" s="28" t="str">
        <f aca="false">IF(X41&gt;0,"Win",IF(X41&lt;0,"Loss","Flat"))</f>
        <v>Loss</v>
      </c>
      <c r="AA41" s="28" t="n">
        <f aca="false">ROUND((C41-B41)*1440,1)</f>
        <v>15.1</v>
      </c>
      <c r="AB41" s="28" t="str">
        <f aca="false">IF(AA41&lt;1,"a) &lt;1 min",IF(AA41&lt;10,"b) 1-10 min",IF(AA41&lt;60,"c) 10-60 min",IF(AA41&lt;240,"d) 1-4 h","e) 4 h+"))))</f>
        <v>c) 10-60 min</v>
      </c>
      <c r="AC41" s="28" t="str">
        <f aca="false">IF(P41&lt;10,"a) &lt;10",IF(P41&lt;20,"b) 10-20",IF(P41&lt;40,"c) 20-40",IF(P41&lt;80,"d) 40-80","e) 80+"))))</f>
        <v>b) 10-20</v>
      </c>
      <c r="AD41" s="30" t="n">
        <f aca="false">Summary!$C$5+SUM(X$2:X41)</f>
        <v>99244.42</v>
      </c>
      <c r="AE41" s="30" t="n">
        <f aca="false">MAX(AE40,AD41)</f>
        <v>100224.34</v>
      </c>
      <c r="AF41" s="30" t="n">
        <f aca="false">AE41-AD41</f>
        <v>979.919999999998</v>
      </c>
      <c r="AG41" s="29" t="n">
        <f aca="false">IFERROR(AF41/AE41,0)</f>
        <v>0.00977726568216861</v>
      </c>
    </row>
    <row r="42" customFormat="false" ht="15" hidden="false" customHeight="false" outlineLevel="0" collapsed="false">
      <c r="A42" s="28" t="n">
        <v>41</v>
      </c>
      <c r="B42" s="43" t="n">
        <v>45076.4645833333</v>
      </c>
      <c r="C42" s="43" t="n">
        <v>45076.4709490741</v>
      </c>
      <c r="D42" s="42" t="n">
        <f aca="false">INT(C42)</f>
        <v>45076</v>
      </c>
      <c r="E42" s="42" t="n">
        <f aca="false">D42-WEEKDAY(D42,3)</f>
        <v>45075</v>
      </c>
      <c r="F42" s="28" t="s">
        <v>144</v>
      </c>
      <c r="G42" s="28" t="n">
        <v>2023</v>
      </c>
      <c r="H42" s="28" t="s">
        <v>232</v>
      </c>
      <c r="I42" s="28" t="n">
        <v>11</v>
      </c>
      <c r="J42" s="28" t="s">
        <v>233</v>
      </c>
      <c r="K42" s="28" t="s">
        <v>234</v>
      </c>
      <c r="L42" s="28" t="n">
        <v>0.3</v>
      </c>
      <c r="M42" s="31" t="n">
        <v>14406.62</v>
      </c>
      <c r="N42" s="31" t="n">
        <v>14394.86</v>
      </c>
      <c r="O42" s="31" t="n">
        <v>14430.02</v>
      </c>
      <c r="P42" s="44" t="n">
        <f aca="false">ABS(M42-N42)</f>
        <v>11.7600000000002</v>
      </c>
      <c r="Q42" s="44" t="n">
        <f aca="false">IF(O42="","",ABS(O42-M42))</f>
        <v>23.3999999999996</v>
      </c>
      <c r="R42" s="30" t="n">
        <f aca="false">P42*L42*Summary!$C$6</f>
        <v>70.5600000000013</v>
      </c>
      <c r="S42" s="31" t="n">
        <v>14430.85</v>
      </c>
      <c r="T42" s="28" t="s">
        <v>214</v>
      </c>
      <c r="U42" s="44" t="n">
        <f aca="false">IF(J42="BUY",S42-M42,M42-S42)</f>
        <v>24.2299999999996</v>
      </c>
      <c r="V42" s="45" t="n">
        <v>0</v>
      </c>
      <c r="W42" s="45" t="n">
        <v>0</v>
      </c>
      <c r="X42" s="45" t="n">
        <v>145.38</v>
      </c>
      <c r="Y42" s="32" t="n">
        <f aca="false">IFERROR(X42/R42,0)</f>
        <v>2.06037414965983</v>
      </c>
      <c r="Z42" s="28" t="str">
        <f aca="false">IF(X42&gt;0,"Win",IF(X42&lt;0,"Loss","Flat"))</f>
        <v>Win</v>
      </c>
      <c r="AA42" s="28" t="n">
        <f aca="false">ROUND((C42-B42)*1440,1)</f>
        <v>9.2</v>
      </c>
      <c r="AB42" s="28" t="str">
        <f aca="false">IF(AA42&lt;1,"a) &lt;1 min",IF(AA42&lt;10,"b) 1-10 min",IF(AA42&lt;60,"c) 10-60 min",IF(AA42&lt;240,"d) 1-4 h","e) 4 h+"))))</f>
        <v>b) 1-10 min</v>
      </c>
      <c r="AC42" s="28" t="str">
        <f aca="false">IF(P42&lt;10,"a) &lt;10",IF(P42&lt;20,"b) 10-20",IF(P42&lt;40,"c) 20-40",IF(P42&lt;80,"d) 40-80","e) 80+"))))</f>
        <v>b) 10-20</v>
      </c>
      <c r="AD42" s="30" t="n">
        <f aca="false">Summary!$C$5+SUM(X$2:X42)</f>
        <v>99389.8</v>
      </c>
      <c r="AE42" s="30" t="n">
        <f aca="false">MAX(AE41,AD42)</f>
        <v>100224.34</v>
      </c>
      <c r="AF42" s="30" t="n">
        <f aca="false">AE42-AD42</f>
        <v>834.539999999994</v>
      </c>
      <c r="AG42" s="29" t="n">
        <f aca="false">IFERROR(AF42/AE42,0)</f>
        <v>0.00832671983671824</v>
      </c>
    </row>
    <row r="43" customFormat="false" ht="15" hidden="false" customHeight="false" outlineLevel="0" collapsed="false">
      <c r="A43" s="28" t="n">
        <v>42</v>
      </c>
      <c r="B43" s="43" t="n">
        <v>45076.8708333333</v>
      </c>
      <c r="C43" s="43" t="n">
        <v>45076.8861574074</v>
      </c>
      <c r="D43" s="42" t="n">
        <f aca="false">INT(C43)</f>
        <v>45076</v>
      </c>
      <c r="E43" s="42" t="n">
        <f aca="false">D43-WEEKDAY(D43,3)</f>
        <v>45075</v>
      </c>
      <c r="F43" s="28" t="s">
        <v>144</v>
      </c>
      <c r="G43" s="28" t="n">
        <v>2023</v>
      </c>
      <c r="H43" s="28" t="s">
        <v>232</v>
      </c>
      <c r="I43" s="28" t="n">
        <v>20</v>
      </c>
      <c r="J43" s="28" t="s">
        <v>236</v>
      </c>
      <c r="K43" s="28" t="s">
        <v>237</v>
      </c>
      <c r="L43" s="28" t="n">
        <v>0.31</v>
      </c>
      <c r="M43" s="31" t="n">
        <v>14327.03</v>
      </c>
      <c r="N43" s="31" t="n">
        <v>14345.87</v>
      </c>
      <c r="O43" s="31" t="n">
        <v>14289.67</v>
      </c>
      <c r="P43" s="44" t="n">
        <f aca="false">ABS(M43-N43)</f>
        <v>18.8400000000001</v>
      </c>
      <c r="Q43" s="44" t="n">
        <f aca="false">IF(O43="","",ABS(O43-M43))</f>
        <v>37.3600000000006</v>
      </c>
      <c r="R43" s="30" t="n">
        <f aca="false">P43*L43*Summary!$C$6</f>
        <v>116.808000000001</v>
      </c>
      <c r="S43" s="31" t="n">
        <v>14327.52</v>
      </c>
      <c r="T43" s="28" t="s">
        <v>238</v>
      </c>
      <c r="U43" s="44" t="n">
        <f aca="false">IF(J43="BUY",S43-M43,M43-S43)</f>
        <v>-0.489999999999782</v>
      </c>
      <c r="V43" s="45" t="n">
        <v>0</v>
      </c>
      <c r="W43" s="45" t="n">
        <v>0</v>
      </c>
      <c r="X43" s="45" t="n">
        <v>-3.04</v>
      </c>
      <c r="Y43" s="32" t="n">
        <f aca="false">IFERROR(X43/R43,0)</f>
        <v>-0.0260256146839256</v>
      </c>
      <c r="Z43" s="28" t="str">
        <f aca="false">IF(X43&gt;0,"Win",IF(X43&lt;0,"Loss","Flat"))</f>
        <v>Loss</v>
      </c>
      <c r="AA43" s="28" t="n">
        <f aca="false">ROUND((C43-B43)*1440,1)</f>
        <v>22.1</v>
      </c>
      <c r="AB43" s="28" t="str">
        <f aca="false">IF(AA43&lt;1,"a) &lt;1 min",IF(AA43&lt;10,"b) 1-10 min",IF(AA43&lt;60,"c) 10-60 min",IF(AA43&lt;240,"d) 1-4 h","e) 4 h+"))))</f>
        <v>c) 10-60 min</v>
      </c>
      <c r="AC43" s="28" t="str">
        <f aca="false">IF(P43&lt;10,"a) &lt;10",IF(P43&lt;20,"b) 10-20",IF(P43&lt;40,"c) 20-40",IF(P43&lt;80,"d) 40-80","e) 80+"))))</f>
        <v>b) 10-20</v>
      </c>
      <c r="AD43" s="30" t="n">
        <f aca="false">Summary!$C$5+SUM(X$2:X43)</f>
        <v>99386.76</v>
      </c>
      <c r="AE43" s="30" t="n">
        <f aca="false">MAX(AE42,AD43)</f>
        <v>100224.34</v>
      </c>
      <c r="AF43" s="30" t="n">
        <f aca="false">AE43-AD43</f>
        <v>837.580000000002</v>
      </c>
      <c r="AG43" s="29" t="n">
        <f aca="false">IFERROR(AF43/AE43,0)</f>
        <v>0.0083570517900143</v>
      </c>
    </row>
    <row r="44" customFormat="false" ht="15" hidden="false" customHeight="false" outlineLevel="0" collapsed="false">
      <c r="A44" s="28" t="n">
        <v>43</v>
      </c>
      <c r="B44" s="43" t="n">
        <v>45077.3819444445</v>
      </c>
      <c r="C44" s="43" t="n">
        <v>45077.3877083333</v>
      </c>
      <c r="D44" s="42" t="n">
        <f aca="false">INT(C44)</f>
        <v>45077</v>
      </c>
      <c r="E44" s="42" t="n">
        <f aca="false">D44-WEEKDAY(D44,3)</f>
        <v>45075</v>
      </c>
      <c r="F44" s="28" t="s">
        <v>144</v>
      </c>
      <c r="G44" s="28" t="n">
        <v>2023</v>
      </c>
      <c r="H44" s="28" t="s">
        <v>235</v>
      </c>
      <c r="I44" s="28" t="n">
        <v>9</v>
      </c>
      <c r="J44" s="28" t="s">
        <v>236</v>
      </c>
      <c r="K44" s="28" t="s">
        <v>237</v>
      </c>
      <c r="L44" s="28" t="n">
        <v>0.31</v>
      </c>
      <c r="M44" s="31" t="n">
        <v>14297.66</v>
      </c>
      <c r="N44" s="31" t="n">
        <v>14305.5</v>
      </c>
      <c r="O44" s="31" t="n">
        <v>14281.98</v>
      </c>
      <c r="P44" s="44" t="n">
        <f aca="false">ABS(M44-N44)</f>
        <v>7.84000000000015</v>
      </c>
      <c r="Q44" s="44" t="n">
        <f aca="false">IF(O44="","",ABS(O44-M44))</f>
        <v>15.6800000000003</v>
      </c>
      <c r="R44" s="30" t="n">
        <f aca="false">P44*L44*Summary!$C$6</f>
        <v>48.6080000000009</v>
      </c>
      <c r="S44" s="31" t="n">
        <v>14305.8</v>
      </c>
      <c r="T44" s="28" t="s">
        <v>241</v>
      </c>
      <c r="U44" s="44" t="n">
        <f aca="false">IF(J44="BUY",S44-M44,M44-S44)</f>
        <v>-8.13999999999942</v>
      </c>
      <c r="V44" s="45" t="n">
        <v>0</v>
      </c>
      <c r="W44" s="45" t="n">
        <v>0</v>
      </c>
      <c r="X44" s="45" t="n">
        <v>-50.47</v>
      </c>
      <c r="Y44" s="32" t="n">
        <f aca="false">IFERROR(X44/R44,0)</f>
        <v>-1.03830645161288</v>
      </c>
      <c r="Z44" s="28" t="str">
        <f aca="false">IF(X44&gt;0,"Win",IF(X44&lt;0,"Loss","Flat"))</f>
        <v>Loss</v>
      </c>
      <c r="AA44" s="28" t="n">
        <f aca="false">ROUND((C44-B44)*1440,1)</f>
        <v>8.3</v>
      </c>
      <c r="AB44" s="28" t="str">
        <f aca="false">IF(AA44&lt;1,"a) &lt;1 min",IF(AA44&lt;10,"b) 1-10 min",IF(AA44&lt;60,"c) 10-60 min",IF(AA44&lt;240,"d) 1-4 h","e) 4 h+"))))</f>
        <v>b) 1-10 min</v>
      </c>
      <c r="AC44" s="28" t="str">
        <f aca="false">IF(P44&lt;10,"a) &lt;10",IF(P44&lt;20,"b) 10-20",IF(P44&lt;40,"c) 20-40",IF(P44&lt;80,"d) 40-80","e) 80+"))))</f>
        <v>a) &lt;10</v>
      </c>
      <c r="AD44" s="30" t="n">
        <f aca="false">Summary!$C$5+SUM(X$2:X44)</f>
        <v>99336.29</v>
      </c>
      <c r="AE44" s="30" t="n">
        <f aca="false">MAX(AE43,AD44)</f>
        <v>100224.34</v>
      </c>
      <c r="AF44" s="30" t="n">
        <f aca="false">AE44-AD44</f>
        <v>888.050000000003</v>
      </c>
      <c r="AG44" s="29" t="n">
        <f aca="false">IFERROR(AF44/AE44,0)</f>
        <v>0.0088606220804248</v>
      </c>
    </row>
    <row r="45" customFormat="false" ht="15" hidden="false" customHeight="false" outlineLevel="0" collapsed="false">
      <c r="A45" s="28" t="n">
        <v>44</v>
      </c>
      <c r="B45" s="43" t="n">
        <v>45078.2020833333</v>
      </c>
      <c r="C45" s="43" t="n">
        <v>45078.2071990741</v>
      </c>
      <c r="D45" s="42" t="n">
        <f aca="false">INT(C45)</f>
        <v>45078</v>
      </c>
      <c r="E45" s="42" t="n">
        <f aca="false">D45-WEEKDAY(D45,3)</f>
        <v>45075</v>
      </c>
      <c r="F45" s="28" t="s">
        <v>145</v>
      </c>
      <c r="G45" s="28" t="n">
        <v>2023</v>
      </c>
      <c r="H45" s="28" t="s">
        <v>239</v>
      </c>
      <c r="I45" s="28" t="n">
        <v>4</v>
      </c>
      <c r="J45" s="28" t="s">
        <v>236</v>
      </c>
      <c r="K45" s="28" t="s">
        <v>237</v>
      </c>
      <c r="L45" s="28" t="n">
        <v>0.31</v>
      </c>
      <c r="M45" s="31" t="n">
        <v>14215.3</v>
      </c>
      <c r="N45" s="31" t="n">
        <v>14236.79</v>
      </c>
      <c r="O45" s="31" t="n">
        <v>14169.35</v>
      </c>
      <c r="P45" s="44" t="n">
        <f aca="false">ABS(M45-N45)</f>
        <v>21.4900000000016</v>
      </c>
      <c r="Q45" s="44" t="n">
        <f aca="false">IF(O45="","",ABS(O45-M45))</f>
        <v>45.9499999999989</v>
      </c>
      <c r="R45" s="30" t="n">
        <f aca="false">P45*L45*Summary!$C$6</f>
        <v>133.23800000001</v>
      </c>
      <c r="S45" s="31" t="n">
        <v>14236.8</v>
      </c>
      <c r="T45" s="28" t="s">
        <v>241</v>
      </c>
      <c r="U45" s="44" t="n">
        <f aca="false">IF(J45="BUY",S45-M45,M45-S45)</f>
        <v>-21.5</v>
      </c>
      <c r="V45" s="45" t="n">
        <v>0</v>
      </c>
      <c r="W45" s="45" t="n">
        <v>0</v>
      </c>
      <c r="X45" s="45" t="n">
        <v>-133.3</v>
      </c>
      <c r="Y45" s="32" t="n">
        <f aca="false">IFERROR(X45/R45,0)</f>
        <v>-1.00046533271282</v>
      </c>
      <c r="Z45" s="28" t="str">
        <f aca="false">IF(X45&gt;0,"Win",IF(X45&lt;0,"Loss","Flat"))</f>
        <v>Loss</v>
      </c>
      <c r="AA45" s="28" t="n">
        <f aca="false">ROUND((C45-B45)*1440,1)</f>
        <v>7.4</v>
      </c>
      <c r="AB45" s="28" t="str">
        <f aca="false">IF(AA45&lt;1,"a) &lt;1 min",IF(AA45&lt;10,"b) 1-10 min",IF(AA45&lt;60,"c) 10-60 min",IF(AA45&lt;240,"d) 1-4 h","e) 4 h+"))))</f>
        <v>b) 1-10 min</v>
      </c>
      <c r="AC45" s="28" t="str">
        <f aca="false">IF(P45&lt;10,"a) &lt;10",IF(P45&lt;20,"b) 10-20",IF(P45&lt;40,"c) 20-40",IF(P45&lt;80,"d) 40-80","e) 80+"))))</f>
        <v>c) 20-40</v>
      </c>
      <c r="AD45" s="30" t="n">
        <f aca="false">Summary!$C$5+SUM(X$2:X45)</f>
        <v>99202.99</v>
      </c>
      <c r="AE45" s="30" t="n">
        <f aca="false">MAX(AE44,AD45)</f>
        <v>100224.34</v>
      </c>
      <c r="AF45" s="30" t="n">
        <f aca="false">AE45-AD45</f>
        <v>1021.34999999999</v>
      </c>
      <c r="AG45" s="29" t="n">
        <f aca="false">IFERROR(AF45/AE45,0)</f>
        <v>0.0101906383219884</v>
      </c>
    </row>
    <row r="46" customFormat="false" ht="15" hidden="false" customHeight="false" outlineLevel="0" collapsed="false">
      <c r="A46" s="28" t="n">
        <v>45</v>
      </c>
      <c r="B46" s="43" t="n">
        <v>45078.7916666667</v>
      </c>
      <c r="C46" s="43" t="n">
        <v>45078.8042361111</v>
      </c>
      <c r="D46" s="42" t="n">
        <f aca="false">INT(C46)</f>
        <v>45078</v>
      </c>
      <c r="E46" s="42" t="n">
        <f aca="false">D46-WEEKDAY(D46,3)</f>
        <v>45075</v>
      </c>
      <c r="F46" s="28" t="s">
        <v>145</v>
      </c>
      <c r="G46" s="28" t="n">
        <v>2023</v>
      </c>
      <c r="H46" s="28" t="s">
        <v>239</v>
      </c>
      <c r="I46" s="28" t="n">
        <v>19</v>
      </c>
      <c r="J46" s="28" t="s">
        <v>233</v>
      </c>
      <c r="K46" s="28" t="s">
        <v>234</v>
      </c>
      <c r="L46" s="28" t="n">
        <v>0.31</v>
      </c>
      <c r="M46" s="31" t="n">
        <v>14391.69</v>
      </c>
      <c r="N46" s="31" t="n">
        <v>14377.74</v>
      </c>
      <c r="O46" s="31" t="n">
        <v>14416.8</v>
      </c>
      <c r="P46" s="44" t="n">
        <f aca="false">ABS(M46-N46)</f>
        <v>13.9500000000007</v>
      </c>
      <c r="Q46" s="44" t="n">
        <f aca="false">IF(O46="","",ABS(O46-M46))</f>
        <v>25.1099999999988</v>
      </c>
      <c r="R46" s="30" t="n">
        <f aca="false">P46*L46*Summary!$C$6</f>
        <v>86.4900000000045</v>
      </c>
      <c r="S46" s="31" t="n">
        <v>14417.07</v>
      </c>
      <c r="T46" s="28" t="s">
        <v>214</v>
      </c>
      <c r="U46" s="44" t="n">
        <f aca="false">IF(J46="BUY",S46-M46,M46-S46)</f>
        <v>25.3799999999992</v>
      </c>
      <c r="V46" s="45" t="n">
        <v>0</v>
      </c>
      <c r="W46" s="45" t="n">
        <v>0</v>
      </c>
      <c r="X46" s="45" t="n">
        <v>157.36</v>
      </c>
      <c r="Y46" s="32" t="n">
        <f aca="false">IFERROR(X46/R46,0)</f>
        <v>1.81940108683075</v>
      </c>
      <c r="Z46" s="28" t="str">
        <f aca="false">IF(X46&gt;0,"Win",IF(X46&lt;0,"Loss","Flat"))</f>
        <v>Win</v>
      </c>
      <c r="AA46" s="28" t="n">
        <f aca="false">ROUND((C46-B46)*1440,1)</f>
        <v>18.1</v>
      </c>
      <c r="AB46" s="28" t="str">
        <f aca="false">IF(AA46&lt;1,"a) &lt;1 min",IF(AA46&lt;10,"b) 1-10 min",IF(AA46&lt;60,"c) 10-60 min",IF(AA46&lt;240,"d) 1-4 h","e) 4 h+"))))</f>
        <v>c) 10-60 min</v>
      </c>
      <c r="AC46" s="28" t="str">
        <f aca="false">IF(P46&lt;10,"a) &lt;10",IF(P46&lt;20,"b) 10-20",IF(P46&lt;40,"c) 20-40",IF(P46&lt;80,"d) 40-80","e) 80+"))))</f>
        <v>b) 10-20</v>
      </c>
      <c r="AD46" s="30" t="n">
        <f aca="false">Summary!$C$5+SUM(X$2:X46)</f>
        <v>99360.35</v>
      </c>
      <c r="AE46" s="30" t="n">
        <f aca="false">MAX(AE45,AD46)</f>
        <v>100224.34</v>
      </c>
      <c r="AF46" s="30" t="n">
        <f aca="false">AE46-AD46</f>
        <v>863.989999999991</v>
      </c>
      <c r="AG46" s="29" t="n">
        <f aca="false">IFERROR(AF46/AE46,0)</f>
        <v>0.00862056063427298</v>
      </c>
    </row>
    <row r="47" customFormat="false" ht="15" hidden="false" customHeight="false" outlineLevel="0" collapsed="false">
      <c r="A47" s="28" t="n">
        <v>46</v>
      </c>
      <c r="B47" s="43" t="n">
        <v>45079.50625</v>
      </c>
      <c r="C47" s="43" t="n">
        <v>45079.5098263889</v>
      </c>
      <c r="D47" s="42" t="n">
        <f aca="false">INT(C47)</f>
        <v>45079</v>
      </c>
      <c r="E47" s="42" t="n">
        <f aca="false">D47-WEEKDAY(D47,3)</f>
        <v>45075</v>
      </c>
      <c r="F47" s="28" t="s">
        <v>145</v>
      </c>
      <c r="G47" s="28" t="n">
        <v>2023</v>
      </c>
      <c r="H47" s="28" t="s">
        <v>242</v>
      </c>
      <c r="I47" s="28" t="n">
        <v>12</v>
      </c>
      <c r="J47" s="28" t="s">
        <v>233</v>
      </c>
      <c r="K47" s="28" t="s">
        <v>234</v>
      </c>
      <c r="L47" s="28" t="n">
        <v>0.3</v>
      </c>
      <c r="M47" s="31" t="n">
        <v>14495.84</v>
      </c>
      <c r="N47" s="31" t="n">
        <v>14490.6</v>
      </c>
      <c r="O47" s="31" t="n">
        <v>14507.72</v>
      </c>
      <c r="P47" s="44" t="n">
        <f aca="false">ABS(M47-N47)</f>
        <v>5.23999999999978</v>
      </c>
      <c r="Q47" s="44" t="n">
        <f aca="false">IF(O47="","",ABS(O47-M47))</f>
        <v>11.8799999999992</v>
      </c>
      <c r="R47" s="30" t="n">
        <f aca="false">P47*L47*Summary!$C$6</f>
        <v>31.4399999999987</v>
      </c>
      <c r="S47" s="31" t="n">
        <v>14512.3</v>
      </c>
      <c r="T47" s="28" t="s">
        <v>214</v>
      </c>
      <c r="U47" s="44" t="n">
        <f aca="false">IF(J47="BUY",S47-M47,M47-S47)</f>
        <v>16.4599999999991</v>
      </c>
      <c r="V47" s="45" t="n">
        <v>0</v>
      </c>
      <c r="W47" s="45" t="n">
        <v>0</v>
      </c>
      <c r="X47" s="45" t="n">
        <v>98.76</v>
      </c>
      <c r="Y47" s="32" t="n">
        <f aca="false">IFERROR(X47/R47,0)</f>
        <v>3.14122137404593</v>
      </c>
      <c r="Z47" s="28" t="str">
        <f aca="false">IF(X47&gt;0,"Win",IF(X47&lt;0,"Loss","Flat"))</f>
        <v>Win</v>
      </c>
      <c r="AA47" s="28" t="n">
        <f aca="false">ROUND((C47-B47)*1440,1)</f>
        <v>5.2</v>
      </c>
      <c r="AB47" s="28" t="str">
        <f aca="false">IF(AA47&lt;1,"a) &lt;1 min",IF(AA47&lt;10,"b) 1-10 min",IF(AA47&lt;60,"c) 10-60 min",IF(AA47&lt;240,"d) 1-4 h","e) 4 h+"))))</f>
        <v>b) 1-10 min</v>
      </c>
      <c r="AC47" s="28" t="str">
        <f aca="false">IF(P47&lt;10,"a) &lt;10",IF(P47&lt;20,"b) 10-20",IF(P47&lt;40,"c) 20-40",IF(P47&lt;80,"d) 40-80","e) 80+"))))</f>
        <v>a) &lt;10</v>
      </c>
      <c r="AD47" s="30" t="n">
        <f aca="false">Summary!$C$5+SUM(X$2:X47)</f>
        <v>99459.11</v>
      </c>
      <c r="AE47" s="30" t="n">
        <f aca="false">MAX(AE46,AD47)</f>
        <v>100224.34</v>
      </c>
      <c r="AF47" s="30" t="n">
        <f aca="false">AE47-AD47</f>
        <v>765.229999999996</v>
      </c>
      <c r="AG47" s="29" t="n">
        <f aca="false">IFERROR(AF47/AE47,0)</f>
        <v>0.00763517125680245</v>
      </c>
    </row>
    <row r="48" customFormat="false" ht="15" hidden="false" customHeight="false" outlineLevel="0" collapsed="false">
      <c r="A48" s="28" t="n">
        <v>47</v>
      </c>
      <c r="B48" s="43" t="n">
        <v>45082.6958333333</v>
      </c>
      <c r="C48" s="43" t="n">
        <v>45082.7008333333</v>
      </c>
      <c r="D48" s="42" t="n">
        <f aca="false">INT(C48)</f>
        <v>45082</v>
      </c>
      <c r="E48" s="42" t="n">
        <f aca="false">D48-WEEKDAY(D48,3)</f>
        <v>45082</v>
      </c>
      <c r="F48" s="28" t="s">
        <v>145</v>
      </c>
      <c r="G48" s="28" t="n">
        <v>2023</v>
      </c>
      <c r="H48" s="28" t="s">
        <v>240</v>
      </c>
      <c r="I48" s="28" t="n">
        <v>16</v>
      </c>
      <c r="J48" s="28" t="s">
        <v>233</v>
      </c>
      <c r="K48" s="28" t="s">
        <v>234</v>
      </c>
      <c r="L48" s="28" t="n">
        <v>0.3</v>
      </c>
      <c r="M48" s="31" t="n">
        <v>14594.57</v>
      </c>
      <c r="N48" s="31" t="n">
        <v>14569.34</v>
      </c>
      <c r="O48" s="31" t="n">
        <v>14645.11</v>
      </c>
      <c r="P48" s="44" t="n">
        <f aca="false">ABS(M48-N48)</f>
        <v>25.2299999999996</v>
      </c>
      <c r="Q48" s="44" t="n">
        <f aca="false">IF(O48="","",ABS(O48-M48))</f>
        <v>50.5400000000009</v>
      </c>
      <c r="R48" s="30" t="n">
        <f aca="false">P48*L48*Summary!$C$6</f>
        <v>151.379999999997</v>
      </c>
      <c r="S48" s="31" t="n">
        <v>14594.51</v>
      </c>
      <c r="T48" s="28" t="s">
        <v>238</v>
      </c>
      <c r="U48" s="44" t="n">
        <f aca="false">IF(J48="BUY",S48-M48,M48-S48)</f>
        <v>-0.0599999999994907</v>
      </c>
      <c r="V48" s="45" t="n">
        <v>0</v>
      </c>
      <c r="W48" s="45" t="n">
        <v>0</v>
      </c>
      <c r="X48" s="45" t="n">
        <v>-0.36</v>
      </c>
      <c r="Y48" s="32" t="n">
        <f aca="false">IFERROR(X48/R48,0)</f>
        <v>-0.00237812128418553</v>
      </c>
      <c r="Z48" s="28" t="str">
        <f aca="false">IF(X48&gt;0,"Win",IF(X48&lt;0,"Loss","Flat"))</f>
        <v>Loss</v>
      </c>
      <c r="AA48" s="28" t="n">
        <f aca="false">ROUND((C48-B48)*1440,1)</f>
        <v>7.2</v>
      </c>
      <c r="AB48" s="28" t="str">
        <f aca="false">IF(AA48&lt;1,"a) &lt;1 min",IF(AA48&lt;10,"b) 1-10 min",IF(AA48&lt;60,"c) 10-60 min",IF(AA48&lt;240,"d) 1-4 h","e) 4 h+"))))</f>
        <v>b) 1-10 min</v>
      </c>
      <c r="AC48" s="28" t="str">
        <f aca="false">IF(P48&lt;10,"a) &lt;10",IF(P48&lt;20,"b) 10-20",IF(P48&lt;40,"c) 20-40",IF(P48&lt;80,"d) 40-80","e) 80+"))))</f>
        <v>c) 20-40</v>
      </c>
      <c r="AD48" s="30" t="n">
        <f aca="false">Summary!$C$5+SUM(X$2:X48)</f>
        <v>99458.75</v>
      </c>
      <c r="AE48" s="30" t="n">
        <f aca="false">MAX(AE47,AD48)</f>
        <v>100224.34</v>
      </c>
      <c r="AF48" s="30" t="n">
        <f aca="false">AE48-AD48</f>
        <v>765.589999999997</v>
      </c>
      <c r="AG48" s="29" t="n">
        <f aca="false">IFERROR(AF48/AE48,0)</f>
        <v>0.00763876319864014</v>
      </c>
    </row>
    <row r="49" customFormat="false" ht="15" hidden="false" customHeight="false" outlineLevel="0" collapsed="false">
      <c r="A49" s="28" t="n">
        <v>48</v>
      </c>
      <c r="B49" s="43" t="n">
        <v>45084.6881944445</v>
      </c>
      <c r="C49" s="43" t="n">
        <v>45084.6893981482</v>
      </c>
      <c r="D49" s="42" t="n">
        <f aca="false">INT(C49)</f>
        <v>45084</v>
      </c>
      <c r="E49" s="42" t="n">
        <f aca="false">D49-WEEKDAY(D49,3)</f>
        <v>45082</v>
      </c>
      <c r="F49" s="28" t="s">
        <v>145</v>
      </c>
      <c r="G49" s="28" t="n">
        <v>2023</v>
      </c>
      <c r="H49" s="28" t="s">
        <v>235</v>
      </c>
      <c r="I49" s="28" t="n">
        <v>16</v>
      </c>
      <c r="J49" s="28" t="s">
        <v>233</v>
      </c>
      <c r="K49" s="28" t="s">
        <v>234</v>
      </c>
      <c r="L49" s="28" t="n">
        <v>0.3</v>
      </c>
      <c r="M49" s="31" t="n">
        <v>14596.49</v>
      </c>
      <c r="N49" s="31" t="n">
        <v>14583.32</v>
      </c>
      <c r="O49" s="31" t="n">
        <v>14625.44</v>
      </c>
      <c r="P49" s="44" t="n">
        <f aca="false">ABS(M49-N49)</f>
        <v>13.1700000000001</v>
      </c>
      <c r="Q49" s="44" t="n">
        <f aca="false">IF(O49="","",ABS(O49-M49))</f>
        <v>28.9500000000007</v>
      </c>
      <c r="R49" s="30" t="n">
        <f aca="false">P49*L49*Summary!$C$6</f>
        <v>79.0200000000004</v>
      </c>
      <c r="S49" s="31" t="n">
        <v>14625.76</v>
      </c>
      <c r="T49" s="28" t="s">
        <v>214</v>
      </c>
      <c r="U49" s="44" t="n">
        <f aca="false">IF(J49="BUY",S49-M49,M49-S49)</f>
        <v>29.2700000000004</v>
      </c>
      <c r="V49" s="45" t="n">
        <v>0</v>
      </c>
      <c r="W49" s="45" t="n">
        <v>0</v>
      </c>
      <c r="X49" s="45" t="n">
        <v>175.62</v>
      </c>
      <c r="Y49" s="32" t="n">
        <f aca="false">IFERROR(X49/R49,0)</f>
        <v>2.2224753227031</v>
      </c>
      <c r="Z49" s="28" t="str">
        <f aca="false">IF(X49&gt;0,"Win",IF(X49&lt;0,"Loss","Flat"))</f>
        <v>Win</v>
      </c>
      <c r="AA49" s="28" t="n">
        <f aca="false">ROUND((C49-B49)*1440,1)</f>
        <v>1.7</v>
      </c>
      <c r="AB49" s="28" t="str">
        <f aca="false">IF(AA49&lt;1,"a) &lt;1 min",IF(AA49&lt;10,"b) 1-10 min",IF(AA49&lt;60,"c) 10-60 min",IF(AA49&lt;240,"d) 1-4 h","e) 4 h+"))))</f>
        <v>b) 1-10 min</v>
      </c>
      <c r="AC49" s="28" t="str">
        <f aca="false">IF(P49&lt;10,"a) &lt;10",IF(P49&lt;20,"b) 10-20",IF(P49&lt;40,"c) 20-40",IF(P49&lt;80,"d) 40-80","e) 80+"))))</f>
        <v>b) 10-20</v>
      </c>
      <c r="AD49" s="30" t="n">
        <f aca="false">Summary!$C$5+SUM(X$2:X49)</f>
        <v>99634.37</v>
      </c>
      <c r="AE49" s="30" t="n">
        <f aca="false">MAX(AE48,AD49)</f>
        <v>100224.34</v>
      </c>
      <c r="AF49" s="30" t="n">
        <f aca="false">AE49-AD49</f>
        <v>589.970000000001</v>
      </c>
      <c r="AG49" s="29" t="n">
        <f aca="false">IFERROR(AF49/AE49,0)</f>
        <v>0.00588649423882463</v>
      </c>
    </row>
    <row r="50" customFormat="false" ht="15" hidden="false" customHeight="false" outlineLevel="0" collapsed="false">
      <c r="A50" s="28" t="n">
        <v>49</v>
      </c>
      <c r="B50" s="43" t="n">
        <v>45084.7381944444</v>
      </c>
      <c r="C50" s="43" t="n">
        <v>45084.7532407407</v>
      </c>
      <c r="D50" s="42" t="n">
        <f aca="false">INT(C50)</f>
        <v>45084</v>
      </c>
      <c r="E50" s="42" t="n">
        <f aca="false">D50-WEEKDAY(D50,3)</f>
        <v>45082</v>
      </c>
      <c r="F50" s="28" t="s">
        <v>145</v>
      </c>
      <c r="G50" s="28" t="n">
        <v>2023</v>
      </c>
      <c r="H50" s="28" t="s">
        <v>235</v>
      </c>
      <c r="I50" s="28" t="n">
        <v>17</v>
      </c>
      <c r="J50" s="28" t="s">
        <v>236</v>
      </c>
      <c r="K50" s="28" t="s">
        <v>237</v>
      </c>
      <c r="L50" s="28" t="n">
        <v>0.3</v>
      </c>
      <c r="M50" s="31" t="n">
        <v>14466.45</v>
      </c>
      <c r="N50" s="31" t="n">
        <v>14495.9</v>
      </c>
      <c r="O50" s="31" t="n">
        <v>14407.54</v>
      </c>
      <c r="P50" s="44" t="n">
        <f aca="false">ABS(M50-N50)</f>
        <v>29.4499999999989</v>
      </c>
      <c r="Q50" s="44" t="n">
        <f aca="false">IF(O50="","",ABS(O50-M50))</f>
        <v>58.9099999999999</v>
      </c>
      <c r="R50" s="30" t="n">
        <f aca="false">P50*L50*Summary!$C$6</f>
        <v>176.699999999993</v>
      </c>
      <c r="S50" s="31" t="n">
        <v>14466.62</v>
      </c>
      <c r="T50" s="28" t="s">
        <v>238</v>
      </c>
      <c r="U50" s="44" t="n">
        <f aca="false">IF(J50="BUY",S50-M50,M50-S50)</f>
        <v>-0.170000000000073</v>
      </c>
      <c r="V50" s="45" t="n">
        <v>0</v>
      </c>
      <c r="W50" s="45" t="n">
        <v>0</v>
      </c>
      <c r="X50" s="45" t="n">
        <v>-1.02</v>
      </c>
      <c r="Y50" s="32" t="n">
        <f aca="false">IFERROR(X50/R50,0)</f>
        <v>-0.00577249575551804</v>
      </c>
      <c r="Z50" s="28" t="str">
        <f aca="false">IF(X50&gt;0,"Win",IF(X50&lt;0,"Loss","Flat"))</f>
        <v>Loss</v>
      </c>
      <c r="AA50" s="28" t="n">
        <f aca="false">ROUND((C50-B50)*1440,1)</f>
        <v>21.7</v>
      </c>
      <c r="AB50" s="28" t="str">
        <f aca="false">IF(AA50&lt;1,"a) &lt;1 min",IF(AA50&lt;10,"b) 1-10 min",IF(AA50&lt;60,"c) 10-60 min",IF(AA50&lt;240,"d) 1-4 h","e) 4 h+"))))</f>
        <v>c) 10-60 min</v>
      </c>
      <c r="AC50" s="28" t="str">
        <f aca="false">IF(P50&lt;10,"a) &lt;10",IF(P50&lt;20,"b) 10-20",IF(P50&lt;40,"c) 20-40",IF(P50&lt;80,"d) 40-80","e) 80+"))))</f>
        <v>c) 20-40</v>
      </c>
      <c r="AD50" s="30" t="n">
        <f aca="false">Summary!$C$5+SUM(X$2:X50)</f>
        <v>99633.35</v>
      </c>
      <c r="AE50" s="30" t="n">
        <f aca="false">MAX(AE49,AD50)</f>
        <v>100224.34</v>
      </c>
      <c r="AF50" s="30" t="n">
        <f aca="false">AE50-AD50</f>
        <v>590.989999999991</v>
      </c>
      <c r="AG50" s="29" t="n">
        <f aca="false">IFERROR(AF50/AE50,0)</f>
        <v>0.00589667140736463</v>
      </c>
    </row>
    <row r="51" customFormat="false" ht="15" hidden="false" customHeight="false" outlineLevel="0" collapsed="false">
      <c r="A51" s="28" t="n">
        <v>50</v>
      </c>
      <c r="B51" s="43" t="n">
        <v>45085.2916782407</v>
      </c>
      <c r="C51" s="43" t="n">
        <v>45085.2947337963</v>
      </c>
      <c r="D51" s="42" t="n">
        <f aca="false">INT(C51)</f>
        <v>45085</v>
      </c>
      <c r="E51" s="42" t="n">
        <f aca="false">D51-WEEKDAY(D51,3)</f>
        <v>45082</v>
      </c>
      <c r="F51" s="28" t="s">
        <v>145</v>
      </c>
      <c r="G51" s="28" t="n">
        <v>2023</v>
      </c>
      <c r="H51" s="28" t="s">
        <v>239</v>
      </c>
      <c r="I51" s="28" t="n">
        <v>7</v>
      </c>
      <c r="J51" s="28" t="s">
        <v>236</v>
      </c>
      <c r="K51" s="28" t="s">
        <v>237</v>
      </c>
      <c r="L51" s="28" t="n">
        <v>0.31</v>
      </c>
      <c r="M51" s="31" t="n">
        <v>14280.85</v>
      </c>
      <c r="N51" s="31" t="n">
        <v>14286.96</v>
      </c>
      <c r="O51" s="31" t="n">
        <v>14268.63</v>
      </c>
      <c r="P51" s="44" t="n">
        <f aca="false">ABS(M51-N51)</f>
        <v>6.10999999999876</v>
      </c>
      <c r="Q51" s="44" t="n">
        <f aca="false">IF(O51="","",ABS(O51-M51))</f>
        <v>12.2200000000012</v>
      </c>
      <c r="R51" s="30" t="n">
        <f aca="false">P51*L51*Summary!$C$6</f>
        <v>37.8819999999923</v>
      </c>
      <c r="S51" s="31" t="n">
        <v>14266.25</v>
      </c>
      <c r="T51" s="28" t="s">
        <v>214</v>
      </c>
      <c r="U51" s="44" t="n">
        <f aca="false">IF(J51="BUY",S51-M51,M51-S51)</f>
        <v>14.6000000000004</v>
      </c>
      <c r="V51" s="45" t="n">
        <v>0</v>
      </c>
      <c r="W51" s="45" t="n">
        <v>0</v>
      </c>
      <c r="X51" s="45" t="n">
        <v>90.52</v>
      </c>
      <c r="Y51" s="32" t="n">
        <f aca="false">IFERROR(X51/R51,0)</f>
        <v>2.38952536824926</v>
      </c>
      <c r="Z51" s="28" t="str">
        <f aca="false">IF(X51&gt;0,"Win",IF(X51&lt;0,"Loss","Flat"))</f>
        <v>Win</v>
      </c>
      <c r="AA51" s="28" t="n">
        <f aca="false">ROUND((C51-B51)*1440,1)</f>
        <v>4.4</v>
      </c>
      <c r="AB51" s="28" t="str">
        <f aca="false">IF(AA51&lt;1,"a) &lt;1 min",IF(AA51&lt;10,"b) 1-10 min",IF(AA51&lt;60,"c) 10-60 min",IF(AA51&lt;240,"d) 1-4 h","e) 4 h+"))))</f>
        <v>b) 1-10 min</v>
      </c>
      <c r="AC51" s="28" t="str">
        <f aca="false">IF(P51&lt;10,"a) &lt;10",IF(P51&lt;20,"b) 10-20",IF(P51&lt;40,"c) 20-40",IF(P51&lt;80,"d) 40-80","e) 80+"))))</f>
        <v>a) &lt;10</v>
      </c>
      <c r="AD51" s="30" t="n">
        <f aca="false">Summary!$C$5+SUM(X$2:X51)</f>
        <v>99723.87</v>
      </c>
      <c r="AE51" s="30" t="n">
        <f aca="false">MAX(AE50,AD51)</f>
        <v>100224.34</v>
      </c>
      <c r="AF51" s="30" t="n">
        <f aca="false">AE51-AD51</f>
        <v>500.470000000001</v>
      </c>
      <c r="AG51" s="29" t="n">
        <f aca="false">IFERROR(AF51/AE51,0)</f>
        <v>0.00499349758751219</v>
      </c>
    </row>
    <row r="52" customFormat="false" ht="15" hidden="false" customHeight="false" outlineLevel="0" collapsed="false">
      <c r="A52" s="28" t="n">
        <v>51</v>
      </c>
      <c r="B52" s="43" t="n">
        <v>45086.6166666667</v>
      </c>
      <c r="C52" s="43" t="n">
        <v>45086.6202314815</v>
      </c>
      <c r="D52" s="42" t="n">
        <f aca="false">INT(C52)</f>
        <v>45086</v>
      </c>
      <c r="E52" s="42" t="n">
        <f aca="false">D52-WEEKDAY(D52,3)</f>
        <v>45082</v>
      </c>
      <c r="F52" s="28" t="s">
        <v>145</v>
      </c>
      <c r="G52" s="28" t="n">
        <v>2023</v>
      </c>
      <c r="H52" s="28" t="s">
        <v>242</v>
      </c>
      <c r="I52" s="28" t="n">
        <v>14</v>
      </c>
      <c r="J52" s="28" t="s">
        <v>233</v>
      </c>
      <c r="K52" s="28" t="s">
        <v>234</v>
      </c>
      <c r="L52" s="28" t="n">
        <v>0.3</v>
      </c>
      <c r="M52" s="31" t="n">
        <v>14506.84</v>
      </c>
      <c r="N52" s="31" t="n">
        <v>14499.19</v>
      </c>
      <c r="O52" s="31" t="n">
        <v>14522.71</v>
      </c>
      <c r="P52" s="44" t="n">
        <f aca="false">ABS(M52-N52)</f>
        <v>7.64999999999964</v>
      </c>
      <c r="Q52" s="44" t="n">
        <f aca="false">IF(O52="","",ABS(O52-M52))</f>
        <v>15.869999999999</v>
      </c>
      <c r="R52" s="30" t="n">
        <f aca="false">P52*L52*Summary!$C$6</f>
        <v>45.8999999999978</v>
      </c>
      <c r="S52" s="31" t="n">
        <v>14498.84</v>
      </c>
      <c r="T52" s="28" t="s">
        <v>241</v>
      </c>
      <c r="U52" s="44" t="n">
        <f aca="false">IF(J52="BUY",S52-M52,M52-S52)</f>
        <v>-8</v>
      </c>
      <c r="V52" s="45" t="n">
        <v>0</v>
      </c>
      <c r="W52" s="45" t="n">
        <v>0</v>
      </c>
      <c r="X52" s="45" t="n">
        <v>-48</v>
      </c>
      <c r="Y52" s="32" t="n">
        <f aca="false">IFERROR(X52/R52,0)</f>
        <v>-1.04575163398698</v>
      </c>
      <c r="Z52" s="28" t="str">
        <f aca="false">IF(X52&gt;0,"Win",IF(X52&lt;0,"Loss","Flat"))</f>
        <v>Loss</v>
      </c>
      <c r="AA52" s="28" t="n">
        <f aca="false">ROUND((C52-B52)*1440,1)</f>
        <v>5.1</v>
      </c>
      <c r="AB52" s="28" t="str">
        <f aca="false">IF(AA52&lt;1,"a) &lt;1 min",IF(AA52&lt;10,"b) 1-10 min",IF(AA52&lt;60,"c) 10-60 min",IF(AA52&lt;240,"d) 1-4 h","e) 4 h+"))))</f>
        <v>b) 1-10 min</v>
      </c>
      <c r="AC52" s="28" t="str">
        <f aca="false">IF(P52&lt;10,"a) &lt;10",IF(P52&lt;20,"b) 10-20",IF(P52&lt;40,"c) 20-40",IF(P52&lt;80,"d) 40-80","e) 80+"))))</f>
        <v>a) &lt;10</v>
      </c>
      <c r="AD52" s="30" t="n">
        <f aca="false">Summary!$C$5+SUM(X$2:X52)</f>
        <v>99675.87</v>
      </c>
      <c r="AE52" s="30" t="n">
        <f aca="false">MAX(AE51,AD52)</f>
        <v>100224.34</v>
      </c>
      <c r="AF52" s="30" t="n">
        <f aca="false">AE52-AD52</f>
        <v>548.470000000001</v>
      </c>
      <c r="AG52" s="29" t="n">
        <f aca="false">IFERROR(AF52/AE52,0)</f>
        <v>0.0054724231658697</v>
      </c>
    </row>
    <row r="53" customFormat="false" ht="15" hidden="false" customHeight="false" outlineLevel="0" collapsed="false">
      <c r="A53" s="28" t="n">
        <v>52</v>
      </c>
      <c r="B53" s="43" t="n">
        <v>45089.8638888889</v>
      </c>
      <c r="C53" s="43" t="n">
        <v>45089.8732638889</v>
      </c>
      <c r="D53" s="42" t="n">
        <f aca="false">INT(C53)</f>
        <v>45089</v>
      </c>
      <c r="E53" s="42" t="n">
        <f aca="false">D53-WEEKDAY(D53,3)</f>
        <v>45089</v>
      </c>
      <c r="F53" s="28" t="s">
        <v>145</v>
      </c>
      <c r="G53" s="28" t="n">
        <v>2023</v>
      </c>
      <c r="H53" s="28" t="s">
        <v>240</v>
      </c>
      <c r="I53" s="28" t="n">
        <v>20</v>
      </c>
      <c r="J53" s="28" t="s">
        <v>233</v>
      </c>
      <c r="K53" s="28" t="s">
        <v>234</v>
      </c>
      <c r="L53" s="28" t="n">
        <v>0.3</v>
      </c>
      <c r="M53" s="31" t="n">
        <v>14675.53</v>
      </c>
      <c r="N53" s="31" t="n">
        <v>14666.51</v>
      </c>
      <c r="O53" s="31" t="n">
        <v>14693.87</v>
      </c>
      <c r="P53" s="44" t="n">
        <f aca="false">ABS(M53-N53)</f>
        <v>9.02000000000044</v>
      </c>
      <c r="Q53" s="44" t="n">
        <f aca="false">IF(O53="","",ABS(O53-M53))</f>
        <v>18.3400000000001</v>
      </c>
      <c r="R53" s="30" t="n">
        <f aca="false">P53*L53*Summary!$C$6</f>
        <v>54.1200000000026</v>
      </c>
      <c r="S53" s="31" t="n">
        <v>14694</v>
      </c>
      <c r="T53" s="28" t="s">
        <v>214</v>
      </c>
      <c r="U53" s="44" t="n">
        <f aca="false">IF(J53="BUY",S53-M53,M53-S53)</f>
        <v>18.4699999999993</v>
      </c>
      <c r="V53" s="45" t="n">
        <v>0</v>
      </c>
      <c r="W53" s="45" t="n">
        <v>0</v>
      </c>
      <c r="X53" s="45" t="n">
        <v>110.82</v>
      </c>
      <c r="Y53" s="32" t="n">
        <f aca="false">IFERROR(X53/R53,0)</f>
        <v>2.04767184035467</v>
      </c>
      <c r="Z53" s="28" t="str">
        <f aca="false">IF(X53&gt;0,"Win",IF(X53&lt;0,"Loss","Flat"))</f>
        <v>Win</v>
      </c>
      <c r="AA53" s="28" t="n">
        <f aca="false">ROUND((C53-B53)*1440,1)</f>
        <v>13.5</v>
      </c>
      <c r="AB53" s="28" t="str">
        <f aca="false">IF(AA53&lt;1,"a) &lt;1 min",IF(AA53&lt;10,"b) 1-10 min",IF(AA53&lt;60,"c) 10-60 min",IF(AA53&lt;240,"d) 1-4 h","e) 4 h+"))))</f>
        <v>c) 10-60 min</v>
      </c>
      <c r="AC53" s="28" t="str">
        <f aca="false">IF(P53&lt;10,"a) &lt;10",IF(P53&lt;20,"b) 10-20",IF(P53&lt;40,"c) 20-40",IF(P53&lt;80,"d) 40-80","e) 80+"))))</f>
        <v>a) &lt;10</v>
      </c>
      <c r="AD53" s="30" t="n">
        <f aca="false">Summary!$C$5+SUM(X$2:X53)</f>
        <v>99786.69</v>
      </c>
      <c r="AE53" s="30" t="n">
        <f aca="false">MAX(AE52,AD53)</f>
        <v>100224.34</v>
      </c>
      <c r="AF53" s="30" t="n">
        <f aca="false">AE53-AD53</f>
        <v>437.649999999994</v>
      </c>
      <c r="AG53" s="29" t="n">
        <f aca="false">IFERROR(AF53/AE53,0)</f>
        <v>0.00436670373683672</v>
      </c>
    </row>
    <row r="54" customFormat="false" ht="15" hidden="false" customHeight="false" outlineLevel="0" collapsed="false">
      <c r="A54" s="28" t="n">
        <v>53</v>
      </c>
      <c r="B54" s="43" t="n">
        <v>45090.0423611111</v>
      </c>
      <c r="C54" s="43" t="n">
        <v>45090.1143865741</v>
      </c>
      <c r="D54" s="42" t="n">
        <f aca="false">INT(C54)</f>
        <v>45090</v>
      </c>
      <c r="E54" s="42" t="n">
        <f aca="false">D54-WEEKDAY(D54,3)</f>
        <v>45089</v>
      </c>
      <c r="F54" s="28" t="s">
        <v>145</v>
      </c>
      <c r="G54" s="28" t="n">
        <v>2023</v>
      </c>
      <c r="H54" s="28" t="s">
        <v>232</v>
      </c>
      <c r="I54" s="28" t="n">
        <v>1</v>
      </c>
      <c r="J54" s="28" t="s">
        <v>233</v>
      </c>
      <c r="K54" s="28" t="s">
        <v>234</v>
      </c>
      <c r="L54" s="28" t="n">
        <v>0.3</v>
      </c>
      <c r="M54" s="31" t="n">
        <v>14804.57</v>
      </c>
      <c r="N54" s="31" t="n">
        <v>14791.93</v>
      </c>
      <c r="O54" s="31" t="n">
        <v>14829.84</v>
      </c>
      <c r="P54" s="44" t="n">
        <f aca="false">ABS(M54-N54)</f>
        <v>12.6399999999994</v>
      </c>
      <c r="Q54" s="44" t="n">
        <f aca="false">IF(O54="","",ABS(O54-M54))</f>
        <v>25.2700000000004</v>
      </c>
      <c r="R54" s="30" t="n">
        <f aca="false">P54*L54*Summary!$C$6</f>
        <v>75.8399999999965</v>
      </c>
      <c r="S54" s="31" t="n">
        <v>14804.43</v>
      </c>
      <c r="T54" s="28" t="s">
        <v>238</v>
      </c>
      <c r="U54" s="44" t="n">
        <f aca="false">IF(J54="BUY",S54-M54,M54-S54)</f>
        <v>-0.139999999999418</v>
      </c>
      <c r="V54" s="45" t="n">
        <v>0</v>
      </c>
      <c r="W54" s="45" t="n">
        <v>0</v>
      </c>
      <c r="X54" s="45" t="n">
        <v>-0.84</v>
      </c>
      <c r="Y54" s="32" t="n">
        <f aca="false">IFERROR(X54/R54,0)</f>
        <v>-0.0110759493670891</v>
      </c>
      <c r="Z54" s="28" t="str">
        <f aca="false">IF(X54&gt;0,"Win",IF(X54&lt;0,"Loss","Flat"))</f>
        <v>Loss</v>
      </c>
      <c r="AA54" s="28" t="n">
        <f aca="false">ROUND((C54-B54)*1440,1)</f>
        <v>103.7</v>
      </c>
      <c r="AB54" s="28" t="str">
        <f aca="false">IF(AA54&lt;1,"a) &lt;1 min",IF(AA54&lt;10,"b) 1-10 min",IF(AA54&lt;60,"c) 10-60 min",IF(AA54&lt;240,"d) 1-4 h","e) 4 h+"))))</f>
        <v>d) 1-4 h</v>
      </c>
      <c r="AC54" s="28" t="str">
        <f aca="false">IF(P54&lt;10,"a) &lt;10",IF(P54&lt;20,"b) 10-20",IF(P54&lt;40,"c) 20-40",IF(P54&lt;80,"d) 40-80","e) 80+"))))</f>
        <v>b) 10-20</v>
      </c>
      <c r="AD54" s="30" t="n">
        <f aca="false">Summary!$C$5+SUM(X$2:X54)</f>
        <v>99785.85</v>
      </c>
      <c r="AE54" s="30" t="n">
        <f aca="false">MAX(AE53,AD54)</f>
        <v>100224.34</v>
      </c>
      <c r="AF54" s="30" t="n">
        <f aca="false">AE54-AD54</f>
        <v>438.489999999991</v>
      </c>
      <c r="AG54" s="29" t="n">
        <f aca="false">IFERROR(AF54/AE54,0)</f>
        <v>0.00437508493445794</v>
      </c>
    </row>
    <row r="55" customFormat="false" ht="15" hidden="false" customHeight="false" outlineLevel="0" collapsed="false">
      <c r="A55" s="28" t="n">
        <v>54</v>
      </c>
      <c r="B55" s="43" t="n">
        <v>45091.7201388889</v>
      </c>
      <c r="C55" s="43" t="n">
        <v>45091.7258912037</v>
      </c>
      <c r="D55" s="42" t="n">
        <f aca="false">INT(C55)</f>
        <v>45091</v>
      </c>
      <c r="E55" s="42" t="n">
        <f aca="false">D55-WEEKDAY(D55,3)</f>
        <v>45089</v>
      </c>
      <c r="F55" s="28" t="s">
        <v>145</v>
      </c>
      <c r="G55" s="28" t="n">
        <v>2023</v>
      </c>
      <c r="H55" s="28" t="s">
        <v>235</v>
      </c>
      <c r="I55" s="28" t="n">
        <v>17</v>
      </c>
      <c r="J55" s="28" t="s">
        <v>233</v>
      </c>
      <c r="K55" s="28" t="s">
        <v>234</v>
      </c>
      <c r="L55" s="28" t="n">
        <v>0.3</v>
      </c>
      <c r="M55" s="31" t="n">
        <v>14955.77</v>
      </c>
      <c r="N55" s="31" t="n">
        <v>14937.44</v>
      </c>
      <c r="O55" s="31" t="n">
        <v>14993.09</v>
      </c>
      <c r="P55" s="44" t="n">
        <f aca="false">ABS(M55-N55)</f>
        <v>18.3299999999999</v>
      </c>
      <c r="Q55" s="44" t="n">
        <f aca="false">IF(O55="","",ABS(O55-M55))</f>
        <v>37.3199999999997</v>
      </c>
      <c r="R55" s="30" t="n">
        <f aca="false">P55*L55*Summary!$C$6</f>
        <v>109.98</v>
      </c>
      <c r="S55" s="31" t="n">
        <v>14937.28</v>
      </c>
      <c r="T55" s="28" t="s">
        <v>241</v>
      </c>
      <c r="U55" s="44" t="n">
        <f aca="false">IF(J55="BUY",S55-M55,M55-S55)</f>
        <v>-18.4899999999998</v>
      </c>
      <c r="V55" s="45" t="n">
        <v>0</v>
      </c>
      <c r="W55" s="45" t="n">
        <v>0</v>
      </c>
      <c r="X55" s="45" t="n">
        <v>-110.94</v>
      </c>
      <c r="Y55" s="32" t="n">
        <f aca="false">IFERROR(X55/R55,0)</f>
        <v>-1.00872885979269</v>
      </c>
      <c r="Z55" s="28" t="str">
        <f aca="false">IF(X55&gt;0,"Win",IF(X55&lt;0,"Loss","Flat"))</f>
        <v>Loss</v>
      </c>
      <c r="AA55" s="28" t="n">
        <f aca="false">ROUND((C55-B55)*1440,1)</f>
        <v>8.3</v>
      </c>
      <c r="AB55" s="28" t="str">
        <f aca="false">IF(AA55&lt;1,"a) &lt;1 min",IF(AA55&lt;10,"b) 1-10 min",IF(AA55&lt;60,"c) 10-60 min",IF(AA55&lt;240,"d) 1-4 h","e) 4 h+"))))</f>
        <v>b) 1-10 min</v>
      </c>
      <c r="AC55" s="28" t="str">
        <f aca="false">IF(P55&lt;10,"a) &lt;10",IF(P55&lt;20,"b) 10-20",IF(P55&lt;40,"c) 20-40",IF(P55&lt;80,"d) 40-80","e) 80+"))))</f>
        <v>b) 10-20</v>
      </c>
      <c r="AD55" s="30" t="n">
        <f aca="false">Summary!$C$5+SUM(X$2:X55)</f>
        <v>99674.91</v>
      </c>
      <c r="AE55" s="30" t="n">
        <f aca="false">MAX(AE54,AD55)</f>
        <v>100224.34</v>
      </c>
      <c r="AF55" s="30" t="n">
        <f aca="false">AE55-AD55</f>
        <v>549.429999999993</v>
      </c>
      <c r="AG55" s="29" t="n">
        <f aca="false">IFERROR(AF55/AE55,0)</f>
        <v>0.00548200167743677</v>
      </c>
    </row>
    <row r="56" customFormat="false" ht="15" hidden="false" customHeight="false" outlineLevel="0" collapsed="false">
      <c r="A56" s="28" t="n">
        <v>55</v>
      </c>
      <c r="B56" s="43" t="n">
        <v>45092.0430671296</v>
      </c>
      <c r="C56" s="43" t="n">
        <v>45092.0548726852</v>
      </c>
      <c r="D56" s="42" t="n">
        <f aca="false">INT(C56)</f>
        <v>45092</v>
      </c>
      <c r="E56" s="42" t="n">
        <f aca="false">D56-WEEKDAY(D56,3)</f>
        <v>45089</v>
      </c>
      <c r="F56" s="28" t="s">
        <v>145</v>
      </c>
      <c r="G56" s="28" t="n">
        <v>2023</v>
      </c>
      <c r="H56" s="28" t="s">
        <v>239</v>
      </c>
      <c r="I56" s="28" t="n">
        <v>1</v>
      </c>
      <c r="J56" s="28" t="s">
        <v>233</v>
      </c>
      <c r="K56" s="28" t="s">
        <v>234</v>
      </c>
      <c r="L56" s="28" t="n">
        <v>0.29</v>
      </c>
      <c r="M56" s="31" t="n">
        <v>15030.02</v>
      </c>
      <c r="N56" s="31" t="n">
        <v>15019.41</v>
      </c>
      <c r="O56" s="31" t="n">
        <v>15051.24</v>
      </c>
      <c r="P56" s="44" t="n">
        <f aca="false">ABS(M56-N56)</f>
        <v>10.6100000000006</v>
      </c>
      <c r="Q56" s="44" t="n">
        <f aca="false">IF(O56="","",ABS(O56-M56))</f>
        <v>21.2199999999993</v>
      </c>
      <c r="R56" s="30" t="n">
        <f aca="false">P56*L56*Summary!$C$6</f>
        <v>61.5380000000034</v>
      </c>
      <c r="S56" s="31" t="n">
        <v>15019.32</v>
      </c>
      <c r="T56" s="28" t="s">
        <v>241</v>
      </c>
      <c r="U56" s="44" t="n">
        <f aca="false">IF(J56="BUY",S56-M56,M56-S56)</f>
        <v>-10.7000000000007</v>
      </c>
      <c r="V56" s="45" t="n">
        <v>0</v>
      </c>
      <c r="W56" s="45" t="n">
        <v>0</v>
      </c>
      <c r="X56" s="45" t="n">
        <v>-62.06</v>
      </c>
      <c r="Y56" s="32" t="n">
        <f aca="false">IFERROR(X56/R56,0)</f>
        <v>-1.00848256361917</v>
      </c>
      <c r="Z56" s="28" t="str">
        <f aca="false">IF(X56&gt;0,"Win",IF(X56&lt;0,"Loss","Flat"))</f>
        <v>Loss</v>
      </c>
      <c r="AA56" s="28" t="n">
        <f aca="false">ROUND((C56-B56)*1440,1)</f>
        <v>17</v>
      </c>
      <c r="AB56" s="28" t="str">
        <f aca="false">IF(AA56&lt;1,"a) &lt;1 min",IF(AA56&lt;10,"b) 1-10 min",IF(AA56&lt;60,"c) 10-60 min",IF(AA56&lt;240,"d) 1-4 h","e) 4 h+"))))</f>
        <v>c) 10-60 min</v>
      </c>
      <c r="AC56" s="28" t="str">
        <f aca="false">IF(P56&lt;10,"a) &lt;10",IF(P56&lt;20,"b) 10-20",IF(P56&lt;40,"c) 20-40",IF(P56&lt;80,"d) 40-80","e) 80+"))))</f>
        <v>b) 10-20</v>
      </c>
      <c r="AD56" s="30" t="n">
        <f aca="false">Summary!$C$5+SUM(X$2:X56)</f>
        <v>99612.85</v>
      </c>
      <c r="AE56" s="30" t="n">
        <f aca="false">MAX(AE55,AD56)</f>
        <v>100224.34</v>
      </c>
      <c r="AF56" s="30" t="n">
        <f aca="false">AE56-AD56</f>
        <v>611.489999999991</v>
      </c>
      <c r="AG56" s="29" t="n">
        <f aca="false">IFERROR(AF56/AE56,0)</f>
        <v>0.00610121253978815</v>
      </c>
    </row>
    <row r="57" customFormat="false" ht="15" hidden="false" customHeight="false" outlineLevel="0" collapsed="false">
      <c r="A57" s="28" t="n">
        <v>56</v>
      </c>
      <c r="B57" s="43" t="n">
        <v>45093.68125</v>
      </c>
      <c r="C57" s="43" t="n">
        <v>45093.6847453704</v>
      </c>
      <c r="D57" s="42" t="n">
        <f aca="false">INT(C57)</f>
        <v>45093</v>
      </c>
      <c r="E57" s="42" t="n">
        <f aca="false">D57-WEEKDAY(D57,3)</f>
        <v>45089</v>
      </c>
      <c r="F57" s="28" t="s">
        <v>145</v>
      </c>
      <c r="G57" s="28" t="n">
        <v>2023</v>
      </c>
      <c r="H57" s="28" t="s">
        <v>242</v>
      </c>
      <c r="I57" s="28" t="n">
        <v>16</v>
      </c>
      <c r="J57" s="28" t="s">
        <v>233</v>
      </c>
      <c r="K57" s="28" t="s">
        <v>234</v>
      </c>
      <c r="L57" s="28" t="n">
        <v>0.29</v>
      </c>
      <c r="M57" s="31" t="n">
        <v>15254.54</v>
      </c>
      <c r="N57" s="31" t="n">
        <v>15242.06</v>
      </c>
      <c r="O57" s="31" t="n">
        <v>15281.67</v>
      </c>
      <c r="P57" s="44" t="n">
        <f aca="false">ABS(M57-N57)</f>
        <v>12.4800000000014</v>
      </c>
      <c r="Q57" s="44" t="n">
        <f aca="false">IF(O57="","",ABS(O57-M57))</f>
        <v>27.1299999999992</v>
      </c>
      <c r="R57" s="30" t="n">
        <f aca="false">P57*L57*Summary!$C$6</f>
        <v>72.384000000008</v>
      </c>
      <c r="S57" s="31" t="n">
        <v>15253.6</v>
      </c>
      <c r="T57" s="28" t="s">
        <v>238</v>
      </c>
      <c r="U57" s="44" t="n">
        <f aca="false">IF(J57="BUY",S57-M57,M57-S57)</f>
        <v>-0.940000000000509</v>
      </c>
      <c r="V57" s="45" t="n">
        <v>0</v>
      </c>
      <c r="W57" s="45" t="n">
        <v>0</v>
      </c>
      <c r="X57" s="45" t="n">
        <v>-5.45</v>
      </c>
      <c r="Y57" s="32" t="n">
        <f aca="false">IFERROR(X57/R57,0)</f>
        <v>-0.075292882404943</v>
      </c>
      <c r="Z57" s="28" t="str">
        <f aca="false">IF(X57&gt;0,"Win",IF(X57&lt;0,"Loss","Flat"))</f>
        <v>Loss</v>
      </c>
      <c r="AA57" s="28" t="n">
        <f aca="false">ROUND((C57-B57)*1440,1)</f>
        <v>5</v>
      </c>
      <c r="AB57" s="28" t="str">
        <f aca="false">IF(AA57&lt;1,"a) &lt;1 min",IF(AA57&lt;10,"b) 1-10 min",IF(AA57&lt;60,"c) 10-60 min",IF(AA57&lt;240,"d) 1-4 h","e) 4 h+"))))</f>
        <v>b) 1-10 min</v>
      </c>
      <c r="AC57" s="28" t="str">
        <f aca="false">IF(P57&lt;10,"a) &lt;10",IF(P57&lt;20,"b) 10-20",IF(P57&lt;40,"c) 20-40",IF(P57&lt;80,"d) 40-80","e) 80+"))))</f>
        <v>b) 10-20</v>
      </c>
      <c r="AD57" s="30" t="n">
        <f aca="false">Summary!$C$5+SUM(X$2:X57)</f>
        <v>99607.4</v>
      </c>
      <c r="AE57" s="30" t="n">
        <f aca="false">MAX(AE56,AD57)</f>
        <v>100224.34</v>
      </c>
      <c r="AF57" s="30" t="n">
        <f aca="false">AE57-AD57</f>
        <v>616.940000000002</v>
      </c>
      <c r="AG57" s="29" t="n">
        <f aca="false">IFERROR(AF57/AE57,0)</f>
        <v>0.00615559054816427</v>
      </c>
    </row>
    <row r="58" customFormat="false" ht="15" hidden="false" customHeight="false" outlineLevel="0" collapsed="false">
      <c r="A58" s="28" t="n">
        <v>57</v>
      </c>
      <c r="B58" s="43" t="n">
        <v>45096.4854166667</v>
      </c>
      <c r="C58" s="43" t="n">
        <v>45096.4937847222</v>
      </c>
      <c r="D58" s="42" t="n">
        <f aca="false">INT(C58)</f>
        <v>45096</v>
      </c>
      <c r="E58" s="42" t="n">
        <f aca="false">D58-WEEKDAY(D58,3)</f>
        <v>45096</v>
      </c>
      <c r="F58" s="28" t="s">
        <v>145</v>
      </c>
      <c r="G58" s="28" t="n">
        <v>2023</v>
      </c>
      <c r="H58" s="28" t="s">
        <v>240</v>
      </c>
      <c r="I58" s="28" t="n">
        <v>11</v>
      </c>
      <c r="J58" s="28" t="s">
        <v>236</v>
      </c>
      <c r="K58" s="28" t="s">
        <v>237</v>
      </c>
      <c r="L58" s="28" t="n">
        <v>0.29</v>
      </c>
      <c r="M58" s="31" t="n">
        <v>15070.6</v>
      </c>
      <c r="N58" s="31" t="n">
        <v>15079.76</v>
      </c>
      <c r="O58" s="31" t="n">
        <v>15052.28</v>
      </c>
      <c r="P58" s="44" t="n">
        <f aca="false">ABS(M58-N58)</f>
        <v>9.15999999999985</v>
      </c>
      <c r="Q58" s="44" t="n">
        <f aca="false">IF(O58="","",ABS(O58-M58))</f>
        <v>18.3199999999997</v>
      </c>
      <c r="R58" s="30" t="n">
        <f aca="false">P58*L58*Summary!$C$6</f>
        <v>53.1279999999992</v>
      </c>
      <c r="S58" s="31" t="n">
        <v>15079.9</v>
      </c>
      <c r="T58" s="28" t="s">
        <v>241</v>
      </c>
      <c r="U58" s="44" t="n">
        <f aca="false">IF(J58="BUY",S58-M58,M58-S58)</f>
        <v>-9.29999999999927</v>
      </c>
      <c r="V58" s="45" t="n">
        <v>0</v>
      </c>
      <c r="W58" s="45" t="n">
        <v>0</v>
      </c>
      <c r="X58" s="45" t="n">
        <v>-53.94</v>
      </c>
      <c r="Y58" s="32" t="n">
        <f aca="false">IFERROR(X58/R58,0)</f>
        <v>-1.01528384279478</v>
      </c>
      <c r="Z58" s="28" t="str">
        <f aca="false">IF(X58&gt;0,"Win",IF(X58&lt;0,"Loss","Flat"))</f>
        <v>Loss</v>
      </c>
      <c r="AA58" s="28" t="n">
        <f aca="false">ROUND((C58-B58)*1440,1)</f>
        <v>12.1</v>
      </c>
      <c r="AB58" s="28" t="str">
        <f aca="false">IF(AA58&lt;1,"a) &lt;1 min",IF(AA58&lt;10,"b) 1-10 min",IF(AA58&lt;60,"c) 10-60 min",IF(AA58&lt;240,"d) 1-4 h","e) 4 h+"))))</f>
        <v>c) 10-60 min</v>
      </c>
      <c r="AC58" s="28" t="str">
        <f aca="false">IF(P58&lt;10,"a) &lt;10",IF(P58&lt;20,"b) 10-20",IF(P58&lt;40,"c) 20-40",IF(P58&lt;80,"d) 40-80","e) 80+"))))</f>
        <v>a) &lt;10</v>
      </c>
      <c r="AD58" s="30" t="n">
        <f aca="false">Summary!$C$5+SUM(X$2:X58)</f>
        <v>99553.46</v>
      </c>
      <c r="AE58" s="30" t="n">
        <f aca="false">MAX(AE57,AD58)</f>
        <v>100224.34</v>
      </c>
      <c r="AF58" s="30" t="n">
        <f aca="false">AE58-AD58</f>
        <v>670.87999999999</v>
      </c>
      <c r="AG58" s="29" t="n">
        <f aca="false">IFERROR(AF58/AE58,0)</f>
        <v>0.00669378316684341</v>
      </c>
    </row>
    <row r="59" customFormat="false" ht="15" hidden="false" customHeight="false" outlineLevel="0" collapsed="false">
      <c r="A59" s="28" t="n">
        <v>58</v>
      </c>
      <c r="B59" s="43" t="n">
        <v>45097.2145833333</v>
      </c>
      <c r="C59" s="43" t="n">
        <v>45097.2169907407</v>
      </c>
      <c r="D59" s="42" t="n">
        <f aca="false">INT(C59)</f>
        <v>45097</v>
      </c>
      <c r="E59" s="42" t="n">
        <f aca="false">D59-WEEKDAY(D59,3)</f>
        <v>45096</v>
      </c>
      <c r="F59" s="28" t="s">
        <v>145</v>
      </c>
      <c r="G59" s="28" t="n">
        <v>2023</v>
      </c>
      <c r="H59" s="28" t="s">
        <v>232</v>
      </c>
      <c r="I59" s="28" t="n">
        <v>5</v>
      </c>
      <c r="J59" s="28" t="s">
        <v>236</v>
      </c>
      <c r="K59" s="28" t="s">
        <v>237</v>
      </c>
      <c r="L59" s="28" t="n">
        <v>0.29</v>
      </c>
      <c r="M59" s="31" t="n">
        <v>15043.6</v>
      </c>
      <c r="N59" s="31" t="n">
        <v>15048.8</v>
      </c>
      <c r="O59" s="31" t="n">
        <v>15033.21</v>
      </c>
      <c r="P59" s="44" t="n">
        <f aca="false">ABS(M59-N59)</f>
        <v>5.19999999999891</v>
      </c>
      <c r="Q59" s="44" t="n">
        <f aca="false">IF(O59="","",ABS(O59-M59))</f>
        <v>10.3900000000012</v>
      </c>
      <c r="R59" s="30" t="n">
        <f aca="false">P59*L59*Summary!$C$6</f>
        <v>30.1599999999937</v>
      </c>
      <c r="S59" s="31" t="n">
        <v>15049.31</v>
      </c>
      <c r="T59" s="28" t="s">
        <v>241</v>
      </c>
      <c r="U59" s="44" t="n">
        <f aca="false">IF(J59="BUY",S59-M59,M59-S59)</f>
        <v>-5.70999999999913</v>
      </c>
      <c r="V59" s="45" t="n">
        <v>0</v>
      </c>
      <c r="W59" s="45" t="n">
        <v>0</v>
      </c>
      <c r="X59" s="45" t="n">
        <v>-33.12</v>
      </c>
      <c r="Y59" s="32" t="n">
        <f aca="false">IFERROR(X59/R59,0)</f>
        <v>-1.0981432360745</v>
      </c>
      <c r="Z59" s="28" t="str">
        <f aca="false">IF(X59&gt;0,"Win",IF(X59&lt;0,"Loss","Flat"))</f>
        <v>Loss</v>
      </c>
      <c r="AA59" s="28" t="n">
        <f aca="false">ROUND((C59-B59)*1440,1)</f>
        <v>3.5</v>
      </c>
      <c r="AB59" s="28" t="str">
        <f aca="false">IF(AA59&lt;1,"a) &lt;1 min",IF(AA59&lt;10,"b) 1-10 min",IF(AA59&lt;60,"c) 10-60 min",IF(AA59&lt;240,"d) 1-4 h","e) 4 h+"))))</f>
        <v>b) 1-10 min</v>
      </c>
      <c r="AC59" s="28" t="str">
        <f aca="false">IF(P59&lt;10,"a) &lt;10",IF(P59&lt;20,"b) 10-20",IF(P59&lt;40,"c) 20-40",IF(P59&lt;80,"d) 40-80","e) 80+"))))</f>
        <v>a) &lt;10</v>
      </c>
      <c r="AD59" s="30" t="n">
        <f aca="false">Summary!$C$5+SUM(X$2:X59)</f>
        <v>99520.34</v>
      </c>
      <c r="AE59" s="30" t="n">
        <f aca="false">MAX(AE58,AD59)</f>
        <v>100224.34</v>
      </c>
      <c r="AF59" s="30" t="n">
        <f aca="false">AE59-AD59</f>
        <v>704</v>
      </c>
      <c r="AG59" s="29" t="n">
        <f aca="false">IFERROR(AF59/AE59,0)</f>
        <v>0.00702424181591019</v>
      </c>
    </row>
    <row r="60" customFormat="false" ht="15" hidden="false" customHeight="false" outlineLevel="0" collapsed="false">
      <c r="A60" s="28" t="n">
        <v>59</v>
      </c>
      <c r="B60" s="43" t="n">
        <v>45098.7069444444</v>
      </c>
      <c r="C60" s="43" t="n">
        <v>45098.7105902778</v>
      </c>
      <c r="D60" s="42" t="n">
        <f aca="false">INT(C60)</f>
        <v>45098</v>
      </c>
      <c r="E60" s="42" t="n">
        <f aca="false">D60-WEEKDAY(D60,3)</f>
        <v>45096</v>
      </c>
      <c r="F60" s="28" t="s">
        <v>145</v>
      </c>
      <c r="G60" s="28" t="n">
        <v>2023</v>
      </c>
      <c r="H60" s="28" t="s">
        <v>235</v>
      </c>
      <c r="I60" s="28" t="n">
        <v>16</v>
      </c>
      <c r="J60" s="28" t="s">
        <v>236</v>
      </c>
      <c r="K60" s="28" t="s">
        <v>237</v>
      </c>
      <c r="L60" s="28" t="n">
        <v>0.29</v>
      </c>
      <c r="M60" s="31" t="n">
        <v>14942.34</v>
      </c>
      <c r="N60" s="31" t="n">
        <v>14964.36</v>
      </c>
      <c r="O60" s="31" t="n">
        <v>14898.55</v>
      </c>
      <c r="P60" s="44" t="n">
        <f aca="false">ABS(M60-N60)</f>
        <v>22.0200000000004</v>
      </c>
      <c r="Q60" s="44" t="n">
        <f aca="false">IF(O60="","",ABS(O60-M60))</f>
        <v>43.7900000000009</v>
      </c>
      <c r="R60" s="30" t="n">
        <f aca="false">P60*L60*Summary!$C$6</f>
        <v>127.716000000003</v>
      </c>
      <c r="S60" s="31" t="n">
        <v>14898.27</v>
      </c>
      <c r="T60" s="28" t="s">
        <v>214</v>
      </c>
      <c r="U60" s="44" t="n">
        <f aca="false">IF(J60="BUY",S60-M60,M60-S60)</f>
        <v>44.0699999999997</v>
      </c>
      <c r="V60" s="45" t="n">
        <v>0</v>
      </c>
      <c r="W60" s="45" t="n">
        <v>0</v>
      </c>
      <c r="X60" s="45" t="n">
        <v>255.61</v>
      </c>
      <c r="Y60" s="32" t="n">
        <f aca="false">IFERROR(X60/R60,0)</f>
        <v>2.00139371731024</v>
      </c>
      <c r="Z60" s="28" t="str">
        <f aca="false">IF(X60&gt;0,"Win",IF(X60&lt;0,"Loss","Flat"))</f>
        <v>Win</v>
      </c>
      <c r="AA60" s="28" t="n">
        <f aca="false">ROUND((C60-B60)*1440,1)</f>
        <v>5.3</v>
      </c>
      <c r="AB60" s="28" t="str">
        <f aca="false">IF(AA60&lt;1,"a) &lt;1 min",IF(AA60&lt;10,"b) 1-10 min",IF(AA60&lt;60,"c) 10-60 min",IF(AA60&lt;240,"d) 1-4 h","e) 4 h+"))))</f>
        <v>b) 1-10 min</v>
      </c>
      <c r="AC60" s="28" t="str">
        <f aca="false">IF(P60&lt;10,"a) &lt;10",IF(P60&lt;20,"b) 10-20",IF(P60&lt;40,"c) 20-40",IF(P60&lt;80,"d) 40-80","e) 80+"))))</f>
        <v>c) 20-40</v>
      </c>
      <c r="AD60" s="30" t="n">
        <f aca="false">Summary!$C$5+SUM(X$2:X60)</f>
        <v>99775.95</v>
      </c>
      <c r="AE60" s="30" t="n">
        <f aca="false">MAX(AE59,AD60)</f>
        <v>100224.34</v>
      </c>
      <c r="AF60" s="30" t="n">
        <f aca="false">AE60-AD60</f>
        <v>448.389999999999</v>
      </c>
      <c r="AG60" s="29" t="n">
        <f aca="false">IFERROR(AF60/AE60,0)</f>
        <v>0.00447386333499427</v>
      </c>
    </row>
    <row r="61" customFormat="false" ht="15" hidden="false" customHeight="false" outlineLevel="0" collapsed="false">
      <c r="A61" s="28" t="n">
        <v>60</v>
      </c>
      <c r="B61" s="43" t="n">
        <v>45099.3382060185</v>
      </c>
      <c r="C61" s="43" t="n">
        <v>45099.3452893519</v>
      </c>
      <c r="D61" s="42" t="n">
        <f aca="false">INT(C61)</f>
        <v>45099</v>
      </c>
      <c r="E61" s="42" t="n">
        <f aca="false">D61-WEEKDAY(D61,3)</f>
        <v>45096</v>
      </c>
      <c r="F61" s="28" t="s">
        <v>145</v>
      </c>
      <c r="G61" s="28" t="n">
        <v>2023</v>
      </c>
      <c r="H61" s="28" t="s">
        <v>239</v>
      </c>
      <c r="I61" s="28" t="n">
        <v>8</v>
      </c>
      <c r="J61" s="28" t="s">
        <v>236</v>
      </c>
      <c r="K61" s="28" t="s">
        <v>237</v>
      </c>
      <c r="L61" s="28" t="n">
        <v>0.3</v>
      </c>
      <c r="M61" s="31" t="n">
        <v>14819.52</v>
      </c>
      <c r="N61" s="31" t="n">
        <v>14826.38</v>
      </c>
      <c r="O61" s="31" t="n">
        <v>14806.46</v>
      </c>
      <c r="P61" s="44" t="n">
        <f aca="false">ABS(M61-N61)</f>
        <v>6.85999999999876</v>
      </c>
      <c r="Q61" s="44" t="n">
        <f aca="false">IF(O61="","",ABS(O61-M61))</f>
        <v>13.0600000000013</v>
      </c>
      <c r="R61" s="30" t="n">
        <f aca="false">P61*L61*Summary!$C$6</f>
        <v>41.1599999999926</v>
      </c>
      <c r="S61" s="31" t="n">
        <v>14819.57</v>
      </c>
      <c r="T61" s="28" t="s">
        <v>238</v>
      </c>
      <c r="U61" s="44" t="n">
        <f aca="false">IF(J61="BUY",S61-M61,M61-S61)</f>
        <v>-0.0499999999992724</v>
      </c>
      <c r="V61" s="45" t="n">
        <v>0</v>
      </c>
      <c r="W61" s="45" t="n">
        <v>0</v>
      </c>
      <c r="X61" s="45" t="n">
        <v>-0.3</v>
      </c>
      <c r="Y61" s="32" t="n">
        <f aca="false">IFERROR(X61/R61,0)</f>
        <v>-0.00728862973761064</v>
      </c>
      <c r="Z61" s="28" t="str">
        <f aca="false">IF(X61&gt;0,"Win",IF(X61&lt;0,"Loss","Flat"))</f>
        <v>Loss</v>
      </c>
      <c r="AA61" s="28" t="n">
        <f aca="false">ROUND((C61-B61)*1440,1)</f>
        <v>10.2</v>
      </c>
      <c r="AB61" s="28" t="str">
        <f aca="false">IF(AA61&lt;1,"a) &lt;1 min",IF(AA61&lt;10,"b) 1-10 min",IF(AA61&lt;60,"c) 10-60 min",IF(AA61&lt;240,"d) 1-4 h","e) 4 h+"))))</f>
        <v>c) 10-60 min</v>
      </c>
      <c r="AC61" s="28" t="str">
        <f aca="false">IF(P61&lt;10,"a) &lt;10",IF(P61&lt;20,"b) 10-20",IF(P61&lt;40,"c) 20-40",IF(P61&lt;80,"d) 40-80","e) 80+"))))</f>
        <v>a) &lt;10</v>
      </c>
      <c r="AD61" s="30" t="n">
        <f aca="false">Summary!$C$5+SUM(X$2:X61)</f>
        <v>99775.65</v>
      </c>
      <c r="AE61" s="30" t="n">
        <f aca="false">MAX(AE60,AD61)</f>
        <v>100224.34</v>
      </c>
      <c r="AF61" s="30" t="n">
        <f aca="false">AE61-AD61</f>
        <v>448.690000000002</v>
      </c>
      <c r="AG61" s="29" t="n">
        <f aca="false">IFERROR(AF61/AE61,0)</f>
        <v>0.00447685661985903</v>
      </c>
    </row>
    <row r="62" customFormat="false" ht="15" hidden="false" customHeight="false" outlineLevel="0" collapsed="false">
      <c r="A62" s="28" t="n">
        <v>61</v>
      </c>
      <c r="B62" s="43" t="n">
        <v>45100.0423611111</v>
      </c>
      <c r="C62" s="43" t="n">
        <v>45100.1251157407</v>
      </c>
      <c r="D62" s="42" t="n">
        <f aca="false">INT(C62)</f>
        <v>45100</v>
      </c>
      <c r="E62" s="42" t="n">
        <f aca="false">D62-WEEKDAY(D62,3)</f>
        <v>45096</v>
      </c>
      <c r="F62" s="28" t="s">
        <v>145</v>
      </c>
      <c r="G62" s="28" t="n">
        <v>2023</v>
      </c>
      <c r="H62" s="28" t="s">
        <v>242</v>
      </c>
      <c r="I62" s="28" t="n">
        <v>1</v>
      </c>
      <c r="J62" s="28" t="s">
        <v>233</v>
      </c>
      <c r="K62" s="28" t="s">
        <v>234</v>
      </c>
      <c r="L62" s="28" t="n">
        <v>0.29</v>
      </c>
      <c r="M62" s="31" t="n">
        <v>15053.87</v>
      </c>
      <c r="N62" s="31" t="n">
        <v>15044.13</v>
      </c>
      <c r="O62" s="31" t="n">
        <v>15073.35</v>
      </c>
      <c r="P62" s="44" t="n">
        <f aca="false">ABS(M62-N62)</f>
        <v>9.7400000000016</v>
      </c>
      <c r="Q62" s="44" t="n">
        <f aca="false">IF(O62="","",ABS(O62-M62))</f>
        <v>19.4799999999996</v>
      </c>
      <c r="R62" s="30" t="n">
        <f aca="false">P62*L62*Summary!$C$6</f>
        <v>56.4920000000093</v>
      </c>
      <c r="S62" s="31" t="n">
        <v>15044.12</v>
      </c>
      <c r="T62" s="28" t="s">
        <v>241</v>
      </c>
      <c r="U62" s="44" t="n">
        <f aca="false">IF(J62="BUY",S62-M62,M62-S62)</f>
        <v>-9.75</v>
      </c>
      <c r="V62" s="45" t="n">
        <v>0</v>
      </c>
      <c r="W62" s="45" t="n">
        <v>0</v>
      </c>
      <c r="X62" s="45" t="n">
        <v>-56.55</v>
      </c>
      <c r="Y62" s="32" t="n">
        <f aca="false">IFERROR(X62/R62,0)</f>
        <v>-1.00102669404501</v>
      </c>
      <c r="Z62" s="28" t="str">
        <f aca="false">IF(X62&gt;0,"Win",IF(X62&lt;0,"Loss","Flat"))</f>
        <v>Loss</v>
      </c>
      <c r="AA62" s="28" t="n">
        <f aca="false">ROUND((C62-B62)*1440,1)</f>
        <v>119.2</v>
      </c>
      <c r="AB62" s="28" t="str">
        <f aca="false">IF(AA62&lt;1,"a) &lt;1 min",IF(AA62&lt;10,"b) 1-10 min",IF(AA62&lt;60,"c) 10-60 min",IF(AA62&lt;240,"d) 1-4 h","e) 4 h+"))))</f>
        <v>d) 1-4 h</v>
      </c>
      <c r="AC62" s="28" t="str">
        <f aca="false">IF(P62&lt;10,"a) &lt;10",IF(P62&lt;20,"b) 10-20",IF(P62&lt;40,"c) 20-40",IF(P62&lt;80,"d) 40-80","e) 80+"))))</f>
        <v>a) &lt;10</v>
      </c>
      <c r="AD62" s="30" t="n">
        <f aca="false">Summary!$C$5+SUM(X$2:X62)</f>
        <v>99719.1</v>
      </c>
      <c r="AE62" s="30" t="n">
        <f aca="false">MAX(AE61,AD62)</f>
        <v>100224.34</v>
      </c>
      <c r="AF62" s="30" t="n">
        <f aca="false">AE62-AD62</f>
        <v>505.239999999991</v>
      </c>
      <c r="AG62" s="29" t="n">
        <f aca="false">IFERROR(AF62/AE62,0)</f>
        <v>0.00504109081686136</v>
      </c>
    </row>
    <row r="63" customFormat="false" ht="15" hidden="false" customHeight="false" outlineLevel="0" collapsed="false">
      <c r="A63" s="28" t="n">
        <v>62</v>
      </c>
      <c r="B63" s="43" t="n">
        <v>45103.7958333333</v>
      </c>
      <c r="C63" s="43" t="n">
        <v>45103.8186111111</v>
      </c>
      <c r="D63" s="42" t="n">
        <f aca="false">INT(C63)</f>
        <v>45103</v>
      </c>
      <c r="E63" s="42" t="n">
        <f aca="false">D63-WEEKDAY(D63,3)</f>
        <v>45103</v>
      </c>
      <c r="F63" s="28" t="s">
        <v>145</v>
      </c>
      <c r="G63" s="28" t="n">
        <v>2023</v>
      </c>
      <c r="H63" s="28" t="s">
        <v>240</v>
      </c>
      <c r="I63" s="28" t="n">
        <v>19</v>
      </c>
      <c r="J63" s="28" t="s">
        <v>236</v>
      </c>
      <c r="K63" s="28" t="s">
        <v>237</v>
      </c>
      <c r="L63" s="28" t="n">
        <v>0.3</v>
      </c>
      <c r="M63" s="31" t="n">
        <v>14786.83</v>
      </c>
      <c r="N63" s="31" t="n">
        <v>14812.36</v>
      </c>
      <c r="O63" s="31" t="n">
        <v>14736.87</v>
      </c>
      <c r="P63" s="44" t="n">
        <f aca="false">ABS(M63-N63)</f>
        <v>25.5300000000007</v>
      </c>
      <c r="Q63" s="44" t="n">
        <f aca="false">IF(O63="","",ABS(O63-M63))</f>
        <v>49.9599999999991</v>
      </c>
      <c r="R63" s="30" t="n">
        <f aca="false">P63*L63*Summary!$C$6</f>
        <v>153.180000000004</v>
      </c>
      <c r="S63" s="31" t="n">
        <v>14736.59</v>
      </c>
      <c r="T63" s="28" t="s">
        <v>214</v>
      </c>
      <c r="U63" s="44" t="n">
        <f aca="false">IF(J63="BUY",S63-M63,M63-S63)</f>
        <v>50.2399999999998</v>
      </c>
      <c r="V63" s="45" t="n">
        <v>0</v>
      </c>
      <c r="W63" s="45" t="n">
        <v>0</v>
      </c>
      <c r="X63" s="45" t="n">
        <v>301.44</v>
      </c>
      <c r="Y63" s="32" t="n">
        <f aca="false">IFERROR(X63/R63,0)</f>
        <v>1.96788092440261</v>
      </c>
      <c r="Z63" s="28" t="str">
        <f aca="false">IF(X63&gt;0,"Win",IF(X63&lt;0,"Loss","Flat"))</f>
        <v>Win</v>
      </c>
      <c r="AA63" s="28" t="n">
        <f aca="false">ROUND((C63-B63)*1440,1)</f>
        <v>32.8</v>
      </c>
      <c r="AB63" s="28" t="str">
        <f aca="false">IF(AA63&lt;1,"a) &lt;1 min",IF(AA63&lt;10,"b) 1-10 min",IF(AA63&lt;60,"c) 10-60 min",IF(AA63&lt;240,"d) 1-4 h","e) 4 h+"))))</f>
        <v>c) 10-60 min</v>
      </c>
      <c r="AC63" s="28" t="str">
        <f aca="false">IF(P63&lt;10,"a) &lt;10",IF(P63&lt;20,"b) 10-20",IF(P63&lt;40,"c) 20-40",IF(P63&lt;80,"d) 40-80","e) 80+"))))</f>
        <v>c) 20-40</v>
      </c>
      <c r="AD63" s="30" t="n">
        <f aca="false">Summary!$C$5+SUM(X$2:X63)</f>
        <v>100020.54</v>
      </c>
      <c r="AE63" s="30" t="n">
        <f aca="false">MAX(AE62,AD63)</f>
        <v>100224.34</v>
      </c>
      <c r="AF63" s="30" t="n">
        <f aca="false">AE63-AD63</f>
        <v>203.800000000003</v>
      </c>
      <c r="AG63" s="29" t="n">
        <f aca="false">IFERROR(AF63/AE63,0)</f>
        <v>0.0020334381847763</v>
      </c>
    </row>
    <row r="64" customFormat="false" ht="15" hidden="false" customHeight="false" outlineLevel="0" collapsed="false">
      <c r="A64" s="28" t="n">
        <v>63</v>
      </c>
      <c r="B64" s="43" t="n">
        <v>45105.7284722222</v>
      </c>
      <c r="C64" s="43" t="n">
        <v>45105.7357291667</v>
      </c>
      <c r="D64" s="42" t="n">
        <f aca="false">INT(C64)</f>
        <v>45105</v>
      </c>
      <c r="E64" s="42" t="n">
        <f aca="false">D64-WEEKDAY(D64,3)</f>
        <v>45103</v>
      </c>
      <c r="F64" s="28" t="s">
        <v>145</v>
      </c>
      <c r="G64" s="28" t="n">
        <v>2023</v>
      </c>
      <c r="H64" s="28" t="s">
        <v>235</v>
      </c>
      <c r="I64" s="28" t="n">
        <v>17</v>
      </c>
      <c r="J64" s="28" t="s">
        <v>233</v>
      </c>
      <c r="K64" s="28" t="s">
        <v>234</v>
      </c>
      <c r="L64" s="28" t="n">
        <v>0.3</v>
      </c>
      <c r="M64" s="31" t="n">
        <v>14977.6</v>
      </c>
      <c r="N64" s="31" t="n">
        <v>14951.56</v>
      </c>
      <c r="O64" s="31" t="n">
        <v>15028.84</v>
      </c>
      <c r="P64" s="44" t="n">
        <f aca="false">ABS(M64-N64)</f>
        <v>26.0400000000009</v>
      </c>
      <c r="Q64" s="44" t="n">
        <f aca="false">IF(O64="","",ABS(O64-M64))</f>
        <v>51.2399999999998</v>
      </c>
      <c r="R64" s="30" t="n">
        <f aca="false">P64*L64*Summary!$C$6</f>
        <v>156.240000000005</v>
      </c>
      <c r="S64" s="31" t="n">
        <v>15029.84</v>
      </c>
      <c r="T64" s="28" t="s">
        <v>214</v>
      </c>
      <c r="U64" s="44" t="n">
        <f aca="false">IF(J64="BUY",S64-M64,M64-S64)</f>
        <v>52.2399999999998</v>
      </c>
      <c r="V64" s="45" t="n">
        <v>0</v>
      </c>
      <c r="W64" s="45" t="n">
        <v>0</v>
      </c>
      <c r="X64" s="45" t="n">
        <v>313.44</v>
      </c>
      <c r="Y64" s="32" t="n">
        <f aca="false">IFERROR(X64/R64,0)</f>
        <v>2.0061443932411</v>
      </c>
      <c r="Z64" s="28" t="str">
        <f aca="false">IF(X64&gt;0,"Win",IF(X64&lt;0,"Loss","Flat"))</f>
        <v>Win</v>
      </c>
      <c r="AA64" s="28" t="n">
        <f aca="false">ROUND((C64-B64)*1440,1)</f>
        <v>10.5</v>
      </c>
      <c r="AB64" s="28" t="str">
        <f aca="false">IF(AA64&lt;1,"a) &lt;1 min",IF(AA64&lt;10,"b) 1-10 min",IF(AA64&lt;60,"c) 10-60 min",IF(AA64&lt;240,"d) 1-4 h","e) 4 h+"))))</f>
        <v>c) 10-60 min</v>
      </c>
      <c r="AC64" s="28" t="str">
        <f aca="false">IF(P64&lt;10,"a) &lt;10",IF(P64&lt;20,"b) 10-20",IF(P64&lt;40,"c) 20-40",IF(P64&lt;80,"d) 40-80","e) 80+"))))</f>
        <v>c) 20-40</v>
      </c>
      <c r="AD64" s="30" t="n">
        <f aca="false">Summary!$C$5+SUM(X$2:X64)</f>
        <v>100333.98</v>
      </c>
      <c r="AE64" s="30" t="n">
        <f aca="false">MAX(AE63,AD64)</f>
        <v>100333.98</v>
      </c>
      <c r="AF64" s="30" t="n">
        <f aca="false">AE64-AD64</f>
        <v>0</v>
      </c>
      <c r="AG64" s="29" t="n">
        <f aca="false">IFERROR(AF64/AE64,0)</f>
        <v>0</v>
      </c>
    </row>
    <row r="65" customFormat="false" ht="15" hidden="false" customHeight="false" outlineLevel="0" collapsed="false">
      <c r="A65" s="28" t="n">
        <v>64</v>
      </c>
      <c r="B65" s="43" t="n">
        <v>45107.6465277778</v>
      </c>
      <c r="C65" s="43" t="n">
        <v>45107.6489351852</v>
      </c>
      <c r="D65" s="42" t="n">
        <f aca="false">INT(C65)</f>
        <v>45107</v>
      </c>
      <c r="E65" s="42" t="n">
        <f aca="false">D65-WEEKDAY(D65,3)</f>
        <v>45103</v>
      </c>
      <c r="F65" s="28" t="s">
        <v>145</v>
      </c>
      <c r="G65" s="28" t="n">
        <v>2023</v>
      </c>
      <c r="H65" s="28" t="s">
        <v>242</v>
      </c>
      <c r="I65" s="28" t="n">
        <v>15</v>
      </c>
      <c r="J65" s="28" t="s">
        <v>233</v>
      </c>
      <c r="K65" s="28" t="s">
        <v>234</v>
      </c>
      <c r="L65" s="28" t="n">
        <v>0.3</v>
      </c>
      <c r="M65" s="31" t="n">
        <v>15049.71</v>
      </c>
      <c r="N65" s="31" t="n">
        <v>15035.07</v>
      </c>
      <c r="O65" s="31" t="n">
        <v>15079.12</v>
      </c>
      <c r="P65" s="44" t="n">
        <f aca="false">ABS(M65-N65)</f>
        <v>14.6399999999994</v>
      </c>
      <c r="Q65" s="44" t="n">
        <f aca="false">IF(O65="","",ABS(O65-M65))</f>
        <v>29.4100000000017</v>
      </c>
      <c r="R65" s="30" t="n">
        <f aca="false">P65*L65*Summary!$C$6</f>
        <v>87.8399999999965</v>
      </c>
      <c r="S65" s="31" t="n">
        <v>15079.76</v>
      </c>
      <c r="T65" s="28" t="s">
        <v>214</v>
      </c>
      <c r="U65" s="44" t="n">
        <f aca="false">IF(J65="BUY",S65-M65,M65-S65)</f>
        <v>30.0500000000011</v>
      </c>
      <c r="V65" s="45" t="n">
        <v>0</v>
      </c>
      <c r="W65" s="45" t="n">
        <v>0</v>
      </c>
      <c r="X65" s="45" t="n">
        <v>180.3</v>
      </c>
      <c r="Y65" s="32" t="n">
        <f aca="false">IFERROR(X65/R65,0)</f>
        <v>2.05259562841538</v>
      </c>
      <c r="Z65" s="28" t="str">
        <f aca="false">IF(X65&gt;0,"Win",IF(X65&lt;0,"Loss","Flat"))</f>
        <v>Win</v>
      </c>
      <c r="AA65" s="28" t="n">
        <f aca="false">ROUND((C65-B65)*1440,1)</f>
        <v>3.5</v>
      </c>
      <c r="AB65" s="28" t="str">
        <f aca="false">IF(AA65&lt;1,"a) &lt;1 min",IF(AA65&lt;10,"b) 1-10 min",IF(AA65&lt;60,"c) 10-60 min",IF(AA65&lt;240,"d) 1-4 h","e) 4 h+"))))</f>
        <v>b) 1-10 min</v>
      </c>
      <c r="AC65" s="28" t="str">
        <f aca="false">IF(P65&lt;10,"a) &lt;10",IF(P65&lt;20,"b) 10-20",IF(P65&lt;40,"c) 20-40",IF(P65&lt;80,"d) 40-80","e) 80+"))))</f>
        <v>b) 10-20</v>
      </c>
      <c r="AD65" s="30" t="n">
        <f aca="false">Summary!$C$5+SUM(X$2:X65)</f>
        <v>100514.28</v>
      </c>
      <c r="AE65" s="30" t="n">
        <f aca="false">MAX(AE64,AD65)</f>
        <v>100514.28</v>
      </c>
      <c r="AF65" s="30" t="n">
        <f aca="false">AE65-AD65</f>
        <v>0</v>
      </c>
      <c r="AG65" s="29" t="n">
        <f aca="false">IFERROR(AF65/AE65,0)</f>
        <v>0</v>
      </c>
    </row>
    <row r="66" customFormat="false" ht="15" hidden="false" customHeight="false" outlineLevel="0" collapsed="false">
      <c r="A66" s="28" t="n">
        <v>65</v>
      </c>
      <c r="B66" s="43" t="n">
        <v>45110.4631944444</v>
      </c>
      <c r="C66" s="43" t="n">
        <v>45110.4972337963</v>
      </c>
      <c r="D66" s="42" t="n">
        <f aca="false">INT(C66)</f>
        <v>45110</v>
      </c>
      <c r="E66" s="42" t="n">
        <f aca="false">D66-WEEKDAY(D66,3)</f>
        <v>45110</v>
      </c>
      <c r="F66" s="28" t="s">
        <v>146</v>
      </c>
      <c r="G66" s="28" t="n">
        <v>2023</v>
      </c>
      <c r="H66" s="28" t="s">
        <v>240</v>
      </c>
      <c r="I66" s="28" t="n">
        <v>11</v>
      </c>
      <c r="J66" s="28" t="s">
        <v>233</v>
      </c>
      <c r="K66" s="28" t="s">
        <v>234</v>
      </c>
      <c r="L66" s="28" t="n">
        <v>0.29</v>
      </c>
      <c r="M66" s="31" t="n">
        <v>15217.24</v>
      </c>
      <c r="N66" s="31" t="n">
        <v>15207.87</v>
      </c>
      <c r="O66" s="31" t="n">
        <v>15236.03</v>
      </c>
      <c r="P66" s="44" t="n">
        <f aca="false">ABS(M66-N66)</f>
        <v>9.36999999999898</v>
      </c>
      <c r="Q66" s="44" t="n">
        <f aca="false">IF(O66="","",ABS(O66-M66))</f>
        <v>18.7900000000009</v>
      </c>
      <c r="R66" s="30" t="n">
        <f aca="false">P66*L66*Summary!$C$6</f>
        <v>54.3459999999941</v>
      </c>
      <c r="S66" s="31" t="n">
        <v>15216.81</v>
      </c>
      <c r="T66" s="28" t="s">
        <v>238</v>
      </c>
      <c r="U66" s="44" t="n">
        <f aca="false">IF(J66="BUY",S66-M66,M66-S66)</f>
        <v>-0.430000000000291</v>
      </c>
      <c r="V66" s="45" t="n">
        <v>0</v>
      </c>
      <c r="W66" s="45" t="n">
        <v>0</v>
      </c>
      <c r="X66" s="45" t="n">
        <v>-2.49</v>
      </c>
      <c r="Y66" s="32" t="n">
        <f aca="false">IFERROR(X66/R66,0)</f>
        <v>-0.0458175394693312</v>
      </c>
      <c r="Z66" s="28" t="str">
        <f aca="false">IF(X66&gt;0,"Win",IF(X66&lt;0,"Loss","Flat"))</f>
        <v>Loss</v>
      </c>
      <c r="AA66" s="28" t="n">
        <f aca="false">ROUND((C66-B66)*1440,1)</f>
        <v>49</v>
      </c>
      <c r="AB66" s="28" t="str">
        <f aca="false">IF(AA66&lt;1,"a) &lt;1 min",IF(AA66&lt;10,"b) 1-10 min",IF(AA66&lt;60,"c) 10-60 min",IF(AA66&lt;240,"d) 1-4 h","e) 4 h+"))))</f>
        <v>c) 10-60 min</v>
      </c>
      <c r="AC66" s="28" t="str">
        <f aca="false">IF(P66&lt;10,"a) &lt;10",IF(P66&lt;20,"b) 10-20",IF(P66&lt;40,"c) 20-40",IF(P66&lt;80,"d) 40-80","e) 80+"))))</f>
        <v>a) &lt;10</v>
      </c>
      <c r="AD66" s="30" t="n">
        <f aca="false">Summary!$C$5+SUM(X$2:X66)</f>
        <v>100511.79</v>
      </c>
      <c r="AE66" s="30" t="n">
        <f aca="false">MAX(AE65,AD66)</f>
        <v>100514.28</v>
      </c>
      <c r="AF66" s="30" t="n">
        <f aca="false">AE66-AD66</f>
        <v>2.49000000000524</v>
      </c>
      <c r="AG66" s="29" t="n">
        <f aca="false">IFERROR(AF66/AE66,0)</f>
        <v>2.47725994754699E-005</v>
      </c>
    </row>
    <row r="67" customFormat="false" ht="15" hidden="false" customHeight="false" outlineLevel="0" collapsed="false">
      <c r="A67" s="28" t="n">
        <v>66</v>
      </c>
      <c r="B67" s="43" t="n">
        <v>45112.4090277778</v>
      </c>
      <c r="C67" s="43" t="n">
        <v>45112.4121643519</v>
      </c>
      <c r="D67" s="42" t="n">
        <f aca="false">INT(C67)</f>
        <v>45112</v>
      </c>
      <c r="E67" s="42" t="n">
        <f aca="false">D67-WEEKDAY(D67,3)</f>
        <v>45110</v>
      </c>
      <c r="F67" s="28" t="s">
        <v>146</v>
      </c>
      <c r="G67" s="28" t="n">
        <v>2023</v>
      </c>
      <c r="H67" s="28" t="s">
        <v>235</v>
      </c>
      <c r="I67" s="28" t="n">
        <v>9</v>
      </c>
      <c r="J67" s="28" t="s">
        <v>236</v>
      </c>
      <c r="K67" s="28" t="s">
        <v>237</v>
      </c>
      <c r="L67" s="28" t="n">
        <v>0.29</v>
      </c>
      <c r="M67" s="31" t="n">
        <v>15151.04</v>
      </c>
      <c r="N67" s="31" t="n">
        <v>15156.55</v>
      </c>
      <c r="O67" s="31" t="n">
        <v>15140.03</v>
      </c>
      <c r="P67" s="44" t="n">
        <f aca="false">ABS(M67-N67)</f>
        <v>5.5099999999984</v>
      </c>
      <c r="Q67" s="44" t="n">
        <f aca="false">IF(O67="","",ABS(O67-M67))</f>
        <v>11.0100000000002</v>
      </c>
      <c r="R67" s="30" t="n">
        <f aca="false">P67*L67*Summary!$C$6</f>
        <v>31.9579999999907</v>
      </c>
      <c r="S67" s="31" t="n">
        <v>15140.03</v>
      </c>
      <c r="T67" s="28" t="s">
        <v>214</v>
      </c>
      <c r="U67" s="44" t="n">
        <f aca="false">IF(J67="BUY",S67-M67,M67-S67)</f>
        <v>11.0100000000002</v>
      </c>
      <c r="V67" s="45" t="n">
        <v>0</v>
      </c>
      <c r="W67" s="45" t="n">
        <v>0</v>
      </c>
      <c r="X67" s="45" t="n">
        <v>63.86</v>
      </c>
      <c r="Y67" s="32" t="n">
        <f aca="false">IFERROR(X67/R67,0)</f>
        <v>1.99824770010697</v>
      </c>
      <c r="Z67" s="28" t="str">
        <f aca="false">IF(X67&gt;0,"Win",IF(X67&lt;0,"Loss","Flat"))</f>
        <v>Win</v>
      </c>
      <c r="AA67" s="28" t="n">
        <f aca="false">ROUND((C67-B67)*1440,1)</f>
        <v>4.5</v>
      </c>
      <c r="AB67" s="28" t="str">
        <f aca="false">IF(AA67&lt;1,"a) &lt;1 min",IF(AA67&lt;10,"b) 1-10 min",IF(AA67&lt;60,"c) 10-60 min",IF(AA67&lt;240,"d) 1-4 h","e) 4 h+"))))</f>
        <v>b) 1-10 min</v>
      </c>
      <c r="AC67" s="28" t="str">
        <f aca="false">IF(P67&lt;10,"a) &lt;10",IF(P67&lt;20,"b) 10-20",IF(P67&lt;40,"c) 20-40",IF(P67&lt;80,"d) 40-80","e) 80+"))))</f>
        <v>a) &lt;10</v>
      </c>
      <c r="AD67" s="30" t="n">
        <f aca="false">Summary!$C$5+SUM(X$2:X67)</f>
        <v>100575.65</v>
      </c>
      <c r="AE67" s="30" t="n">
        <f aca="false">MAX(AE66,AD67)</f>
        <v>100575.65</v>
      </c>
      <c r="AF67" s="30" t="n">
        <f aca="false">AE67-AD67</f>
        <v>0</v>
      </c>
      <c r="AG67" s="29" t="n">
        <f aca="false">IFERROR(AF67/AE67,0)</f>
        <v>0</v>
      </c>
    </row>
    <row r="68" customFormat="false" ht="15" hidden="false" customHeight="false" outlineLevel="0" collapsed="false">
      <c r="A68" s="28" t="n">
        <v>67</v>
      </c>
      <c r="B68" s="43" t="n">
        <v>45112.6993055556</v>
      </c>
      <c r="C68" s="43" t="n">
        <v>45112.7417824074</v>
      </c>
      <c r="D68" s="42" t="n">
        <f aca="false">INT(C68)</f>
        <v>45112</v>
      </c>
      <c r="E68" s="42" t="n">
        <f aca="false">D68-WEEKDAY(D68,3)</f>
        <v>45110</v>
      </c>
      <c r="F68" s="28" t="s">
        <v>146</v>
      </c>
      <c r="G68" s="28" t="n">
        <v>2023</v>
      </c>
      <c r="H68" s="28" t="s">
        <v>235</v>
      </c>
      <c r="I68" s="28" t="n">
        <v>16</v>
      </c>
      <c r="J68" s="28" t="s">
        <v>233</v>
      </c>
      <c r="K68" s="28" t="s">
        <v>234</v>
      </c>
      <c r="L68" s="28" t="n">
        <v>0.29</v>
      </c>
      <c r="M68" s="31" t="n">
        <v>15238.03</v>
      </c>
      <c r="N68" s="31" t="n">
        <v>15210.39</v>
      </c>
      <c r="O68" s="31" t="n">
        <v>15290.58</v>
      </c>
      <c r="P68" s="44" t="n">
        <f aca="false">ABS(M68-N68)</f>
        <v>27.6400000000012</v>
      </c>
      <c r="Q68" s="44" t="n">
        <f aca="false">IF(O68="","",ABS(O68-M68))</f>
        <v>52.5499999999993</v>
      </c>
      <c r="R68" s="30" t="n">
        <f aca="false">P68*L68*Summary!$C$6</f>
        <v>160.312000000007</v>
      </c>
      <c r="S68" s="31" t="n">
        <v>15237.83</v>
      </c>
      <c r="T68" s="28" t="s">
        <v>238</v>
      </c>
      <c r="U68" s="44" t="n">
        <f aca="false">IF(J68="BUY",S68-M68,M68-S68)</f>
        <v>-0.200000000000728</v>
      </c>
      <c r="V68" s="45" t="n">
        <v>0</v>
      </c>
      <c r="W68" s="45" t="n">
        <v>0</v>
      </c>
      <c r="X68" s="45" t="n">
        <v>-1.16</v>
      </c>
      <c r="Y68" s="32" t="n">
        <f aca="false">IFERROR(X68/R68,0)</f>
        <v>-0.00723589001447146</v>
      </c>
      <c r="Z68" s="28" t="str">
        <f aca="false">IF(X68&gt;0,"Win",IF(X68&lt;0,"Loss","Flat"))</f>
        <v>Loss</v>
      </c>
      <c r="AA68" s="28" t="n">
        <f aca="false">ROUND((C68-B68)*1440,1)</f>
        <v>61.2</v>
      </c>
      <c r="AB68" s="28" t="str">
        <f aca="false">IF(AA68&lt;1,"a) &lt;1 min",IF(AA68&lt;10,"b) 1-10 min",IF(AA68&lt;60,"c) 10-60 min",IF(AA68&lt;240,"d) 1-4 h","e) 4 h+"))))</f>
        <v>d) 1-4 h</v>
      </c>
      <c r="AC68" s="28" t="str">
        <f aca="false">IF(P68&lt;10,"a) &lt;10",IF(P68&lt;20,"b) 10-20",IF(P68&lt;40,"c) 20-40",IF(P68&lt;80,"d) 40-80","e) 80+"))))</f>
        <v>c) 20-40</v>
      </c>
      <c r="AD68" s="30" t="n">
        <f aca="false">Summary!$C$5+SUM(X$2:X68)</f>
        <v>100574.49</v>
      </c>
      <c r="AE68" s="30" t="n">
        <f aca="false">MAX(AE67,AD68)</f>
        <v>100575.65</v>
      </c>
      <c r="AF68" s="30" t="n">
        <f aca="false">AE68-AD68</f>
        <v>1.15999999998894</v>
      </c>
      <c r="AG68" s="29" t="n">
        <f aca="false">IFERROR(AF68/AE68,0)</f>
        <v>1.1533606792389E-005</v>
      </c>
    </row>
    <row r="69" customFormat="false" ht="15" hidden="false" customHeight="false" outlineLevel="0" collapsed="false">
      <c r="A69" s="28" t="n">
        <v>68</v>
      </c>
      <c r="B69" s="43" t="n">
        <v>45113.6368055556</v>
      </c>
      <c r="C69" s="43" t="n">
        <v>45113.6493402778</v>
      </c>
      <c r="D69" s="42" t="n">
        <f aca="false">INT(C69)</f>
        <v>45113</v>
      </c>
      <c r="E69" s="42" t="n">
        <f aca="false">D69-WEEKDAY(D69,3)</f>
        <v>45110</v>
      </c>
      <c r="F69" s="28" t="s">
        <v>146</v>
      </c>
      <c r="G69" s="28" t="n">
        <v>2023</v>
      </c>
      <c r="H69" s="28" t="s">
        <v>239</v>
      </c>
      <c r="I69" s="28" t="n">
        <v>15</v>
      </c>
      <c r="J69" s="28" t="s">
        <v>236</v>
      </c>
      <c r="K69" s="28" t="s">
        <v>237</v>
      </c>
      <c r="L69" s="28" t="n">
        <v>0.29</v>
      </c>
      <c r="M69" s="31" t="n">
        <v>15094.14</v>
      </c>
      <c r="N69" s="31" t="n">
        <v>15109.18</v>
      </c>
      <c r="O69" s="31" t="n">
        <v>15066.21</v>
      </c>
      <c r="P69" s="44" t="n">
        <f aca="false">ABS(M69-N69)</f>
        <v>15.0400000000009</v>
      </c>
      <c r="Q69" s="44" t="n">
        <f aca="false">IF(O69="","",ABS(O69-M69))</f>
        <v>27.9300000000003</v>
      </c>
      <c r="R69" s="30" t="n">
        <f aca="false">P69*L69*Summary!$C$6</f>
        <v>87.2320000000051</v>
      </c>
      <c r="S69" s="31" t="n">
        <v>15066.07</v>
      </c>
      <c r="T69" s="28" t="s">
        <v>214</v>
      </c>
      <c r="U69" s="44" t="n">
        <f aca="false">IF(J69="BUY",S69-M69,M69-S69)</f>
        <v>28.0699999999997</v>
      </c>
      <c r="V69" s="45" t="n">
        <v>0</v>
      </c>
      <c r="W69" s="45" t="n">
        <v>0</v>
      </c>
      <c r="X69" s="45" t="n">
        <v>162.81</v>
      </c>
      <c r="Y69" s="32" t="n">
        <f aca="false">IFERROR(X69/R69,0)</f>
        <v>1.86640223771082</v>
      </c>
      <c r="Z69" s="28" t="str">
        <f aca="false">IF(X69&gt;0,"Win",IF(X69&lt;0,"Loss","Flat"))</f>
        <v>Win</v>
      </c>
      <c r="AA69" s="28" t="n">
        <f aca="false">ROUND((C69-B69)*1440,1)</f>
        <v>18.1</v>
      </c>
      <c r="AB69" s="28" t="str">
        <f aca="false">IF(AA69&lt;1,"a) &lt;1 min",IF(AA69&lt;10,"b) 1-10 min",IF(AA69&lt;60,"c) 10-60 min",IF(AA69&lt;240,"d) 1-4 h","e) 4 h+"))))</f>
        <v>c) 10-60 min</v>
      </c>
      <c r="AC69" s="28" t="str">
        <f aca="false">IF(P69&lt;10,"a) &lt;10",IF(P69&lt;20,"b) 10-20",IF(P69&lt;40,"c) 20-40",IF(P69&lt;80,"d) 40-80","e) 80+"))))</f>
        <v>b) 10-20</v>
      </c>
      <c r="AD69" s="30" t="n">
        <f aca="false">Summary!$C$5+SUM(X$2:X69)</f>
        <v>100737.3</v>
      </c>
      <c r="AE69" s="30" t="n">
        <f aca="false">MAX(AE68,AD69)</f>
        <v>100737.3</v>
      </c>
      <c r="AF69" s="30" t="n">
        <f aca="false">AE69-AD69</f>
        <v>0</v>
      </c>
      <c r="AG69" s="29" t="n">
        <f aca="false">IFERROR(AF69/AE69,0)</f>
        <v>0</v>
      </c>
    </row>
    <row r="70" customFormat="false" ht="15" hidden="false" customHeight="false" outlineLevel="0" collapsed="false">
      <c r="A70" s="28" t="n">
        <v>69</v>
      </c>
      <c r="B70" s="43" t="n">
        <v>45114.8527777778</v>
      </c>
      <c r="C70" s="43" t="n">
        <v>45114.8580787037</v>
      </c>
      <c r="D70" s="42" t="n">
        <f aca="false">INT(C70)</f>
        <v>45114</v>
      </c>
      <c r="E70" s="42" t="n">
        <f aca="false">D70-WEEKDAY(D70,3)</f>
        <v>45110</v>
      </c>
      <c r="F70" s="28" t="s">
        <v>146</v>
      </c>
      <c r="G70" s="28" t="n">
        <v>2023</v>
      </c>
      <c r="H70" s="28" t="s">
        <v>242</v>
      </c>
      <c r="I70" s="28" t="n">
        <v>20</v>
      </c>
      <c r="J70" s="28" t="s">
        <v>233</v>
      </c>
      <c r="K70" s="28" t="s">
        <v>234</v>
      </c>
      <c r="L70" s="28" t="n">
        <v>0.29</v>
      </c>
      <c r="M70" s="31" t="n">
        <v>15210.4</v>
      </c>
      <c r="N70" s="31" t="n">
        <v>15202.25</v>
      </c>
      <c r="O70" s="31" t="n">
        <v>15226.73</v>
      </c>
      <c r="P70" s="44" t="n">
        <f aca="false">ABS(M70-N70)</f>
        <v>8.14999999999964</v>
      </c>
      <c r="Q70" s="44" t="n">
        <f aca="false">IF(O70="","",ABS(O70-M70))</f>
        <v>16.3299999999999</v>
      </c>
      <c r="R70" s="30" t="n">
        <f aca="false">P70*L70*Summary!$C$6</f>
        <v>47.2699999999979</v>
      </c>
      <c r="S70" s="31" t="n">
        <v>15202.1</v>
      </c>
      <c r="T70" s="28" t="s">
        <v>241</v>
      </c>
      <c r="U70" s="44" t="n">
        <f aca="false">IF(J70="BUY",S70-M70,M70-S70)</f>
        <v>-8.29999999999927</v>
      </c>
      <c r="V70" s="45" t="n">
        <v>0</v>
      </c>
      <c r="W70" s="45" t="n">
        <v>0</v>
      </c>
      <c r="X70" s="45" t="n">
        <v>-48.14</v>
      </c>
      <c r="Y70" s="32" t="n">
        <f aca="false">IFERROR(X70/R70,0)</f>
        <v>-1.01840490797551</v>
      </c>
      <c r="Z70" s="28" t="str">
        <f aca="false">IF(X70&gt;0,"Win",IF(X70&lt;0,"Loss","Flat"))</f>
        <v>Loss</v>
      </c>
      <c r="AA70" s="28" t="n">
        <f aca="false">ROUND((C70-B70)*1440,1)</f>
        <v>7.6</v>
      </c>
      <c r="AB70" s="28" t="str">
        <f aca="false">IF(AA70&lt;1,"a) &lt;1 min",IF(AA70&lt;10,"b) 1-10 min",IF(AA70&lt;60,"c) 10-60 min",IF(AA70&lt;240,"d) 1-4 h","e) 4 h+"))))</f>
        <v>b) 1-10 min</v>
      </c>
      <c r="AC70" s="28" t="str">
        <f aca="false">IF(P70&lt;10,"a) &lt;10",IF(P70&lt;20,"b) 10-20",IF(P70&lt;40,"c) 20-40",IF(P70&lt;80,"d) 40-80","e) 80+"))))</f>
        <v>a) &lt;10</v>
      </c>
      <c r="AD70" s="30" t="n">
        <f aca="false">Summary!$C$5+SUM(X$2:X70)</f>
        <v>100689.16</v>
      </c>
      <c r="AE70" s="30" t="n">
        <f aca="false">MAX(AE69,AD70)</f>
        <v>100737.3</v>
      </c>
      <c r="AF70" s="30" t="n">
        <f aca="false">AE70-AD70</f>
        <v>48.1399999999994</v>
      </c>
      <c r="AG70" s="29" t="n">
        <f aca="false">IFERROR(AF70/AE70,0)</f>
        <v>0.000477876615712347</v>
      </c>
    </row>
    <row r="71" customFormat="false" ht="15" hidden="false" customHeight="false" outlineLevel="0" collapsed="false">
      <c r="A71" s="28" t="n">
        <v>70</v>
      </c>
      <c r="B71" s="43" t="n">
        <v>45117.0479166667</v>
      </c>
      <c r="C71" s="43" t="n">
        <v>45117.0574652778</v>
      </c>
      <c r="D71" s="42" t="n">
        <f aca="false">INT(C71)</f>
        <v>45117</v>
      </c>
      <c r="E71" s="42" t="n">
        <f aca="false">D71-WEEKDAY(D71,3)</f>
        <v>45117</v>
      </c>
      <c r="F71" s="28" t="s">
        <v>146</v>
      </c>
      <c r="G71" s="28" t="n">
        <v>2023</v>
      </c>
      <c r="H71" s="28" t="s">
        <v>240</v>
      </c>
      <c r="I71" s="28" t="n">
        <v>1</v>
      </c>
      <c r="J71" s="28" t="s">
        <v>236</v>
      </c>
      <c r="K71" s="28" t="s">
        <v>237</v>
      </c>
      <c r="L71" s="28" t="n">
        <v>0.3</v>
      </c>
      <c r="M71" s="31" t="n">
        <v>15018.13</v>
      </c>
      <c r="N71" s="31" t="n">
        <v>15031.41</v>
      </c>
      <c r="O71" s="31" t="n">
        <v>14991.58</v>
      </c>
      <c r="P71" s="44" t="n">
        <f aca="false">ABS(M71-N71)</f>
        <v>13.2800000000007</v>
      </c>
      <c r="Q71" s="44" t="n">
        <f aca="false">IF(O71="","",ABS(O71-M71))</f>
        <v>26.5499999999993</v>
      </c>
      <c r="R71" s="30" t="n">
        <f aca="false">P71*L71*Summary!$C$6</f>
        <v>79.6800000000039</v>
      </c>
      <c r="S71" s="31" t="n">
        <v>15032.14</v>
      </c>
      <c r="T71" s="28" t="s">
        <v>241</v>
      </c>
      <c r="U71" s="44" t="n">
        <f aca="false">IF(J71="BUY",S71-M71,M71-S71)</f>
        <v>-14.0100000000002</v>
      </c>
      <c r="V71" s="45" t="n">
        <v>0</v>
      </c>
      <c r="W71" s="45" t="n">
        <v>0</v>
      </c>
      <c r="X71" s="45" t="n">
        <v>-84.06</v>
      </c>
      <c r="Y71" s="32" t="n">
        <f aca="false">IFERROR(X71/R71,0)</f>
        <v>-1.05496987951802</v>
      </c>
      <c r="Z71" s="28" t="str">
        <f aca="false">IF(X71&gt;0,"Win",IF(X71&lt;0,"Loss","Flat"))</f>
        <v>Loss</v>
      </c>
      <c r="AA71" s="28" t="n">
        <f aca="false">ROUND((C71-B71)*1440,1)</f>
        <v>13.8</v>
      </c>
      <c r="AB71" s="28" t="str">
        <f aca="false">IF(AA71&lt;1,"a) &lt;1 min",IF(AA71&lt;10,"b) 1-10 min",IF(AA71&lt;60,"c) 10-60 min",IF(AA71&lt;240,"d) 1-4 h","e) 4 h+"))))</f>
        <v>c) 10-60 min</v>
      </c>
      <c r="AC71" s="28" t="str">
        <f aca="false">IF(P71&lt;10,"a) &lt;10",IF(P71&lt;20,"b) 10-20",IF(P71&lt;40,"c) 20-40",IF(P71&lt;80,"d) 40-80","e) 80+"))))</f>
        <v>b) 10-20</v>
      </c>
      <c r="AD71" s="30" t="n">
        <f aca="false">Summary!$C$5+SUM(X$2:X71)</f>
        <v>100605.1</v>
      </c>
      <c r="AE71" s="30" t="n">
        <f aca="false">MAX(AE70,AD71)</f>
        <v>100737.3</v>
      </c>
      <c r="AF71" s="30" t="n">
        <f aca="false">AE71-AD71</f>
        <v>132.199999999997</v>
      </c>
      <c r="AG71" s="29" t="n">
        <f aca="false">IFERROR(AF71/AE71,0)</f>
        <v>0.00131232423342691</v>
      </c>
    </row>
    <row r="72" customFormat="false" ht="15" hidden="false" customHeight="false" outlineLevel="0" collapsed="false">
      <c r="A72" s="28" t="n">
        <v>71</v>
      </c>
      <c r="B72" s="43" t="n">
        <v>45118.3777777778</v>
      </c>
      <c r="C72" s="43" t="n">
        <v>45118.3940277778</v>
      </c>
      <c r="D72" s="42" t="n">
        <f aca="false">INT(C72)</f>
        <v>45118</v>
      </c>
      <c r="E72" s="42" t="n">
        <f aca="false">D72-WEEKDAY(D72,3)</f>
        <v>45117</v>
      </c>
      <c r="F72" s="28" t="s">
        <v>146</v>
      </c>
      <c r="G72" s="28" t="n">
        <v>2023</v>
      </c>
      <c r="H72" s="28" t="s">
        <v>232</v>
      </c>
      <c r="I72" s="28" t="n">
        <v>9</v>
      </c>
      <c r="J72" s="28" t="s">
        <v>233</v>
      </c>
      <c r="K72" s="28" t="s">
        <v>234</v>
      </c>
      <c r="L72" s="28" t="n">
        <v>0.3</v>
      </c>
      <c r="M72" s="31" t="n">
        <v>15076.55</v>
      </c>
      <c r="N72" s="31" t="n">
        <v>15069.15</v>
      </c>
      <c r="O72" s="31" t="n">
        <v>15091.44</v>
      </c>
      <c r="P72" s="44" t="n">
        <f aca="false">ABS(M72-N72)</f>
        <v>7.39999999999964</v>
      </c>
      <c r="Q72" s="44" t="n">
        <f aca="false">IF(O72="","",ABS(O72-M72))</f>
        <v>14.8900000000012</v>
      </c>
      <c r="R72" s="30" t="n">
        <f aca="false">P72*L72*Summary!$C$6</f>
        <v>44.3999999999978</v>
      </c>
      <c r="S72" s="31" t="n">
        <v>15091.62</v>
      </c>
      <c r="T72" s="28" t="s">
        <v>214</v>
      </c>
      <c r="U72" s="44" t="n">
        <f aca="false">IF(J72="BUY",S72-M72,M72-S72)</f>
        <v>15.0700000000015</v>
      </c>
      <c r="V72" s="45" t="n">
        <v>0</v>
      </c>
      <c r="W72" s="45" t="n">
        <v>0</v>
      </c>
      <c r="X72" s="45" t="n">
        <v>90.42</v>
      </c>
      <c r="Y72" s="32" t="n">
        <f aca="false">IFERROR(X72/R72,0)</f>
        <v>2.03648648648659</v>
      </c>
      <c r="Z72" s="28" t="str">
        <f aca="false">IF(X72&gt;0,"Win",IF(X72&lt;0,"Loss","Flat"))</f>
        <v>Win</v>
      </c>
      <c r="AA72" s="28" t="n">
        <f aca="false">ROUND((C72-B72)*1440,1)</f>
        <v>23.4</v>
      </c>
      <c r="AB72" s="28" t="str">
        <f aca="false">IF(AA72&lt;1,"a) &lt;1 min",IF(AA72&lt;10,"b) 1-10 min",IF(AA72&lt;60,"c) 10-60 min",IF(AA72&lt;240,"d) 1-4 h","e) 4 h+"))))</f>
        <v>c) 10-60 min</v>
      </c>
      <c r="AC72" s="28" t="str">
        <f aca="false">IF(P72&lt;10,"a) &lt;10",IF(P72&lt;20,"b) 10-20",IF(P72&lt;40,"c) 20-40",IF(P72&lt;80,"d) 40-80","e) 80+"))))</f>
        <v>a) &lt;10</v>
      </c>
      <c r="AD72" s="30" t="n">
        <f aca="false">Summary!$C$5+SUM(X$2:X72)</f>
        <v>100695.52</v>
      </c>
      <c r="AE72" s="30" t="n">
        <f aca="false">MAX(AE71,AD72)</f>
        <v>100737.3</v>
      </c>
      <c r="AF72" s="30" t="n">
        <f aca="false">AE72-AD72</f>
        <v>41.7799999999988</v>
      </c>
      <c r="AG72" s="29" t="n">
        <f aca="false">IFERROR(AF72/AE72,0)</f>
        <v>0.000414742106449139</v>
      </c>
    </row>
    <row r="73" customFormat="false" ht="15" hidden="false" customHeight="false" outlineLevel="0" collapsed="false">
      <c r="A73" s="28" t="n">
        <v>72</v>
      </c>
      <c r="B73" s="43" t="n">
        <v>45119.0944560185</v>
      </c>
      <c r="C73" s="43" t="n">
        <v>45119.0950462963</v>
      </c>
      <c r="D73" s="42" t="n">
        <f aca="false">INT(C73)</f>
        <v>45119</v>
      </c>
      <c r="E73" s="42" t="n">
        <f aca="false">D73-WEEKDAY(D73,3)</f>
        <v>45117</v>
      </c>
      <c r="F73" s="28" t="s">
        <v>146</v>
      </c>
      <c r="G73" s="28" t="n">
        <v>2023</v>
      </c>
      <c r="H73" s="28" t="s">
        <v>235</v>
      </c>
      <c r="I73" s="28" t="n">
        <v>2</v>
      </c>
      <c r="J73" s="28" t="s">
        <v>233</v>
      </c>
      <c r="K73" s="28" t="s">
        <v>234</v>
      </c>
      <c r="L73" s="28" t="n">
        <v>0.29</v>
      </c>
      <c r="M73" s="31" t="n">
        <v>15139.73</v>
      </c>
      <c r="N73" s="31" t="n">
        <v>15137.2</v>
      </c>
      <c r="O73" s="31" t="n">
        <v>15145</v>
      </c>
      <c r="P73" s="44" t="n">
        <f aca="false">ABS(M73-N73)</f>
        <v>2.52999999999884</v>
      </c>
      <c r="Q73" s="44" t="n">
        <f aca="false">IF(O73="","",ABS(O73-M73))</f>
        <v>5.27000000000044</v>
      </c>
      <c r="R73" s="30" t="n">
        <f aca="false">P73*L73*Summary!$C$6</f>
        <v>14.6739999999932</v>
      </c>
      <c r="S73" s="31" t="n">
        <v>15137.07</v>
      </c>
      <c r="T73" s="28" t="s">
        <v>241</v>
      </c>
      <c r="U73" s="44" t="n">
        <f aca="false">IF(J73="BUY",S73-M73,M73-S73)</f>
        <v>-2.65999999999985</v>
      </c>
      <c r="V73" s="45" t="n">
        <v>0</v>
      </c>
      <c r="W73" s="45" t="n">
        <v>0</v>
      </c>
      <c r="X73" s="45" t="n">
        <v>-15.43</v>
      </c>
      <c r="Y73" s="32" t="n">
        <f aca="false">IFERROR(X73/R73,0)</f>
        <v>-1.05151969469859</v>
      </c>
      <c r="Z73" s="28" t="str">
        <f aca="false">IF(X73&gt;0,"Win",IF(X73&lt;0,"Loss","Flat"))</f>
        <v>Loss</v>
      </c>
      <c r="AA73" s="28" t="n">
        <f aca="false">ROUND((C73-B73)*1440,1)</f>
        <v>0.8</v>
      </c>
      <c r="AB73" s="28" t="str">
        <f aca="false">IF(AA73&lt;1,"a) &lt;1 min",IF(AA73&lt;10,"b) 1-10 min",IF(AA73&lt;60,"c) 10-60 min",IF(AA73&lt;240,"d) 1-4 h","e) 4 h+"))))</f>
        <v>a) &lt;1 min</v>
      </c>
      <c r="AC73" s="28" t="str">
        <f aca="false">IF(P73&lt;10,"a) &lt;10",IF(P73&lt;20,"b) 10-20",IF(P73&lt;40,"c) 20-40",IF(P73&lt;80,"d) 40-80","e) 80+"))))</f>
        <v>a) &lt;10</v>
      </c>
      <c r="AD73" s="30" t="n">
        <f aca="false">Summary!$C$5+SUM(X$2:X73)</f>
        <v>100680.09</v>
      </c>
      <c r="AE73" s="30" t="n">
        <f aca="false">MAX(AE72,AD73)</f>
        <v>100737.3</v>
      </c>
      <c r="AF73" s="30" t="n">
        <f aca="false">AE73-AD73</f>
        <v>57.2100000000064</v>
      </c>
      <c r="AG73" s="29" t="n">
        <f aca="false">IFERROR(AF73/AE73,0)</f>
        <v>0.000567912779079908</v>
      </c>
    </row>
    <row r="74" customFormat="false" ht="15" hidden="false" customHeight="false" outlineLevel="0" collapsed="false">
      <c r="A74" s="28" t="n">
        <v>73</v>
      </c>
      <c r="B74" s="43" t="n">
        <v>45120.3013888889</v>
      </c>
      <c r="C74" s="43" t="n">
        <v>45120.3015509259</v>
      </c>
      <c r="D74" s="42" t="n">
        <f aca="false">INT(C74)</f>
        <v>45120</v>
      </c>
      <c r="E74" s="42" t="n">
        <f aca="false">D74-WEEKDAY(D74,3)</f>
        <v>45117</v>
      </c>
      <c r="F74" s="28" t="s">
        <v>146</v>
      </c>
      <c r="G74" s="28" t="n">
        <v>2023</v>
      </c>
      <c r="H74" s="28" t="s">
        <v>239</v>
      </c>
      <c r="I74" s="28" t="n">
        <v>7</v>
      </c>
      <c r="J74" s="28" t="s">
        <v>233</v>
      </c>
      <c r="K74" s="28" t="s">
        <v>234</v>
      </c>
      <c r="L74" s="28" t="n">
        <v>0.29</v>
      </c>
      <c r="M74" s="31" t="n">
        <v>15380.73</v>
      </c>
      <c r="N74" s="31" t="n">
        <v>15371.82</v>
      </c>
      <c r="O74" s="31" t="n">
        <v>15398.66</v>
      </c>
      <c r="P74" s="44" t="n">
        <f aca="false">ABS(M74-N74)</f>
        <v>8.90999999999985</v>
      </c>
      <c r="Q74" s="44" t="n">
        <f aca="false">IF(O74="","",ABS(O74-M74))</f>
        <v>17.9300000000003</v>
      </c>
      <c r="R74" s="30" t="n">
        <f aca="false">P74*L74*Summary!$C$6</f>
        <v>51.6779999999992</v>
      </c>
      <c r="S74" s="31" t="n">
        <v>15370.85</v>
      </c>
      <c r="T74" s="28" t="s">
        <v>241</v>
      </c>
      <c r="U74" s="44" t="n">
        <f aca="false">IF(J74="BUY",S74-M74,M74-S74)</f>
        <v>-9.8799999999992</v>
      </c>
      <c r="V74" s="45" t="n">
        <v>0</v>
      </c>
      <c r="W74" s="45" t="n">
        <v>0</v>
      </c>
      <c r="X74" s="45" t="n">
        <v>-57.3</v>
      </c>
      <c r="Y74" s="32" t="n">
        <f aca="false">IFERROR(X74/R74,0)</f>
        <v>-1.10878903982354</v>
      </c>
      <c r="Z74" s="28" t="str">
        <f aca="false">IF(X74&gt;0,"Win",IF(X74&lt;0,"Loss","Flat"))</f>
        <v>Loss</v>
      </c>
      <c r="AA74" s="28" t="n">
        <f aca="false">ROUND((C74-B74)*1440,1)</f>
        <v>0.2</v>
      </c>
      <c r="AB74" s="28" t="str">
        <f aca="false">IF(AA74&lt;1,"a) &lt;1 min",IF(AA74&lt;10,"b) 1-10 min",IF(AA74&lt;60,"c) 10-60 min",IF(AA74&lt;240,"d) 1-4 h","e) 4 h+"))))</f>
        <v>a) &lt;1 min</v>
      </c>
      <c r="AC74" s="28" t="str">
        <f aca="false">IF(P74&lt;10,"a) &lt;10",IF(P74&lt;20,"b) 10-20",IF(P74&lt;40,"c) 20-40",IF(P74&lt;80,"d) 40-80","e) 80+"))))</f>
        <v>a) &lt;10</v>
      </c>
      <c r="AD74" s="30" t="n">
        <f aca="false">Summary!$C$5+SUM(X$2:X74)</f>
        <v>100622.79</v>
      </c>
      <c r="AE74" s="30" t="n">
        <f aca="false">MAX(AE73,AD74)</f>
        <v>100737.3</v>
      </c>
      <c r="AF74" s="30" t="n">
        <f aca="false">AE74-AD74</f>
        <v>114.510000000009</v>
      </c>
      <c r="AG74" s="29" t="n">
        <f aca="false">IFERROR(AF74/AE74,0)</f>
        <v>0.00113671897102671</v>
      </c>
    </row>
    <row r="75" customFormat="false" ht="15" hidden="false" customHeight="false" outlineLevel="0" collapsed="false">
      <c r="A75" s="28" t="n">
        <v>74</v>
      </c>
      <c r="B75" s="43" t="n">
        <v>45121.6881944445</v>
      </c>
      <c r="C75" s="43" t="n">
        <v>45121.6932986111</v>
      </c>
      <c r="D75" s="42" t="n">
        <f aca="false">INT(C75)</f>
        <v>45121</v>
      </c>
      <c r="E75" s="42" t="n">
        <f aca="false">D75-WEEKDAY(D75,3)</f>
        <v>45117</v>
      </c>
      <c r="F75" s="28" t="s">
        <v>146</v>
      </c>
      <c r="G75" s="28" t="n">
        <v>2023</v>
      </c>
      <c r="H75" s="28" t="s">
        <v>242</v>
      </c>
      <c r="I75" s="28" t="n">
        <v>16</v>
      </c>
      <c r="J75" s="28" t="s">
        <v>233</v>
      </c>
      <c r="K75" s="28" t="s">
        <v>234</v>
      </c>
      <c r="L75" s="28" t="n">
        <v>0.29</v>
      </c>
      <c r="M75" s="31" t="n">
        <v>15610.75</v>
      </c>
      <c r="N75" s="31" t="n">
        <v>15594.26</v>
      </c>
      <c r="O75" s="31" t="n">
        <v>15644.97</v>
      </c>
      <c r="P75" s="44" t="n">
        <f aca="false">ABS(M75-N75)</f>
        <v>16.4899999999998</v>
      </c>
      <c r="Q75" s="44" t="n">
        <f aca="false">IF(O75="","",ABS(O75-M75))</f>
        <v>34.2199999999993</v>
      </c>
      <c r="R75" s="30" t="n">
        <f aca="false">P75*L75*Summary!$C$6</f>
        <v>95.6419999999987</v>
      </c>
      <c r="S75" s="31" t="n">
        <v>15645.66</v>
      </c>
      <c r="T75" s="28" t="s">
        <v>214</v>
      </c>
      <c r="U75" s="44" t="n">
        <f aca="false">IF(J75="BUY",S75-M75,M75-S75)</f>
        <v>34.9099999999999</v>
      </c>
      <c r="V75" s="45" t="n">
        <v>0</v>
      </c>
      <c r="W75" s="45" t="n">
        <v>0</v>
      </c>
      <c r="X75" s="45" t="n">
        <v>202.48</v>
      </c>
      <c r="Y75" s="32" t="n">
        <f aca="false">IFERROR(X75/R75,0)</f>
        <v>2.1170615420004</v>
      </c>
      <c r="Z75" s="28" t="str">
        <f aca="false">IF(X75&gt;0,"Win",IF(X75&lt;0,"Loss","Flat"))</f>
        <v>Win</v>
      </c>
      <c r="AA75" s="28" t="n">
        <f aca="false">ROUND((C75-B75)*1440,1)</f>
        <v>7.4</v>
      </c>
      <c r="AB75" s="28" t="str">
        <f aca="false">IF(AA75&lt;1,"a) &lt;1 min",IF(AA75&lt;10,"b) 1-10 min",IF(AA75&lt;60,"c) 10-60 min",IF(AA75&lt;240,"d) 1-4 h","e) 4 h+"))))</f>
        <v>b) 1-10 min</v>
      </c>
      <c r="AC75" s="28" t="str">
        <f aca="false">IF(P75&lt;10,"a) &lt;10",IF(P75&lt;20,"b) 10-20",IF(P75&lt;40,"c) 20-40",IF(P75&lt;80,"d) 40-80","e) 80+"))))</f>
        <v>b) 10-20</v>
      </c>
      <c r="AD75" s="30" t="n">
        <f aca="false">Summary!$C$5+SUM(X$2:X75)</f>
        <v>100825.27</v>
      </c>
      <c r="AE75" s="30" t="n">
        <f aca="false">MAX(AE74,AD75)</f>
        <v>100825.27</v>
      </c>
      <c r="AF75" s="30" t="n">
        <f aca="false">AE75-AD75</f>
        <v>0</v>
      </c>
      <c r="AG75" s="29" t="n">
        <f aca="false">IFERROR(AF75/AE75,0)</f>
        <v>0</v>
      </c>
    </row>
    <row r="76" customFormat="false" ht="15" hidden="false" customHeight="false" outlineLevel="0" collapsed="false">
      <c r="A76" s="28" t="n">
        <v>75</v>
      </c>
      <c r="B76" s="43" t="n">
        <v>45124.1006944445</v>
      </c>
      <c r="C76" s="43" t="n">
        <v>45124.106724537</v>
      </c>
      <c r="D76" s="42" t="n">
        <f aca="false">INT(C76)</f>
        <v>45124</v>
      </c>
      <c r="E76" s="42" t="n">
        <f aca="false">D76-WEEKDAY(D76,3)</f>
        <v>45124</v>
      </c>
      <c r="F76" s="28" t="s">
        <v>146</v>
      </c>
      <c r="G76" s="28" t="n">
        <v>2023</v>
      </c>
      <c r="H76" s="28" t="s">
        <v>240</v>
      </c>
      <c r="I76" s="28" t="n">
        <v>2</v>
      </c>
      <c r="J76" s="28" t="s">
        <v>236</v>
      </c>
      <c r="K76" s="28" t="s">
        <v>237</v>
      </c>
      <c r="L76" s="28" t="n">
        <v>0.29</v>
      </c>
      <c r="M76" s="31" t="n">
        <v>15529.15</v>
      </c>
      <c r="N76" s="31" t="n">
        <v>15534.67</v>
      </c>
      <c r="O76" s="31" t="n">
        <v>15518.1</v>
      </c>
      <c r="P76" s="44" t="n">
        <f aca="false">ABS(M76-N76)</f>
        <v>5.52000000000044</v>
      </c>
      <c r="Q76" s="44" t="n">
        <f aca="false">IF(O76="","",ABS(O76-M76))</f>
        <v>11.0499999999993</v>
      </c>
      <c r="R76" s="30" t="n">
        <f aca="false">P76*L76*Summary!$C$6</f>
        <v>32.0160000000025</v>
      </c>
      <c r="S76" s="31" t="n">
        <v>15534.89</v>
      </c>
      <c r="T76" s="28" t="s">
        <v>241</v>
      </c>
      <c r="U76" s="44" t="n">
        <f aca="false">IF(J76="BUY",S76-M76,M76-S76)</f>
        <v>-5.73999999999978</v>
      </c>
      <c r="V76" s="45" t="n">
        <v>0</v>
      </c>
      <c r="W76" s="45" t="n">
        <v>0</v>
      </c>
      <c r="X76" s="45" t="n">
        <v>-33.29</v>
      </c>
      <c r="Y76" s="32" t="n">
        <f aca="false">IFERROR(X76/R76,0)</f>
        <v>-1.03979260369807</v>
      </c>
      <c r="Z76" s="28" t="str">
        <f aca="false">IF(X76&gt;0,"Win",IF(X76&lt;0,"Loss","Flat"))</f>
        <v>Loss</v>
      </c>
      <c r="AA76" s="28" t="n">
        <f aca="false">ROUND((C76-B76)*1440,1)</f>
        <v>8.7</v>
      </c>
      <c r="AB76" s="28" t="str">
        <f aca="false">IF(AA76&lt;1,"a) &lt;1 min",IF(AA76&lt;10,"b) 1-10 min",IF(AA76&lt;60,"c) 10-60 min",IF(AA76&lt;240,"d) 1-4 h","e) 4 h+"))))</f>
        <v>b) 1-10 min</v>
      </c>
      <c r="AC76" s="28" t="str">
        <f aca="false">IF(P76&lt;10,"a) &lt;10",IF(P76&lt;20,"b) 10-20",IF(P76&lt;40,"c) 20-40",IF(P76&lt;80,"d) 40-80","e) 80+"))))</f>
        <v>a) &lt;10</v>
      </c>
      <c r="AD76" s="30" t="n">
        <f aca="false">Summary!$C$5+SUM(X$2:X76)</f>
        <v>100791.98</v>
      </c>
      <c r="AE76" s="30" t="n">
        <f aca="false">MAX(AE75,AD76)</f>
        <v>100825.27</v>
      </c>
      <c r="AF76" s="30" t="n">
        <f aca="false">AE76-AD76</f>
        <v>33.2900000000082</v>
      </c>
      <c r="AG76" s="29" t="n">
        <f aca="false">IFERROR(AF76/AE76,0)</f>
        <v>0.000330175163428852</v>
      </c>
    </row>
    <row r="77" customFormat="false" ht="15" hidden="false" customHeight="false" outlineLevel="0" collapsed="false">
      <c r="A77" s="28" t="n">
        <v>76</v>
      </c>
      <c r="B77" s="43" t="n">
        <v>45124.9298611111</v>
      </c>
      <c r="C77" s="43" t="n">
        <v>45124.9302662037</v>
      </c>
      <c r="D77" s="42" t="n">
        <f aca="false">INT(C77)</f>
        <v>45124</v>
      </c>
      <c r="E77" s="42" t="n">
        <f aca="false">D77-WEEKDAY(D77,3)</f>
        <v>45124</v>
      </c>
      <c r="F77" s="28" t="s">
        <v>146</v>
      </c>
      <c r="G77" s="28" t="n">
        <v>2023</v>
      </c>
      <c r="H77" s="28" t="s">
        <v>240</v>
      </c>
      <c r="I77" s="28" t="n">
        <v>22</v>
      </c>
      <c r="J77" s="28" t="s">
        <v>233</v>
      </c>
      <c r="K77" s="28" t="s">
        <v>234</v>
      </c>
      <c r="L77" s="28" t="n">
        <v>0.28</v>
      </c>
      <c r="M77" s="31" t="n">
        <v>15724.39</v>
      </c>
      <c r="N77" s="31" t="n">
        <v>15713.37</v>
      </c>
      <c r="O77" s="31" t="n">
        <v>15745.71</v>
      </c>
      <c r="P77" s="44" t="n">
        <f aca="false">ABS(M77-N77)</f>
        <v>11.0199999999986</v>
      </c>
      <c r="Q77" s="44" t="n">
        <f aca="false">IF(O77="","",ABS(O77-M77))</f>
        <v>21.3199999999997</v>
      </c>
      <c r="R77" s="30" t="n">
        <f aca="false">P77*L77*Summary!$C$6</f>
        <v>61.7119999999923</v>
      </c>
      <c r="S77" s="31" t="n">
        <v>15746.09</v>
      </c>
      <c r="T77" s="28" t="s">
        <v>214</v>
      </c>
      <c r="U77" s="44" t="n">
        <f aca="false">IF(J77="BUY",S77-M77,M77-S77)</f>
        <v>21.7000000000007</v>
      </c>
      <c r="V77" s="45" t="n">
        <v>0</v>
      </c>
      <c r="W77" s="45" t="n">
        <v>0</v>
      </c>
      <c r="X77" s="45" t="n">
        <v>121.52</v>
      </c>
      <c r="Y77" s="32" t="n">
        <f aca="false">IFERROR(X77/R77,0)</f>
        <v>1.96914700544489</v>
      </c>
      <c r="Z77" s="28" t="str">
        <f aca="false">IF(X77&gt;0,"Win",IF(X77&lt;0,"Loss","Flat"))</f>
        <v>Win</v>
      </c>
      <c r="AA77" s="28" t="n">
        <f aca="false">ROUND((C77-B77)*1440,1)</f>
        <v>0.6</v>
      </c>
      <c r="AB77" s="28" t="str">
        <f aca="false">IF(AA77&lt;1,"a) &lt;1 min",IF(AA77&lt;10,"b) 1-10 min",IF(AA77&lt;60,"c) 10-60 min",IF(AA77&lt;240,"d) 1-4 h","e) 4 h+"))))</f>
        <v>a) &lt;1 min</v>
      </c>
      <c r="AC77" s="28" t="str">
        <f aca="false">IF(P77&lt;10,"a) &lt;10",IF(P77&lt;20,"b) 10-20",IF(P77&lt;40,"c) 20-40",IF(P77&lt;80,"d) 40-80","e) 80+"))))</f>
        <v>b) 10-20</v>
      </c>
      <c r="AD77" s="30" t="n">
        <f aca="false">Summary!$C$5+SUM(X$2:X77)</f>
        <v>100913.5</v>
      </c>
      <c r="AE77" s="30" t="n">
        <f aca="false">MAX(AE76,AD77)</f>
        <v>100913.5</v>
      </c>
      <c r="AF77" s="30" t="n">
        <f aca="false">AE77-AD77</f>
        <v>0</v>
      </c>
      <c r="AG77" s="29" t="n">
        <f aca="false">IFERROR(AF77/AE77,0)</f>
        <v>0</v>
      </c>
    </row>
    <row r="78" customFormat="false" ht="15" hidden="false" customHeight="false" outlineLevel="0" collapsed="false">
      <c r="A78" s="28" t="n">
        <v>77</v>
      </c>
      <c r="B78" s="43" t="n">
        <v>45125.7868055556</v>
      </c>
      <c r="C78" s="43" t="n">
        <v>45125.8421875</v>
      </c>
      <c r="D78" s="42" t="n">
        <f aca="false">INT(C78)</f>
        <v>45125</v>
      </c>
      <c r="E78" s="42" t="n">
        <f aca="false">D78-WEEKDAY(D78,3)</f>
        <v>45124</v>
      </c>
      <c r="F78" s="28" t="s">
        <v>146</v>
      </c>
      <c r="G78" s="28" t="n">
        <v>2023</v>
      </c>
      <c r="H78" s="28" t="s">
        <v>232</v>
      </c>
      <c r="I78" s="28" t="n">
        <v>18</v>
      </c>
      <c r="J78" s="28" t="s">
        <v>233</v>
      </c>
      <c r="K78" s="28" t="s">
        <v>234</v>
      </c>
      <c r="L78" s="28" t="n">
        <v>0.28</v>
      </c>
      <c r="M78" s="31" t="n">
        <v>15750.42</v>
      </c>
      <c r="N78" s="31" t="n">
        <v>15723.88</v>
      </c>
      <c r="O78" s="31" t="n">
        <v>15805.9</v>
      </c>
      <c r="P78" s="44" t="n">
        <f aca="false">ABS(M78-N78)</f>
        <v>26.5400000000009</v>
      </c>
      <c r="Q78" s="44" t="n">
        <f aca="false">IF(O78="","",ABS(O78-M78))</f>
        <v>55.4799999999996</v>
      </c>
      <c r="R78" s="30" t="n">
        <f aca="false">P78*L78*Summary!$C$6</f>
        <v>148.624000000005</v>
      </c>
      <c r="S78" s="31" t="n">
        <v>15805.9</v>
      </c>
      <c r="T78" s="28" t="s">
        <v>214</v>
      </c>
      <c r="U78" s="44" t="n">
        <f aca="false">IF(J78="BUY",S78-M78,M78-S78)</f>
        <v>55.4799999999996</v>
      </c>
      <c r="V78" s="45" t="n">
        <v>0</v>
      </c>
      <c r="W78" s="45" t="n">
        <v>0</v>
      </c>
      <c r="X78" s="45" t="n">
        <v>310.69</v>
      </c>
      <c r="Y78" s="32" t="n">
        <f aca="false">IFERROR(X78/R78,0)</f>
        <v>2.09044299709327</v>
      </c>
      <c r="Z78" s="28" t="str">
        <f aca="false">IF(X78&gt;0,"Win",IF(X78&lt;0,"Loss","Flat"))</f>
        <v>Win</v>
      </c>
      <c r="AA78" s="28" t="n">
        <f aca="false">ROUND((C78-B78)*1440,1)</f>
        <v>79.8</v>
      </c>
      <c r="AB78" s="28" t="str">
        <f aca="false">IF(AA78&lt;1,"a) &lt;1 min",IF(AA78&lt;10,"b) 1-10 min",IF(AA78&lt;60,"c) 10-60 min",IF(AA78&lt;240,"d) 1-4 h","e) 4 h+"))))</f>
        <v>d) 1-4 h</v>
      </c>
      <c r="AC78" s="28" t="str">
        <f aca="false">IF(P78&lt;10,"a) &lt;10",IF(P78&lt;20,"b) 10-20",IF(P78&lt;40,"c) 20-40",IF(P78&lt;80,"d) 40-80","e) 80+"))))</f>
        <v>c) 20-40</v>
      </c>
      <c r="AD78" s="30" t="n">
        <f aca="false">Summary!$C$5+SUM(X$2:X78)</f>
        <v>101224.19</v>
      </c>
      <c r="AE78" s="30" t="n">
        <f aca="false">MAX(AE77,AD78)</f>
        <v>101224.19</v>
      </c>
      <c r="AF78" s="30" t="n">
        <f aca="false">AE78-AD78</f>
        <v>0</v>
      </c>
      <c r="AG78" s="29" t="n">
        <f aca="false">IFERROR(AF78/AE78,0)</f>
        <v>0</v>
      </c>
    </row>
    <row r="79" customFormat="false" ht="15" hidden="false" customHeight="false" outlineLevel="0" collapsed="false">
      <c r="A79" s="28" t="n">
        <v>78</v>
      </c>
      <c r="B79" s="43" t="n">
        <v>45126.6958333333</v>
      </c>
      <c r="C79" s="43" t="n">
        <v>45126.6994444444</v>
      </c>
      <c r="D79" s="42" t="n">
        <f aca="false">INT(C79)</f>
        <v>45126</v>
      </c>
      <c r="E79" s="42" t="n">
        <f aca="false">D79-WEEKDAY(D79,3)</f>
        <v>45124</v>
      </c>
      <c r="F79" s="28" t="s">
        <v>146</v>
      </c>
      <c r="G79" s="28" t="n">
        <v>2023</v>
      </c>
      <c r="H79" s="28" t="s">
        <v>235</v>
      </c>
      <c r="I79" s="28" t="n">
        <v>16</v>
      </c>
      <c r="J79" s="28" t="s">
        <v>233</v>
      </c>
      <c r="K79" s="28" t="s">
        <v>234</v>
      </c>
      <c r="L79" s="28" t="n">
        <v>0.28</v>
      </c>
      <c r="M79" s="31" t="n">
        <v>15903.28</v>
      </c>
      <c r="N79" s="31" t="n">
        <v>15873.14</v>
      </c>
      <c r="O79" s="31" t="n">
        <v>15963.54</v>
      </c>
      <c r="P79" s="44" t="n">
        <f aca="false">ABS(M79-N79)</f>
        <v>30.1400000000012</v>
      </c>
      <c r="Q79" s="44" t="n">
        <f aca="false">IF(O79="","",ABS(O79-M79))</f>
        <v>60.2600000000002</v>
      </c>
      <c r="R79" s="30" t="n">
        <f aca="false">P79*L79*Summary!$C$6</f>
        <v>168.784000000007</v>
      </c>
      <c r="S79" s="31" t="n">
        <v>15872.66</v>
      </c>
      <c r="T79" s="28" t="s">
        <v>241</v>
      </c>
      <c r="U79" s="44" t="n">
        <f aca="false">IF(J79="BUY",S79-M79,M79-S79)</f>
        <v>-30.6200000000008</v>
      </c>
      <c r="V79" s="45" t="n">
        <v>0</v>
      </c>
      <c r="W79" s="45" t="n">
        <v>0</v>
      </c>
      <c r="X79" s="45" t="n">
        <v>-171.47</v>
      </c>
      <c r="Y79" s="32" t="n">
        <f aca="false">IFERROR(X79/R79,0)</f>
        <v>-1.01591383069481</v>
      </c>
      <c r="Z79" s="28" t="str">
        <f aca="false">IF(X79&gt;0,"Win",IF(X79&lt;0,"Loss","Flat"))</f>
        <v>Loss</v>
      </c>
      <c r="AA79" s="28" t="n">
        <f aca="false">ROUND((C79-B79)*1440,1)</f>
        <v>5.2</v>
      </c>
      <c r="AB79" s="28" t="str">
        <f aca="false">IF(AA79&lt;1,"a) &lt;1 min",IF(AA79&lt;10,"b) 1-10 min",IF(AA79&lt;60,"c) 10-60 min",IF(AA79&lt;240,"d) 1-4 h","e) 4 h+"))))</f>
        <v>b) 1-10 min</v>
      </c>
      <c r="AC79" s="28" t="str">
        <f aca="false">IF(P79&lt;10,"a) &lt;10",IF(P79&lt;20,"b) 10-20",IF(P79&lt;40,"c) 20-40",IF(P79&lt;80,"d) 40-80","e) 80+"))))</f>
        <v>c) 20-40</v>
      </c>
      <c r="AD79" s="30" t="n">
        <f aca="false">Summary!$C$5+SUM(X$2:X79)</f>
        <v>101052.72</v>
      </c>
      <c r="AE79" s="30" t="n">
        <f aca="false">MAX(AE78,AD79)</f>
        <v>101224.19</v>
      </c>
      <c r="AF79" s="30" t="n">
        <f aca="false">AE79-AD79</f>
        <v>171.470000000001</v>
      </c>
      <c r="AG79" s="29" t="n">
        <f aca="false">IFERROR(AF79/AE79,0)</f>
        <v>0.00169396267828867</v>
      </c>
    </row>
    <row r="80" customFormat="false" ht="15" hidden="false" customHeight="false" outlineLevel="0" collapsed="false">
      <c r="A80" s="28" t="n">
        <v>79</v>
      </c>
      <c r="B80" s="43" t="n">
        <v>45127.0486226852</v>
      </c>
      <c r="C80" s="43" t="n">
        <v>45127.0539930556</v>
      </c>
      <c r="D80" s="42" t="n">
        <f aca="false">INT(C80)</f>
        <v>45127</v>
      </c>
      <c r="E80" s="42" t="n">
        <f aca="false">D80-WEEKDAY(D80,3)</f>
        <v>45124</v>
      </c>
      <c r="F80" s="28" t="s">
        <v>146</v>
      </c>
      <c r="G80" s="28" t="n">
        <v>2023</v>
      </c>
      <c r="H80" s="28" t="s">
        <v>239</v>
      </c>
      <c r="I80" s="28" t="n">
        <v>1</v>
      </c>
      <c r="J80" s="28" t="s">
        <v>236</v>
      </c>
      <c r="K80" s="28" t="s">
        <v>237</v>
      </c>
      <c r="L80" s="28" t="n">
        <v>0.28</v>
      </c>
      <c r="M80" s="31" t="n">
        <v>15776.66</v>
      </c>
      <c r="N80" s="31" t="n">
        <v>15788.83</v>
      </c>
      <c r="O80" s="31" t="n">
        <v>15752.33</v>
      </c>
      <c r="P80" s="44" t="n">
        <f aca="false">ABS(M80-N80)</f>
        <v>12.1700000000001</v>
      </c>
      <c r="Q80" s="44" t="n">
        <f aca="false">IF(O80="","",ABS(O80-M80))</f>
        <v>24.3299999999999</v>
      </c>
      <c r="R80" s="30" t="n">
        <f aca="false">P80*L80*Summary!$C$6</f>
        <v>68.1520000000004</v>
      </c>
      <c r="S80" s="31" t="n">
        <v>15747.59</v>
      </c>
      <c r="T80" s="28" t="s">
        <v>214</v>
      </c>
      <c r="U80" s="44" t="n">
        <f aca="false">IF(J80="BUY",S80-M80,M80-S80)</f>
        <v>29.0699999999997</v>
      </c>
      <c r="V80" s="45" t="n">
        <v>0</v>
      </c>
      <c r="W80" s="45" t="n">
        <v>0</v>
      </c>
      <c r="X80" s="45" t="n">
        <v>162.79</v>
      </c>
      <c r="Y80" s="32" t="n">
        <f aca="false">IFERROR(X80/R80,0)</f>
        <v>2.38863129475289</v>
      </c>
      <c r="Z80" s="28" t="str">
        <f aca="false">IF(X80&gt;0,"Win",IF(X80&lt;0,"Loss","Flat"))</f>
        <v>Win</v>
      </c>
      <c r="AA80" s="28" t="n">
        <f aca="false">ROUND((C80-B80)*1440,1)</f>
        <v>7.7</v>
      </c>
      <c r="AB80" s="28" t="str">
        <f aca="false">IF(AA80&lt;1,"a) &lt;1 min",IF(AA80&lt;10,"b) 1-10 min",IF(AA80&lt;60,"c) 10-60 min",IF(AA80&lt;240,"d) 1-4 h","e) 4 h+"))))</f>
        <v>b) 1-10 min</v>
      </c>
      <c r="AC80" s="28" t="str">
        <f aca="false">IF(P80&lt;10,"a) &lt;10",IF(P80&lt;20,"b) 10-20",IF(P80&lt;40,"c) 20-40",IF(P80&lt;80,"d) 40-80","e) 80+"))))</f>
        <v>b) 10-20</v>
      </c>
      <c r="AD80" s="30" t="n">
        <f aca="false">Summary!$C$5+SUM(X$2:X80)</f>
        <v>101215.51</v>
      </c>
      <c r="AE80" s="30" t="n">
        <f aca="false">MAX(AE79,AD80)</f>
        <v>101224.19</v>
      </c>
      <c r="AF80" s="30" t="n">
        <f aca="false">AE80-AD80</f>
        <v>8.68000000000757</v>
      </c>
      <c r="AG80" s="29" t="n">
        <f aca="false">IFERROR(AF80/AE80,0)</f>
        <v>8.57502539660487E-005</v>
      </c>
    </row>
    <row r="81" customFormat="false" ht="15" hidden="false" customHeight="false" outlineLevel="0" collapsed="false">
      <c r="A81" s="28" t="n">
        <v>80</v>
      </c>
      <c r="B81" s="43" t="n">
        <v>45128.9236111111</v>
      </c>
      <c r="C81" s="43" t="n">
        <v>45128.9306712963</v>
      </c>
      <c r="D81" s="42" t="n">
        <f aca="false">INT(C81)</f>
        <v>45128</v>
      </c>
      <c r="E81" s="42" t="n">
        <f aca="false">D81-WEEKDAY(D81,3)</f>
        <v>45124</v>
      </c>
      <c r="F81" s="28" t="s">
        <v>146</v>
      </c>
      <c r="G81" s="28" t="n">
        <v>2023</v>
      </c>
      <c r="H81" s="28" t="s">
        <v>242</v>
      </c>
      <c r="I81" s="28" t="n">
        <v>22</v>
      </c>
      <c r="J81" s="28" t="s">
        <v>236</v>
      </c>
      <c r="K81" s="28" t="s">
        <v>237</v>
      </c>
      <c r="L81" s="28" t="n">
        <v>0.29</v>
      </c>
      <c r="M81" s="31" t="n">
        <v>15420.19</v>
      </c>
      <c r="N81" s="31" t="n">
        <v>15440.11</v>
      </c>
      <c r="O81" s="31" t="n">
        <v>15380.35</v>
      </c>
      <c r="P81" s="44" t="n">
        <f aca="false">ABS(M81-N81)</f>
        <v>19.9200000000001</v>
      </c>
      <c r="Q81" s="44" t="n">
        <f aca="false">IF(O81="","",ABS(O81-M81))</f>
        <v>39.8400000000001</v>
      </c>
      <c r="R81" s="30" t="n">
        <f aca="false">P81*L81*Summary!$C$6</f>
        <v>115.536</v>
      </c>
      <c r="S81" s="31" t="n">
        <v>15440.25</v>
      </c>
      <c r="T81" s="28" t="s">
        <v>241</v>
      </c>
      <c r="U81" s="44" t="n">
        <f aca="false">IF(J81="BUY",S81-M81,M81-S81)</f>
        <v>-20.0599999999995</v>
      </c>
      <c r="V81" s="45" t="n">
        <v>0</v>
      </c>
      <c r="W81" s="45" t="n">
        <v>0</v>
      </c>
      <c r="X81" s="45" t="n">
        <v>-116.35</v>
      </c>
      <c r="Y81" s="32" t="n">
        <f aca="false">IFERROR(X81/R81,0)</f>
        <v>-1.00704542307159</v>
      </c>
      <c r="Z81" s="28" t="str">
        <f aca="false">IF(X81&gt;0,"Win",IF(X81&lt;0,"Loss","Flat"))</f>
        <v>Loss</v>
      </c>
      <c r="AA81" s="28" t="n">
        <f aca="false">ROUND((C81-B81)*1440,1)</f>
        <v>10.2</v>
      </c>
      <c r="AB81" s="28" t="str">
        <f aca="false">IF(AA81&lt;1,"a) &lt;1 min",IF(AA81&lt;10,"b) 1-10 min",IF(AA81&lt;60,"c) 10-60 min",IF(AA81&lt;240,"d) 1-4 h","e) 4 h+"))))</f>
        <v>c) 10-60 min</v>
      </c>
      <c r="AC81" s="28" t="str">
        <f aca="false">IF(P81&lt;10,"a) &lt;10",IF(P81&lt;20,"b) 10-20",IF(P81&lt;40,"c) 20-40",IF(P81&lt;80,"d) 40-80","e) 80+"))))</f>
        <v>b) 10-20</v>
      </c>
      <c r="AD81" s="30" t="n">
        <f aca="false">Summary!$C$5+SUM(X$2:X81)</f>
        <v>101099.16</v>
      </c>
      <c r="AE81" s="30" t="n">
        <f aca="false">MAX(AE80,AD81)</f>
        <v>101224.19</v>
      </c>
      <c r="AF81" s="30" t="n">
        <f aca="false">AE81-AD81</f>
        <v>125.029999999999</v>
      </c>
      <c r="AG81" s="29" t="n">
        <f aca="false">IFERROR(AF81/AE81,0)</f>
        <v>0.00123517906144765</v>
      </c>
    </row>
    <row r="82" customFormat="false" ht="15" hidden="false" customHeight="false" outlineLevel="0" collapsed="false">
      <c r="A82" s="28" t="n">
        <v>81</v>
      </c>
      <c r="B82" s="43" t="n">
        <v>45131.7041666667</v>
      </c>
      <c r="C82" s="43" t="n">
        <v>45131.7184143519</v>
      </c>
      <c r="D82" s="42" t="n">
        <f aca="false">INT(C82)</f>
        <v>45131</v>
      </c>
      <c r="E82" s="42" t="n">
        <f aca="false">D82-WEEKDAY(D82,3)</f>
        <v>45131</v>
      </c>
      <c r="F82" s="28" t="s">
        <v>146</v>
      </c>
      <c r="G82" s="28" t="n">
        <v>2023</v>
      </c>
      <c r="H82" s="28" t="s">
        <v>240</v>
      </c>
      <c r="I82" s="28" t="n">
        <v>16</v>
      </c>
      <c r="J82" s="28" t="s">
        <v>236</v>
      </c>
      <c r="K82" s="28" t="s">
        <v>237</v>
      </c>
      <c r="L82" s="28" t="n">
        <v>0.29</v>
      </c>
      <c r="M82" s="31" t="n">
        <v>15394.07</v>
      </c>
      <c r="N82" s="31" t="n">
        <v>15438.8</v>
      </c>
      <c r="O82" s="31" t="n">
        <v>15303.56</v>
      </c>
      <c r="P82" s="44" t="n">
        <f aca="false">ABS(M82-N82)</f>
        <v>44.7299999999996</v>
      </c>
      <c r="Q82" s="44" t="n">
        <f aca="false">IF(O82="","",ABS(O82-M82))</f>
        <v>90.5100000000002</v>
      </c>
      <c r="R82" s="30" t="n">
        <f aca="false">P82*L82*Summary!$C$6</f>
        <v>259.433999999997</v>
      </c>
      <c r="S82" s="31" t="n">
        <v>15439.11</v>
      </c>
      <c r="T82" s="28" t="s">
        <v>241</v>
      </c>
      <c r="U82" s="44" t="n">
        <f aca="false">IF(J82="BUY",S82-M82,M82-S82)</f>
        <v>-45.0400000000009</v>
      </c>
      <c r="V82" s="45" t="n">
        <v>0</v>
      </c>
      <c r="W82" s="45" t="n">
        <v>0</v>
      </c>
      <c r="X82" s="45" t="n">
        <v>-261.23</v>
      </c>
      <c r="Y82" s="32" t="n">
        <f aca="false">IFERROR(X82/R82,0)</f>
        <v>-1.00692276262943</v>
      </c>
      <c r="Z82" s="28" t="str">
        <f aca="false">IF(X82&gt;0,"Win",IF(X82&lt;0,"Loss","Flat"))</f>
        <v>Loss</v>
      </c>
      <c r="AA82" s="28" t="n">
        <f aca="false">ROUND((C82-B82)*1440,1)</f>
        <v>20.5</v>
      </c>
      <c r="AB82" s="28" t="str">
        <f aca="false">IF(AA82&lt;1,"a) &lt;1 min",IF(AA82&lt;10,"b) 1-10 min",IF(AA82&lt;60,"c) 10-60 min",IF(AA82&lt;240,"d) 1-4 h","e) 4 h+"))))</f>
        <v>c) 10-60 min</v>
      </c>
      <c r="AC82" s="28" t="str">
        <f aca="false">IF(P82&lt;10,"a) &lt;10",IF(P82&lt;20,"b) 10-20",IF(P82&lt;40,"c) 20-40",IF(P82&lt;80,"d) 40-80","e) 80+"))))</f>
        <v>d) 40-80</v>
      </c>
      <c r="AD82" s="30" t="n">
        <f aca="false">Summary!$C$5+SUM(X$2:X82)</f>
        <v>100837.93</v>
      </c>
      <c r="AE82" s="30" t="n">
        <f aca="false">MAX(AE81,AD82)</f>
        <v>101224.19</v>
      </c>
      <c r="AF82" s="30" t="n">
        <f aca="false">AE82-AD82</f>
        <v>386.260000000009</v>
      </c>
      <c r="AG82" s="29" t="n">
        <f aca="false">IFERROR(AF82/AE82,0)</f>
        <v>0.00381588630148593</v>
      </c>
    </row>
    <row r="83" customFormat="false" ht="15" hidden="false" customHeight="false" outlineLevel="0" collapsed="false">
      <c r="A83" s="28" t="n">
        <v>82</v>
      </c>
      <c r="B83" s="43" t="n">
        <v>45132.4861111111</v>
      </c>
      <c r="C83" s="43" t="n">
        <v>45132.4912384259</v>
      </c>
      <c r="D83" s="42" t="n">
        <f aca="false">INT(C83)</f>
        <v>45132</v>
      </c>
      <c r="E83" s="42" t="n">
        <f aca="false">D83-WEEKDAY(D83,3)</f>
        <v>45131</v>
      </c>
      <c r="F83" s="28" t="s">
        <v>146</v>
      </c>
      <c r="G83" s="28" t="n">
        <v>2023</v>
      </c>
      <c r="H83" s="28" t="s">
        <v>232</v>
      </c>
      <c r="I83" s="28" t="n">
        <v>11</v>
      </c>
      <c r="J83" s="28" t="s">
        <v>233</v>
      </c>
      <c r="K83" s="28" t="s">
        <v>234</v>
      </c>
      <c r="L83" s="28" t="n">
        <v>0.29</v>
      </c>
      <c r="M83" s="31" t="n">
        <v>15508.21</v>
      </c>
      <c r="N83" s="31" t="n">
        <v>15502.71</v>
      </c>
      <c r="O83" s="31" t="n">
        <v>15519.24</v>
      </c>
      <c r="P83" s="44" t="n">
        <f aca="false">ABS(M83-N83)</f>
        <v>5.5</v>
      </c>
      <c r="Q83" s="44" t="n">
        <f aca="false">IF(O83="","",ABS(O83-M83))</f>
        <v>11.0300000000007</v>
      </c>
      <c r="R83" s="30" t="n">
        <f aca="false">P83*L83*Summary!$C$6</f>
        <v>31.9</v>
      </c>
      <c r="S83" s="31" t="n">
        <v>15502.71</v>
      </c>
      <c r="T83" s="28" t="s">
        <v>241</v>
      </c>
      <c r="U83" s="44" t="n">
        <f aca="false">IF(J83="BUY",S83-M83,M83-S83)</f>
        <v>-5.5</v>
      </c>
      <c r="V83" s="45" t="n">
        <v>0</v>
      </c>
      <c r="W83" s="45" t="n">
        <v>0</v>
      </c>
      <c r="X83" s="45" t="n">
        <v>-31.9</v>
      </c>
      <c r="Y83" s="32" t="n">
        <f aca="false">IFERROR(X83/R83,0)</f>
        <v>-1</v>
      </c>
      <c r="Z83" s="28" t="str">
        <f aca="false">IF(X83&gt;0,"Win",IF(X83&lt;0,"Loss","Flat"))</f>
        <v>Loss</v>
      </c>
      <c r="AA83" s="28" t="n">
        <f aca="false">ROUND((C83-B83)*1440,1)</f>
        <v>7.4</v>
      </c>
      <c r="AB83" s="28" t="str">
        <f aca="false">IF(AA83&lt;1,"a) &lt;1 min",IF(AA83&lt;10,"b) 1-10 min",IF(AA83&lt;60,"c) 10-60 min",IF(AA83&lt;240,"d) 1-4 h","e) 4 h+"))))</f>
        <v>b) 1-10 min</v>
      </c>
      <c r="AC83" s="28" t="str">
        <f aca="false">IF(P83&lt;10,"a) &lt;10",IF(P83&lt;20,"b) 10-20",IF(P83&lt;40,"c) 20-40",IF(P83&lt;80,"d) 40-80","e) 80+"))))</f>
        <v>a) &lt;10</v>
      </c>
      <c r="AD83" s="30" t="n">
        <f aca="false">Summary!$C$5+SUM(X$2:X83)</f>
        <v>100806.03</v>
      </c>
      <c r="AE83" s="30" t="n">
        <f aca="false">MAX(AE82,AD83)</f>
        <v>101224.19</v>
      </c>
      <c r="AF83" s="30" t="n">
        <f aca="false">AE83-AD83</f>
        <v>418.160000000004</v>
      </c>
      <c r="AG83" s="29" t="n">
        <f aca="false">IFERROR(AF83/AE83,0)</f>
        <v>0.00413102836387235</v>
      </c>
    </row>
    <row r="84" customFormat="false" ht="15" hidden="false" customHeight="false" outlineLevel="0" collapsed="false">
      <c r="A84" s="28" t="n">
        <v>83</v>
      </c>
      <c r="B84" s="43" t="n">
        <v>45133.0430555556</v>
      </c>
      <c r="C84" s="43" t="n">
        <v>45133.0445023148</v>
      </c>
      <c r="D84" s="42" t="n">
        <f aca="false">INT(C84)</f>
        <v>45133</v>
      </c>
      <c r="E84" s="42" t="n">
        <f aca="false">D84-WEEKDAY(D84,3)</f>
        <v>45131</v>
      </c>
      <c r="F84" s="28" t="s">
        <v>146</v>
      </c>
      <c r="G84" s="28" t="n">
        <v>2023</v>
      </c>
      <c r="H84" s="28" t="s">
        <v>235</v>
      </c>
      <c r="I84" s="28" t="n">
        <v>1</v>
      </c>
      <c r="J84" s="28" t="s">
        <v>233</v>
      </c>
      <c r="K84" s="28" t="s">
        <v>234</v>
      </c>
      <c r="L84" s="28" t="n">
        <v>0.29</v>
      </c>
      <c r="M84" s="31" t="n">
        <v>15626.21</v>
      </c>
      <c r="N84" s="31" t="n">
        <v>15598.95</v>
      </c>
      <c r="O84" s="31" t="n">
        <v>15680.73</v>
      </c>
      <c r="P84" s="44" t="n">
        <f aca="false">ABS(M84-N84)</f>
        <v>27.2599999999984</v>
      </c>
      <c r="Q84" s="44" t="n">
        <f aca="false">IF(O84="","",ABS(O84-M84))</f>
        <v>54.5200000000004</v>
      </c>
      <c r="R84" s="30" t="n">
        <f aca="false">P84*L84*Summary!$C$6</f>
        <v>158.107999999991</v>
      </c>
      <c r="S84" s="31" t="n">
        <v>15597.96</v>
      </c>
      <c r="T84" s="28" t="s">
        <v>241</v>
      </c>
      <c r="U84" s="44" t="n">
        <f aca="false">IF(J84="BUY",S84-M84,M84-S84)</f>
        <v>-28.25</v>
      </c>
      <c r="V84" s="45" t="n">
        <v>0</v>
      </c>
      <c r="W84" s="45" t="n">
        <v>0</v>
      </c>
      <c r="X84" s="45" t="n">
        <v>-163.85</v>
      </c>
      <c r="Y84" s="32" t="n">
        <f aca="false">IFERROR(X84/R84,0)</f>
        <v>-1.03631694790909</v>
      </c>
      <c r="Z84" s="28" t="str">
        <f aca="false">IF(X84&gt;0,"Win",IF(X84&lt;0,"Loss","Flat"))</f>
        <v>Loss</v>
      </c>
      <c r="AA84" s="28" t="n">
        <f aca="false">ROUND((C84-B84)*1440,1)</f>
        <v>2.1</v>
      </c>
      <c r="AB84" s="28" t="str">
        <f aca="false">IF(AA84&lt;1,"a) &lt;1 min",IF(AA84&lt;10,"b) 1-10 min",IF(AA84&lt;60,"c) 10-60 min",IF(AA84&lt;240,"d) 1-4 h","e) 4 h+"))))</f>
        <v>b) 1-10 min</v>
      </c>
      <c r="AC84" s="28" t="str">
        <f aca="false">IF(P84&lt;10,"a) &lt;10",IF(P84&lt;20,"b) 10-20",IF(P84&lt;40,"c) 20-40",IF(P84&lt;80,"d) 40-80","e) 80+"))))</f>
        <v>c) 20-40</v>
      </c>
      <c r="AD84" s="30" t="n">
        <f aca="false">Summary!$C$5+SUM(X$2:X84)</f>
        <v>100642.18</v>
      </c>
      <c r="AE84" s="30" t="n">
        <f aca="false">MAX(AE83,AD84)</f>
        <v>101224.19</v>
      </c>
      <c r="AF84" s="30" t="n">
        <f aca="false">AE84-AD84</f>
        <v>582.010000000009</v>
      </c>
      <c r="AG84" s="29" t="n">
        <f aca="false">IFERROR(AF84/AE84,0)</f>
        <v>0.00574971259340291</v>
      </c>
    </row>
    <row r="85" customFormat="false" ht="15" hidden="false" customHeight="false" outlineLevel="0" collapsed="false">
      <c r="A85" s="28" t="n">
        <v>84</v>
      </c>
      <c r="B85" s="43" t="n">
        <v>45133.7486111111</v>
      </c>
      <c r="C85" s="43" t="n">
        <v>45133.7587152778</v>
      </c>
      <c r="D85" s="42" t="n">
        <f aca="false">INT(C85)</f>
        <v>45133</v>
      </c>
      <c r="E85" s="42" t="n">
        <f aca="false">D85-WEEKDAY(D85,3)</f>
        <v>45131</v>
      </c>
      <c r="F85" s="28" t="s">
        <v>146</v>
      </c>
      <c r="G85" s="28" t="n">
        <v>2023</v>
      </c>
      <c r="H85" s="28" t="s">
        <v>235</v>
      </c>
      <c r="I85" s="28" t="n">
        <v>17</v>
      </c>
      <c r="J85" s="28" t="s">
        <v>236</v>
      </c>
      <c r="K85" s="28" t="s">
        <v>237</v>
      </c>
      <c r="L85" s="28" t="n">
        <v>0.29</v>
      </c>
      <c r="M85" s="31" t="n">
        <v>15432.89</v>
      </c>
      <c r="N85" s="31" t="n">
        <v>15451.81</v>
      </c>
      <c r="O85" s="31" t="n">
        <v>15396.58</v>
      </c>
      <c r="P85" s="44" t="n">
        <f aca="false">ABS(M85-N85)</f>
        <v>18.9200000000001</v>
      </c>
      <c r="Q85" s="44" t="n">
        <f aca="false">IF(O85="","",ABS(O85-M85))</f>
        <v>36.3099999999995</v>
      </c>
      <c r="R85" s="30" t="n">
        <f aca="false">P85*L85*Summary!$C$6</f>
        <v>109.736</v>
      </c>
      <c r="S85" s="31" t="n">
        <v>15432.91</v>
      </c>
      <c r="T85" s="28" t="s">
        <v>238</v>
      </c>
      <c r="U85" s="44" t="n">
        <f aca="false">IF(J85="BUY",S85-M85,M85-S85)</f>
        <v>-0.0200000000004366</v>
      </c>
      <c r="V85" s="45" t="n">
        <v>0</v>
      </c>
      <c r="W85" s="45" t="n">
        <v>0</v>
      </c>
      <c r="X85" s="45" t="n">
        <v>-0.12</v>
      </c>
      <c r="Y85" s="32" t="n">
        <f aca="false">IFERROR(X85/R85,0)</f>
        <v>-0.00109353357148064</v>
      </c>
      <c r="Z85" s="28" t="str">
        <f aca="false">IF(X85&gt;0,"Win",IF(X85&lt;0,"Loss","Flat"))</f>
        <v>Loss</v>
      </c>
      <c r="AA85" s="28" t="n">
        <f aca="false">ROUND((C85-B85)*1440,1)</f>
        <v>14.6</v>
      </c>
      <c r="AB85" s="28" t="str">
        <f aca="false">IF(AA85&lt;1,"a) &lt;1 min",IF(AA85&lt;10,"b) 1-10 min",IF(AA85&lt;60,"c) 10-60 min",IF(AA85&lt;240,"d) 1-4 h","e) 4 h+"))))</f>
        <v>c) 10-60 min</v>
      </c>
      <c r="AC85" s="28" t="str">
        <f aca="false">IF(P85&lt;10,"a) &lt;10",IF(P85&lt;20,"b) 10-20",IF(P85&lt;40,"c) 20-40",IF(P85&lt;80,"d) 40-80","e) 80+"))))</f>
        <v>b) 10-20</v>
      </c>
      <c r="AD85" s="30" t="n">
        <f aca="false">Summary!$C$5+SUM(X$2:X85)</f>
        <v>100642.06</v>
      </c>
      <c r="AE85" s="30" t="n">
        <f aca="false">MAX(AE84,AD85)</f>
        <v>101224.19</v>
      </c>
      <c r="AF85" s="30" t="n">
        <f aca="false">AE85-AD85</f>
        <v>582.130000000005</v>
      </c>
      <c r="AG85" s="29" t="n">
        <f aca="false">IFERROR(AF85/AE85,0)</f>
        <v>0.00575089808078489</v>
      </c>
    </row>
    <row r="86" customFormat="false" ht="15" hidden="false" customHeight="false" outlineLevel="0" collapsed="false">
      <c r="A86" s="28" t="n">
        <v>85</v>
      </c>
      <c r="B86" s="43" t="n">
        <v>45134.4305555556</v>
      </c>
      <c r="C86" s="43" t="n">
        <v>45134.4492476852</v>
      </c>
      <c r="D86" s="42" t="n">
        <f aca="false">INT(C86)</f>
        <v>45134</v>
      </c>
      <c r="E86" s="42" t="n">
        <f aca="false">D86-WEEKDAY(D86,3)</f>
        <v>45131</v>
      </c>
      <c r="F86" s="28" t="s">
        <v>146</v>
      </c>
      <c r="G86" s="28" t="n">
        <v>2023</v>
      </c>
      <c r="H86" s="28" t="s">
        <v>239</v>
      </c>
      <c r="I86" s="28" t="n">
        <v>10</v>
      </c>
      <c r="J86" s="28" t="s">
        <v>233</v>
      </c>
      <c r="K86" s="28" t="s">
        <v>234</v>
      </c>
      <c r="L86" s="28" t="n">
        <v>0.28</v>
      </c>
      <c r="M86" s="31" t="n">
        <v>15631.96</v>
      </c>
      <c r="N86" s="31" t="n">
        <v>15620.5</v>
      </c>
      <c r="O86" s="31" t="n">
        <v>15654.91</v>
      </c>
      <c r="P86" s="44" t="n">
        <f aca="false">ABS(M86-N86)</f>
        <v>11.4599999999991</v>
      </c>
      <c r="Q86" s="44" t="n">
        <f aca="false">IF(O86="","",ABS(O86-M86))</f>
        <v>22.9500000000007</v>
      </c>
      <c r="R86" s="30" t="n">
        <f aca="false">P86*L86*Summary!$C$6</f>
        <v>64.1759999999951</v>
      </c>
      <c r="S86" s="31" t="n">
        <v>15654.91</v>
      </c>
      <c r="T86" s="28" t="s">
        <v>214</v>
      </c>
      <c r="U86" s="44" t="n">
        <f aca="false">IF(J86="BUY",S86-M86,M86-S86)</f>
        <v>22.9500000000007</v>
      </c>
      <c r="V86" s="45" t="n">
        <v>0</v>
      </c>
      <c r="W86" s="45" t="n">
        <v>0</v>
      </c>
      <c r="X86" s="45" t="n">
        <v>128.52</v>
      </c>
      <c r="Y86" s="32" t="n">
        <f aca="false">IFERROR(X86/R86,0)</f>
        <v>2.00261780104727</v>
      </c>
      <c r="Z86" s="28" t="str">
        <f aca="false">IF(X86&gt;0,"Win",IF(X86&lt;0,"Loss","Flat"))</f>
        <v>Win</v>
      </c>
      <c r="AA86" s="28" t="n">
        <f aca="false">ROUND((C86-B86)*1440,1)</f>
        <v>26.9</v>
      </c>
      <c r="AB86" s="28" t="str">
        <f aca="false">IF(AA86&lt;1,"a) &lt;1 min",IF(AA86&lt;10,"b) 1-10 min",IF(AA86&lt;60,"c) 10-60 min",IF(AA86&lt;240,"d) 1-4 h","e) 4 h+"))))</f>
        <v>c) 10-60 min</v>
      </c>
      <c r="AC86" s="28" t="str">
        <f aca="false">IF(P86&lt;10,"a) &lt;10",IF(P86&lt;20,"b) 10-20",IF(P86&lt;40,"c) 20-40",IF(P86&lt;80,"d) 40-80","e) 80+"))))</f>
        <v>b) 10-20</v>
      </c>
      <c r="AD86" s="30" t="n">
        <f aca="false">Summary!$C$5+SUM(X$2:X86)</f>
        <v>100770.58</v>
      </c>
      <c r="AE86" s="30" t="n">
        <f aca="false">MAX(AE85,AD86)</f>
        <v>101224.19</v>
      </c>
      <c r="AF86" s="30" t="n">
        <f aca="false">AE86-AD86</f>
        <v>453.610000000001</v>
      </c>
      <c r="AG86" s="29" t="n">
        <f aca="false">IFERROR(AF86/AE86,0)</f>
        <v>0.00448124109464349</v>
      </c>
    </row>
    <row r="87" customFormat="false" ht="15" hidden="false" customHeight="false" outlineLevel="0" collapsed="false">
      <c r="A87" s="28" t="n">
        <v>86</v>
      </c>
      <c r="B87" s="43" t="n">
        <v>45138.06875</v>
      </c>
      <c r="C87" s="43" t="n">
        <v>45138.0698611111</v>
      </c>
      <c r="D87" s="42" t="n">
        <f aca="false">INT(C87)</f>
        <v>45138</v>
      </c>
      <c r="E87" s="42" t="n">
        <f aca="false">D87-WEEKDAY(D87,3)</f>
        <v>45138</v>
      </c>
      <c r="F87" s="28" t="s">
        <v>146</v>
      </c>
      <c r="G87" s="28" t="n">
        <v>2023</v>
      </c>
      <c r="H87" s="28" t="s">
        <v>240</v>
      </c>
      <c r="I87" s="28" t="n">
        <v>1</v>
      </c>
      <c r="J87" s="28" t="s">
        <v>233</v>
      </c>
      <c r="K87" s="28" t="s">
        <v>234</v>
      </c>
      <c r="L87" s="28" t="n">
        <v>0.28</v>
      </c>
      <c r="M87" s="31" t="n">
        <v>15794.26</v>
      </c>
      <c r="N87" s="31" t="n">
        <v>15786.67</v>
      </c>
      <c r="O87" s="31" t="n">
        <v>15809.44</v>
      </c>
      <c r="P87" s="44" t="n">
        <f aca="false">ABS(M87-N87)</f>
        <v>7.59000000000015</v>
      </c>
      <c r="Q87" s="44" t="n">
        <f aca="false">IF(O87="","",ABS(O87-M87))</f>
        <v>15.1800000000003</v>
      </c>
      <c r="R87" s="30" t="n">
        <f aca="false">P87*L87*Summary!$C$6</f>
        <v>42.5040000000008</v>
      </c>
      <c r="S87" s="31" t="n">
        <v>15809.79</v>
      </c>
      <c r="T87" s="28" t="s">
        <v>214</v>
      </c>
      <c r="U87" s="44" t="n">
        <f aca="false">IF(J87="BUY",S87-M87,M87-S87)</f>
        <v>15.5300000000007</v>
      </c>
      <c r="V87" s="45" t="n">
        <v>0</v>
      </c>
      <c r="W87" s="45" t="n">
        <v>0</v>
      </c>
      <c r="X87" s="45" t="n">
        <v>86.97</v>
      </c>
      <c r="Y87" s="32" t="n">
        <f aca="false">IFERROR(X87/R87,0)</f>
        <v>2.04616036137771</v>
      </c>
      <c r="Z87" s="28" t="str">
        <f aca="false">IF(X87&gt;0,"Win",IF(X87&lt;0,"Loss","Flat"))</f>
        <v>Win</v>
      </c>
      <c r="AA87" s="28" t="n">
        <f aca="false">ROUND((C87-B87)*1440,1)</f>
        <v>1.6</v>
      </c>
      <c r="AB87" s="28" t="str">
        <f aca="false">IF(AA87&lt;1,"a) &lt;1 min",IF(AA87&lt;10,"b) 1-10 min",IF(AA87&lt;60,"c) 10-60 min",IF(AA87&lt;240,"d) 1-4 h","e) 4 h+"))))</f>
        <v>b) 1-10 min</v>
      </c>
      <c r="AC87" s="28" t="str">
        <f aca="false">IF(P87&lt;10,"a) &lt;10",IF(P87&lt;20,"b) 10-20",IF(P87&lt;40,"c) 20-40",IF(P87&lt;80,"d) 40-80","e) 80+"))))</f>
        <v>a) &lt;10</v>
      </c>
      <c r="AD87" s="30" t="n">
        <f aca="false">Summary!$C$5+SUM(X$2:X87)</f>
        <v>100857.55</v>
      </c>
      <c r="AE87" s="30" t="n">
        <f aca="false">MAX(AE86,AD87)</f>
        <v>101224.19</v>
      </c>
      <c r="AF87" s="30" t="n">
        <f aca="false">AE87-AD87</f>
        <v>366.639999999999</v>
      </c>
      <c r="AG87" s="29" t="n">
        <f aca="false">IFERROR(AF87/AE87,0)</f>
        <v>0.00362205911452588</v>
      </c>
    </row>
    <row r="88" customFormat="false" ht="15" hidden="false" customHeight="false" outlineLevel="0" collapsed="false">
      <c r="A88" s="28" t="n">
        <v>87</v>
      </c>
      <c r="B88" s="43" t="n">
        <v>45139.6118055556</v>
      </c>
      <c r="C88" s="43" t="n">
        <v>45139.6295023148</v>
      </c>
      <c r="D88" s="42" t="n">
        <f aca="false">INT(C88)</f>
        <v>45139</v>
      </c>
      <c r="E88" s="42" t="n">
        <f aca="false">D88-WEEKDAY(D88,3)</f>
        <v>45138</v>
      </c>
      <c r="F88" s="28" t="s">
        <v>147</v>
      </c>
      <c r="G88" s="28" t="n">
        <v>2023</v>
      </c>
      <c r="H88" s="28" t="s">
        <v>232</v>
      </c>
      <c r="I88" s="28" t="n">
        <v>14</v>
      </c>
      <c r="J88" s="28" t="s">
        <v>236</v>
      </c>
      <c r="K88" s="28" t="s">
        <v>237</v>
      </c>
      <c r="L88" s="28" t="n">
        <v>0.28</v>
      </c>
      <c r="M88" s="31" t="n">
        <v>15683.57</v>
      </c>
      <c r="N88" s="31" t="n">
        <v>15693.47</v>
      </c>
      <c r="O88" s="31" t="n">
        <v>15663.89</v>
      </c>
      <c r="P88" s="44" t="n">
        <f aca="false">ABS(M88-N88)</f>
        <v>9.89999999999964</v>
      </c>
      <c r="Q88" s="44" t="n">
        <f aca="false">IF(O88="","",ABS(O88-M88))</f>
        <v>19.6800000000003</v>
      </c>
      <c r="R88" s="30" t="n">
        <f aca="false">P88*L88*Summary!$C$6</f>
        <v>55.439999999998</v>
      </c>
      <c r="S88" s="31" t="n">
        <v>15683.59</v>
      </c>
      <c r="T88" s="28" t="s">
        <v>238</v>
      </c>
      <c r="U88" s="44" t="n">
        <f aca="false">IF(J88="BUY",S88-M88,M88-S88)</f>
        <v>-0.0200000000004366</v>
      </c>
      <c r="V88" s="45" t="n">
        <v>0</v>
      </c>
      <c r="W88" s="45" t="n">
        <v>0</v>
      </c>
      <c r="X88" s="45" t="n">
        <v>-0.11</v>
      </c>
      <c r="Y88" s="32" t="n">
        <f aca="false">IFERROR(X88/R88,0)</f>
        <v>-0.00198412698412706</v>
      </c>
      <c r="Z88" s="28" t="str">
        <f aca="false">IF(X88&gt;0,"Win",IF(X88&lt;0,"Loss","Flat"))</f>
        <v>Loss</v>
      </c>
      <c r="AA88" s="28" t="n">
        <f aca="false">ROUND((C88-B88)*1440,1)</f>
        <v>25.5</v>
      </c>
      <c r="AB88" s="28" t="str">
        <f aca="false">IF(AA88&lt;1,"a) &lt;1 min",IF(AA88&lt;10,"b) 1-10 min",IF(AA88&lt;60,"c) 10-60 min",IF(AA88&lt;240,"d) 1-4 h","e) 4 h+"))))</f>
        <v>c) 10-60 min</v>
      </c>
      <c r="AC88" s="28" t="str">
        <f aca="false">IF(P88&lt;10,"a) &lt;10",IF(P88&lt;20,"b) 10-20",IF(P88&lt;40,"c) 20-40",IF(P88&lt;80,"d) 40-80","e) 80+"))))</f>
        <v>a) &lt;10</v>
      </c>
      <c r="AD88" s="30" t="n">
        <f aca="false">Summary!$C$5+SUM(X$2:X88)</f>
        <v>100857.44</v>
      </c>
      <c r="AE88" s="30" t="n">
        <f aca="false">MAX(AE87,AD88)</f>
        <v>101224.19</v>
      </c>
      <c r="AF88" s="30" t="n">
        <f aca="false">AE88-AD88</f>
        <v>366.75</v>
      </c>
      <c r="AG88" s="29" t="n">
        <f aca="false">IFERROR(AF88/AE88,0)</f>
        <v>0.00362314581129274</v>
      </c>
    </row>
    <row r="89" customFormat="false" ht="15" hidden="false" customHeight="false" outlineLevel="0" collapsed="false">
      <c r="A89" s="28" t="n">
        <v>88</v>
      </c>
      <c r="B89" s="43" t="n">
        <v>45140.0423611111</v>
      </c>
      <c r="C89" s="43" t="n">
        <v>45140.0434722222</v>
      </c>
      <c r="D89" s="42" t="n">
        <f aca="false">INT(C89)</f>
        <v>45140</v>
      </c>
      <c r="E89" s="42" t="n">
        <f aca="false">D89-WEEKDAY(D89,3)</f>
        <v>45138</v>
      </c>
      <c r="F89" s="28" t="s">
        <v>147</v>
      </c>
      <c r="G89" s="28" t="n">
        <v>2023</v>
      </c>
      <c r="H89" s="28" t="s">
        <v>235</v>
      </c>
      <c r="I89" s="28" t="n">
        <v>1</v>
      </c>
      <c r="J89" s="28" t="s">
        <v>236</v>
      </c>
      <c r="K89" s="28" t="s">
        <v>237</v>
      </c>
      <c r="L89" s="28" t="n">
        <v>0.29</v>
      </c>
      <c r="M89" s="31" t="n">
        <v>15601.36</v>
      </c>
      <c r="N89" s="31" t="n">
        <v>15634.58</v>
      </c>
      <c r="O89" s="31" t="n">
        <v>15534.92</v>
      </c>
      <c r="P89" s="44" t="n">
        <f aca="false">ABS(M89-N89)</f>
        <v>33.2199999999993</v>
      </c>
      <c r="Q89" s="44" t="n">
        <f aca="false">IF(O89="","",ABS(O89-M89))</f>
        <v>66.4400000000005</v>
      </c>
      <c r="R89" s="30" t="n">
        <f aca="false">P89*L89*Summary!$C$6</f>
        <v>192.675999999996</v>
      </c>
      <c r="S89" s="31" t="n">
        <v>15634.66</v>
      </c>
      <c r="T89" s="28" t="s">
        <v>241</v>
      </c>
      <c r="U89" s="44" t="n">
        <f aca="false">IF(J89="BUY",S89-M89,M89-S89)</f>
        <v>-33.2999999999993</v>
      </c>
      <c r="V89" s="45" t="n">
        <v>0</v>
      </c>
      <c r="W89" s="45" t="n">
        <v>0</v>
      </c>
      <c r="X89" s="45" t="n">
        <v>-193.14</v>
      </c>
      <c r="Y89" s="32" t="n">
        <f aca="false">IFERROR(X89/R89,0)</f>
        <v>-1.00240818783867</v>
      </c>
      <c r="Z89" s="28" t="str">
        <f aca="false">IF(X89&gt;0,"Win",IF(X89&lt;0,"Loss","Flat"))</f>
        <v>Loss</v>
      </c>
      <c r="AA89" s="28" t="n">
        <f aca="false">ROUND((C89-B89)*1440,1)</f>
        <v>1.6</v>
      </c>
      <c r="AB89" s="28" t="str">
        <f aca="false">IF(AA89&lt;1,"a) &lt;1 min",IF(AA89&lt;10,"b) 1-10 min",IF(AA89&lt;60,"c) 10-60 min",IF(AA89&lt;240,"d) 1-4 h","e) 4 h+"))))</f>
        <v>b) 1-10 min</v>
      </c>
      <c r="AC89" s="28" t="str">
        <f aca="false">IF(P89&lt;10,"a) &lt;10",IF(P89&lt;20,"b) 10-20",IF(P89&lt;40,"c) 20-40",IF(P89&lt;80,"d) 40-80","e) 80+"))))</f>
        <v>c) 20-40</v>
      </c>
      <c r="AD89" s="30" t="n">
        <f aca="false">Summary!$C$5+SUM(X$2:X89)</f>
        <v>100664.3</v>
      </c>
      <c r="AE89" s="30" t="n">
        <f aca="false">MAX(AE88,AD89)</f>
        <v>101224.19</v>
      </c>
      <c r="AF89" s="30" t="n">
        <f aca="false">AE89-AD89</f>
        <v>559.889999999999</v>
      </c>
      <c r="AG89" s="29" t="n">
        <f aca="false">IFERROR(AF89/AE89,0)</f>
        <v>0.00553118775265082</v>
      </c>
    </row>
    <row r="90" customFormat="false" ht="15" hidden="false" customHeight="false" outlineLevel="0" collapsed="false">
      <c r="A90" s="28" t="n">
        <v>89</v>
      </c>
      <c r="B90" s="43" t="n">
        <v>45141.4166666667</v>
      </c>
      <c r="C90" s="43" t="n">
        <v>45141.427962963</v>
      </c>
      <c r="D90" s="42" t="n">
        <f aca="false">INT(C90)</f>
        <v>45141</v>
      </c>
      <c r="E90" s="42" t="n">
        <f aca="false">D90-WEEKDAY(D90,3)</f>
        <v>45138</v>
      </c>
      <c r="F90" s="28" t="s">
        <v>147</v>
      </c>
      <c r="G90" s="28" t="n">
        <v>2023</v>
      </c>
      <c r="H90" s="28" t="s">
        <v>239</v>
      </c>
      <c r="I90" s="28" t="n">
        <v>10</v>
      </c>
      <c r="J90" s="28" t="s">
        <v>236</v>
      </c>
      <c r="K90" s="28" t="s">
        <v>237</v>
      </c>
      <c r="L90" s="28" t="n">
        <v>0.29</v>
      </c>
      <c r="M90" s="31" t="n">
        <v>15310.79</v>
      </c>
      <c r="N90" s="31" t="n">
        <v>15325.08</v>
      </c>
      <c r="O90" s="31" t="n">
        <v>15281.58</v>
      </c>
      <c r="P90" s="44" t="n">
        <f aca="false">ABS(M90-N90)</f>
        <v>14.2899999999991</v>
      </c>
      <c r="Q90" s="44" t="n">
        <f aca="false">IF(O90="","",ABS(O90-M90))</f>
        <v>29.2100000000009</v>
      </c>
      <c r="R90" s="30" t="n">
        <f aca="false">P90*L90*Summary!$C$6</f>
        <v>82.8819999999945</v>
      </c>
      <c r="S90" s="31" t="n">
        <v>15280.91</v>
      </c>
      <c r="T90" s="28" t="s">
        <v>214</v>
      </c>
      <c r="U90" s="44" t="n">
        <f aca="false">IF(J90="BUY",S90-M90,M90-S90)</f>
        <v>29.880000000001</v>
      </c>
      <c r="V90" s="45" t="n">
        <v>0</v>
      </c>
      <c r="W90" s="45" t="n">
        <v>0</v>
      </c>
      <c r="X90" s="45" t="n">
        <v>173.3</v>
      </c>
      <c r="Y90" s="32" t="n">
        <f aca="false">IFERROR(X90/R90,0)</f>
        <v>2.09092444680403</v>
      </c>
      <c r="Z90" s="28" t="str">
        <f aca="false">IF(X90&gt;0,"Win",IF(X90&lt;0,"Loss","Flat"))</f>
        <v>Win</v>
      </c>
      <c r="AA90" s="28" t="n">
        <f aca="false">ROUND((C90-B90)*1440,1)</f>
        <v>16.3</v>
      </c>
      <c r="AB90" s="28" t="str">
        <f aca="false">IF(AA90&lt;1,"a) &lt;1 min",IF(AA90&lt;10,"b) 1-10 min",IF(AA90&lt;60,"c) 10-60 min",IF(AA90&lt;240,"d) 1-4 h","e) 4 h+"))))</f>
        <v>c) 10-60 min</v>
      </c>
      <c r="AC90" s="28" t="str">
        <f aca="false">IF(P90&lt;10,"a) &lt;10",IF(P90&lt;20,"b) 10-20",IF(P90&lt;40,"c) 20-40",IF(P90&lt;80,"d) 40-80","e) 80+"))))</f>
        <v>b) 10-20</v>
      </c>
      <c r="AD90" s="30" t="n">
        <f aca="false">Summary!$C$5+SUM(X$2:X90)</f>
        <v>100837.6</v>
      </c>
      <c r="AE90" s="30" t="n">
        <f aca="false">MAX(AE89,AD90)</f>
        <v>101224.19</v>
      </c>
      <c r="AF90" s="30" t="n">
        <f aca="false">AE90-AD90</f>
        <v>386.589999999997</v>
      </c>
      <c r="AG90" s="29" t="n">
        <f aca="false">IFERROR(AF90/AE90,0)</f>
        <v>0.00381914639178636</v>
      </c>
    </row>
    <row r="91" customFormat="false" ht="15" hidden="false" customHeight="false" outlineLevel="0" collapsed="false">
      <c r="A91" s="28" t="n">
        <v>90</v>
      </c>
      <c r="B91" s="43" t="n">
        <v>45142.1923611111</v>
      </c>
      <c r="C91" s="43" t="n">
        <v>45142.2002546296</v>
      </c>
      <c r="D91" s="42" t="n">
        <f aca="false">INT(C91)</f>
        <v>45142</v>
      </c>
      <c r="E91" s="42" t="n">
        <f aca="false">D91-WEEKDAY(D91,3)</f>
        <v>45138</v>
      </c>
      <c r="F91" s="28" t="s">
        <v>147</v>
      </c>
      <c r="G91" s="28" t="n">
        <v>2023</v>
      </c>
      <c r="H91" s="28" t="s">
        <v>242</v>
      </c>
      <c r="I91" s="28" t="n">
        <v>4</v>
      </c>
      <c r="J91" s="28" t="s">
        <v>233</v>
      </c>
      <c r="K91" s="28" t="s">
        <v>234</v>
      </c>
      <c r="L91" s="28" t="n">
        <v>0.29</v>
      </c>
      <c r="M91" s="31" t="n">
        <v>15448.37</v>
      </c>
      <c r="N91" s="31" t="n">
        <v>15435.23</v>
      </c>
      <c r="O91" s="31" t="n">
        <v>15471.59</v>
      </c>
      <c r="P91" s="44" t="n">
        <f aca="false">ABS(M91-N91)</f>
        <v>13.1400000000012</v>
      </c>
      <c r="Q91" s="44" t="n">
        <f aca="false">IF(O91="","",ABS(O91-M91))</f>
        <v>23.2199999999993</v>
      </c>
      <c r="R91" s="30" t="n">
        <f aca="false">P91*L91*Summary!$C$6</f>
        <v>76.2120000000072</v>
      </c>
      <c r="S91" s="31" t="n">
        <v>15435.08</v>
      </c>
      <c r="T91" s="28" t="s">
        <v>241</v>
      </c>
      <c r="U91" s="44" t="n">
        <f aca="false">IF(J91="BUY",S91-M91,M91-S91)</f>
        <v>-13.2900000000009</v>
      </c>
      <c r="V91" s="45" t="n">
        <v>0</v>
      </c>
      <c r="W91" s="45" t="n">
        <v>0</v>
      </c>
      <c r="X91" s="45" t="n">
        <v>-77.08</v>
      </c>
      <c r="Y91" s="32" t="n">
        <f aca="false">IFERROR(X91/R91,0)</f>
        <v>-1.01138928252759</v>
      </c>
      <c r="Z91" s="28" t="str">
        <f aca="false">IF(X91&gt;0,"Win",IF(X91&lt;0,"Loss","Flat"))</f>
        <v>Loss</v>
      </c>
      <c r="AA91" s="28" t="n">
        <f aca="false">ROUND((C91-B91)*1440,1)</f>
        <v>11.4</v>
      </c>
      <c r="AB91" s="28" t="str">
        <f aca="false">IF(AA91&lt;1,"a) &lt;1 min",IF(AA91&lt;10,"b) 1-10 min",IF(AA91&lt;60,"c) 10-60 min",IF(AA91&lt;240,"d) 1-4 h","e) 4 h+"))))</f>
        <v>c) 10-60 min</v>
      </c>
      <c r="AC91" s="28" t="str">
        <f aca="false">IF(P91&lt;10,"a) &lt;10",IF(P91&lt;20,"b) 10-20",IF(P91&lt;40,"c) 20-40",IF(P91&lt;80,"d) 40-80","e) 80+"))))</f>
        <v>b) 10-20</v>
      </c>
      <c r="AD91" s="30" t="n">
        <f aca="false">Summary!$C$5+SUM(X$2:X91)</f>
        <v>100760.52</v>
      </c>
      <c r="AE91" s="30" t="n">
        <f aca="false">MAX(AE90,AD91)</f>
        <v>101224.19</v>
      </c>
      <c r="AF91" s="30" t="n">
        <f aca="false">AE91-AD91</f>
        <v>463.669999999998</v>
      </c>
      <c r="AG91" s="29" t="n">
        <f aca="false">IFERROR(AF91/AE91,0)</f>
        <v>0.00458062445350265</v>
      </c>
    </row>
    <row r="92" customFormat="false" ht="15" hidden="false" customHeight="false" outlineLevel="0" collapsed="false">
      <c r="A92" s="28" t="n">
        <v>91</v>
      </c>
      <c r="B92" s="43" t="n">
        <v>45146.0423726852</v>
      </c>
      <c r="C92" s="43" t="n">
        <v>45146.0488773148</v>
      </c>
      <c r="D92" s="42" t="n">
        <f aca="false">INT(C92)</f>
        <v>45146</v>
      </c>
      <c r="E92" s="42" t="n">
        <f aca="false">D92-WEEKDAY(D92,3)</f>
        <v>45145</v>
      </c>
      <c r="F92" s="28" t="s">
        <v>147</v>
      </c>
      <c r="G92" s="28" t="n">
        <v>2023</v>
      </c>
      <c r="H92" s="28" t="s">
        <v>232</v>
      </c>
      <c r="I92" s="28" t="n">
        <v>1</v>
      </c>
      <c r="J92" s="28" t="s">
        <v>233</v>
      </c>
      <c r="K92" s="28" t="s">
        <v>234</v>
      </c>
      <c r="L92" s="28" t="n">
        <v>0.29</v>
      </c>
      <c r="M92" s="31" t="n">
        <v>15414.02</v>
      </c>
      <c r="N92" s="31" t="n">
        <v>15407.24</v>
      </c>
      <c r="O92" s="31" t="n">
        <v>15427.58</v>
      </c>
      <c r="P92" s="44" t="n">
        <f aca="false">ABS(M92-N92)</f>
        <v>6.78000000000066</v>
      </c>
      <c r="Q92" s="44" t="n">
        <f aca="false">IF(O92="","",ABS(O92-M92))</f>
        <v>13.5599999999995</v>
      </c>
      <c r="R92" s="30" t="n">
        <f aca="false">P92*L92*Summary!$C$6</f>
        <v>39.3240000000038</v>
      </c>
      <c r="S92" s="31" t="n">
        <v>15407.15</v>
      </c>
      <c r="T92" s="28" t="s">
        <v>241</v>
      </c>
      <c r="U92" s="44" t="n">
        <f aca="false">IF(J92="BUY",S92-M92,M92-S92)</f>
        <v>-6.8700000000008</v>
      </c>
      <c r="V92" s="45" t="n">
        <v>0</v>
      </c>
      <c r="W92" s="45" t="n">
        <v>0</v>
      </c>
      <c r="X92" s="45" t="n">
        <v>-39.85</v>
      </c>
      <c r="Y92" s="32" t="n">
        <f aca="false">IFERROR(X92/R92,0)</f>
        <v>-1.01337605533507</v>
      </c>
      <c r="Z92" s="28" t="str">
        <f aca="false">IF(X92&gt;0,"Win",IF(X92&lt;0,"Loss","Flat"))</f>
        <v>Loss</v>
      </c>
      <c r="AA92" s="28" t="n">
        <f aca="false">ROUND((C92-B92)*1440,1)</f>
        <v>9.4</v>
      </c>
      <c r="AB92" s="28" t="str">
        <f aca="false">IF(AA92&lt;1,"a) &lt;1 min",IF(AA92&lt;10,"b) 1-10 min",IF(AA92&lt;60,"c) 10-60 min",IF(AA92&lt;240,"d) 1-4 h","e) 4 h+"))))</f>
        <v>b) 1-10 min</v>
      </c>
      <c r="AC92" s="28" t="str">
        <f aca="false">IF(P92&lt;10,"a) &lt;10",IF(P92&lt;20,"b) 10-20",IF(P92&lt;40,"c) 20-40",IF(P92&lt;80,"d) 40-80","e) 80+"))))</f>
        <v>a) &lt;10</v>
      </c>
      <c r="AD92" s="30" t="n">
        <f aca="false">Summary!$C$5+SUM(X$2:X92)</f>
        <v>100720.67</v>
      </c>
      <c r="AE92" s="30" t="n">
        <f aca="false">MAX(AE91,AD92)</f>
        <v>101224.19</v>
      </c>
      <c r="AF92" s="30" t="n">
        <f aca="false">AE92-AD92</f>
        <v>503.520000000004</v>
      </c>
      <c r="AG92" s="29" t="n">
        <f aca="false">IFERROR(AF92/AE92,0)</f>
        <v>0.00497430505494787</v>
      </c>
    </row>
    <row r="93" customFormat="false" ht="15" hidden="false" customHeight="false" outlineLevel="0" collapsed="false">
      <c r="A93" s="28" t="n">
        <v>92</v>
      </c>
      <c r="B93" s="43" t="n">
        <v>45146.6305555556</v>
      </c>
      <c r="C93" s="43" t="n">
        <v>45146.632662037</v>
      </c>
      <c r="D93" s="42" t="n">
        <f aca="false">INT(C93)</f>
        <v>45146</v>
      </c>
      <c r="E93" s="42" t="n">
        <f aca="false">D93-WEEKDAY(D93,3)</f>
        <v>45145</v>
      </c>
      <c r="F93" s="28" t="s">
        <v>147</v>
      </c>
      <c r="G93" s="28" t="n">
        <v>2023</v>
      </c>
      <c r="H93" s="28" t="s">
        <v>232</v>
      </c>
      <c r="I93" s="28" t="n">
        <v>15</v>
      </c>
      <c r="J93" s="28" t="s">
        <v>236</v>
      </c>
      <c r="K93" s="28" t="s">
        <v>237</v>
      </c>
      <c r="L93" s="28" t="n">
        <v>0.29</v>
      </c>
      <c r="M93" s="31" t="n">
        <v>15244.64</v>
      </c>
      <c r="N93" s="31" t="n">
        <v>15259.56</v>
      </c>
      <c r="O93" s="31" t="n">
        <v>15214.81</v>
      </c>
      <c r="P93" s="44" t="n">
        <f aca="false">ABS(M93-N93)</f>
        <v>14.9200000000001</v>
      </c>
      <c r="Q93" s="44" t="n">
        <f aca="false">IF(O93="","",ABS(O93-M93))</f>
        <v>29.8299999999999</v>
      </c>
      <c r="R93" s="30" t="n">
        <f aca="false">P93*L93*Summary!$C$6</f>
        <v>86.5360000000004</v>
      </c>
      <c r="S93" s="31" t="n">
        <v>15259.59</v>
      </c>
      <c r="T93" s="28" t="s">
        <v>241</v>
      </c>
      <c r="U93" s="44" t="n">
        <f aca="false">IF(J93="BUY",S93-M93,M93-S93)</f>
        <v>-14.9500000000007</v>
      </c>
      <c r="V93" s="45" t="n">
        <v>0</v>
      </c>
      <c r="W93" s="45" t="n">
        <v>0</v>
      </c>
      <c r="X93" s="45" t="n">
        <v>-86.71</v>
      </c>
      <c r="Y93" s="32" t="n">
        <f aca="false">IFERROR(X93/R93,0)</f>
        <v>-1.00201072386058</v>
      </c>
      <c r="Z93" s="28" t="str">
        <f aca="false">IF(X93&gt;0,"Win",IF(X93&lt;0,"Loss","Flat"))</f>
        <v>Loss</v>
      </c>
      <c r="AA93" s="28" t="n">
        <f aca="false">ROUND((C93-B93)*1440,1)</f>
        <v>3</v>
      </c>
      <c r="AB93" s="28" t="str">
        <f aca="false">IF(AA93&lt;1,"a) &lt;1 min",IF(AA93&lt;10,"b) 1-10 min",IF(AA93&lt;60,"c) 10-60 min",IF(AA93&lt;240,"d) 1-4 h","e) 4 h+"))))</f>
        <v>b) 1-10 min</v>
      </c>
      <c r="AC93" s="28" t="str">
        <f aca="false">IF(P93&lt;10,"a) &lt;10",IF(P93&lt;20,"b) 10-20",IF(P93&lt;40,"c) 20-40",IF(P93&lt;80,"d) 40-80","e) 80+"))))</f>
        <v>b) 10-20</v>
      </c>
      <c r="AD93" s="30" t="n">
        <f aca="false">Summary!$C$5+SUM(X$2:X93)</f>
        <v>100633.96</v>
      </c>
      <c r="AE93" s="30" t="n">
        <f aca="false">MAX(AE92,AD93)</f>
        <v>101224.19</v>
      </c>
      <c r="AF93" s="30" t="n">
        <f aca="false">AE93-AD93</f>
        <v>590.229999999996</v>
      </c>
      <c r="AG93" s="29" t="n">
        <f aca="false">IFERROR(AF93/AE93,0)</f>
        <v>0.00583091847907102</v>
      </c>
    </row>
    <row r="94" customFormat="false" ht="15" hidden="false" customHeight="false" outlineLevel="0" collapsed="false">
      <c r="A94" s="28" t="n">
        <v>93</v>
      </c>
      <c r="B94" s="43" t="n">
        <v>45147.7479166667</v>
      </c>
      <c r="C94" s="43" t="n">
        <v>45147.7618518519</v>
      </c>
      <c r="D94" s="42" t="n">
        <f aca="false">INT(C94)</f>
        <v>45147</v>
      </c>
      <c r="E94" s="42" t="n">
        <f aca="false">D94-WEEKDAY(D94,3)</f>
        <v>45145</v>
      </c>
      <c r="F94" s="28" t="s">
        <v>147</v>
      </c>
      <c r="G94" s="28" t="n">
        <v>2023</v>
      </c>
      <c r="H94" s="28" t="s">
        <v>235</v>
      </c>
      <c r="I94" s="28" t="n">
        <v>17</v>
      </c>
      <c r="J94" s="28" t="s">
        <v>236</v>
      </c>
      <c r="K94" s="28" t="s">
        <v>237</v>
      </c>
      <c r="L94" s="28" t="n">
        <v>0.29</v>
      </c>
      <c r="M94" s="31" t="n">
        <v>15136.4</v>
      </c>
      <c r="N94" s="31" t="n">
        <v>15159.27</v>
      </c>
      <c r="O94" s="31" t="n">
        <v>15090.64</v>
      </c>
      <c r="P94" s="44" t="n">
        <f aca="false">ABS(M94-N94)</f>
        <v>22.8700000000008</v>
      </c>
      <c r="Q94" s="44" t="n">
        <f aca="false">IF(O94="","",ABS(O94-M94))</f>
        <v>45.7600000000002</v>
      </c>
      <c r="R94" s="30" t="n">
        <f aca="false">P94*L94*Summary!$C$6</f>
        <v>132.646000000005</v>
      </c>
      <c r="S94" s="31" t="n">
        <v>15090.41</v>
      </c>
      <c r="T94" s="28" t="s">
        <v>214</v>
      </c>
      <c r="U94" s="44" t="n">
        <f aca="false">IF(J94="BUY",S94-M94,M94-S94)</f>
        <v>45.9899999999998</v>
      </c>
      <c r="V94" s="45" t="n">
        <v>0</v>
      </c>
      <c r="W94" s="45" t="n">
        <v>0</v>
      </c>
      <c r="X94" s="45" t="n">
        <v>266.74</v>
      </c>
      <c r="Y94" s="32" t="n">
        <f aca="false">IFERROR(X94/R94,0)</f>
        <v>2.01091627338925</v>
      </c>
      <c r="Z94" s="28" t="str">
        <f aca="false">IF(X94&gt;0,"Win",IF(X94&lt;0,"Loss","Flat"))</f>
        <v>Win</v>
      </c>
      <c r="AA94" s="28" t="n">
        <f aca="false">ROUND((C94-B94)*1440,1)</f>
        <v>20.1</v>
      </c>
      <c r="AB94" s="28" t="str">
        <f aca="false">IF(AA94&lt;1,"a) &lt;1 min",IF(AA94&lt;10,"b) 1-10 min",IF(AA94&lt;60,"c) 10-60 min",IF(AA94&lt;240,"d) 1-4 h","e) 4 h+"))))</f>
        <v>c) 10-60 min</v>
      </c>
      <c r="AC94" s="28" t="str">
        <f aca="false">IF(P94&lt;10,"a) &lt;10",IF(P94&lt;20,"b) 10-20",IF(P94&lt;40,"c) 20-40",IF(P94&lt;80,"d) 40-80","e) 80+"))))</f>
        <v>c) 20-40</v>
      </c>
      <c r="AD94" s="30" t="n">
        <f aca="false">Summary!$C$5+SUM(X$2:X94)</f>
        <v>100900.7</v>
      </c>
      <c r="AE94" s="30" t="n">
        <f aca="false">MAX(AE93,AD94)</f>
        <v>101224.19</v>
      </c>
      <c r="AF94" s="30" t="n">
        <f aca="false">AE94-AD94</f>
        <v>323.490000000005</v>
      </c>
      <c r="AG94" s="29" t="n">
        <f aca="false">IFERROR(AF94/AE94,0)</f>
        <v>0.00319577761007527</v>
      </c>
    </row>
    <row r="95" customFormat="false" ht="15" hidden="false" customHeight="false" outlineLevel="0" collapsed="false">
      <c r="A95" s="28" t="n">
        <v>94</v>
      </c>
      <c r="B95" s="43" t="n">
        <v>45148.7090277778</v>
      </c>
      <c r="C95" s="43" t="n">
        <v>45148.7169444444</v>
      </c>
      <c r="D95" s="42" t="n">
        <f aca="false">INT(C95)</f>
        <v>45148</v>
      </c>
      <c r="E95" s="42" t="n">
        <f aca="false">D95-WEEKDAY(D95,3)</f>
        <v>45145</v>
      </c>
      <c r="F95" s="28" t="s">
        <v>147</v>
      </c>
      <c r="G95" s="28" t="n">
        <v>2023</v>
      </c>
      <c r="H95" s="28" t="s">
        <v>239</v>
      </c>
      <c r="I95" s="28" t="n">
        <v>17</v>
      </c>
      <c r="J95" s="28" t="s">
        <v>233</v>
      </c>
      <c r="K95" s="28" t="s">
        <v>234</v>
      </c>
      <c r="L95" s="28" t="n">
        <v>0.29</v>
      </c>
      <c r="M95" s="31" t="n">
        <v>15358.83</v>
      </c>
      <c r="N95" s="31" t="n">
        <v>15333.6</v>
      </c>
      <c r="O95" s="31" t="n">
        <v>15409.29</v>
      </c>
      <c r="P95" s="44" t="n">
        <f aca="false">ABS(M95-N95)</f>
        <v>25.2299999999996</v>
      </c>
      <c r="Q95" s="44" t="n">
        <f aca="false">IF(O95="","",ABS(O95-M95))</f>
        <v>50.4600000000009</v>
      </c>
      <c r="R95" s="30" t="n">
        <f aca="false">P95*L95*Summary!$C$6</f>
        <v>146.333999999997</v>
      </c>
      <c r="S95" s="31" t="n">
        <v>15333.34</v>
      </c>
      <c r="T95" s="28" t="s">
        <v>241</v>
      </c>
      <c r="U95" s="44" t="n">
        <f aca="false">IF(J95="BUY",S95-M95,M95-S95)</f>
        <v>-25.4899999999998</v>
      </c>
      <c r="V95" s="45" t="n">
        <v>0</v>
      </c>
      <c r="W95" s="45" t="n">
        <v>0</v>
      </c>
      <c r="X95" s="45" t="n">
        <v>-147.84</v>
      </c>
      <c r="Y95" s="32" t="n">
        <f aca="false">IFERROR(X95/R95,0)</f>
        <v>-1.01029152486779</v>
      </c>
      <c r="Z95" s="28" t="str">
        <f aca="false">IF(X95&gt;0,"Win",IF(X95&lt;0,"Loss","Flat"))</f>
        <v>Loss</v>
      </c>
      <c r="AA95" s="28" t="n">
        <f aca="false">ROUND((C95-B95)*1440,1)</f>
        <v>11.4</v>
      </c>
      <c r="AB95" s="28" t="str">
        <f aca="false">IF(AA95&lt;1,"a) &lt;1 min",IF(AA95&lt;10,"b) 1-10 min",IF(AA95&lt;60,"c) 10-60 min",IF(AA95&lt;240,"d) 1-4 h","e) 4 h+"))))</f>
        <v>c) 10-60 min</v>
      </c>
      <c r="AC95" s="28" t="str">
        <f aca="false">IF(P95&lt;10,"a) &lt;10",IF(P95&lt;20,"b) 10-20",IF(P95&lt;40,"c) 20-40",IF(P95&lt;80,"d) 40-80","e) 80+"))))</f>
        <v>c) 20-40</v>
      </c>
      <c r="AD95" s="30" t="n">
        <f aca="false">Summary!$C$5+SUM(X$2:X95)</f>
        <v>100752.86</v>
      </c>
      <c r="AE95" s="30" t="n">
        <f aca="false">MAX(AE94,AD95)</f>
        <v>101224.19</v>
      </c>
      <c r="AF95" s="30" t="n">
        <f aca="false">AE95-AD95</f>
        <v>471.330000000002</v>
      </c>
      <c r="AG95" s="29" t="n">
        <f aca="false">IFERROR(AF95/AE95,0)</f>
        <v>0.0046562980647215</v>
      </c>
    </row>
    <row r="96" customFormat="false" ht="15" hidden="false" customHeight="false" outlineLevel="0" collapsed="false">
      <c r="A96" s="28" t="n">
        <v>95</v>
      </c>
      <c r="B96" s="43" t="n">
        <v>45148.8736111111</v>
      </c>
      <c r="C96" s="43" t="n">
        <v>45148.8763888889</v>
      </c>
      <c r="D96" s="42" t="n">
        <f aca="false">INT(C96)</f>
        <v>45148</v>
      </c>
      <c r="E96" s="42" t="n">
        <f aca="false">D96-WEEKDAY(D96,3)</f>
        <v>45145</v>
      </c>
      <c r="F96" s="28" t="s">
        <v>147</v>
      </c>
      <c r="G96" s="28" t="n">
        <v>2023</v>
      </c>
      <c r="H96" s="28" t="s">
        <v>239</v>
      </c>
      <c r="I96" s="28" t="n">
        <v>20</v>
      </c>
      <c r="J96" s="28" t="s">
        <v>236</v>
      </c>
      <c r="K96" s="28" t="s">
        <v>237</v>
      </c>
      <c r="L96" s="28" t="n">
        <v>0.3</v>
      </c>
      <c r="M96" s="31" t="n">
        <v>15070.59</v>
      </c>
      <c r="N96" s="31" t="n">
        <v>15095.31</v>
      </c>
      <c r="O96" s="31" t="n">
        <v>15024.75</v>
      </c>
      <c r="P96" s="44" t="n">
        <f aca="false">ABS(M96-N96)</f>
        <v>24.7199999999993</v>
      </c>
      <c r="Q96" s="44" t="n">
        <f aca="false">IF(O96="","",ABS(O96-M96))</f>
        <v>45.8400000000001</v>
      </c>
      <c r="R96" s="30" t="n">
        <f aca="false">P96*L96*Summary!$C$6</f>
        <v>148.319999999996</v>
      </c>
      <c r="S96" s="31" t="n">
        <v>15095.56</v>
      </c>
      <c r="T96" s="28" t="s">
        <v>241</v>
      </c>
      <c r="U96" s="44" t="n">
        <f aca="false">IF(J96="BUY",S96-M96,M96-S96)</f>
        <v>-24.9699999999993</v>
      </c>
      <c r="V96" s="45" t="n">
        <v>0</v>
      </c>
      <c r="W96" s="45" t="n">
        <v>0</v>
      </c>
      <c r="X96" s="45" t="n">
        <v>-149.82</v>
      </c>
      <c r="Y96" s="32" t="n">
        <f aca="false">IFERROR(X96/R96,0)</f>
        <v>-1.01011326860844</v>
      </c>
      <c r="Z96" s="28" t="str">
        <f aca="false">IF(X96&gt;0,"Win",IF(X96&lt;0,"Loss","Flat"))</f>
        <v>Loss</v>
      </c>
      <c r="AA96" s="28" t="n">
        <f aca="false">ROUND((C96-B96)*1440,1)</f>
        <v>4</v>
      </c>
      <c r="AB96" s="28" t="str">
        <f aca="false">IF(AA96&lt;1,"a) &lt;1 min",IF(AA96&lt;10,"b) 1-10 min",IF(AA96&lt;60,"c) 10-60 min",IF(AA96&lt;240,"d) 1-4 h","e) 4 h+"))))</f>
        <v>b) 1-10 min</v>
      </c>
      <c r="AC96" s="28" t="str">
        <f aca="false">IF(P96&lt;10,"a) &lt;10",IF(P96&lt;20,"b) 10-20",IF(P96&lt;40,"c) 20-40",IF(P96&lt;80,"d) 40-80","e) 80+"))))</f>
        <v>c) 20-40</v>
      </c>
      <c r="AD96" s="30" t="n">
        <f aca="false">Summary!$C$5+SUM(X$2:X96)</f>
        <v>100603.04</v>
      </c>
      <c r="AE96" s="30" t="n">
        <f aca="false">MAX(AE95,AD96)</f>
        <v>101224.19</v>
      </c>
      <c r="AF96" s="30" t="n">
        <f aca="false">AE96-AD96</f>
        <v>621.150000000009</v>
      </c>
      <c r="AG96" s="29" t="n">
        <f aca="false">IFERROR(AF96/AE96,0)</f>
        <v>0.00613637906117114</v>
      </c>
    </row>
    <row r="97" customFormat="false" ht="15" hidden="false" customHeight="false" outlineLevel="0" collapsed="false">
      <c r="A97" s="28" t="n">
        <v>96</v>
      </c>
      <c r="B97" s="43" t="n">
        <v>45149.6479166667</v>
      </c>
      <c r="C97" s="43" t="n">
        <v>45149.6609375</v>
      </c>
      <c r="D97" s="42" t="n">
        <f aca="false">INT(C97)</f>
        <v>45149</v>
      </c>
      <c r="E97" s="42" t="n">
        <f aca="false">D97-WEEKDAY(D97,3)</f>
        <v>45145</v>
      </c>
      <c r="F97" s="28" t="s">
        <v>147</v>
      </c>
      <c r="G97" s="28" t="n">
        <v>2023</v>
      </c>
      <c r="H97" s="28" t="s">
        <v>242</v>
      </c>
      <c r="I97" s="28" t="n">
        <v>15</v>
      </c>
      <c r="J97" s="28" t="s">
        <v>236</v>
      </c>
      <c r="K97" s="28" t="s">
        <v>237</v>
      </c>
      <c r="L97" s="28" t="n">
        <v>0.3</v>
      </c>
      <c r="M97" s="31" t="n">
        <v>15061.34</v>
      </c>
      <c r="N97" s="31" t="n">
        <v>15085.1</v>
      </c>
      <c r="O97" s="31" t="n">
        <v>15013.99</v>
      </c>
      <c r="P97" s="44" t="n">
        <f aca="false">ABS(M97-N97)</f>
        <v>23.7600000000002</v>
      </c>
      <c r="Q97" s="44" t="n">
        <f aca="false">IF(O97="","",ABS(O97-M97))</f>
        <v>47.3500000000004</v>
      </c>
      <c r="R97" s="30" t="n">
        <f aca="false">P97*L97*Summary!$C$6</f>
        <v>142.560000000001</v>
      </c>
      <c r="S97" s="31" t="n">
        <v>15013.89</v>
      </c>
      <c r="T97" s="28" t="s">
        <v>214</v>
      </c>
      <c r="U97" s="44" t="n">
        <f aca="false">IF(J97="BUY",S97-M97,M97-S97)</f>
        <v>47.4500000000007</v>
      </c>
      <c r="V97" s="45" t="n">
        <v>0</v>
      </c>
      <c r="W97" s="45" t="n">
        <v>0</v>
      </c>
      <c r="X97" s="45" t="n">
        <v>284.7</v>
      </c>
      <c r="Y97" s="32" t="n">
        <f aca="false">IFERROR(X97/R97,0)</f>
        <v>1.99705387205385</v>
      </c>
      <c r="Z97" s="28" t="str">
        <f aca="false">IF(X97&gt;0,"Win",IF(X97&lt;0,"Loss","Flat"))</f>
        <v>Win</v>
      </c>
      <c r="AA97" s="28" t="n">
        <f aca="false">ROUND((C97-B97)*1440,1)</f>
        <v>18.8</v>
      </c>
      <c r="AB97" s="28" t="str">
        <f aca="false">IF(AA97&lt;1,"a) &lt;1 min",IF(AA97&lt;10,"b) 1-10 min",IF(AA97&lt;60,"c) 10-60 min",IF(AA97&lt;240,"d) 1-4 h","e) 4 h+"))))</f>
        <v>c) 10-60 min</v>
      </c>
      <c r="AC97" s="28" t="str">
        <f aca="false">IF(P97&lt;10,"a) &lt;10",IF(P97&lt;20,"b) 10-20",IF(P97&lt;40,"c) 20-40",IF(P97&lt;80,"d) 40-80","e) 80+"))))</f>
        <v>c) 20-40</v>
      </c>
      <c r="AD97" s="30" t="n">
        <f aca="false">Summary!$C$5+SUM(X$2:X97)</f>
        <v>100887.74</v>
      </c>
      <c r="AE97" s="30" t="n">
        <f aca="false">MAX(AE96,AD97)</f>
        <v>101224.19</v>
      </c>
      <c r="AF97" s="30" t="n">
        <f aca="false">AE97-AD97</f>
        <v>336.449999999997</v>
      </c>
      <c r="AG97" s="29" t="n">
        <f aca="false">IFERROR(AF97/AE97,0)</f>
        <v>0.00332381024733314</v>
      </c>
    </row>
    <row r="98" customFormat="false" ht="15" hidden="false" customHeight="false" outlineLevel="0" collapsed="false">
      <c r="A98" s="28" t="n">
        <v>97</v>
      </c>
      <c r="B98" s="43" t="n">
        <v>45152.2868055556</v>
      </c>
      <c r="C98" s="43" t="n">
        <v>45152.2881828704</v>
      </c>
      <c r="D98" s="42" t="n">
        <f aca="false">INT(C98)</f>
        <v>45152</v>
      </c>
      <c r="E98" s="42" t="n">
        <f aca="false">D98-WEEKDAY(D98,3)</f>
        <v>45152</v>
      </c>
      <c r="F98" s="28" t="s">
        <v>147</v>
      </c>
      <c r="G98" s="28" t="n">
        <v>2023</v>
      </c>
      <c r="H98" s="28" t="s">
        <v>240</v>
      </c>
      <c r="I98" s="28" t="n">
        <v>6</v>
      </c>
      <c r="J98" s="28" t="s">
        <v>236</v>
      </c>
      <c r="K98" s="28" t="s">
        <v>237</v>
      </c>
      <c r="L98" s="28" t="n">
        <v>0.3</v>
      </c>
      <c r="M98" s="31" t="n">
        <v>14965.22</v>
      </c>
      <c r="N98" s="31" t="n">
        <v>14974.95</v>
      </c>
      <c r="O98" s="31" t="n">
        <v>14945.78</v>
      </c>
      <c r="P98" s="44" t="n">
        <f aca="false">ABS(M98-N98)</f>
        <v>9.73000000000138</v>
      </c>
      <c r="Q98" s="44" t="n">
        <f aca="false">IF(O98="","",ABS(O98-M98))</f>
        <v>19.4399999999987</v>
      </c>
      <c r="R98" s="30" t="n">
        <f aca="false">P98*L98*Summary!$C$6</f>
        <v>58.3800000000083</v>
      </c>
      <c r="S98" s="31" t="n">
        <v>14965.5</v>
      </c>
      <c r="T98" s="28" t="s">
        <v>238</v>
      </c>
      <c r="U98" s="44" t="n">
        <f aca="false">IF(J98="BUY",S98-M98,M98-S98)</f>
        <v>-0.280000000000655</v>
      </c>
      <c r="V98" s="45" t="n">
        <v>0</v>
      </c>
      <c r="W98" s="45" t="n">
        <v>0</v>
      </c>
      <c r="X98" s="45" t="n">
        <v>-1.68</v>
      </c>
      <c r="Y98" s="32" t="n">
        <f aca="false">IFERROR(X98/R98,0)</f>
        <v>-0.0287769784172621</v>
      </c>
      <c r="Z98" s="28" t="str">
        <f aca="false">IF(X98&gt;0,"Win",IF(X98&lt;0,"Loss","Flat"))</f>
        <v>Loss</v>
      </c>
      <c r="AA98" s="28" t="n">
        <f aca="false">ROUND((C98-B98)*1440,1)</f>
        <v>2</v>
      </c>
      <c r="AB98" s="28" t="str">
        <f aca="false">IF(AA98&lt;1,"a) &lt;1 min",IF(AA98&lt;10,"b) 1-10 min",IF(AA98&lt;60,"c) 10-60 min",IF(AA98&lt;240,"d) 1-4 h","e) 4 h+"))))</f>
        <v>b) 1-10 min</v>
      </c>
      <c r="AC98" s="28" t="str">
        <f aca="false">IF(P98&lt;10,"a) &lt;10",IF(P98&lt;20,"b) 10-20",IF(P98&lt;40,"c) 20-40",IF(P98&lt;80,"d) 40-80","e) 80+"))))</f>
        <v>a) &lt;10</v>
      </c>
      <c r="AD98" s="30" t="n">
        <f aca="false">Summary!$C$5+SUM(X$2:X98)</f>
        <v>100886.06</v>
      </c>
      <c r="AE98" s="30" t="n">
        <f aca="false">MAX(AE97,AD98)</f>
        <v>101224.19</v>
      </c>
      <c r="AF98" s="30" t="n">
        <f aca="false">AE98-AD98</f>
        <v>338.130000000005</v>
      </c>
      <c r="AG98" s="29" t="n">
        <f aca="false">IFERROR(AF98/AE98,0)</f>
        <v>0.00334040707068147</v>
      </c>
    </row>
    <row r="99" customFormat="false" ht="15" hidden="false" customHeight="false" outlineLevel="0" collapsed="false">
      <c r="A99" s="28" t="n">
        <v>98</v>
      </c>
      <c r="B99" s="43" t="n">
        <v>45152.9583333333</v>
      </c>
      <c r="C99" s="43" t="n">
        <v>45153.0622453704</v>
      </c>
      <c r="D99" s="42" t="n">
        <f aca="false">INT(C99)</f>
        <v>45153</v>
      </c>
      <c r="E99" s="42" t="n">
        <f aca="false">D99-WEEKDAY(D99,3)</f>
        <v>45152</v>
      </c>
      <c r="F99" s="28" t="s">
        <v>147</v>
      </c>
      <c r="G99" s="28" t="n">
        <v>2023</v>
      </c>
      <c r="H99" s="28" t="s">
        <v>240</v>
      </c>
      <c r="I99" s="28" t="n">
        <v>23</v>
      </c>
      <c r="J99" s="28" t="s">
        <v>233</v>
      </c>
      <c r="K99" s="28" t="s">
        <v>234</v>
      </c>
      <c r="L99" s="28" t="n">
        <v>0.29</v>
      </c>
      <c r="M99" s="31" t="n">
        <v>15203.92</v>
      </c>
      <c r="N99" s="31" t="n">
        <v>15189.12</v>
      </c>
      <c r="O99" s="31" t="n">
        <v>15233.31</v>
      </c>
      <c r="P99" s="44" t="n">
        <f aca="false">ABS(M99-N99)</f>
        <v>14.7999999999993</v>
      </c>
      <c r="Q99" s="44" t="n">
        <f aca="false">IF(O99="","",ABS(O99-M99))</f>
        <v>29.3899999999994</v>
      </c>
      <c r="R99" s="30" t="n">
        <f aca="false">P99*L99*Summary!$C$6</f>
        <v>85.8399999999958</v>
      </c>
      <c r="S99" s="31" t="n">
        <v>15233.49</v>
      </c>
      <c r="T99" s="28" t="s">
        <v>214</v>
      </c>
      <c r="U99" s="44" t="n">
        <f aca="false">IF(J99="BUY",S99-M99,M99-S99)</f>
        <v>29.5699999999997</v>
      </c>
      <c r="V99" s="45" t="n">
        <v>0</v>
      </c>
      <c r="W99" s="45" t="n">
        <v>-17.96</v>
      </c>
      <c r="X99" s="45" t="n">
        <v>153.55</v>
      </c>
      <c r="Y99" s="32" t="n">
        <f aca="false">IFERROR(X99/R99,0)</f>
        <v>1.78879310344836</v>
      </c>
      <c r="Z99" s="28" t="str">
        <f aca="false">IF(X99&gt;0,"Win",IF(X99&lt;0,"Loss","Flat"))</f>
        <v>Win</v>
      </c>
      <c r="AA99" s="28" t="n">
        <f aca="false">ROUND((C99-B99)*1440,1)</f>
        <v>149.6</v>
      </c>
      <c r="AB99" s="28" t="str">
        <f aca="false">IF(AA99&lt;1,"a) &lt;1 min",IF(AA99&lt;10,"b) 1-10 min",IF(AA99&lt;60,"c) 10-60 min",IF(AA99&lt;240,"d) 1-4 h","e) 4 h+"))))</f>
        <v>d) 1-4 h</v>
      </c>
      <c r="AC99" s="28" t="str">
        <f aca="false">IF(P99&lt;10,"a) &lt;10",IF(P99&lt;20,"b) 10-20",IF(P99&lt;40,"c) 20-40",IF(P99&lt;80,"d) 40-80","e) 80+"))))</f>
        <v>b) 10-20</v>
      </c>
      <c r="AD99" s="30" t="n">
        <f aca="false">Summary!$C$5+SUM(X$2:X99)</f>
        <v>101039.61</v>
      </c>
      <c r="AE99" s="30" t="n">
        <f aca="false">MAX(AE98,AD99)</f>
        <v>101224.19</v>
      </c>
      <c r="AF99" s="30" t="n">
        <f aca="false">AE99-AD99</f>
        <v>184.580000000002</v>
      </c>
      <c r="AG99" s="29" t="n">
        <f aca="false">IFERROR(AF99/AE99,0)</f>
        <v>0.00182347717477415</v>
      </c>
    </row>
    <row r="100" customFormat="false" ht="15" hidden="false" customHeight="false" outlineLevel="0" collapsed="false">
      <c r="A100" s="28" t="n">
        <v>99</v>
      </c>
      <c r="B100" s="43" t="n">
        <v>45154.6631944445</v>
      </c>
      <c r="C100" s="43" t="n">
        <v>45154.6875810185</v>
      </c>
      <c r="D100" s="42" t="n">
        <f aca="false">INT(C100)</f>
        <v>45154</v>
      </c>
      <c r="E100" s="42" t="n">
        <f aca="false">D100-WEEKDAY(D100,3)</f>
        <v>45152</v>
      </c>
      <c r="F100" s="28" t="s">
        <v>147</v>
      </c>
      <c r="G100" s="28" t="n">
        <v>2023</v>
      </c>
      <c r="H100" s="28" t="s">
        <v>235</v>
      </c>
      <c r="I100" s="28" t="n">
        <v>15</v>
      </c>
      <c r="J100" s="28" t="s">
        <v>236</v>
      </c>
      <c r="K100" s="28" t="s">
        <v>237</v>
      </c>
      <c r="L100" s="28" t="n">
        <v>0.3</v>
      </c>
      <c r="M100" s="31" t="n">
        <v>15004.83</v>
      </c>
      <c r="N100" s="31" t="n">
        <v>15016.43</v>
      </c>
      <c r="O100" s="31" t="n">
        <v>14982.41</v>
      </c>
      <c r="P100" s="44" t="n">
        <f aca="false">ABS(M100-N100)</f>
        <v>11.6000000000004</v>
      </c>
      <c r="Q100" s="44" t="n">
        <f aca="false">IF(O100="","",ABS(O100-M100))</f>
        <v>22.4200000000001</v>
      </c>
      <c r="R100" s="30" t="n">
        <f aca="false">P100*L100*Summary!$C$6</f>
        <v>69.6000000000022</v>
      </c>
      <c r="S100" s="31" t="n">
        <v>15016.67</v>
      </c>
      <c r="T100" s="28" t="s">
        <v>241</v>
      </c>
      <c r="U100" s="44" t="n">
        <f aca="false">IF(J100="BUY",S100-M100,M100-S100)</f>
        <v>-11.8400000000001</v>
      </c>
      <c r="V100" s="45" t="n">
        <v>0</v>
      </c>
      <c r="W100" s="45" t="n">
        <v>0</v>
      </c>
      <c r="X100" s="45" t="n">
        <v>-71.04</v>
      </c>
      <c r="Y100" s="32" t="n">
        <f aca="false">IFERROR(X100/R100,0)</f>
        <v>-1.02068965517238</v>
      </c>
      <c r="Z100" s="28" t="str">
        <f aca="false">IF(X100&gt;0,"Win",IF(X100&lt;0,"Loss","Flat"))</f>
        <v>Loss</v>
      </c>
      <c r="AA100" s="28" t="n">
        <f aca="false">ROUND((C100-B100)*1440,1)</f>
        <v>35.1</v>
      </c>
      <c r="AB100" s="28" t="str">
        <f aca="false">IF(AA100&lt;1,"a) &lt;1 min",IF(AA100&lt;10,"b) 1-10 min",IF(AA100&lt;60,"c) 10-60 min",IF(AA100&lt;240,"d) 1-4 h","e) 4 h+"))))</f>
        <v>c) 10-60 min</v>
      </c>
      <c r="AC100" s="28" t="str">
        <f aca="false">IF(P100&lt;10,"a) &lt;10",IF(P100&lt;20,"b) 10-20",IF(P100&lt;40,"c) 20-40",IF(P100&lt;80,"d) 40-80","e) 80+"))))</f>
        <v>b) 10-20</v>
      </c>
      <c r="AD100" s="30" t="n">
        <f aca="false">Summary!$C$5+SUM(X$2:X100)</f>
        <v>100968.57</v>
      </c>
      <c r="AE100" s="30" t="n">
        <f aca="false">MAX(AE99,AD100)</f>
        <v>101224.19</v>
      </c>
      <c r="AF100" s="30" t="n">
        <f aca="false">AE100-AD100</f>
        <v>255.619999999995</v>
      </c>
      <c r="AG100" s="29" t="n">
        <f aca="false">IFERROR(AF100/AE100,0)</f>
        <v>0.00252528570492879</v>
      </c>
    </row>
    <row r="101" customFormat="false" ht="15" hidden="false" customHeight="false" outlineLevel="0" collapsed="false">
      <c r="A101" s="28" t="n">
        <v>100</v>
      </c>
      <c r="B101" s="43" t="n">
        <v>45155.0840393519</v>
      </c>
      <c r="C101" s="43" t="n">
        <v>45155.0870601852</v>
      </c>
      <c r="D101" s="42" t="n">
        <f aca="false">INT(C101)</f>
        <v>45155</v>
      </c>
      <c r="E101" s="42" t="n">
        <f aca="false">D101-WEEKDAY(D101,3)</f>
        <v>45152</v>
      </c>
      <c r="F101" s="28" t="s">
        <v>147</v>
      </c>
      <c r="G101" s="28" t="n">
        <v>2023</v>
      </c>
      <c r="H101" s="28" t="s">
        <v>239</v>
      </c>
      <c r="I101" s="28" t="n">
        <v>2</v>
      </c>
      <c r="J101" s="28" t="s">
        <v>236</v>
      </c>
      <c r="K101" s="28" t="s">
        <v>237</v>
      </c>
      <c r="L101" s="28" t="n">
        <v>0.3</v>
      </c>
      <c r="M101" s="31" t="n">
        <v>14865.58</v>
      </c>
      <c r="N101" s="31" t="n">
        <v>14870.44</v>
      </c>
      <c r="O101" s="31" t="n">
        <v>14855.89</v>
      </c>
      <c r="P101" s="44" t="n">
        <f aca="false">ABS(M101-N101)</f>
        <v>4.86000000000058</v>
      </c>
      <c r="Q101" s="44" t="n">
        <f aca="false">IF(O101="","",ABS(O101-M101))</f>
        <v>9.69000000000051</v>
      </c>
      <c r="R101" s="30" t="n">
        <f aca="false">P101*L101*Summary!$C$6</f>
        <v>29.1600000000035</v>
      </c>
      <c r="S101" s="31" t="n">
        <v>14870.66</v>
      </c>
      <c r="T101" s="28" t="s">
        <v>241</v>
      </c>
      <c r="U101" s="44" t="n">
        <f aca="false">IF(J101="BUY",S101-M101,M101-S101)</f>
        <v>-5.07999999999993</v>
      </c>
      <c r="V101" s="45" t="n">
        <v>0</v>
      </c>
      <c r="W101" s="45" t="n">
        <v>0</v>
      </c>
      <c r="X101" s="45" t="n">
        <v>-30.48</v>
      </c>
      <c r="Y101" s="32" t="n">
        <f aca="false">IFERROR(X101/R101,0)</f>
        <v>-1.04526748971181</v>
      </c>
      <c r="Z101" s="28" t="str">
        <f aca="false">IF(X101&gt;0,"Win",IF(X101&lt;0,"Loss","Flat"))</f>
        <v>Loss</v>
      </c>
      <c r="AA101" s="28" t="n">
        <f aca="false">ROUND((C101-B101)*1440,1)</f>
        <v>4.4</v>
      </c>
      <c r="AB101" s="28" t="str">
        <f aca="false">IF(AA101&lt;1,"a) &lt;1 min",IF(AA101&lt;10,"b) 1-10 min",IF(AA101&lt;60,"c) 10-60 min",IF(AA101&lt;240,"d) 1-4 h","e) 4 h+"))))</f>
        <v>b) 1-10 min</v>
      </c>
      <c r="AC101" s="28" t="str">
        <f aca="false">IF(P101&lt;10,"a) &lt;10",IF(P101&lt;20,"b) 10-20",IF(P101&lt;40,"c) 20-40",IF(P101&lt;80,"d) 40-80","e) 80+"))))</f>
        <v>a) &lt;10</v>
      </c>
      <c r="AD101" s="30" t="n">
        <f aca="false">Summary!$C$5+SUM(X$2:X101)</f>
        <v>100938.09</v>
      </c>
      <c r="AE101" s="30" t="n">
        <f aca="false">MAX(AE100,AD101)</f>
        <v>101224.19</v>
      </c>
      <c r="AF101" s="30" t="n">
        <f aca="false">AE101-AD101</f>
        <v>286.100000000006</v>
      </c>
      <c r="AG101" s="29" t="n">
        <f aca="false">IFERROR(AF101/AE101,0)</f>
        <v>0.00282639949996148</v>
      </c>
    </row>
    <row r="102" customFormat="false" ht="15" hidden="false" customHeight="false" outlineLevel="0" collapsed="false">
      <c r="A102" s="28" t="n">
        <v>101</v>
      </c>
      <c r="B102" s="43" t="n">
        <v>45156.0423611111</v>
      </c>
      <c r="C102" s="43" t="n">
        <v>45156.0483333333</v>
      </c>
      <c r="D102" s="42" t="n">
        <f aca="false">INT(C102)</f>
        <v>45156</v>
      </c>
      <c r="E102" s="42" t="n">
        <f aca="false">D102-WEEKDAY(D102,3)</f>
        <v>45152</v>
      </c>
      <c r="F102" s="28" t="s">
        <v>147</v>
      </c>
      <c r="G102" s="28" t="n">
        <v>2023</v>
      </c>
      <c r="H102" s="28" t="s">
        <v>242</v>
      </c>
      <c r="I102" s="28" t="n">
        <v>1</v>
      </c>
      <c r="J102" s="28" t="s">
        <v>236</v>
      </c>
      <c r="K102" s="28" t="s">
        <v>237</v>
      </c>
      <c r="L102" s="28" t="n">
        <v>0.3</v>
      </c>
      <c r="M102" s="31" t="n">
        <v>14694.67</v>
      </c>
      <c r="N102" s="31" t="n">
        <v>14704.36</v>
      </c>
      <c r="O102" s="31" t="n">
        <v>14675.3</v>
      </c>
      <c r="P102" s="44" t="n">
        <f aca="false">ABS(M102-N102)</f>
        <v>9.69000000000051</v>
      </c>
      <c r="Q102" s="44" t="n">
        <f aca="false">IF(O102="","",ABS(O102-M102))</f>
        <v>19.3700000000008</v>
      </c>
      <c r="R102" s="30" t="n">
        <f aca="false">P102*L102*Summary!$C$6</f>
        <v>58.1400000000031</v>
      </c>
      <c r="S102" s="31" t="n">
        <v>14675.19</v>
      </c>
      <c r="T102" s="28" t="s">
        <v>214</v>
      </c>
      <c r="U102" s="44" t="n">
        <f aca="false">IF(J102="BUY",S102-M102,M102-S102)</f>
        <v>19.4799999999996</v>
      </c>
      <c r="V102" s="45" t="n">
        <v>0</v>
      </c>
      <c r="W102" s="45" t="n">
        <v>0</v>
      </c>
      <c r="X102" s="45" t="n">
        <v>116.88</v>
      </c>
      <c r="Y102" s="32" t="n">
        <f aca="false">IFERROR(X102/R102,0)</f>
        <v>2.01031991744055</v>
      </c>
      <c r="Z102" s="28" t="str">
        <f aca="false">IF(X102&gt;0,"Win",IF(X102&lt;0,"Loss","Flat"))</f>
        <v>Win</v>
      </c>
      <c r="AA102" s="28" t="n">
        <f aca="false">ROUND((C102-B102)*1440,1)</f>
        <v>8.6</v>
      </c>
      <c r="AB102" s="28" t="str">
        <f aca="false">IF(AA102&lt;1,"a) &lt;1 min",IF(AA102&lt;10,"b) 1-10 min",IF(AA102&lt;60,"c) 10-60 min",IF(AA102&lt;240,"d) 1-4 h","e) 4 h+"))))</f>
        <v>b) 1-10 min</v>
      </c>
      <c r="AC102" s="28" t="str">
        <f aca="false">IF(P102&lt;10,"a) &lt;10",IF(P102&lt;20,"b) 10-20",IF(P102&lt;40,"c) 20-40",IF(P102&lt;80,"d) 40-80","e) 80+"))))</f>
        <v>a) &lt;10</v>
      </c>
      <c r="AD102" s="30" t="n">
        <f aca="false">Summary!$C$5+SUM(X$2:X102)</f>
        <v>101054.97</v>
      </c>
      <c r="AE102" s="30" t="n">
        <f aca="false">MAX(AE101,AD102)</f>
        <v>101224.19</v>
      </c>
      <c r="AF102" s="30" t="n">
        <f aca="false">AE102-AD102</f>
        <v>169.220000000001</v>
      </c>
      <c r="AG102" s="29" t="n">
        <f aca="false">IFERROR(AF102/AE102,0)</f>
        <v>0.00167173478987583</v>
      </c>
    </row>
    <row r="103" customFormat="false" ht="15" hidden="false" customHeight="false" outlineLevel="0" collapsed="false">
      <c r="A103" s="28" t="n">
        <v>102</v>
      </c>
      <c r="B103" s="43" t="n">
        <v>45159.4576388889</v>
      </c>
      <c r="C103" s="43" t="n">
        <v>45159.48</v>
      </c>
      <c r="D103" s="42" t="n">
        <f aca="false">INT(C103)</f>
        <v>45159</v>
      </c>
      <c r="E103" s="42" t="n">
        <f aca="false">D103-WEEKDAY(D103,3)</f>
        <v>45159</v>
      </c>
      <c r="F103" s="28" t="s">
        <v>147</v>
      </c>
      <c r="G103" s="28" t="n">
        <v>2023</v>
      </c>
      <c r="H103" s="28" t="s">
        <v>240</v>
      </c>
      <c r="I103" s="28" t="n">
        <v>10</v>
      </c>
      <c r="J103" s="28" t="s">
        <v>233</v>
      </c>
      <c r="K103" s="28" t="s">
        <v>234</v>
      </c>
      <c r="L103" s="28" t="n">
        <v>0.3</v>
      </c>
      <c r="M103" s="31" t="n">
        <v>14750.8</v>
      </c>
      <c r="N103" s="31" t="n">
        <v>14740.29</v>
      </c>
      <c r="O103" s="31" t="n">
        <v>14771.19</v>
      </c>
      <c r="P103" s="44" t="n">
        <f aca="false">ABS(M103-N103)</f>
        <v>10.5099999999984</v>
      </c>
      <c r="Q103" s="44" t="n">
        <f aca="false">IF(O103="","",ABS(O103-M103))</f>
        <v>20.3900000000012</v>
      </c>
      <c r="R103" s="30" t="n">
        <f aca="false">P103*L103*Summary!$C$6</f>
        <v>63.0599999999904</v>
      </c>
      <c r="S103" s="31" t="n">
        <v>14771.26</v>
      </c>
      <c r="T103" s="28" t="s">
        <v>214</v>
      </c>
      <c r="U103" s="44" t="n">
        <f aca="false">IF(J103="BUY",S103-M103,M103-S103)</f>
        <v>20.4600000000009</v>
      </c>
      <c r="V103" s="45" t="n">
        <v>0</v>
      </c>
      <c r="W103" s="45" t="n">
        <v>0</v>
      </c>
      <c r="X103" s="45" t="n">
        <v>122.76</v>
      </c>
      <c r="Y103" s="32" t="n">
        <f aca="false">IFERROR(X103/R103,0)</f>
        <v>1.94671741198888</v>
      </c>
      <c r="Z103" s="28" t="str">
        <f aca="false">IF(X103&gt;0,"Win",IF(X103&lt;0,"Loss","Flat"))</f>
        <v>Win</v>
      </c>
      <c r="AA103" s="28" t="n">
        <f aca="false">ROUND((C103-B103)*1440,1)</f>
        <v>32.2</v>
      </c>
      <c r="AB103" s="28" t="str">
        <f aca="false">IF(AA103&lt;1,"a) &lt;1 min",IF(AA103&lt;10,"b) 1-10 min",IF(AA103&lt;60,"c) 10-60 min",IF(AA103&lt;240,"d) 1-4 h","e) 4 h+"))))</f>
        <v>c) 10-60 min</v>
      </c>
      <c r="AC103" s="28" t="str">
        <f aca="false">IF(P103&lt;10,"a) &lt;10",IF(P103&lt;20,"b) 10-20",IF(P103&lt;40,"c) 20-40",IF(P103&lt;80,"d) 40-80","e) 80+"))))</f>
        <v>b) 10-20</v>
      </c>
      <c r="AD103" s="30" t="n">
        <f aca="false">Summary!$C$5+SUM(X$2:X103)</f>
        <v>101177.73</v>
      </c>
      <c r="AE103" s="30" t="n">
        <f aca="false">MAX(AE102,AD103)</f>
        <v>101224.19</v>
      </c>
      <c r="AF103" s="30" t="n">
        <f aca="false">AE103-AD103</f>
        <v>46.4600000000064</v>
      </c>
      <c r="AG103" s="29" t="n">
        <f aca="false">IFERROR(AF103/AE103,0)</f>
        <v>0.000458981198071394</v>
      </c>
    </row>
    <row r="104" customFormat="false" ht="15" hidden="false" customHeight="false" outlineLevel="0" collapsed="false">
      <c r="A104" s="28" t="n">
        <v>103</v>
      </c>
      <c r="B104" s="43" t="n">
        <v>45160.4236111111</v>
      </c>
      <c r="C104" s="43" t="n">
        <v>45160.4347453704</v>
      </c>
      <c r="D104" s="42" t="n">
        <f aca="false">INT(C104)</f>
        <v>45160</v>
      </c>
      <c r="E104" s="42" t="n">
        <f aca="false">D104-WEEKDAY(D104,3)</f>
        <v>45159</v>
      </c>
      <c r="F104" s="28" t="s">
        <v>147</v>
      </c>
      <c r="G104" s="28" t="n">
        <v>2023</v>
      </c>
      <c r="H104" s="28" t="s">
        <v>232</v>
      </c>
      <c r="I104" s="28" t="n">
        <v>10</v>
      </c>
      <c r="J104" s="28" t="s">
        <v>233</v>
      </c>
      <c r="K104" s="28" t="s">
        <v>234</v>
      </c>
      <c r="L104" s="28" t="n">
        <v>0.3</v>
      </c>
      <c r="M104" s="31" t="n">
        <v>14963.61</v>
      </c>
      <c r="N104" s="31" t="n">
        <v>14953.53</v>
      </c>
      <c r="O104" s="31" t="n">
        <v>14986.43</v>
      </c>
      <c r="P104" s="44" t="n">
        <f aca="false">ABS(M104-N104)</f>
        <v>10.0799999999999</v>
      </c>
      <c r="Q104" s="44" t="n">
        <f aca="false">IF(O104="","",ABS(O104-M104))</f>
        <v>22.8199999999997</v>
      </c>
      <c r="R104" s="30" t="n">
        <f aca="false">P104*L104*Summary!$C$6</f>
        <v>60.4799999999996</v>
      </c>
      <c r="S104" s="31" t="n">
        <v>14962.79</v>
      </c>
      <c r="T104" s="28" t="s">
        <v>238</v>
      </c>
      <c r="U104" s="44" t="n">
        <f aca="false">IF(J104="BUY",S104-M104,M104-S104)</f>
        <v>-0.819999999999709</v>
      </c>
      <c r="V104" s="45" t="n">
        <v>0</v>
      </c>
      <c r="W104" s="45" t="n">
        <v>0</v>
      </c>
      <c r="X104" s="45" t="n">
        <v>-4.92</v>
      </c>
      <c r="Y104" s="32" t="n">
        <f aca="false">IFERROR(X104/R104,0)</f>
        <v>-0.0813492063492069</v>
      </c>
      <c r="Z104" s="28" t="str">
        <f aca="false">IF(X104&gt;0,"Win",IF(X104&lt;0,"Loss","Flat"))</f>
        <v>Loss</v>
      </c>
      <c r="AA104" s="28" t="n">
        <f aca="false">ROUND((C104-B104)*1440,1)</f>
        <v>16</v>
      </c>
      <c r="AB104" s="28" t="str">
        <f aca="false">IF(AA104&lt;1,"a) &lt;1 min",IF(AA104&lt;10,"b) 1-10 min",IF(AA104&lt;60,"c) 10-60 min",IF(AA104&lt;240,"d) 1-4 h","e) 4 h+"))))</f>
        <v>c) 10-60 min</v>
      </c>
      <c r="AC104" s="28" t="str">
        <f aca="false">IF(P104&lt;10,"a) &lt;10",IF(P104&lt;20,"b) 10-20",IF(P104&lt;40,"c) 20-40",IF(P104&lt;80,"d) 40-80","e) 80+"))))</f>
        <v>b) 10-20</v>
      </c>
      <c r="AD104" s="30" t="n">
        <f aca="false">Summary!$C$5+SUM(X$2:X104)</f>
        <v>101172.81</v>
      </c>
      <c r="AE104" s="30" t="n">
        <f aca="false">MAX(AE103,AD104)</f>
        <v>101224.19</v>
      </c>
      <c r="AF104" s="30" t="n">
        <f aca="false">AE104-AD104</f>
        <v>51.3800000000047</v>
      </c>
      <c r="AG104" s="29" t="n">
        <f aca="false">IFERROR(AF104/AE104,0)</f>
        <v>0.000507586180734118</v>
      </c>
    </row>
    <row r="105" customFormat="false" ht="15" hidden="false" customHeight="false" outlineLevel="0" collapsed="false">
      <c r="A105" s="28" t="n">
        <v>104</v>
      </c>
      <c r="B105" s="43" t="n">
        <v>45161.7173611111</v>
      </c>
      <c r="C105" s="43" t="n">
        <v>45161.7448032407</v>
      </c>
      <c r="D105" s="42" t="n">
        <f aca="false">INT(C105)</f>
        <v>45161</v>
      </c>
      <c r="E105" s="42" t="n">
        <f aca="false">D105-WEEKDAY(D105,3)</f>
        <v>45159</v>
      </c>
      <c r="F105" s="28" t="s">
        <v>147</v>
      </c>
      <c r="G105" s="28" t="n">
        <v>2023</v>
      </c>
      <c r="H105" s="28" t="s">
        <v>235</v>
      </c>
      <c r="I105" s="28" t="n">
        <v>17</v>
      </c>
      <c r="J105" s="28" t="s">
        <v>233</v>
      </c>
      <c r="K105" s="28" t="s">
        <v>234</v>
      </c>
      <c r="L105" s="28" t="n">
        <v>0.3</v>
      </c>
      <c r="M105" s="31" t="n">
        <v>15073.02</v>
      </c>
      <c r="N105" s="31" t="n">
        <v>15043.85</v>
      </c>
      <c r="O105" s="31" t="n">
        <v>15131.26</v>
      </c>
      <c r="P105" s="44" t="n">
        <f aca="false">ABS(M105-N105)</f>
        <v>29.1700000000001</v>
      </c>
      <c r="Q105" s="44" t="n">
        <f aca="false">IF(O105="","",ABS(O105-M105))</f>
        <v>58.2399999999998</v>
      </c>
      <c r="R105" s="30" t="n">
        <f aca="false">P105*L105*Summary!$C$6</f>
        <v>175.02</v>
      </c>
      <c r="S105" s="31" t="n">
        <v>15131.54</v>
      </c>
      <c r="T105" s="28" t="s">
        <v>214</v>
      </c>
      <c r="U105" s="44" t="n">
        <f aca="false">IF(J105="BUY",S105-M105,M105-S105)</f>
        <v>58.5200000000004</v>
      </c>
      <c r="V105" s="45" t="n">
        <v>0</v>
      </c>
      <c r="W105" s="45" t="n">
        <v>0</v>
      </c>
      <c r="X105" s="45" t="n">
        <v>351.12</v>
      </c>
      <c r="Y105" s="32" t="n">
        <f aca="false">IFERROR(X105/R105,0)</f>
        <v>2.0061707233459</v>
      </c>
      <c r="Z105" s="28" t="str">
        <f aca="false">IF(X105&gt;0,"Win",IF(X105&lt;0,"Loss","Flat"))</f>
        <v>Win</v>
      </c>
      <c r="AA105" s="28" t="n">
        <f aca="false">ROUND((C105-B105)*1440,1)</f>
        <v>39.5</v>
      </c>
      <c r="AB105" s="28" t="str">
        <f aca="false">IF(AA105&lt;1,"a) &lt;1 min",IF(AA105&lt;10,"b) 1-10 min",IF(AA105&lt;60,"c) 10-60 min",IF(AA105&lt;240,"d) 1-4 h","e) 4 h+"))))</f>
        <v>c) 10-60 min</v>
      </c>
      <c r="AC105" s="28" t="str">
        <f aca="false">IF(P105&lt;10,"a) &lt;10",IF(P105&lt;20,"b) 10-20",IF(P105&lt;40,"c) 20-40",IF(P105&lt;80,"d) 40-80","e) 80+"))))</f>
        <v>c) 20-40</v>
      </c>
      <c r="AD105" s="30" t="n">
        <f aca="false">Summary!$C$5+SUM(X$2:X105)</f>
        <v>101523.93</v>
      </c>
      <c r="AE105" s="30" t="n">
        <f aca="false">MAX(AE104,AD105)</f>
        <v>101523.93</v>
      </c>
      <c r="AF105" s="30" t="n">
        <f aca="false">AE105-AD105</f>
        <v>0</v>
      </c>
      <c r="AG105" s="29" t="n">
        <f aca="false">IFERROR(AF105/AE105,0)</f>
        <v>0</v>
      </c>
    </row>
    <row r="106" customFormat="false" ht="15" hidden="false" customHeight="false" outlineLevel="0" collapsed="false">
      <c r="A106" s="28" t="n">
        <v>105</v>
      </c>
      <c r="B106" s="43" t="n">
        <v>45162.0423611111</v>
      </c>
      <c r="C106" s="43" t="n">
        <v>45162.3591550926</v>
      </c>
      <c r="D106" s="42" t="n">
        <f aca="false">INT(C106)</f>
        <v>45162</v>
      </c>
      <c r="E106" s="42" t="n">
        <f aca="false">D106-WEEKDAY(D106,3)</f>
        <v>45159</v>
      </c>
      <c r="F106" s="28" t="s">
        <v>147</v>
      </c>
      <c r="G106" s="28" t="n">
        <v>2023</v>
      </c>
      <c r="H106" s="28" t="s">
        <v>239</v>
      </c>
      <c r="I106" s="28" t="n">
        <v>1</v>
      </c>
      <c r="J106" s="28" t="s">
        <v>233</v>
      </c>
      <c r="K106" s="28" t="s">
        <v>234</v>
      </c>
      <c r="L106" s="28" t="n">
        <v>0.29</v>
      </c>
      <c r="M106" s="31" t="n">
        <v>15277.99</v>
      </c>
      <c r="N106" s="31" t="n">
        <v>15241.58</v>
      </c>
      <c r="O106" s="31" t="n">
        <v>15350.82</v>
      </c>
      <c r="P106" s="44" t="n">
        <f aca="false">ABS(M106-N106)</f>
        <v>36.4099999999999</v>
      </c>
      <c r="Q106" s="44" t="n">
        <f aca="false">IF(O106="","",ABS(O106-M106))</f>
        <v>72.8299999999999</v>
      </c>
      <c r="R106" s="30" t="n">
        <f aca="false">P106*L106*Summary!$C$6</f>
        <v>211.177999999999</v>
      </c>
      <c r="S106" s="31" t="n">
        <v>15350.89</v>
      </c>
      <c r="T106" s="28" t="s">
        <v>214</v>
      </c>
      <c r="U106" s="44" t="n">
        <f aca="false">IF(J106="BUY",S106-M106,M106-S106)</f>
        <v>72.8999999999996</v>
      </c>
      <c r="V106" s="45" t="n">
        <v>0</v>
      </c>
      <c r="W106" s="45" t="n">
        <v>0</v>
      </c>
      <c r="X106" s="45" t="n">
        <v>422.82</v>
      </c>
      <c r="Y106" s="32" t="n">
        <f aca="false">IFERROR(X106/R106,0)</f>
        <v>2.00219719857183</v>
      </c>
      <c r="Z106" s="28" t="str">
        <f aca="false">IF(X106&gt;0,"Win",IF(X106&lt;0,"Loss","Flat"))</f>
        <v>Win</v>
      </c>
      <c r="AA106" s="28" t="n">
        <f aca="false">ROUND((C106-B106)*1440,1)</f>
        <v>456.2</v>
      </c>
      <c r="AB106" s="28" t="str">
        <f aca="false">IF(AA106&lt;1,"a) &lt;1 min",IF(AA106&lt;10,"b) 1-10 min",IF(AA106&lt;60,"c) 10-60 min",IF(AA106&lt;240,"d) 1-4 h","e) 4 h+"))))</f>
        <v>e) 4 h+</v>
      </c>
      <c r="AC106" s="28" t="str">
        <f aca="false">IF(P106&lt;10,"a) &lt;10",IF(P106&lt;20,"b) 10-20",IF(P106&lt;40,"c) 20-40",IF(P106&lt;80,"d) 40-80","e) 80+"))))</f>
        <v>c) 20-40</v>
      </c>
      <c r="AD106" s="30" t="n">
        <f aca="false">Summary!$C$5+SUM(X$2:X106)</f>
        <v>101946.75</v>
      </c>
      <c r="AE106" s="30" t="n">
        <f aca="false">MAX(AE105,AD106)</f>
        <v>101946.75</v>
      </c>
      <c r="AF106" s="30" t="n">
        <f aca="false">AE106-AD106</f>
        <v>0</v>
      </c>
      <c r="AG106" s="29" t="n">
        <f aca="false">IFERROR(AF106/AE106,0)</f>
        <v>0</v>
      </c>
    </row>
    <row r="107" customFormat="false" ht="15" hidden="false" customHeight="false" outlineLevel="0" collapsed="false">
      <c r="A107" s="28" t="n">
        <v>106</v>
      </c>
      <c r="B107" s="43" t="n">
        <v>45162.7868055556</v>
      </c>
      <c r="C107" s="43" t="n">
        <v>45162.7957060185</v>
      </c>
      <c r="D107" s="42" t="n">
        <f aca="false">INT(C107)</f>
        <v>45162</v>
      </c>
      <c r="E107" s="42" t="n">
        <f aca="false">D107-WEEKDAY(D107,3)</f>
        <v>45159</v>
      </c>
      <c r="F107" s="28" t="s">
        <v>147</v>
      </c>
      <c r="G107" s="28" t="n">
        <v>2023</v>
      </c>
      <c r="H107" s="28" t="s">
        <v>239</v>
      </c>
      <c r="I107" s="28" t="n">
        <v>18</v>
      </c>
      <c r="J107" s="28" t="s">
        <v>236</v>
      </c>
      <c r="K107" s="28" t="s">
        <v>237</v>
      </c>
      <c r="L107" s="28" t="n">
        <v>0.3</v>
      </c>
      <c r="M107" s="31" t="n">
        <v>14902.1</v>
      </c>
      <c r="N107" s="31" t="n">
        <v>14926.24</v>
      </c>
      <c r="O107" s="31" t="n">
        <v>14855.98</v>
      </c>
      <c r="P107" s="44" t="n">
        <f aca="false">ABS(M107-N107)</f>
        <v>24.1399999999994</v>
      </c>
      <c r="Q107" s="44" t="n">
        <f aca="false">IF(O107="","",ABS(O107-M107))</f>
        <v>46.1200000000008</v>
      </c>
      <c r="R107" s="30" t="n">
        <f aca="false">P107*L107*Summary!$C$6</f>
        <v>144.839999999997</v>
      </c>
      <c r="S107" s="31" t="n">
        <v>14926.28</v>
      </c>
      <c r="T107" s="28" t="s">
        <v>241</v>
      </c>
      <c r="U107" s="44" t="n">
        <f aca="false">IF(J107="BUY",S107-M107,M107-S107)</f>
        <v>-24.1800000000003</v>
      </c>
      <c r="V107" s="45" t="n">
        <v>0</v>
      </c>
      <c r="W107" s="45" t="n">
        <v>0</v>
      </c>
      <c r="X107" s="45" t="n">
        <v>-145.08</v>
      </c>
      <c r="Y107" s="32" t="n">
        <f aca="false">IFERROR(X107/R107,0)</f>
        <v>-1.00165700082852</v>
      </c>
      <c r="Z107" s="28" t="str">
        <f aca="false">IF(X107&gt;0,"Win",IF(X107&lt;0,"Loss","Flat"))</f>
        <v>Loss</v>
      </c>
      <c r="AA107" s="28" t="n">
        <f aca="false">ROUND((C107-B107)*1440,1)</f>
        <v>12.8</v>
      </c>
      <c r="AB107" s="28" t="str">
        <f aca="false">IF(AA107&lt;1,"a) &lt;1 min",IF(AA107&lt;10,"b) 1-10 min",IF(AA107&lt;60,"c) 10-60 min",IF(AA107&lt;240,"d) 1-4 h","e) 4 h+"))))</f>
        <v>c) 10-60 min</v>
      </c>
      <c r="AC107" s="28" t="str">
        <f aca="false">IF(P107&lt;10,"a) &lt;10",IF(P107&lt;20,"b) 10-20",IF(P107&lt;40,"c) 20-40",IF(P107&lt;80,"d) 40-80","e) 80+"))))</f>
        <v>c) 20-40</v>
      </c>
      <c r="AD107" s="30" t="n">
        <f aca="false">Summary!$C$5+SUM(X$2:X107)</f>
        <v>101801.67</v>
      </c>
      <c r="AE107" s="30" t="n">
        <f aca="false">MAX(AE106,AD107)</f>
        <v>101946.75</v>
      </c>
      <c r="AF107" s="30" t="n">
        <f aca="false">AE107-AD107</f>
        <v>145.080000000002</v>
      </c>
      <c r="AG107" s="29" t="n">
        <f aca="false">IFERROR(AF107/AE107,0)</f>
        <v>0.00142309588093786</v>
      </c>
    </row>
    <row r="108" customFormat="false" ht="15" hidden="false" customHeight="false" outlineLevel="0" collapsed="false">
      <c r="A108" s="28" t="n">
        <v>107</v>
      </c>
      <c r="B108" s="43" t="n">
        <v>45163.0930555556</v>
      </c>
      <c r="C108" s="43" t="n">
        <v>45163.0946064815</v>
      </c>
      <c r="D108" s="42" t="n">
        <f aca="false">INT(C108)</f>
        <v>45163</v>
      </c>
      <c r="E108" s="42" t="n">
        <f aca="false">D108-WEEKDAY(D108,3)</f>
        <v>45159</v>
      </c>
      <c r="F108" s="28" t="s">
        <v>147</v>
      </c>
      <c r="G108" s="28" t="n">
        <v>2023</v>
      </c>
      <c r="H108" s="28" t="s">
        <v>242</v>
      </c>
      <c r="I108" s="28" t="n">
        <v>2</v>
      </c>
      <c r="J108" s="28" t="s">
        <v>236</v>
      </c>
      <c r="K108" s="28" t="s">
        <v>237</v>
      </c>
      <c r="L108" s="28" t="n">
        <v>0.3</v>
      </c>
      <c r="M108" s="31" t="n">
        <v>14791.31</v>
      </c>
      <c r="N108" s="31" t="n">
        <v>14801.15</v>
      </c>
      <c r="O108" s="31" t="n">
        <v>14770.97</v>
      </c>
      <c r="P108" s="44" t="n">
        <f aca="false">ABS(M108-N108)</f>
        <v>9.84000000000015</v>
      </c>
      <c r="Q108" s="44" t="n">
        <f aca="false">IF(O108="","",ABS(O108-M108))</f>
        <v>20.3400000000001</v>
      </c>
      <c r="R108" s="30" t="n">
        <f aca="false">P108*L108*Summary!$C$6</f>
        <v>59.0400000000009</v>
      </c>
      <c r="S108" s="31" t="n">
        <v>14801.3</v>
      </c>
      <c r="T108" s="28" t="s">
        <v>241</v>
      </c>
      <c r="U108" s="44" t="n">
        <f aca="false">IF(J108="BUY",S108-M108,M108-S108)</f>
        <v>-9.98999999999978</v>
      </c>
      <c r="V108" s="45" t="n">
        <v>0</v>
      </c>
      <c r="W108" s="45" t="n">
        <v>0</v>
      </c>
      <c r="X108" s="45" t="n">
        <v>-59.94</v>
      </c>
      <c r="Y108" s="32" t="n">
        <f aca="false">IFERROR(X108/R108,0)</f>
        <v>-1.01524390243901</v>
      </c>
      <c r="Z108" s="28" t="str">
        <f aca="false">IF(X108&gt;0,"Win",IF(X108&lt;0,"Loss","Flat"))</f>
        <v>Loss</v>
      </c>
      <c r="AA108" s="28" t="n">
        <f aca="false">ROUND((C108-B108)*1440,1)</f>
        <v>2.2</v>
      </c>
      <c r="AB108" s="28" t="str">
        <f aca="false">IF(AA108&lt;1,"a) &lt;1 min",IF(AA108&lt;10,"b) 1-10 min",IF(AA108&lt;60,"c) 10-60 min",IF(AA108&lt;240,"d) 1-4 h","e) 4 h+"))))</f>
        <v>b) 1-10 min</v>
      </c>
      <c r="AC108" s="28" t="str">
        <f aca="false">IF(P108&lt;10,"a) &lt;10",IF(P108&lt;20,"b) 10-20",IF(P108&lt;40,"c) 20-40",IF(P108&lt;80,"d) 40-80","e) 80+"))))</f>
        <v>a) &lt;10</v>
      </c>
      <c r="AD108" s="30" t="n">
        <f aca="false">Summary!$C$5+SUM(X$2:X108)</f>
        <v>101741.73</v>
      </c>
      <c r="AE108" s="30" t="n">
        <f aca="false">MAX(AE107,AD108)</f>
        <v>101946.75</v>
      </c>
      <c r="AF108" s="30" t="n">
        <f aca="false">AE108-AD108</f>
        <v>205.020000000004</v>
      </c>
      <c r="AG108" s="29" t="n">
        <f aca="false">IFERROR(AF108/AE108,0)</f>
        <v>0.00201104988633776</v>
      </c>
    </row>
    <row r="109" customFormat="false" ht="15" hidden="false" customHeight="false" outlineLevel="0" collapsed="false">
      <c r="A109" s="28" t="n">
        <v>108</v>
      </c>
      <c r="B109" s="43" t="n">
        <v>45166.6430555556</v>
      </c>
      <c r="C109" s="43" t="n">
        <v>45166.6496759259</v>
      </c>
      <c r="D109" s="42" t="n">
        <f aca="false">INT(C109)</f>
        <v>45166</v>
      </c>
      <c r="E109" s="42" t="n">
        <f aca="false">D109-WEEKDAY(D109,3)</f>
        <v>45166</v>
      </c>
      <c r="F109" s="28" t="s">
        <v>147</v>
      </c>
      <c r="G109" s="28" t="n">
        <v>2023</v>
      </c>
      <c r="H109" s="28" t="s">
        <v>240</v>
      </c>
      <c r="I109" s="28" t="n">
        <v>15</v>
      </c>
      <c r="J109" s="28" t="s">
        <v>233</v>
      </c>
      <c r="K109" s="28" t="s">
        <v>234</v>
      </c>
      <c r="L109" s="28" t="n">
        <v>0.3</v>
      </c>
      <c r="M109" s="31" t="n">
        <v>15012.9</v>
      </c>
      <c r="N109" s="31" t="n">
        <v>15003.28</v>
      </c>
      <c r="O109" s="31" t="n">
        <v>15031.57</v>
      </c>
      <c r="P109" s="44" t="n">
        <f aca="false">ABS(M109-N109)</f>
        <v>9.61999999999898</v>
      </c>
      <c r="Q109" s="44" t="n">
        <f aca="false">IF(O109="","",ABS(O109-M109))</f>
        <v>18.6700000000001</v>
      </c>
      <c r="R109" s="30" t="n">
        <f aca="false">P109*L109*Summary!$C$6</f>
        <v>57.7199999999939</v>
      </c>
      <c r="S109" s="31" t="n">
        <v>15031.6</v>
      </c>
      <c r="T109" s="28" t="s">
        <v>214</v>
      </c>
      <c r="U109" s="44" t="n">
        <f aca="false">IF(J109="BUY",S109-M109,M109-S109)</f>
        <v>18.7000000000007</v>
      </c>
      <c r="V109" s="45" t="n">
        <v>0</v>
      </c>
      <c r="W109" s="45" t="n">
        <v>0</v>
      </c>
      <c r="X109" s="45" t="n">
        <v>112.2</v>
      </c>
      <c r="Y109" s="32" t="n">
        <f aca="false">IFERROR(X109/R109,0)</f>
        <v>1.94386694386715</v>
      </c>
      <c r="Z109" s="28" t="str">
        <f aca="false">IF(X109&gt;0,"Win",IF(X109&lt;0,"Loss","Flat"))</f>
        <v>Win</v>
      </c>
      <c r="AA109" s="28" t="n">
        <f aca="false">ROUND((C109-B109)*1440,1)</f>
        <v>9.5</v>
      </c>
      <c r="AB109" s="28" t="str">
        <f aca="false">IF(AA109&lt;1,"a) &lt;1 min",IF(AA109&lt;10,"b) 1-10 min",IF(AA109&lt;60,"c) 10-60 min",IF(AA109&lt;240,"d) 1-4 h","e) 4 h+"))))</f>
        <v>b) 1-10 min</v>
      </c>
      <c r="AC109" s="28" t="str">
        <f aca="false">IF(P109&lt;10,"a) &lt;10",IF(P109&lt;20,"b) 10-20",IF(P109&lt;40,"c) 20-40",IF(P109&lt;80,"d) 40-80","e) 80+"))))</f>
        <v>a) &lt;10</v>
      </c>
      <c r="AD109" s="30" t="n">
        <f aca="false">Summary!$C$5+SUM(X$2:X109)</f>
        <v>101853.93</v>
      </c>
      <c r="AE109" s="30" t="n">
        <f aca="false">MAX(AE108,AD109)</f>
        <v>101946.75</v>
      </c>
      <c r="AF109" s="30" t="n">
        <f aca="false">AE109-AD109</f>
        <v>92.820000000007</v>
      </c>
      <c r="AG109" s="29" t="n">
        <f aca="false">IFERROR(AF109/AE109,0)</f>
        <v>0.000910475321675355</v>
      </c>
    </row>
    <row r="110" customFormat="false" ht="15" hidden="false" customHeight="false" outlineLevel="0" collapsed="false">
      <c r="A110" s="28" t="n">
        <v>109</v>
      </c>
      <c r="B110" s="43" t="n">
        <v>45167.35</v>
      </c>
      <c r="C110" s="43" t="n">
        <v>45167.363900463</v>
      </c>
      <c r="D110" s="42" t="n">
        <f aca="false">INT(C110)</f>
        <v>45167</v>
      </c>
      <c r="E110" s="42" t="n">
        <f aca="false">D110-WEEKDAY(D110,3)</f>
        <v>45166</v>
      </c>
      <c r="F110" s="28" t="s">
        <v>147</v>
      </c>
      <c r="G110" s="28" t="n">
        <v>2023</v>
      </c>
      <c r="H110" s="28" t="s">
        <v>232</v>
      </c>
      <c r="I110" s="28" t="n">
        <v>8</v>
      </c>
      <c r="J110" s="28" t="s">
        <v>233</v>
      </c>
      <c r="K110" s="28" t="s">
        <v>234</v>
      </c>
      <c r="L110" s="28" t="n">
        <v>0.3</v>
      </c>
      <c r="M110" s="31" t="n">
        <v>15088.58</v>
      </c>
      <c r="N110" s="31" t="n">
        <v>15084.56</v>
      </c>
      <c r="O110" s="31" t="n">
        <v>15096.62</v>
      </c>
      <c r="P110" s="44" t="n">
        <f aca="false">ABS(M110-N110)</f>
        <v>4.02000000000044</v>
      </c>
      <c r="Q110" s="44" t="n">
        <f aca="false">IF(O110="","",ABS(O110-M110))</f>
        <v>8.04000000000087</v>
      </c>
      <c r="R110" s="30" t="n">
        <f aca="false">P110*L110*Summary!$C$6</f>
        <v>24.1200000000026</v>
      </c>
      <c r="S110" s="31" t="n">
        <v>15084.52</v>
      </c>
      <c r="T110" s="28" t="s">
        <v>241</v>
      </c>
      <c r="U110" s="44" t="n">
        <f aca="false">IF(J110="BUY",S110-M110,M110-S110)</f>
        <v>-4.05999999999949</v>
      </c>
      <c r="V110" s="45" t="n">
        <v>0</v>
      </c>
      <c r="W110" s="45" t="n">
        <v>0</v>
      </c>
      <c r="X110" s="45" t="n">
        <v>-24.36</v>
      </c>
      <c r="Y110" s="32" t="n">
        <f aca="false">IFERROR(X110/R110,0)</f>
        <v>-1.00995024875611</v>
      </c>
      <c r="Z110" s="28" t="str">
        <f aca="false">IF(X110&gt;0,"Win",IF(X110&lt;0,"Loss","Flat"))</f>
        <v>Loss</v>
      </c>
      <c r="AA110" s="28" t="n">
        <f aca="false">ROUND((C110-B110)*1440,1)</f>
        <v>20</v>
      </c>
      <c r="AB110" s="28" t="str">
        <f aca="false">IF(AA110&lt;1,"a) &lt;1 min",IF(AA110&lt;10,"b) 1-10 min",IF(AA110&lt;60,"c) 10-60 min",IF(AA110&lt;240,"d) 1-4 h","e) 4 h+"))))</f>
        <v>c) 10-60 min</v>
      </c>
      <c r="AC110" s="28" t="str">
        <f aca="false">IF(P110&lt;10,"a) &lt;10",IF(P110&lt;20,"b) 10-20",IF(P110&lt;40,"c) 20-40",IF(P110&lt;80,"d) 40-80","e) 80+"))))</f>
        <v>a) &lt;10</v>
      </c>
      <c r="AD110" s="30" t="n">
        <f aca="false">Summary!$C$5+SUM(X$2:X110)</f>
        <v>101829.57</v>
      </c>
      <c r="AE110" s="30" t="n">
        <f aca="false">MAX(AE109,AD110)</f>
        <v>101946.75</v>
      </c>
      <c r="AF110" s="30" t="n">
        <f aca="false">AE110-AD110</f>
        <v>117.179999999993</v>
      </c>
      <c r="AG110" s="29" t="n">
        <f aca="false">IFERROR(AF110/AE110,0)</f>
        <v>0.00114942359614204</v>
      </c>
    </row>
    <row r="111" customFormat="false" ht="15" hidden="false" customHeight="false" outlineLevel="0" collapsed="false">
      <c r="A111" s="28" t="n">
        <v>110</v>
      </c>
      <c r="B111" s="43" t="n">
        <v>45168.0444560185</v>
      </c>
      <c r="C111" s="43" t="n">
        <v>45168.1284143519</v>
      </c>
      <c r="D111" s="42" t="n">
        <f aca="false">INT(C111)</f>
        <v>45168</v>
      </c>
      <c r="E111" s="42" t="n">
        <f aca="false">D111-WEEKDAY(D111,3)</f>
        <v>45166</v>
      </c>
      <c r="F111" s="28" t="s">
        <v>147</v>
      </c>
      <c r="G111" s="28" t="n">
        <v>2023</v>
      </c>
      <c r="H111" s="28" t="s">
        <v>235</v>
      </c>
      <c r="I111" s="28" t="n">
        <v>1</v>
      </c>
      <c r="J111" s="28" t="s">
        <v>233</v>
      </c>
      <c r="K111" s="28" t="s">
        <v>234</v>
      </c>
      <c r="L111" s="28" t="n">
        <v>0.29</v>
      </c>
      <c r="M111" s="31" t="n">
        <v>15396.07</v>
      </c>
      <c r="N111" s="31" t="n">
        <v>15388.29</v>
      </c>
      <c r="O111" s="31" t="n">
        <v>15411.63</v>
      </c>
      <c r="P111" s="44" t="n">
        <f aca="false">ABS(M111-N111)</f>
        <v>7.77999999999884</v>
      </c>
      <c r="Q111" s="44" t="n">
        <f aca="false">IF(O111="","",ABS(O111-M111))</f>
        <v>15.5599999999995</v>
      </c>
      <c r="R111" s="30" t="n">
        <f aca="false">P111*L111*Summary!$C$6</f>
        <v>45.1239999999932</v>
      </c>
      <c r="S111" s="31" t="n">
        <v>15387.84</v>
      </c>
      <c r="T111" s="28" t="s">
        <v>241</v>
      </c>
      <c r="U111" s="44" t="n">
        <f aca="false">IF(J111="BUY",S111-M111,M111-S111)</f>
        <v>-8.22999999999956</v>
      </c>
      <c r="V111" s="45" t="n">
        <v>0</v>
      </c>
      <c r="W111" s="45" t="n">
        <v>0</v>
      </c>
      <c r="X111" s="45" t="n">
        <v>-47.73</v>
      </c>
      <c r="Y111" s="32" t="n">
        <f aca="false">IFERROR(X111/R111,0)</f>
        <v>-1.05775197234304</v>
      </c>
      <c r="Z111" s="28" t="str">
        <f aca="false">IF(X111&gt;0,"Win",IF(X111&lt;0,"Loss","Flat"))</f>
        <v>Loss</v>
      </c>
      <c r="AA111" s="28" t="n">
        <f aca="false">ROUND((C111-B111)*1440,1)</f>
        <v>120.9</v>
      </c>
      <c r="AB111" s="28" t="str">
        <f aca="false">IF(AA111&lt;1,"a) &lt;1 min",IF(AA111&lt;10,"b) 1-10 min",IF(AA111&lt;60,"c) 10-60 min",IF(AA111&lt;240,"d) 1-4 h","e) 4 h+"))))</f>
        <v>d) 1-4 h</v>
      </c>
      <c r="AC111" s="28" t="str">
        <f aca="false">IF(P111&lt;10,"a) &lt;10",IF(P111&lt;20,"b) 10-20",IF(P111&lt;40,"c) 20-40",IF(P111&lt;80,"d) 40-80","e) 80+"))))</f>
        <v>a) &lt;10</v>
      </c>
      <c r="AD111" s="30" t="n">
        <f aca="false">Summary!$C$5+SUM(X$2:X111)</f>
        <v>101781.84</v>
      </c>
      <c r="AE111" s="30" t="n">
        <f aca="false">MAX(AE110,AD111)</f>
        <v>101946.75</v>
      </c>
      <c r="AF111" s="30" t="n">
        <f aca="false">AE111-AD111</f>
        <v>164.910000000004</v>
      </c>
      <c r="AG111" s="29" t="n">
        <f aca="false">IFERROR(AF111/AE111,0)</f>
        <v>0.00161760919303463</v>
      </c>
    </row>
    <row r="112" customFormat="false" ht="15" hidden="false" customHeight="false" outlineLevel="0" collapsed="false">
      <c r="A112" s="28" t="n">
        <v>111</v>
      </c>
      <c r="B112" s="43" t="n">
        <v>45169.225</v>
      </c>
      <c r="C112" s="43" t="n">
        <v>45169.2278009259</v>
      </c>
      <c r="D112" s="42" t="n">
        <f aca="false">INT(C112)</f>
        <v>45169</v>
      </c>
      <c r="E112" s="42" t="n">
        <f aca="false">D112-WEEKDAY(D112,3)</f>
        <v>45166</v>
      </c>
      <c r="F112" s="28" t="s">
        <v>147</v>
      </c>
      <c r="G112" s="28" t="n">
        <v>2023</v>
      </c>
      <c r="H112" s="28" t="s">
        <v>239</v>
      </c>
      <c r="I112" s="28" t="n">
        <v>5</v>
      </c>
      <c r="J112" s="28" t="s">
        <v>233</v>
      </c>
      <c r="K112" s="28" t="s">
        <v>234</v>
      </c>
      <c r="L112" s="28" t="n">
        <v>0.29</v>
      </c>
      <c r="M112" s="31" t="n">
        <v>15486.4</v>
      </c>
      <c r="N112" s="31" t="n">
        <v>15479.44</v>
      </c>
      <c r="O112" s="31" t="n">
        <v>15500.62</v>
      </c>
      <c r="P112" s="44" t="n">
        <f aca="false">ABS(M112-N112)</f>
        <v>6.95999999999913</v>
      </c>
      <c r="Q112" s="44" t="n">
        <f aca="false">IF(O112="","",ABS(O112-M112))</f>
        <v>14.2200000000012</v>
      </c>
      <c r="R112" s="30" t="n">
        <f aca="false">P112*L112*Summary!$C$6</f>
        <v>40.3679999999949</v>
      </c>
      <c r="S112" s="31" t="n">
        <v>15479.37</v>
      </c>
      <c r="T112" s="28" t="s">
        <v>241</v>
      </c>
      <c r="U112" s="44" t="n">
        <f aca="false">IF(J112="BUY",S112-M112,M112-S112)</f>
        <v>-7.02999999999884</v>
      </c>
      <c r="V112" s="45" t="n">
        <v>0</v>
      </c>
      <c r="W112" s="45" t="n">
        <v>0</v>
      </c>
      <c r="X112" s="45" t="n">
        <v>-40.77</v>
      </c>
      <c r="Y112" s="32" t="n">
        <f aca="false">IFERROR(X112/R112,0)</f>
        <v>-1.00995838287765</v>
      </c>
      <c r="Z112" s="28" t="str">
        <f aca="false">IF(X112&gt;0,"Win",IF(X112&lt;0,"Loss","Flat"))</f>
        <v>Loss</v>
      </c>
      <c r="AA112" s="28" t="n">
        <f aca="false">ROUND((C112-B112)*1440,1)</f>
        <v>4</v>
      </c>
      <c r="AB112" s="28" t="str">
        <f aca="false">IF(AA112&lt;1,"a) &lt;1 min",IF(AA112&lt;10,"b) 1-10 min",IF(AA112&lt;60,"c) 10-60 min",IF(AA112&lt;240,"d) 1-4 h","e) 4 h+"))))</f>
        <v>b) 1-10 min</v>
      </c>
      <c r="AC112" s="28" t="str">
        <f aca="false">IF(P112&lt;10,"a) &lt;10",IF(P112&lt;20,"b) 10-20",IF(P112&lt;40,"c) 20-40",IF(P112&lt;80,"d) 40-80","e) 80+"))))</f>
        <v>a) &lt;10</v>
      </c>
      <c r="AD112" s="30" t="n">
        <f aca="false">Summary!$C$5+SUM(X$2:X112)</f>
        <v>101741.07</v>
      </c>
      <c r="AE112" s="30" t="n">
        <f aca="false">MAX(AE111,AD112)</f>
        <v>101946.75</v>
      </c>
      <c r="AF112" s="30" t="n">
        <f aca="false">AE112-AD112</f>
        <v>205.679999999993</v>
      </c>
      <c r="AG112" s="29" t="n">
        <f aca="false">IFERROR(AF112/AE112,0)</f>
        <v>0.00201752385436508</v>
      </c>
    </row>
    <row r="113" customFormat="false" ht="15" hidden="false" customHeight="false" outlineLevel="0" collapsed="false">
      <c r="A113" s="28" t="n">
        <v>112</v>
      </c>
      <c r="B113" s="43" t="n">
        <v>45170.6465277778</v>
      </c>
      <c r="C113" s="43" t="n">
        <v>45170.683125</v>
      </c>
      <c r="D113" s="42" t="n">
        <f aca="false">INT(C113)</f>
        <v>45170</v>
      </c>
      <c r="E113" s="42" t="n">
        <f aca="false">D113-WEEKDAY(D113,3)</f>
        <v>45166</v>
      </c>
      <c r="F113" s="28" t="s">
        <v>148</v>
      </c>
      <c r="G113" s="28" t="n">
        <v>2023</v>
      </c>
      <c r="H113" s="28" t="s">
        <v>242</v>
      </c>
      <c r="I113" s="28" t="n">
        <v>15</v>
      </c>
      <c r="J113" s="28" t="s">
        <v>233</v>
      </c>
      <c r="K113" s="28" t="s">
        <v>234</v>
      </c>
      <c r="L113" s="28" t="n">
        <v>0.29</v>
      </c>
      <c r="M113" s="31" t="n">
        <v>15581.21</v>
      </c>
      <c r="N113" s="31" t="n">
        <v>15560.62</v>
      </c>
      <c r="O113" s="31" t="n">
        <v>15622.12</v>
      </c>
      <c r="P113" s="44" t="n">
        <f aca="false">ABS(M113-N113)</f>
        <v>20.5899999999983</v>
      </c>
      <c r="Q113" s="44" t="n">
        <f aca="false">IF(O113="","",ABS(O113-M113))</f>
        <v>40.9100000000017</v>
      </c>
      <c r="R113" s="30" t="n">
        <f aca="false">P113*L113*Summary!$C$6</f>
        <v>119.42199999999</v>
      </c>
      <c r="S113" s="31" t="n">
        <v>15622.32</v>
      </c>
      <c r="T113" s="28" t="s">
        <v>214</v>
      </c>
      <c r="U113" s="44" t="n">
        <f aca="false">IF(J113="BUY",S113-M113,M113-S113)</f>
        <v>41.1100000000006</v>
      </c>
      <c r="V113" s="45" t="n">
        <v>0</v>
      </c>
      <c r="W113" s="45" t="n">
        <v>0</v>
      </c>
      <c r="X113" s="45" t="n">
        <v>238.44</v>
      </c>
      <c r="Y113" s="32" t="n">
        <f aca="false">IFERROR(X113/R113,0)</f>
        <v>1.99661703873674</v>
      </c>
      <c r="Z113" s="28" t="str">
        <f aca="false">IF(X113&gt;0,"Win",IF(X113&lt;0,"Loss","Flat"))</f>
        <v>Win</v>
      </c>
      <c r="AA113" s="28" t="n">
        <f aca="false">ROUND((C113-B113)*1440,1)</f>
        <v>52.7</v>
      </c>
      <c r="AB113" s="28" t="str">
        <f aca="false">IF(AA113&lt;1,"a) &lt;1 min",IF(AA113&lt;10,"b) 1-10 min",IF(AA113&lt;60,"c) 10-60 min",IF(AA113&lt;240,"d) 1-4 h","e) 4 h+"))))</f>
        <v>c) 10-60 min</v>
      </c>
      <c r="AC113" s="28" t="str">
        <f aca="false">IF(P113&lt;10,"a) &lt;10",IF(P113&lt;20,"b) 10-20",IF(P113&lt;40,"c) 20-40",IF(P113&lt;80,"d) 40-80","e) 80+"))))</f>
        <v>c) 20-40</v>
      </c>
      <c r="AD113" s="30" t="n">
        <f aca="false">Summary!$C$5+SUM(X$2:X113)</f>
        <v>101979.51</v>
      </c>
      <c r="AE113" s="30" t="n">
        <f aca="false">MAX(AE112,AD113)</f>
        <v>101979.51</v>
      </c>
      <c r="AF113" s="30" t="n">
        <f aca="false">AE113-AD113</f>
        <v>0</v>
      </c>
      <c r="AG113" s="29" t="n">
        <f aca="false">IFERROR(AF113/AE113,0)</f>
        <v>0</v>
      </c>
    </row>
    <row r="114" customFormat="false" ht="15" hidden="false" customHeight="false" outlineLevel="0" collapsed="false">
      <c r="A114" s="28" t="n">
        <v>113</v>
      </c>
      <c r="B114" s="43" t="n">
        <v>45174.1423611111</v>
      </c>
      <c r="C114" s="43" t="n">
        <v>45174.1795601852</v>
      </c>
      <c r="D114" s="42" t="n">
        <f aca="false">INT(C114)</f>
        <v>45174</v>
      </c>
      <c r="E114" s="42" t="n">
        <f aca="false">D114-WEEKDAY(D114,3)</f>
        <v>45173</v>
      </c>
      <c r="F114" s="28" t="s">
        <v>148</v>
      </c>
      <c r="G114" s="28" t="n">
        <v>2023</v>
      </c>
      <c r="H114" s="28" t="s">
        <v>232</v>
      </c>
      <c r="I114" s="28" t="n">
        <v>3</v>
      </c>
      <c r="J114" s="28" t="s">
        <v>236</v>
      </c>
      <c r="K114" s="28" t="s">
        <v>237</v>
      </c>
      <c r="L114" s="28" t="n">
        <v>0.29</v>
      </c>
      <c r="M114" s="31" t="n">
        <v>15469.14</v>
      </c>
      <c r="N114" s="31" t="n">
        <v>15476.62</v>
      </c>
      <c r="O114" s="31" t="n">
        <v>15454.47</v>
      </c>
      <c r="P114" s="44" t="n">
        <f aca="false">ABS(M114-N114)</f>
        <v>7.48000000000138</v>
      </c>
      <c r="Q114" s="44" t="n">
        <f aca="false">IF(O114="","",ABS(O114-M114))</f>
        <v>14.6700000000001</v>
      </c>
      <c r="R114" s="30" t="n">
        <f aca="false">P114*L114*Summary!$C$6</f>
        <v>43.384000000008</v>
      </c>
      <c r="S114" s="31" t="n">
        <v>15469.19</v>
      </c>
      <c r="T114" s="28" t="s">
        <v>238</v>
      </c>
      <c r="U114" s="44" t="n">
        <f aca="false">IF(J114="BUY",S114-M114,M114-S114)</f>
        <v>-0.0500000000010914</v>
      </c>
      <c r="V114" s="45" t="n">
        <v>0</v>
      </c>
      <c r="W114" s="45" t="n">
        <v>0</v>
      </c>
      <c r="X114" s="45" t="n">
        <v>-0.29</v>
      </c>
      <c r="Y114" s="32" t="n">
        <f aca="false">IFERROR(X114/R114,0)</f>
        <v>-0.00668449197860839</v>
      </c>
      <c r="Z114" s="28" t="str">
        <f aca="false">IF(X114&gt;0,"Win",IF(X114&lt;0,"Loss","Flat"))</f>
        <v>Loss</v>
      </c>
      <c r="AA114" s="28" t="n">
        <f aca="false">ROUND((C114-B114)*1440,1)</f>
        <v>53.6</v>
      </c>
      <c r="AB114" s="28" t="str">
        <f aca="false">IF(AA114&lt;1,"a) &lt;1 min",IF(AA114&lt;10,"b) 1-10 min",IF(AA114&lt;60,"c) 10-60 min",IF(AA114&lt;240,"d) 1-4 h","e) 4 h+"))))</f>
        <v>c) 10-60 min</v>
      </c>
      <c r="AC114" s="28" t="str">
        <f aca="false">IF(P114&lt;10,"a) &lt;10",IF(P114&lt;20,"b) 10-20",IF(P114&lt;40,"c) 20-40",IF(P114&lt;80,"d) 40-80","e) 80+"))))</f>
        <v>a) &lt;10</v>
      </c>
      <c r="AD114" s="30" t="n">
        <f aca="false">Summary!$C$5+SUM(X$2:X114)</f>
        <v>101979.22</v>
      </c>
      <c r="AE114" s="30" t="n">
        <f aca="false">MAX(AE113,AD114)</f>
        <v>101979.51</v>
      </c>
      <c r="AF114" s="30" t="n">
        <f aca="false">AE114-AD114</f>
        <v>0.289999999993597</v>
      </c>
      <c r="AG114" s="29" t="n">
        <f aca="false">IFERROR(AF114/AE114,0)</f>
        <v>2.84370850569489E-006</v>
      </c>
    </row>
    <row r="115" customFormat="false" ht="15" hidden="false" customHeight="false" outlineLevel="0" collapsed="false">
      <c r="A115" s="28" t="n">
        <v>114</v>
      </c>
      <c r="B115" s="43" t="n">
        <v>45174.9118055556</v>
      </c>
      <c r="C115" s="43" t="n">
        <v>45174.9135185185</v>
      </c>
      <c r="D115" s="42" t="n">
        <f aca="false">INT(C115)</f>
        <v>45174</v>
      </c>
      <c r="E115" s="42" t="n">
        <f aca="false">D115-WEEKDAY(D115,3)</f>
        <v>45173</v>
      </c>
      <c r="F115" s="28" t="s">
        <v>148</v>
      </c>
      <c r="G115" s="28" t="n">
        <v>2023</v>
      </c>
      <c r="H115" s="28" t="s">
        <v>232</v>
      </c>
      <c r="I115" s="28" t="n">
        <v>21</v>
      </c>
      <c r="J115" s="28" t="s">
        <v>233</v>
      </c>
      <c r="K115" s="28" t="s">
        <v>234</v>
      </c>
      <c r="L115" s="28" t="n">
        <v>0.29</v>
      </c>
      <c r="M115" s="31" t="n">
        <v>15552.6</v>
      </c>
      <c r="N115" s="31" t="n">
        <v>15543.57</v>
      </c>
      <c r="O115" s="31" t="n">
        <v>15570.47</v>
      </c>
      <c r="P115" s="44" t="n">
        <f aca="false">ABS(M115-N115)</f>
        <v>9.03000000000066</v>
      </c>
      <c r="Q115" s="44" t="n">
        <f aca="false">IF(O115="","",ABS(O115-M115))</f>
        <v>17.869999999999</v>
      </c>
      <c r="R115" s="30" t="n">
        <f aca="false">P115*L115*Summary!$C$6</f>
        <v>52.3740000000038</v>
      </c>
      <c r="S115" s="31" t="n">
        <v>15543.26</v>
      </c>
      <c r="T115" s="28" t="s">
        <v>241</v>
      </c>
      <c r="U115" s="44" t="n">
        <f aca="false">IF(J115="BUY",S115-M115,M115-S115)</f>
        <v>-9.34000000000015</v>
      </c>
      <c r="V115" s="45" t="n">
        <v>0</v>
      </c>
      <c r="W115" s="45" t="n">
        <v>0</v>
      </c>
      <c r="X115" s="45" t="n">
        <v>-54.17</v>
      </c>
      <c r="Y115" s="32" t="n">
        <f aca="false">IFERROR(X115/R115,0)</f>
        <v>-1.0342918241875</v>
      </c>
      <c r="Z115" s="28" t="str">
        <f aca="false">IF(X115&gt;0,"Win",IF(X115&lt;0,"Loss","Flat"))</f>
        <v>Loss</v>
      </c>
      <c r="AA115" s="28" t="n">
        <f aca="false">ROUND((C115-B115)*1440,1)</f>
        <v>2.5</v>
      </c>
      <c r="AB115" s="28" t="str">
        <f aca="false">IF(AA115&lt;1,"a) &lt;1 min",IF(AA115&lt;10,"b) 1-10 min",IF(AA115&lt;60,"c) 10-60 min",IF(AA115&lt;240,"d) 1-4 h","e) 4 h+"))))</f>
        <v>b) 1-10 min</v>
      </c>
      <c r="AC115" s="28" t="str">
        <f aca="false">IF(P115&lt;10,"a) &lt;10",IF(P115&lt;20,"b) 10-20",IF(P115&lt;40,"c) 20-40",IF(P115&lt;80,"d) 40-80","e) 80+"))))</f>
        <v>a) &lt;10</v>
      </c>
      <c r="AD115" s="30" t="n">
        <f aca="false">Summary!$C$5+SUM(X$2:X115)</f>
        <v>101925.05</v>
      </c>
      <c r="AE115" s="30" t="n">
        <f aca="false">MAX(AE114,AD115)</f>
        <v>101979.51</v>
      </c>
      <c r="AF115" s="30" t="n">
        <f aca="false">AE115-AD115</f>
        <v>54.4599999999919</v>
      </c>
      <c r="AG115" s="29" t="n">
        <f aca="false">IFERROR(AF115/AE115,0)</f>
        <v>0.000534028845598413</v>
      </c>
    </row>
    <row r="116" customFormat="false" ht="15" hidden="false" customHeight="false" outlineLevel="0" collapsed="false">
      <c r="A116" s="28" t="n">
        <v>115</v>
      </c>
      <c r="B116" s="43" t="n">
        <v>45175.7118055556</v>
      </c>
      <c r="C116" s="43" t="n">
        <v>45175.8119444445</v>
      </c>
      <c r="D116" s="42" t="n">
        <f aca="false">INT(C116)</f>
        <v>45175</v>
      </c>
      <c r="E116" s="42" t="n">
        <f aca="false">D116-WEEKDAY(D116,3)</f>
        <v>45173</v>
      </c>
      <c r="F116" s="28" t="s">
        <v>148</v>
      </c>
      <c r="G116" s="28" t="n">
        <v>2023</v>
      </c>
      <c r="H116" s="28" t="s">
        <v>235</v>
      </c>
      <c r="I116" s="28" t="n">
        <v>17</v>
      </c>
      <c r="J116" s="28" t="s">
        <v>236</v>
      </c>
      <c r="K116" s="28" t="s">
        <v>237</v>
      </c>
      <c r="L116" s="28" t="n">
        <v>0.29</v>
      </c>
      <c r="M116" s="31" t="n">
        <v>15388.1</v>
      </c>
      <c r="N116" s="31" t="n">
        <v>15421.16</v>
      </c>
      <c r="O116" s="31" t="n">
        <v>15322.04</v>
      </c>
      <c r="P116" s="44" t="n">
        <f aca="false">ABS(M116-N116)</f>
        <v>33.0599999999995</v>
      </c>
      <c r="Q116" s="44" t="n">
        <f aca="false">IF(O116="","",ABS(O116-M116))</f>
        <v>66.0599999999995</v>
      </c>
      <c r="R116" s="30" t="n">
        <f aca="false">P116*L116*Summary!$C$6</f>
        <v>191.747999999997</v>
      </c>
      <c r="S116" s="31" t="n">
        <v>15321.66</v>
      </c>
      <c r="T116" s="28" t="s">
        <v>214</v>
      </c>
      <c r="U116" s="44" t="n">
        <f aca="false">IF(J116="BUY",S116-M116,M116-S116)</f>
        <v>66.4400000000005</v>
      </c>
      <c r="V116" s="45" t="n">
        <v>0</v>
      </c>
      <c r="W116" s="45" t="n">
        <v>0</v>
      </c>
      <c r="X116" s="45" t="n">
        <v>385.35</v>
      </c>
      <c r="Y116" s="32" t="n">
        <f aca="false">IFERROR(X116/R116,0)</f>
        <v>2.00966894048442</v>
      </c>
      <c r="Z116" s="28" t="str">
        <f aca="false">IF(X116&gt;0,"Win",IF(X116&lt;0,"Loss","Flat"))</f>
        <v>Win</v>
      </c>
      <c r="AA116" s="28" t="n">
        <f aca="false">ROUND((C116-B116)*1440,1)</f>
        <v>144.2</v>
      </c>
      <c r="AB116" s="28" t="str">
        <f aca="false">IF(AA116&lt;1,"a) &lt;1 min",IF(AA116&lt;10,"b) 1-10 min",IF(AA116&lt;60,"c) 10-60 min",IF(AA116&lt;240,"d) 1-4 h","e) 4 h+"))))</f>
        <v>d) 1-4 h</v>
      </c>
      <c r="AC116" s="28" t="str">
        <f aca="false">IF(P116&lt;10,"a) &lt;10",IF(P116&lt;20,"b) 10-20",IF(P116&lt;40,"c) 20-40",IF(P116&lt;80,"d) 40-80","e) 80+"))))</f>
        <v>c) 20-40</v>
      </c>
      <c r="AD116" s="30" t="n">
        <f aca="false">Summary!$C$5+SUM(X$2:X116)</f>
        <v>102310.4</v>
      </c>
      <c r="AE116" s="30" t="n">
        <f aca="false">MAX(AE115,AD116)</f>
        <v>102310.4</v>
      </c>
      <c r="AF116" s="30" t="n">
        <f aca="false">AE116-AD116</f>
        <v>0</v>
      </c>
      <c r="AG116" s="29" t="n">
        <f aca="false">IFERROR(AF116/AE116,0)</f>
        <v>0</v>
      </c>
    </row>
    <row r="117" customFormat="false" ht="15" hidden="false" customHeight="false" outlineLevel="0" collapsed="false">
      <c r="A117" s="28" t="n">
        <v>116</v>
      </c>
      <c r="B117" s="43" t="n">
        <v>45176.4659722222</v>
      </c>
      <c r="C117" s="43" t="n">
        <v>45176.4783333333</v>
      </c>
      <c r="D117" s="42" t="n">
        <f aca="false">INT(C117)</f>
        <v>45176</v>
      </c>
      <c r="E117" s="42" t="n">
        <f aca="false">D117-WEEKDAY(D117,3)</f>
        <v>45173</v>
      </c>
      <c r="F117" s="28" t="s">
        <v>148</v>
      </c>
      <c r="G117" s="28" t="n">
        <v>2023</v>
      </c>
      <c r="H117" s="28" t="s">
        <v>239</v>
      </c>
      <c r="I117" s="28" t="n">
        <v>11</v>
      </c>
      <c r="J117" s="28" t="s">
        <v>236</v>
      </c>
      <c r="K117" s="28" t="s">
        <v>237</v>
      </c>
      <c r="L117" s="28" t="n">
        <v>0.3</v>
      </c>
      <c r="M117" s="31" t="n">
        <v>15281.28</v>
      </c>
      <c r="N117" s="31" t="n">
        <v>15294.15</v>
      </c>
      <c r="O117" s="31" t="n">
        <v>15255.59</v>
      </c>
      <c r="P117" s="44" t="n">
        <f aca="false">ABS(M117-N117)</f>
        <v>12.869999999999</v>
      </c>
      <c r="Q117" s="44" t="n">
        <f aca="false">IF(O117="","",ABS(O117-M117))</f>
        <v>25.6900000000005</v>
      </c>
      <c r="R117" s="30" t="n">
        <f aca="false">P117*L117*Summary!$C$6</f>
        <v>77.2199999999939</v>
      </c>
      <c r="S117" s="31" t="n">
        <v>15255.52</v>
      </c>
      <c r="T117" s="28" t="s">
        <v>214</v>
      </c>
      <c r="U117" s="44" t="n">
        <f aca="false">IF(J117="BUY",S117-M117,M117-S117)</f>
        <v>25.7600000000002</v>
      </c>
      <c r="V117" s="45" t="n">
        <v>0</v>
      </c>
      <c r="W117" s="45" t="n">
        <v>0</v>
      </c>
      <c r="X117" s="45" t="n">
        <v>154.56</v>
      </c>
      <c r="Y117" s="32" t="n">
        <f aca="false">IFERROR(X117/R117,0)</f>
        <v>2.00155400155416</v>
      </c>
      <c r="Z117" s="28" t="str">
        <f aca="false">IF(X117&gt;0,"Win",IF(X117&lt;0,"Loss","Flat"))</f>
        <v>Win</v>
      </c>
      <c r="AA117" s="28" t="n">
        <f aca="false">ROUND((C117-B117)*1440,1)</f>
        <v>17.8</v>
      </c>
      <c r="AB117" s="28" t="str">
        <f aca="false">IF(AA117&lt;1,"a) &lt;1 min",IF(AA117&lt;10,"b) 1-10 min",IF(AA117&lt;60,"c) 10-60 min",IF(AA117&lt;240,"d) 1-4 h","e) 4 h+"))))</f>
        <v>c) 10-60 min</v>
      </c>
      <c r="AC117" s="28" t="str">
        <f aca="false">IF(P117&lt;10,"a) &lt;10",IF(P117&lt;20,"b) 10-20",IF(P117&lt;40,"c) 20-40",IF(P117&lt;80,"d) 40-80","e) 80+"))))</f>
        <v>b) 10-20</v>
      </c>
      <c r="AD117" s="30" t="n">
        <f aca="false">Summary!$C$5+SUM(X$2:X117)</f>
        <v>102464.96</v>
      </c>
      <c r="AE117" s="30" t="n">
        <f aca="false">MAX(AE116,AD117)</f>
        <v>102464.96</v>
      </c>
      <c r="AF117" s="30" t="n">
        <f aca="false">AE117-AD117</f>
        <v>0</v>
      </c>
      <c r="AG117" s="29" t="n">
        <f aca="false">IFERROR(AF117/AE117,0)</f>
        <v>0</v>
      </c>
    </row>
    <row r="118" customFormat="false" ht="15" hidden="false" customHeight="false" outlineLevel="0" collapsed="false">
      <c r="A118" s="28" t="n">
        <v>117</v>
      </c>
      <c r="B118" s="43" t="n">
        <v>45180.4340277778</v>
      </c>
      <c r="C118" s="43" t="n">
        <v>45180.4481481482</v>
      </c>
      <c r="D118" s="42" t="n">
        <f aca="false">INT(C118)</f>
        <v>45180</v>
      </c>
      <c r="E118" s="42" t="n">
        <f aca="false">D118-WEEKDAY(D118,3)</f>
        <v>45180</v>
      </c>
      <c r="F118" s="28" t="s">
        <v>148</v>
      </c>
      <c r="G118" s="28" t="n">
        <v>2023</v>
      </c>
      <c r="H118" s="28" t="s">
        <v>240</v>
      </c>
      <c r="I118" s="28" t="n">
        <v>10</v>
      </c>
      <c r="J118" s="28" t="s">
        <v>233</v>
      </c>
      <c r="K118" s="28" t="s">
        <v>234</v>
      </c>
      <c r="L118" s="28" t="n">
        <v>0.29</v>
      </c>
      <c r="M118" s="31" t="n">
        <v>15379.18</v>
      </c>
      <c r="N118" s="31" t="n">
        <v>15370.87</v>
      </c>
      <c r="O118" s="31" t="n">
        <v>15396.45</v>
      </c>
      <c r="P118" s="44" t="n">
        <f aca="false">ABS(M118-N118)</f>
        <v>8.30999999999949</v>
      </c>
      <c r="Q118" s="44" t="n">
        <f aca="false">IF(O118="","",ABS(O118-M118))</f>
        <v>17.2700000000004</v>
      </c>
      <c r="R118" s="30" t="n">
        <f aca="false">P118*L118*Summary!$C$6</f>
        <v>48.197999999997</v>
      </c>
      <c r="S118" s="31" t="n">
        <v>15379.05</v>
      </c>
      <c r="T118" s="28" t="s">
        <v>238</v>
      </c>
      <c r="U118" s="44" t="n">
        <f aca="false">IF(J118="BUY",S118-M118,M118-S118)</f>
        <v>-0.130000000001019</v>
      </c>
      <c r="V118" s="45" t="n">
        <v>0</v>
      </c>
      <c r="W118" s="45" t="n">
        <v>0</v>
      </c>
      <c r="X118" s="45" t="n">
        <v>-0.75</v>
      </c>
      <c r="Y118" s="32" t="n">
        <f aca="false">IFERROR(X118/R118,0)</f>
        <v>-0.0155608116519367</v>
      </c>
      <c r="Z118" s="28" t="str">
        <f aca="false">IF(X118&gt;0,"Win",IF(X118&lt;0,"Loss","Flat"))</f>
        <v>Loss</v>
      </c>
      <c r="AA118" s="28" t="n">
        <f aca="false">ROUND((C118-B118)*1440,1)</f>
        <v>20.3</v>
      </c>
      <c r="AB118" s="28" t="str">
        <f aca="false">IF(AA118&lt;1,"a) &lt;1 min",IF(AA118&lt;10,"b) 1-10 min",IF(AA118&lt;60,"c) 10-60 min",IF(AA118&lt;240,"d) 1-4 h","e) 4 h+"))))</f>
        <v>c) 10-60 min</v>
      </c>
      <c r="AC118" s="28" t="str">
        <f aca="false">IF(P118&lt;10,"a) &lt;10",IF(P118&lt;20,"b) 10-20",IF(P118&lt;40,"c) 20-40",IF(P118&lt;80,"d) 40-80","e) 80+"))))</f>
        <v>a) &lt;10</v>
      </c>
      <c r="AD118" s="30" t="n">
        <f aca="false">Summary!$C$5+SUM(X$2:X118)</f>
        <v>102464.21</v>
      </c>
      <c r="AE118" s="30" t="n">
        <f aca="false">MAX(AE117,AD118)</f>
        <v>102464.96</v>
      </c>
      <c r="AF118" s="30" t="n">
        <f aca="false">AE118-AD118</f>
        <v>0.75</v>
      </c>
      <c r="AG118" s="29" t="n">
        <f aca="false">IFERROR(AF118/AE118,0)</f>
        <v>7.3195753943592E-006</v>
      </c>
    </row>
    <row r="119" customFormat="false" ht="15" hidden="false" customHeight="false" outlineLevel="0" collapsed="false">
      <c r="A119" s="28" t="n">
        <v>118</v>
      </c>
      <c r="B119" s="43" t="n">
        <v>45181.9277777778</v>
      </c>
      <c r="C119" s="43" t="n">
        <v>45181.9412615741</v>
      </c>
      <c r="D119" s="42" t="n">
        <f aca="false">INT(C119)</f>
        <v>45181</v>
      </c>
      <c r="E119" s="42" t="n">
        <f aca="false">D119-WEEKDAY(D119,3)</f>
        <v>45180</v>
      </c>
      <c r="F119" s="28" t="s">
        <v>148</v>
      </c>
      <c r="G119" s="28" t="n">
        <v>2023</v>
      </c>
      <c r="H119" s="28" t="s">
        <v>232</v>
      </c>
      <c r="I119" s="28" t="n">
        <v>22</v>
      </c>
      <c r="J119" s="28" t="s">
        <v>236</v>
      </c>
      <c r="K119" s="28" t="s">
        <v>237</v>
      </c>
      <c r="L119" s="28" t="n">
        <v>0.3</v>
      </c>
      <c r="M119" s="31" t="n">
        <v>15279.07</v>
      </c>
      <c r="N119" s="31" t="n">
        <v>15293.15</v>
      </c>
      <c r="O119" s="31" t="n">
        <v>15251.03</v>
      </c>
      <c r="P119" s="44" t="n">
        <f aca="false">ABS(M119-N119)</f>
        <v>14.0799999999999</v>
      </c>
      <c r="Q119" s="44" t="n">
        <f aca="false">IF(O119="","",ABS(O119-M119))</f>
        <v>28.0399999999991</v>
      </c>
      <c r="R119" s="30" t="n">
        <f aca="false">P119*L119*Summary!$C$6</f>
        <v>84.4799999999996</v>
      </c>
      <c r="S119" s="31" t="n">
        <v>15293.41</v>
      </c>
      <c r="T119" s="28" t="s">
        <v>241</v>
      </c>
      <c r="U119" s="44" t="n">
        <f aca="false">IF(J119="BUY",S119-M119,M119-S119)</f>
        <v>-14.3400000000001</v>
      </c>
      <c r="V119" s="45" t="n">
        <v>0</v>
      </c>
      <c r="W119" s="45" t="n">
        <v>0</v>
      </c>
      <c r="X119" s="45" t="n">
        <v>-86.04</v>
      </c>
      <c r="Y119" s="32" t="n">
        <f aca="false">IFERROR(X119/R119,0)</f>
        <v>-1.01846590909091</v>
      </c>
      <c r="Z119" s="28" t="str">
        <f aca="false">IF(X119&gt;0,"Win",IF(X119&lt;0,"Loss","Flat"))</f>
        <v>Loss</v>
      </c>
      <c r="AA119" s="28" t="n">
        <f aca="false">ROUND((C119-B119)*1440,1)</f>
        <v>19.4</v>
      </c>
      <c r="AB119" s="28" t="str">
        <f aca="false">IF(AA119&lt;1,"a) &lt;1 min",IF(AA119&lt;10,"b) 1-10 min",IF(AA119&lt;60,"c) 10-60 min",IF(AA119&lt;240,"d) 1-4 h","e) 4 h+"))))</f>
        <v>c) 10-60 min</v>
      </c>
      <c r="AC119" s="28" t="str">
        <f aca="false">IF(P119&lt;10,"a) &lt;10",IF(P119&lt;20,"b) 10-20",IF(P119&lt;40,"c) 20-40",IF(P119&lt;80,"d) 40-80","e) 80+"))))</f>
        <v>b) 10-20</v>
      </c>
      <c r="AD119" s="30" t="n">
        <f aca="false">Summary!$C$5+SUM(X$2:X119)</f>
        <v>102378.17</v>
      </c>
      <c r="AE119" s="30" t="n">
        <f aca="false">MAX(AE118,AD119)</f>
        <v>102464.96</v>
      </c>
      <c r="AF119" s="30" t="n">
        <f aca="false">AE119-AD119</f>
        <v>86.7900000000082</v>
      </c>
      <c r="AG119" s="29" t="n">
        <f aca="false">IFERROR(AF119/AE119,0)</f>
        <v>0.000847021264635326</v>
      </c>
    </row>
    <row r="120" customFormat="false" ht="15" hidden="false" customHeight="false" outlineLevel="0" collapsed="false">
      <c r="A120" s="28" t="n">
        <v>119</v>
      </c>
      <c r="B120" s="43" t="n">
        <v>45182.2173611111</v>
      </c>
      <c r="C120" s="43" t="n">
        <v>45182.2219328704</v>
      </c>
      <c r="D120" s="42" t="n">
        <f aca="false">INT(C120)</f>
        <v>45182</v>
      </c>
      <c r="E120" s="42" t="n">
        <f aca="false">D120-WEEKDAY(D120,3)</f>
        <v>45180</v>
      </c>
      <c r="F120" s="28" t="s">
        <v>148</v>
      </c>
      <c r="G120" s="28" t="n">
        <v>2023</v>
      </c>
      <c r="H120" s="28" t="s">
        <v>235</v>
      </c>
      <c r="I120" s="28" t="n">
        <v>5</v>
      </c>
      <c r="J120" s="28" t="s">
        <v>236</v>
      </c>
      <c r="K120" s="28" t="s">
        <v>237</v>
      </c>
      <c r="L120" s="28" t="n">
        <v>0.3</v>
      </c>
      <c r="M120" s="31" t="n">
        <v>15273.35</v>
      </c>
      <c r="N120" s="31" t="n">
        <v>15279.42</v>
      </c>
      <c r="O120" s="31" t="n">
        <v>15261.37</v>
      </c>
      <c r="P120" s="44" t="n">
        <f aca="false">ABS(M120-N120)</f>
        <v>6.06999999999971</v>
      </c>
      <c r="Q120" s="44" t="n">
        <f aca="false">IF(O120="","",ABS(O120-M120))</f>
        <v>11.9799999999996</v>
      </c>
      <c r="R120" s="30" t="n">
        <f aca="false">P120*L120*Summary!$C$6</f>
        <v>36.4199999999983</v>
      </c>
      <c r="S120" s="31" t="n">
        <v>15279.81</v>
      </c>
      <c r="T120" s="28" t="s">
        <v>241</v>
      </c>
      <c r="U120" s="44" t="n">
        <f aca="false">IF(J120="BUY",S120-M120,M120-S120)</f>
        <v>-6.45999999999913</v>
      </c>
      <c r="V120" s="45" t="n">
        <v>0</v>
      </c>
      <c r="W120" s="45" t="n">
        <v>0</v>
      </c>
      <c r="X120" s="45" t="n">
        <v>-38.76</v>
      </c>
      <c r="Y120" s="32" t="n">
        <f aca="false">IFERROR(X120/R120,0)</f>
        <v>-1.06425041186167</v>
      </c>
      <c r="Z120" s="28" t="str">
        <f aca="false">IF(X120&gt;0,"Win",IF(X120&lt;0,"Loss","Flat"))</f>
        <v>Loss</v>
      </c>
      <c r="AA120" s="28" t="n">
        <f aca="false">ROUND((C120-B120)*1440,1)</f>
        <v>6.6</v>
      </c>
      <c r="AB120" s="28" t="str">
        <f aca="false">IF(AA120&lt;1,"a) &lt;1 min",IF(AA120&lt;10,"b) 1-10 min",IF(AA120&lt;60,"c) 10-60 min",IF(AA120&lt;240,"d) 1-4 h","e) 4 h+"))))</f>
        <v>b) 1-10 min</v>
      </c>
      <c r="AC120" s="28" t="str">
        <f aca="false">IF(P120&lt;10,"a) &lt;10",IF(P120&lt;20,"b) 10-20",IF(P120&lt;40,"c) 20-40",IF(P120&lt;80,"d) 40-80","e) 80+"))))</f>
        <v>a) &lt;10</v>
      </c>
      <c r="AD120" s="30" t="n">
        <f aca="false">Summary!$C$5+SUM(X$2:X120)</f>
        <v>102339.41</v>
      </c>
      <c r="AE120" s="30" t="n">
        <f aca="false">MAX(AE119,AD120)</f>
        <v>102464.96</v>
      </c>
      <c r="AF120" s="30" t="n">
        <f aca="false">AE120-AD120</f>
        <v>125.550000000003</v>
      </c>
      <c r="AG120" s="29" t="n">
        <f aca="false">IFERROR(AF120/AE120,0)</f>
        <v>0.00122529692101576</v>
      </c>
    </row>
    <row r="121" customFormat="false" ht="15" hidden="false" customHeight="false" outlineLevel="0" collapsed="false">
      <c r="A121" s="28" t="n">
        <v>120</v>
      </c>
      <c r="B121" s="43" t="n">
        <v>45183.2875</v>
      </c>
      <c r="C121" s="43" t="n">
        <v>45183.3182060185</v>
      </c>
      <c r="D121" s="42" t="n">
        <f aca="false">INT(C121)</f>
        <v>45183</v>
      </c>
      <c r="E121" s="42" t="n">
        <f aca="false">D121-WEEKDAY(D121,3)</f>
        <v>45180</v>
      </c>
      <c r="F121" s="28" t="s">
        <v>148</v>
      </c>
      <c r="G121" s="28" t="n">
        <v>2023</v>
      </c>
      <c r="H121" s="28" t="s">
        <v>239</v>
      </c>
      <c r="I121" s="28" t="n">
        <v>6</v>
      </c>
      <c r="J121" s="28" t="s">
        <v>233</v>
      </c>
      <c r="K121" s="28" t="s">
        <v>234</v>
      </c>
      <c r="L121" s="28" t="n">
        <v>0.29</v>
      </c>
      <c r="M121" s="31" t="n">
        <v>15417.3</v>
      </c>
      <c r="N121" s="31" t="n">
        <v>15413.25</v>
      </c>
      <c r="O121" s="31" t="n">
        <v>15425.41</v>
      </c>
      <c r="P121" s="44" t="n">
        <f aca="false">ABS(M121-N121)</f>
        <v>4.04999999999927</v>
      </c>
      <c r="Q121" s="44" t="n">
        <f aca="false">IF(O121="","",ABS(O121-M121))</f>
        <v>8.11000000000058</v>
      </c>
      <c r="R121" s="30" t="n">
        <f aca="false">P121*L121*Summary!$C$6</f>
        <v>23.4899999999958</v>
      </c>
      <c r="S121" s="31" t="n">
        <v>15412.26</v>
      </c>
      <c r="T121" s="28" t="s">
        <v>241</v>
      </c>
      <c r="U121" s="44" t="n">
        <f aca="false">IF(J121="BUY",S121-M121,M121-S121)</f>
        <v>-5.03999999999905</v>
      </c>
      <c r="V121" s="45" t="n">
        <v>0</v>
      </c>
      <c r="W121" s="45" t="n">
        <v>0</v>
      </c>
      <c r="X121" s="45" t="n">
        <v>-29.23</v>
      </c>
      <c r="Y121" s="32" t="n">
        <f aca="false">IFERROR(X121/R121,0)</f>
        <v>-1.24435930183079</v>
      </c>
      <c r="Z121" s="28" t="str">
        <f aca="false">IF(X121&gt;0,"Win",IF(X121&lt;0,"Loss","Flat"))</f>
        <v>Loss</v>
      </c>
      <c r="AA121" s="28" t="n">
        <f aca="false">ROUND((C121-B121)*1440,1)</f>
        <v>44.2</v>
      </c>
      <c r="AB121" s="28" t="str">
        <f aca="false">IF(AA121&lt;1,"a) &lt;1 min",IF(AA121&lt;10,"b) 1-10 min",IF(AA121&lt;60,"c) 10-60 min",IF(AA121&lt;240,"d) 1-4 h","e) 4 h+"))))</f>
        <v>c) 10-60 min</v>
      </c>
      <c r="AC121" s="28" t="str">
        <f aca="false">IF(P121&lt;10,"a) &lt;10",IF(P121&lt;20,"b) 10-20",IF(P121&lt;40,"c) 20-40",IF(P121&lt;80,"d) 40-80","e) 80+"))))</f>
        <v>a) &lt;10</v>
      </c>
      <c r="AD121" s="30" t="n">
        <f aca="false">Summary!$C$5+SUM(X$2:X121)</f>
        <v>102310.18</v>
      </c>
      <c r="AE121" s="30" t="n">
        <f aca="false">MAX(AE120,AD121)</f>
        <v>102464.96</v>
      </c>
      <c r="AF121" s="30" t="n">
        <f aca="false">AE121-AD121</f>
        <v>154.780000000013</v>
      </c>
      <c r="AG121" s="29" t="n">
        <f aca="false">IFERROR(AF121/AE121,0)</f>
        <v>0.00151056517271869</v>
      </c>
    </row>
    <row r="122" customFormat="false" ht="15" hidden="false" customHeight="false" outlineLevel="0" collapsed="false">
      <c r="A122" s="28" t="n">
        <v>121</v>
      </c>
      <c r="B122" s="43" t="n">
        <v>45184.2659722222</v>
      </c>
      <c r="C122" s="43" t="n">
        <v>45184.271400463</v>
      </c>
      <c r="D122" s="42" t="n">
        <f aca="false">INT(C122)</f>
        <v>45184</v>
      </c>
      <c r="E122" s="42" t="n">
        <f aca="false">D122-WEEKDAY(D122,3)</f>
        <v>45180</v>
      </c>
      <c r="F122" s="28" t="s">
        <v>148</v>
      </c>
      <c r="G122" s="28" t="n">
        <v>2023</v>
      </c>
      <c r="H122" s="28" t="s">
        <v>242</v>
      </c>
      <c r="I122" s="28" t="n">
        <v>6</v>
      </c>
      <c r="J122" s="28" t="s">
        <v>233</v>
      </c>
      <c r="K122" s="28" t="s">
        <v>234</v>
      </c>
      <c r="L122" s="28" t="n">
        <v>0.29</v>
      </c>
      <c r="M122" s="31" t="n">
        <v>15516.99</v>
      </c>
      <c r="N122" s="31" t="n">
        <v>15511.32</v>
      </c>
      <c r="O122" s="31" t="n">
        <v>15527.53</v>
      </c>
      <c r="P122" s="44" t="n">
        <f aca="false">ABS(M122-N122)</f>
        <v>5.67000000000007</v>
      </c>
      <c r="Q122" s="44" t="n">
        <f aca="false">IF(O122="","",ABS(O122-M122))</f>
        <v>10.5400000000009</v>
      </c>
      <c r="R122" s="30" t="n">
        <f aca="false">P122*L122*Summary!$C$6</f>
        <v>32.8860000000004</v>
      </c>
      <c r="S122" s="31" t="n">
        <v>15511.23</v>
      </c>
      <c r="T122" s="28" t="s">
        <v>241</v>
      </c>
      <c r="U122" s="44" t="n">
        <f aca="false">IF(J122="BUY",S122-M122,M122-S122)</f>
        <v>-5.76000000000022</v>
      </c>
      <c r="V122" s="45" t="n">
        <v>0</v>
      </c>
      <c r="W122" s="45" t="n">
        <v>0</v>
      </c>
      <c r="X122" s="45" t="n">
        <v>-33.41</v>
      </c>
      <c r="Y122" s="32" t="n">
        <f aca="false">IFERROR(X122/R122,0)</f>
        <v>-1.01593383202577</v>
      </c>
      <c r="Z122" s="28" t="str">
        <f aca="false">IF(X122&gt;0,"Win",IF(X122&lt;0,"Loss","Flat"))</f>
        <v>Loss</v>
      </c>
      <c r="AA122" s="28" t="n">
        <f aca="false">ROUND((C122-B122)*1440,1)</f>
        <v>7.8</v>
      </c>
      <c r="AB122" s="28" t="str">
        <f aca="false">IF(AA122&lt;1,"a) &lt;1 min",IF(AA122&lt;10,"b) 1-10 min",IF(AA122&lt;60,"c) 10-60 min",IF(AA122&lt;240,"d) 1-4 h","e) 4 h+"))))</f>
        <v>b) 1-10 min</v>
      </c>
      <c r="AC122" s="28" t="str">
        <f aca="false">IF(P122&lt;10,"a) &lt;10",IF(P122&lt;20,"b) 10-20",IF(P122&lt;40,"c) 20-40",IF(P122&lt;80,"d) 40-80","e) 80+"))))</f>
        <v>a) &lt;10</v>
      </c>
      <c r="AD122" s="30" t="n">
        <f aca="false">Summary!$C$5+SUM(X$2:X122)</f>
        <v>102276.77</v>
      </c>
      <c r="AE122" s="30" t="n">
        <f aca="false">MAX(AE121,AD122)</f>
        <v>102464.96</v>
      </c>
      <c r="AF122" s="30" t="n">
        <f aca="false">AE122-AD122</f>
        <v>188.190000000002</v>
      </c>
      <c r="AG122" s="29" t="n">
        <f aca="false">IFERROR(AF122/AE122,0)</f>
        <v>0.00183662785795263</v>
      </c>
    </row>
    <row r="123" customFormat="false" ht="15" hidden="false" customHeight="false" outlineLevel="0" collapsed="false">
      <c r="A123" s="28" t="n">
        <v>122</v>
      </c>
      <c r="B123" s="43" t="n">
        <v>45184.6993055556</v>
      </c>
      <c r="C123" s="43" t="n">
        <v>45184.7441666667</v>
      </c>
      <c r="D123" s="42" t="n">
        <f aca="false">INT(C123)</f>
        <v>45184</v>
      </c>
      <c r="E123" s="42" t="n">
        <f aca="false">D123-WEEKDAY(D123,3)</f>
        <v>45180</v>
      </c>
      <c r="F123" s="28" t="s">
        <v>148</v>
      </c>
      <c r="G123" s="28" t="n">
        <v>2023</v>
      </c>
      <c r="H123" s="28" t="s">
        <v>242</v>
      </c>
      <c r="I123" s="28" t="n">
        <v>16</v>
      </c>
      <c r="J123" s="28" t="s">
        <v>236</v>
      </c>
      <c r="K123" s="28" t="s">
        <v>237</v>
      </c>
      <c r="L123" s="28" t="n">
        <v>0.3</v>
      </c>
      <c r="M123" s="31" t="n">
        <v>15323.57</v>
      </c>
      <c r="N123" s="31" t="n">
        <v>15352.91</v>
      </c>
      <c r="O123" s="31" t="n">
        <v>15264.74</v>
      </c>
      <c r="P123" s="44" t="n">
        <f aca="false">ABS(M123-N123)</f>
        <v>29.3400000000001</v>
      </c>
      <c r="Q123" s="44" t="n">
        <f aca="false">IF(O123="","",ABS(O123-M123))</f>
        <v>58.8299999999999</v>
      </c>
      <c r="R123" s="30" t="n">
        <f aca="false">P123*L123*Summary!$C$6</f>
        <v>176.040000000001</v>
      </c>
      <c r="S123" s="31" t="n">
        <v>15264.53</v>
      </c>
      <c r="T123" s="28" t="s">
        <v>214</v>
      </c>
      <c r="U123" s="44" t="n">
        <f aca="false">IF(J123="BUY",S123-M123,M123-S123)</f>
        <v>59.0399999999991</v>
      </c>
      <c r="V123" s="45" t="n">
        <v>0</v>
      </c>
      <c r="W123" s="45" t="n">
        <v>0</v>
      </c>
      <c r="X123" s="45" t="n">
        <v>354.24</v>
      </c>
      <c r="Y123" s="32" t="n">
        <f aca="false">IFERROR(X123/R123,0)</f>
        <v>2.0122699386503</v>
      </c>
      <c r="Z123" s="28" t="str">
        <f aca="false">IF(X123&gt;0,"Win",IF(X123&lt;0,"Loss","Flat"))</f>
        <v>Win</v>
      </c>
      <c r="AA123" s="28" t="n">
        <f aca="false">ROUND((C123-B123)*1440,1)</f>
        <v>64.6</v>
      </c>
      <c r="AB123" s="28" t="str">
        <f aca="false">IF(AA123&lt;1,"a) &lt;1 min",IF(AA123&lt;10,"b) 1-10 min",IF(AA123&lt;60,"c) 10-60 min",IF(AA123&lt;240,"d) 1-4 h","e) 4 h+"))))</f>
        <v>d) 1-4 h</v>
      </c>
      <c r="AC123" s="28" t="str">
        <f aca="false">IF(P123&lt;10,"a) &lt;10",IF(P123&lt;20,"b) 10-20",IF(P123&lt;40,"c) 20-40",IF(P123&lt;80,"d) 40-80","e) 80+"))))</f>
        <v>c) 20-40</v>
      </c>
      <c r="AD123" s="30" t="n">
        <f aca="false">Summary!$C$5+SUM(X$2:X123)</f>
        <v>102631.01</v>
      </c>
      <c r="AE123" s="30" t="n">
        <f aca="false">MAX(AE122,AD123)</f>
        <v>102631.01</v>
      </c>
      <c r="AF123" s="30" t="n">
        <f aca="false">AE123-AD123</f>
        <v>0</v>
      </c>
      <c r="AG123" s="29" t="n">
        <f aca="false">IFERROR(AF123/AE123,0)</f>
        <v>0</v>
      </c>
    </row>
    <row r="124" customFormat="false" ht="15" hidden="false" customHeight="false" outlineLevel="0" collapsed="false">
      <c r="A124" s="28" t="n">
        <v>123</v>
      </c>
      <c r="B124" s="43" t="n">
        <v>45187.6104166667</v>
      </c>
      <c r="C124" s="43" t="n">
        <v>45187.6183680556</v>
      </c>
      <c r="D124" s="42" t="n">
        <f aca="false">INT(C124)</f>
        <v>45187</v>
      </c>
      <c r="E124" s="42" t="n">
        <f aca="false">D124-WEEKDAY(D124,3)</f>
        <v>45187</v>
      </c>
      <c r="F124" s="28" t="s">
        <v>148</v>
      </c>
      <c r="G124" s="28" t="n">
        <v>2023</v>
      </c>
      <c r="H124" s="28" t="s">
        <v>240</v>
      </c>
      <c r="I124" s="28" t="n">
        <v>14</v>
      </c>
      <c r="J124" s="28" t="s">
        <v>236</v>
      </c>
      <c r="K124" s="28" t="s">
        <v>237</v>
      </c>
      <c r="L124" s="28" t="n">
        <v>0.3</v>
      </c>
      <c r="M124" s="31" t="n">
        <v>15165.29</v>
      </c>
      <c r="N124" s="31" t="n">
        <v>15175.65</v>
      </c>
      <c r="O124" s="31" t="n">
        <v>15144.56</v>
      </c>
      <c r="P124" s="44" t="n">
        <f aca="false">ABS(M124-N124)</f>
        <v>10.3599999999988</v>
      </c>
      <c r="Q124" s="44" t="n">
        <f aca="false">IF(O124="","",ABS(O124-M124))</f>
        <v>20.7300000000014</v>
      </c>
      <c r="R124" s="30" t="n">
        <f aca="false">P124*L124*Summary!$C$6</f>
        <v>62.1599999999926</v>
      </c>
      <c r="S124" s="31" t="n">
        <v>15143.4</v>
      </c>
      <c r="T124" s="28" t="s">
        <v>214</v>
      </c>
      <c r="U124" s="44" t="n">
        <f aca="false">IF(J124="BUY",S124-M124,M124-S124)</f>
        <v>21.8900000000012</v>
      </c>
      <c r="V124" s="45" t="n">
        <v>0</v>
      </c>
      <c r="W124" s="45" t="n">
        <v>0</v>
      </c>
      <c r="X124" s="45" t="n">
        <v>131.34</v>
      </c>
      <c r="Y124" s="32" t="n">
        <f aca="false">IFERROR(X124/R124,0)</f>
        <v>2.11293436293462</v>
      </c>
      <c r="Z124" s="28" t="str">
        <f aca="false">IF(X124&gt;0,"Win",IF(X124&lt;0,"Loss","Flat"))</f>
        <v>Win</v>
      </c>
      <c r="AA124" s="28" t="n">
        <f aca="false">ROUND((C124-B124)*1440,1)</f>
        <v>11.5</v>
      </c>
      <c r="AB124" s="28" t="str">
        <f aca="false">IF(AA124&lt;1,"a) &lt;1 min",IF(AA124&lt;10,"b) 1-10 min",IF(AA124&lt;60,"c) 10-60 min",IF(AA124&lt;240,"d) 1-4 h","e) 4 h+"))))</f>
        <v>c) 10-60 min</v>
      </c>
      <c r="AC124" s="28" t="str">
        <f aca="false">IF(P124&lt;10,"a) &lt;10",IF(P124&lt;20,"b) 10-20",IF(P124&lt;40,"c) 20-40",IF(P124&lt;80,"d) 40-80","e) 80+"))))</f>
        <v>b) 10-20</v>
      </c>
      <c r="AD124" s="30" t="n">
        <f aca="false">Summary!$C$5+SUM(X$2:X124)</f>
        <v>102762.35</v>
      </c>
      <c r="AE124" s="30" t="n">
        <f aca="false">MAX(AE123,AD124)</f>
        <v>102762.35</v>
      </c>
      <c r="AF124" s="30" t="n">
        <f aca="false">AE124-AD124</f>
        <v>0</v>
      </c>
      <c r="AG124" s="29" t="n">
        <f aca="false">IFERROR(AF124/AE124,0)</f>
        <v>0</v>
      </c>
    </row>
    <row r="125" customFormat="false" ht="15" hidden="false" customHeight="false" outlineLevel="0" collapsed="false">
      <c r="A125" s="28" t="n">
        <v>124</v>
      </c>
      <c r="B125" s="43" t="n">
        <v>45188.7020833333</v>
      </c>
      <c r="C125" s="43" t="n">
        <v>45188.8358564815</v>
      </c>
      <c r="D125" s="42" t="n">
        <f aca="false">INT(C125)</f>
        <v>45188</v>
      </c>
      <c r="E125" s="42" t="n">
        <f aca="false">D125-WEEKDAY(D125,3)</f>
        <v>45187</v>
      </c>
      <c r="F125" s="28" t="s">
        <v>148</v>
      </c>
      <c r="G125" s="28" t="n">
        <v>2023</v>
      </c>
      <c r="H125" s="28" t="s">
        <v>232</v>
      </c>
      <c r="I125" s="28" t="n">
        <v>16</v>
      </c>
      <c r="J125" s="28" t="s">
        <v>236</v>
      </c>
      <c r="K125" s="28" t="s">
        <v>237</v>
      </c>
      <c r="L125" s="28" t="n">
        <v>0.3</v>
      </c>
      <c r="M125" s="31" t="n">
        <v>15131.25</v>
      </c>
      <c r="N125" s="31" t="n">
        <v>15164.86</v>
      </c>
      <c r="O125" s="31" t="n">
        <v>15063.38</v>
      </c>
      <c r="P125" s="44" t="n">
        <f aca="false">ABS(M125-N125)</f>
        <v>33.6100000000006</v>
      </c>
      <c r="Q125" s="44" t="n">
        <f aca="false">IF(O125="","",ABS(O125-M125))</f>
        <v>67.8700000000008</v>
      </c>
      <c r="R125" s="30" t="n">
        <f aca="false">P125*L125*Summary!$C$6</f>
        <v>201.660000000004</v>
      </c>
      <c r="S125" s="31" t="n">
        <v>15132</v>
      </c>
      <c r="T125" s="28" t="s">
        <v>238</v>
      </c>
      <c r="U125" s="44" t="n">
        <f aca="false">IF(J125="BUY",S125-M125,M125-S125)</f>
        <v>-0.75</v>
      </c>
      <c r="V125" s="45" t="n">
        <v>0</v>
      </c>
      <c r="W125" s="45" t="n">
        <v>0</v>
      </c>
      <c r="X125" s="45" t="n">
        <v>-4.5</v>
      </c>
      <c r="Y125" s="32" t="n">
        <f aca="false">IFERROR(X125/R125,0)</f>
        <v>-0.0223147872656943</v>
      </c>
      <c r="Z125" s="28" t="str">
        <f aca="false">IF(X125&gt;0,"Win",IF(X125&lt;0,"Loss","Flat"))</f>
        <v>Loss</v>
      </c>
      <c r="AA125" s="28" t="n">
        <f aca="false">ROUND((C125-B125)*1440,1)</f>
        <v>192.6</v>
      </c>
      <c r="AB125" s="28" t="str">
        <f aca="false">IF(AA125&lt;1,"a) &lt;1 min",IF(AA125&lt;10,"b) 1-10 min",IF(AA125&lt;60,"c) 10-60 min",IF(AA125&lt;240,"d) 1-4 h","e) 4 h+"))))</f>
        <v>d) 1-4 h</v>
      </c>
      <c r="AC125" s="28" t="str">
        <f aca="false">IF(P125&lt;10,"a) &lt;10",IF(P125&lt;20,"b) 10-20",IF(P125&lt;40,"c) 20-40",IF(P125&lt;80,"d) 40-80","e) 80+"))))</f>
        <v>c) 20-40</v>
      </c>
      <c r="AD125" s="30" t="n">
        <f aca="false">Summary!$C$5+SUM(X$2:X125)</f>
        <v>102757.85</v>
      </c>
      <c r="AE125" s="30" t="n">
        <f aca="false">MAX(AE124,AD125)</f>
        <v>102762.35</v>
      </c>
      <c r="AF125" s="30" t="n">
        <f aca="false">AE125-AD125</f>
        <v>4.5</v>
      </c>
      <c r="AG125" s="29" t="n">
        <f aca="false">IFERROR(AF125/AE125,0)</f>
        <v>4.37903570714372E-005</v>
      </c>
    </row>
    <row r="126" customFormat="false" ht="15" hidden="false" customHeight="false" outlineLevel="0" collapsed="false">
      <c r="A126" s="28" t="n">
        <v>125</v>
      </c>
      <c r="B126" s="43" t="n">
        <v>45189.9291666667</v>
      </c>
      <c r="C126" s="43" t="n">
        <v>45189.943287037</v>
      </c>
      <c r="D126" s="42" t="n">
        <f aca="false">INT(C126)</f>
        <v>45189</v>
      </c>
      <c r="E126" s="42" t="n">
        <f aca="false">D126-WEEKDAY(D126,3)</f>
        <v>45187</v>
      </c>
      <c r="F126" s="28" t="s">
        <v>148</v>
      </c>
      <c r="G126" s="28" t="n">
        <v>2023</v>
      </c>
      <c r="H126" s="28" t="s">
        <v>235</v>
      </c>
      <c r="I126" s="28" t="n">
        <v>22</v>
      </c>
      <c r="J126" s="28" t="s">
        <v>236</v>
      </c>
      <c r="K126" s="28" t="s">
        <v>237</v>
      </c>
      <c r="L126" s="28" t="n">
        <v>0.3</v>
      </c>
      <c r="M126" s="31" t="n">
        <v>15053.61</v>
      </c>
      <c r="N126" s="31" t="n">
        <v>15081.01</v>
      </c>
      <c r="O126" s="31" t="n">
        <v>14999.21</v>
      </c>
      <c r="P126" s="44" t="n">
        <f aca="false">ABS(M126-N126)</f>
        <v>27.3999999999996</v>
      </c>
      <c r="Q126" s="44" t="n">
        <f aca="false">IF(O126="","",ABS(O126-M126))</f>
        <v>54.4000000000015</v>
      </c>
      <c r="R126" s="30" t="n">
        <f aca="false">P126*L126*Summary!$C$6</f>
        <v>164.399999999998</v>
      </c>
      <c r="S126" s="31" t="n">
        <v>14999.12</v>
      </c>
      <c r="T126" s="28" t="s">
        <v>214</v>
      </c>
      <c r="U126" s="44" t="n">
        <f aca="false">IF(J126="BUY",S126-M126,M126-S126)</f>
        <v>54.4899999999998</v>
      </c>
      <c r="V126" s="45" t="n">
        <v>0</v>
      </c>
      <c r="W126" s="45" t="n">
        <v>0</v>
      </c>
      <c r="X126" s="45" t="n">
        <v>326.94</v>
      </c>
      <c r="Y126" s="32" t="n">
        <f aca="false">IFERROR(X126/R126,0)</f>
        <v>1.98868613138689</v>
      </c>
      <c r="Z126" s="28" t="str">
        <f aca="false">IF(X126&gt;0,"Win",IF(X126&lt;0,"Loss","Flat"))</f>
        <v>Win</v>
      </c>
      <c r="AA126" s="28" t="n">
        <f aca="false">ROUND((C126-B126)*1440,1)</f>
        <v>20.3</v>
      </c>
      <c r="AB126" s="28" t="str">
        <f aca="false">IF(AA126&lt;1,"a) &lt;1 min",IF(AA126&lt;10,"b) 1-10 min",IF(AA126&lt;60,"c) 10-60 min",IF(AA126&lt;240,"d) 1-4 h","e) 4 h+"))))</f>
        <v>c) 10-60 min</v>
      </c>
      <c r="AC126" s="28" t="str">
        <f aca="false">IF(P126&lt;10,"a) &lt;10",IF(P126&lt;20,"b) 10-20",IF(P126&lt;40,"c) 20-40",IF(P126&lt;80,"d) 40-80","e) 80+"))))</f>
        <v>c) 20-40</v>
      </c>
      <c r="AD126" s="30" t="n">
        <f aca="false">Summary!$C$5+SUM(X$2:X126)</f>
        <v>103084.79</v>
      </c>
      <c r="AE126" s="30" t="n">
        <f aca="false">MAX(AE125,AD126)</f>
        <v>103084.79</v>
      </c>
      <c r="AF126" s="30" t="n">
        <f aca="false">AE126-AD126</f>
        <v>0</v>
      </c>
      <c r="AG126" s="29" t="n">
        <f aca="false">IFERROR(AF126/AE126,0)</f>
        <v>0</v>
      </c>
    </row>
    <row r="127" customFormat="false" ht="15" hidden="false" customHeight="false" outlineLevel="0" collapsed="false">
      <c r="A127" s="28" t="n">
        <v>126</v>
      </c>
      <c r="B127" s="43" t="n">
        <v>45190.063900463</v>
      </c>
      <c r="C127" s="43" t="n">
        <v>45190.1031018519</v>
      </c>
      <c r="D127" s="42" t="n">
        <f aca="false">INT(C127)</f>
        <v>45190</v>
      </c>
      <c r="E127" s="42" t="n">
        <f aca="false">D127-WEEKDAY(D127,3)</f>
        <v>45187</v>
      </c>
      <c r="F127" s="28" t="s">
        <v>148</v>
      </c>
      <c r="G127" s="28" t="n">
        <v>2023</v>
      </c>
      <c r="H127" s="28" t="s">
        <v>239</v>
      </c>
      <c r="I127" s="28" t="n">
        <v>1</v>
      </c>
      <c r="J127" s="28" t="s">
        <v>236</v>
      </c>
      <c r="K127" s="28" t="s">
        <v>237</v>
      </c>
      <c r="L127" s="28" t="n">
        <v>0.31</v>
      </c>
      <c r="M127" s="31" t="n">
        <v>14943.73</v>
      </c>
      <c r="N127" s="31" t="n">
        <v>14951.41</v>
      </c>
      <c r="O127" s="31" t="n">
        <v>14928.67</v>
      </c>
      <c r="P127" s="44" t="n">
        <f aca="false">ABS(M127-N127)</f>
        <v>7.68000000000029</v>
      </c>
      <c r="Q127" s="44" t="n">
        <f aca="false">IF(O127="","",ABS(O127-M127))</f>
        <v>15.0599999999995</v>
      </c>
      <c r="R127" s="30" t="n">
        <f aca="false">P127*L127*Summary!$C$6</f>
        <v>47.6160000000018</v>
      </c>
      <c r="S127" s="31" t="n">
        <v>14951.84</v>
      </c>
      <c r="T127" s="28" t="s">
        <v>241</v>
      </c>
      <c r="U127" s="44" t="n">
        <f aca="false">IF(J127="BUY",S127-M127,M127-S127)</f>
        <v>-8.11000000000058</v>
      </c>
      <c r="V127" s="45" t="n">
        <v>0</v>
      </c>
      <c r="W127" s="45" t="n">
        <v>0</v>
      </c>
      <c r="X127" s="45" t="n">
        <v>-50.28</v>
      </c>
      <c r="Y127" s="32" t="n">
        <f aca="false">IFERROR(X127/R127,0)</f>
        <v>-1.05594758064512</v>
      </c>
      <c r="Z127" s="28" t="str">
        <f aca="false">IF(X127&gt;0,"Win",IF(X127&lt;0,"Loss","Flat"))</f>
        <v>Loss</v>
      </c>
      <c r="AA127" s="28" t="n">
        <f aca="false">ROUND((C127-B127)*1440,1)</f>
        <v>56.5</v>
      </c>
      <c r="AB127" s="28" t="str">
        <f aca="false">IF(AA127&lt;1,"a) &lt;1 min",IF(AA127&lt;10,"b) 1-10 min",IF(AA127&lt;60,"c) 10-60 min",IF(AA127&lt;240,"d) 1-4 h","e) 4 h+"))))</f>
        <v>c) 10-60 min</v>
      </c>
      <c r="AC127" s="28" t="str">
        <f aca="false">IF(P127&lt;10,"a) &lt;10",IF(P127&lt;20,"b) 10-20",IF(P127&lt;40,"c) 20-40",IF(P127&lt;80,"d) 40-80","e) 80+"))))</f>
        <v>a) &lt;10</v>
      </c>
      <c r="AD127" s="30" t="n">
        <f aca="false">Summary!$C$5+SUM(X$2:X127)</f>
        <v>103034.51</v>
      </c>
      <c r="AE127" s="30" t="n">
        <f aca="false">MAX(AE126,AD127)</f>
        <v>103084.79</v>
      </c>
      <c r="AF127" s="30" t="n">
        <f aca="false">AE127-AD127</f>
        <v>50.2799999999988</v>
      </c>
      <c r="AG127" s="29" t="n">
        <f aca="false">IFERROR(AF127/AE127,0)</f>
        <v>0.00048775381896785</v>
      </c>
    </row>
    <row r="128" customFormat="false" ht="15" hidden="false" customHeight="false" outlineLevel="0" collapsed="false">
      <c r="A128" s="28" t="n">
        <v>127</v>
      </c>
      <c r="B128" s="43" t="n">
        <v>45191.1194560185</v>
      </c>
      <c r="C128" s="43" t="n">
        <v>45191.1250347222</v>
      </c>
      <c r="D128" s="42" t="n">
        <f aca="false">INT(C128)</f>
        <v>45191</v>
      </c>
      <c r="E128" s="42" t="n">
        <f aca="false">D128-WEEKDAY(D128,3)</f>
        <v>45187</v>
      </c>
      <c r="F128" s="28" t="s">
        <v>148</v>
      </c>
      <c r="G128" s="28" t="n">
        <v>2023</v>
      </c>
      <c r="H128" s="28" t="s">
        <v>242</v>
      </c>
      <c r="I128" s="28" t="n">
        <v>2</v>
      </c>
      <c r="J128" s="28" t="s">
        <v>236</v>
      </c>
      <c r="K128" s="28" t="s">
        <v>237</v>
      </c>
      <c r="L128" s="28" t="n">
        <v>0.31</v>
      </c>
      <c r="M128" s="31" t="n">
        <v>14679.82</v>
      </c>
      <c r="N128" s="31" t="n">
        <v>14685.1</v>
      </c>
      <c r="O128" s="31" t="n">
        <v>14670.1</v>
      </c>
      <c r="P128" s="44" t="n">
        <f aca="false">ABS(M128-N128)</f>
        <v>5.28000000000066</v>
      </c>
      <c r="Q128" s="44" t="n">
        <f aca="false">IF(O128="","",ABS(O128-M128))</f>
        <v>9.71999999999935</v>
      </c>
      <c r="R128" s="30" t="n">
        <f aca="false">P128*L128*Summary!$C$6</f>
        <v>32.7360000000041</v>
      </c>
      <c r="S128" s="31" t="n">
        <v>14685.3</v>
      </c>
      <c r="T128" s="28" t="s">
        <v>241</v>
      </c>
      <c r="U128" s="44" t="n">
        <f aca="false">IF(J128="BUY",S128-M128,M128-S128)</f>
        <v>-5.47999999999956</v>
      </c>
      <c r="V128" s="45" t="n">
        <v>0</v>
      </c>
      <c r="W128" s="45" t="n">
        <v>0</v>
      </c>
      <c r="X128" s="45" t="n">
        <v>-33.98</v>
      </c>
      <c r="Y128" s="32" t="n">
        <f aca="false">IFERROR(X128/R128,0)</f>
        <v>-1.03800097751698</v>
      </c>
      <c r="Z128" s="28" t="str">
        <f aca="false">IF(X128&gt;0,"Win",IF(X128&lt;0,"Loss","Flat"))</f>
        <v>Loss</v>
      </c>
      <c r="AA128" s="28" t="n">
        <f aca="false">ROUND((C128-B128)*1440,1)</f>
        <v>8</v>
      </c>
      <c r="AB128" s="28" t="str">
        <f aca="false">IF(AA128&lt;1,"a) &lt;1 min",IF(AA128&lt;10,"b) 1-10 min",IF(AA128&lt;60,"c) 10-60 min",IF(AA128&lt;240,"d) 1-4 h","e) 4 h+"))))</f>
        <v>b) 1-10 min</v>
      </c>
      <c r="AC128" s="28" t="str">
        <f aca="false">IF(P128&lt;10,"a) &lt;10",IF(P128&lt;20,"b) 10-20",IF(P128&lt;40,"c) 20-40",IF(P128&lt;80,"d) 40-80","e) 80+"))))</f>
        <v>a) &lt;10</v>
      </c>
      <c r="AD128" s="30" t="n">
        <f aca="false">Summary!$C$5+SUM(X$2:X128)</f>
        <v>103000.53</v>
      </c>
      <c r="AE128" s="30" t="n">
        <f aca="false">MAX(AE127,AD128)</f>
        <v>103084.79</v>
      </c>
      <c r="AF128" s="30" t="n">
        <f aca="false">AE128-AD128</f>
        <v>84.2599999999948</v>
      </c>
      <c r="AG128" s="29" t="n">
        <f aca="false">IFERROR(AF128/AE128,0)</f>
        <v>0.000817385377609973</v>
      </c>
    </row>
    <row r="129" customFormat="false" ht="15" hidden="false" customHeight="false" outlineLevel="0" collapsed="false">
      <c r="A129" s="28" t="n">
        <v>128</v>
      </c>
      <c r="B129" s="43" t="n">
        <v>45194.4847222222</v>
      </c>
      <c r="C129" s="43" t="n">
        <v>45194.4966435185</v>
      </c>
      <c r="D129" s="42" t="n">
        <f aca="false">INT(C129)</f>
        <v>45194</v>
      </c>
      <c r="E129" s="42" t="n">
        <f aca="false">D129-WEEKDAY(D129,3)</f>
        <v>45194</v>
      </c>
      <c r="F129" s="28" t="s">
        <v>148</v>
      </c>
      <c r="G129" s="28" t="n">
        <v>2023</v>
      </c>
      <c r="H129" s="28" t="s">
        <v>240</v>
      </c>
      <c r="I129" s="28" t="n">
        <v>11</v>
      </c>
      <c r="J129" s="28" t="s">
        <v>236</v>
      </c>
      <c r="K129" s="28" t="s">
        <v>237</v>
      </c>
      <c r="L129" s="28" t="n">
        <v>0.31</v>
      </c>
      <c r="M129" s="31" t="n">
        <v>14662.74</v>
      </c>
      <c r="N129" s="31" t="n">
        <v>14680.53</v>
      </c>
      <c r="O129" s="31" t="n">
        <v>14627.2</v>
      </c>
      <c r="P129" s="44" t="n">
        <f aca="false">ABS(M129-N129)</f>
        <v>17.7900000000009</v>
      </c>
      <c r="Q129" s="44" t="n">
        <f aca="false">IF(O129="","",ABS(O129-M129))</f>
        <v>35.5399999999991</v>
      </c>
      <c r="R129" s="30" t="n">
        <f aca="false">P129*L129*Summary!$C$6</f>
        <v>110.298000000005</v>
      </c>
      <c r="S129" s="31" t="n">
        <v>14663.25</v>
      </c>
      <c r="T129" s="28" t="s">
        <v>238</v>
      </c>
      <c r="U129" s="44" t="n">
        <f aca="false">IF(J129="BUY",S129-M129,M129-S129)</f>
        <v>-0.510000000000218</v>
      </c>
      <c r="V129" s="45" t="n">
        <v>0</v>
      </c>
      <c r="W129" s="45" t="n">
        <v>0</v>
      </c>
      <c r="X129" s="45" t="n">
        <v>-3.16</v>
      </c>
      <c r="Y129" s="32" t="n">
        <f aca="false">IFERROR(X129/R129,0)</f>
        <v>-0.0286496581986967</v>
      </c>
      <c r="Z129" s="28" t="str">
        <f aca="false">IF(X129&gt;0,"Win",IF(X129&lt;0,"Loss","Flat"))</f>
        <v>Loss</v>
      </c>
      <c r="AA129" s="28" t="n">
        <f aca="false">ROUND((C129-B129)*1440,1)</f>
        <v>17.2</v>
      </c>
      <c r="AB129" s="28" t="str">
        <f aca="false">IF(AA129&lt;1,"a) &lt;1 min",IF(AA129&lt;10,"b) 1-10 min",IF(AA129&lt;60,"c) 10-60 min",IF(AA129&lt;240,"d) 1-4 h","e) 4 h+"))))</f>
        <v>c) 10-60 min</v>
      </c>
      <c r="AC129" s="28" t="str">
        <f aca="false">IF(P129&lt;10,"a) &lt;10",IF(P129&lt;20,"b) 10-20",IF(P129&lt;40,"c) 20-40",IF(P129&lt;80,"d) 40-80","e) 80+"))))</f>
        <v>b) 10-20</v>
      </c>
      <c r="AD129" s="30" t="n">
        <f aca="false">Summary!$C$5+SUM(X$2:X129)</f>
        <v>102997.37</v>
      </c>
      <c r="AE129" s="30" t="n">
        <f aca="false">MAX(AE128,AD129)</f>
        <v>103084.79</v>
      </c>
      <c r="AF129" s="30" t="n">
        <f aca="false">AE129-AD129</f>
        <v>87.4199999999983</v>
      </c>
      <c r="AG129" s="29" t="n">
        <f aca="false">IFERROR(AF129/AE129,0)</f>
        <v>0.000848039754458425</v>
      </c>
    </row>
    <row r="130" customFormat="false" ht="15" hidden="false" customHeight="false" outlineLevel="0" collapsed="false">
      <c r="A130" s="28" t="n">
        <v>129</v>
      </c>
      <c r="B130" s="43" t="n">
        <v>45195.7034722222</v>
      </c>
      <c r="C130" s="43" t="n">
        <v>45195.7363888889</v>
      </c>
      <c r="D130" s="42" t="n">
        <f aca="false">INT(C130)</f>
        <v>45195</v>
      </c>
      <c r="E130" s="42" t="n">
        <f aca="false">D130-WEEKDAY(D130,3)</f>
        <v>45194</v>
      </c>
      <c r="F130" s="28" t="s">
        <v>148</v>
      </c>
      <c r="G130" s="28" t="n">
        <v>2023</v>
      </c>
      <c r="H130" s="28" t="s">
        <v>232</v>
      </c>
      <c r="I130" s="28" t="n">
        <v>16</v>
      </c>
      <c r="J130" s="28" t="s">
        <v>236</v>
      </c>
      <c r="K130" s="28" t="s">
        <v>237</v>
      </c>
      <c r="L130" s="28" t="n">
        <v>0.31</v>
      </c>
      <c r="M130" s="31" t="n">
        <v>14614.89</v>
      </c>
      <c r="N130" s="31" t="n">
        <v>14644.88</v>
      </c>
      <c r="O130" s="31" t="n">
        <v>14557.51</v>
      </c>
      <c r="P130" s="44" t="n">
        <f aca="false">ABS(M130-N130)</f>
        <v>29.9899999999998</v>
      </c>
      <c r="Q130" s="44" t="n">
        <f aca="false">IF(O130="","",ABS(O130-M130))</f>
        <v>57.3799999999992</v>
      </c>
      <c r="R130" s="30" t="n">
        <f aca="false">P130*L130*Summary!$C$6</f>
        <v>185.937999999999</v>
      </c>
      <c r="S130" s="31" t="n">
        <v>14615</v>
      </c>
      <c r="T130" s="28" t="s">
        <v>238</v>
      </c>
      <c r="U130" s="44" t="n">
        <f aca="false">IF(J130="BUY",S130-M130,M130-S130)</f>
        <v>-0.110000000000582</v>
      </c>
      <c r="V130" s="45" t="n">
        <v>0</v>
      </c>
      <c r="W130" s="45" t="n">
        <v>0</v>
      </c>
      <c r="X130" s="45" t="n">
        <v>-0.68</v>
      </c>
      <c r="Y130" s="32" t="n">
        <f aca="false">IFERROR(X130/R130,0)</f>
        <v>-0.0036571330228356</v>
      </c>
      <c r="Z130" s="28" t="str">
        <f aca="false">IF(X130&gt;0,"Win",IF(X130&lt;0,"Loss","Flat"))</f>
        <v>Loss</v>
      </c>
      <c r="AA130" s="28" t="n">
        <f aca="false">ROUND((C130-B130)*1440,1)</f>
        <v>47.4</v>
      </c>
      <c r="AB130" s="28" t="str">
        <f aca="false">IF(AA130&lt;1,"a) &lt;1 min",IF(AA130&lt;10,"b) 1-10 min",IF(AA130&lt;60,"c) 10-60 min",IF(AA130&lt;240,"d) 1-4 h","e) 4 h+"))))</f>
        <v>c) 10-60 min</v>
      </c>
      <c r="AC130" s="28" t="str">
        <f aca="false">IF(P130&lt;10,"a) &lt;10",IF(P130&lt;20,"b) 10-20",IF(P130&lt;40,"c) 20-40",IF(P130&lt;80,"d) 40-80","e) 80+"))))</f>
        <v>c) 20-40</v>
      </c>
      <c r="AD130" s="30" t="n">
        <f aca="false">Summary!$C$5+SUM(X$2:X130)</f>
        <v>102996.69</v>
      </c>
      <c r="AE130" s="30" t="n">
        <f aca="false">MAX(AE129,AD130)</f>
        <v>103084.79</v>
      </c>
      <c r="AF130" s="30" t="n">
        <f aca="false">AE130-AD130</f>
        <v>88.0999999999913</v>
      </c>
      <c r="AG130" s="29" t="n">
        <f aca="false">IFERROR(AF130/AE130,0)</f>
        <v>0.000854636265932067</v>
      </c>
    </row>
    <row r="131" customFormat="false" ht="15" hidden="false" customHeight="false" outlineLevel="0" collapsed="false">
      <c r="A131" s="28" t="n">
        <v>130</v>
      </c>
      <c r="B131" s="43" t="n">
        <v>45196.79375</v>
      </c>
      <c r="C131" s="43" t="n">
        <v>45196.8227430556</v>
      </c>
      <c r="D131" s="42" t="n">
        <f aca="false">INT(C131)</f>
        <v>45196</v>
      </c>
      <c r="E131" s="42" t="n">
        <f aca="false">D131-WEEKDAY(D131,3)</f>
        <v>45194</v>
      </c>
      <c r="F131" s="28" t="s">
        <v>148</v>
      </c>
      <c r="G131" s="28" t="n">
        <v>2023</v>
      </c>
      <c r="H131" s="28" t="s">
        <v>235</v>
      </c>
      <c r="I131" s="28" t="n">
        <v>19</v>
      </c>
      <c r="J131" s="28" t="s">
        <v>236</v>
      </c>
      <c r="K131" s="28" t="s">
        <v>237</v>
      </c>
      <c r="L131" s="28" t="n">
        <v>0.31</v>
      </c>
      <c r="M131" s="31" t="n">
        <v>14500.82</v>
      </c>
      <c r="N131" s="31" t="n">
        <v>14518.44</v>
      </c>
      <c r="O131" s="31" t="n">
        <v>14465.58</v>
      </c>
      <c r="P131" s="44" t="n">
        <f aca="false">ABS(M131-N131)</f>
        <v>17.6200000000008</v>
      </c>
      <c r="Q131" s="44" t="n">
        <f aca="false">IF(O131="","",ABS(O131-M131))</f>
        <v>35.2399999999998</v>
      </c>
      <c r="R131" s="30" t="n">
        <f aca="false">P131*L131*Summary!$C$6</f>
        <v>109.244000000005</v>
      </c>
      <c r="S131" s="31" t="n">
        <v>14518.49</v>
      </c>
      <c r="T131" s="28" t="s">
        <v>241</v>
      </c>
      <c r="U131" s="44" t="n">
        <f aca="false">IF(J131="BUY",S131-M131,M131-S131)</f>
        <v>-17.6700000000001</v>
      </c>
      <c r="V131" s="45" t="n">
        <v>0</v>
      </c>
      <c r="W131" s="45" t="n">
        <v>0</v>
      </c>
      <c r="X131" s="45" t="n">
        <v>-109.55</v>
      </c>
      <c r="Y131" s="32" t="n">
        <f aca="false">IFERROR(X131/R131,0)</f>
        <v>-1.00280106916622</v>
      </c>
      <c r="Z131" s="28" t="str">
        <f aca="false">IF(X131&gt;0,"Win",IF(X131&lt;0,"Loss","Flat"))</f>
        <v>Loss</v>
      </c>
      <c r="AA131" s="28" t="n">
        <f aca="false">ROUND((C131-B131)*1440,1)</f>
        <v>41.8</v>
      </c>
      <c r="AB131" s="28" t="str">
        <f aca="false">IF(AA131&lt;1,"a) &lt;1 min",IF(AA131&lt;10,"b) 1-10 min",IF(AA131&lt;60,"c) 10-60 min",IF(AA131&lt;240,"d) 1-4 h","e) 4 h+"))))</f>
        <v>c) 10-60 min</v>
      </c>
      <c r="AC131" s="28" t="str">
        <f aca="false">IF(P131&lt;10,"a) &lt;10",IF(P131&lt;20,"b) 10-20",IF(P131&lt;40,"c) 20-40",IF(P131&lt;80,"d) 40-80","e) 80+"))))</f>
        <v>b) 10-20</v>
      </c>
      <c r="AD131" s="30" t="n">
        <f aca="false">Summary!$C$5+SUM(X$2:X131)</f>
        <v>102887.14</v>
      </c>
      <c r="AE131" s="30" t="n">
        <f aca="false">MAX(AE130,AD131)</f>
        <v>103084.79</v>
      </c>
      <c r="AF131" s="30" t="n">
        <f aca="false">AE131-AD131</f>
        <v>197.649999999994</v>
      </c>
      <c r="AG131" s="29" t="n">
        <f aca="false">IFERROR(AF131/AE131,0)</f>
        <v>0.00191735366585113</v>
      </c>
    </row>
    <row r="132" customFormat="false" ht="15" hidden="false" customHeight="false" outlineLevel="0" collapsed="false">
      <c r="A132" s="28" t="n">
        <v>131</v>
      </c>
      <c r="B132" s="43" t="n">
        <v>45197.7673611111</v>
      </c>
      <c r="C132" s="43" t="n">
        <v>45197.779837963</v>
      </c>
      <c r="D132" s="42" t="n">
        <f aca="false">INT(C132)</f>
        <v>45197</v>
      </c>
      <c r="E132" s="42" t="n">
        <f aca="false">D132-WEEKDAY(D132,3)</f>
        <v>45194</v>
      </c>
      <c r="F132" s="28" t="s">
        <v>148</v>
      </c>
      <c r="G132" s="28" t="n">
        <v>2023</v>
      </c>
      <c r="H132" s="28" t="s">
        <v>239</v>
      </c>
      <c r="I132" s="28" t="n">
        <v>18</v>
      </c>
      <c r="J132" s="28" t="s">
        <v>233</v>
      </c>
      <c r="K132" s="28" t="s">
        <v>234</v>
      </c>
      <c r="L132" s="28" t="n">
        <v>0.31</v>
      </c>
      <c r="M132" s="31" t="n">
        <v>14662.82</v>
      </c>
      <c r="N132" s="31" t="n">
        <v>14637.49</v>
      </c>
      <c r="O132" s="31" t="n">
        <v>14717.83</v>
      </c>
      <c r="P132" s="44" t="n">
        <f aca="false">ABS(M132-N132)</f>
        <v>25.3299999999999</v>
      </c>
      <c r="Q132" s="44" t="n">
        <f aca="false">IF(O132="","",ABS(O132-M132))</f>
        <v>55.0100000000002</v>
      </c>
      <c r="R132" s="30" t="n">
        <f aca="false">P132*L132*Summary!$C$6</f>
        <v>157.046</v>
      </c>
      <c r="S132" s="31" t="n">
        <v>14717.89</v>
      </c>
      <c r="T132" s="28" t="s">
        <v>214</v>
      </c>
      <c r="U132" s="44" t="n">
        <f aca="false">IF(J132="BUY",S132-M132,M132-S132)</f>
        <v>55.0699999999997</v>
      </c>
      <c r="V132" s="45" t="n">
        <v>0</v>
      </c>
      <c r="W132" s="45" t="n">
        <v>0</v>
      </c>
      <c r="X132" s="45" t="n">
        <v>341.43</v>
      </c>
      <c r="Y132" s="32" t="n">
        <f aca="false">IFERROR(X132/R132,0)</f>
        <v>2.17407638526292</v>
      </c>
      <c r="Z132" s="28" t="str">
        <f aca="false">IF(X132&gt;0,"Win",IF(X132&lt;0,"Loss","Flat"))</f>
        <v>Win</v>
      </c>
      <c r="AA132" s="28" t="n">
        <f aca="false">ROUND((C132-B132)*1440,1)</f>
        <v>18</v>
      </c>
      <c r="AB132" s="28" t="str">
        <f aca="false">IF(AA132&lt;1,"a) &lt;1 min",IF(AA132&lt;10,"b) 1-10 min",IF(AA132&lt;60,"c) 10-60 min",IF(AA132&lt;240,"d) 1-4 h","e) 4 h+"))))</f>
        <v>c) 10-60 min</v>
      </c>
      <c r="AC132" s="28" t="str">
        <f aca="false">IF(P132&lt;10,"a) &lt;10",IF(P132&lt;20,"b) 10-20",IF(P132&lt;40,"c) 20-40",IF(P132&lt;80,"d) 40-80","e) 80+"))))</f>
        <v>c) 20-40</v>
      </c>
      <c r="AD132" s="30" t="n">
        <f aca="false">Summary!$C$5+SUM(X$2:X132)</f>
        <v>103228.57</v>
      </c>
      <c r="AE132" s="30" t="n">
        <f aca="false">MAX(AE131,AD132)</f>
        <v>103228.57</v>
      </c>
      <c r="AF132" s="30" t="n">
        <f aca="false">AE132-AD132</f>
        <v>0</v>
      </c>
      <c r="AG132" s="29" t="n">
        <f aca="false">IFERROR(AF132/AE132,0)</f>
        <v>0</v>
      </c>
    </row>
    <row r="133" customFormat="false" ht="15" hidden="false" customHeight="false" outlineLevel="0" collapsed="false">
      <c r="A133" s="28" t="n">
        <v>132</v>
      </c>
      <c r="B133" s="43" t="n">
        <v>45198.4388888889</v>
      </c>
      <c r="C133" s="43" t="n">
        <v>45198.4474884259</v>
      </c>
      <c r="D133" s="42" t="n">
        <f aca="false">INT(C133)</f>
        <v>45198</v>
      </c>
      <c r="E133" s="42" t="n">
        <f aca="false">D133-WEEKDAY(D133,3)</f>
        <v>45194</v>
      </c>
      <c r="F133" s="28" t="s">
        <v>148</v>
      </c>
      <c r="G133" s="28" t="n">
        <v>2023</v>
      </c>
      <c r="H133" s="28" t="s">
        <v>242</v>
      </c>
      <c r="I133" s="28" t="n">
        <v>10</v>
      </c>
      <c r="J133" s="28" t="s">
        <v>233</v>
      </c>
      <c r="K133" s="28" t="s">
        <v>234</v>
      </c>
      <c r="L133" s="28" t="n">
        <v>0.31</v>
      </c>
      <c r="M133" s="31" t="n">
        <v>14794.21</v>
      </c>
      <c r="N133" s="31" t="n">
        <v>14786.41</v>
      </c>
      <c r="O133" s="31" t="n">
        <v>14809.78</v>
      </c>
      <c r="P133" s="44" t="n">
        <f aca="false">ABS(M133-N133)</f>
        <v>7.79999999999927</v>
      </c>
      <c r="Q133" s="44" t="n">
        <f aca="false">IF(O133="","",ABS(O133-M133))</f>
        <v>15.5700000000015</v>
      </c>
      <c r="R133" s="30" t="n">
        <f aca="false">P133*L133*Summary!$C$6</f>
        <v>48.3599999999955</v>
      </c>
      <c r="S133" s="31" t="n">
        <v>14786.38</v>
      </c>
      <c r="T133" s="28" t="s">
        <v>241</v>
      </c>
      <c r="U133" s="44" t="n">
        <f aca="false">IF(J133="BUY",S133-M133,M133-S133)</f>
        <v>-7.82999999999993</v>
      </c>
      <c r="V133" s="45" t="n">
        <v>0</v>
      </c>
      <c r="W133" s="45" t="n">
        <v>0</v>
      </c>
      <c r="X133" s="45" t="n">
        <v>-48.55</v>
      </c>
      <c r="Y133" s="32" t="n">
        <f aca="false">IFERROR(X133/R133,0)</f>
        <v>-1.00392886683219</v>
      </c>
      <c r="Z133" s="28" t="str">
        <f aca="false">IF(X133&gt;0,"Win",IF(X133&lt;0,"Loss","Flat"))</f>
        <v>Loss</v>
      </c>
      <c r="AA133" s="28" t="n">
        <f aca="false">ROUND((C133-B133)*1440,1)</f>
        <v>12.4</v>
      </c>
      <c r="AB133" s="28" t="str">
        <f aca="false">IF(AA133&lt;1,"a) &lt;1 min",IF(AA133&lt;10,"b) 1-10 min",IF(AA133&lt;60,"c) 10-60 min",IF(AA133&lt;240,"d) 1-4 h","e) 4 h+"))))</f>
        <v>c) 10-60 min</v>
      </c>
      <c r="AC133" s="28" t="str">
        <f aca="false">IF(P133&lt;10,"a) &lt;10",IF(P133&lt;20,"b) 10-20",IF(P133&lt;40,"c) 20-40",IF(P133&lt;80,"d) 40-80","e) 80+"))))</f>
        <v>a) &lt;10</v>
      </c>
      <c r="AD133" s="30" t="n">
        <f aca="false">Summary!$C$5+SUM(X$2:X133)</f>
        <v>103180.02</v>
      </c>
      <c r="AE133" s="30" t="n">
        <f aca="false">MAX(AE132,AD133)</f>
        <v>103228.57</v>
      </c>
      <c r="AF133" s="30" t="n">
        <f aca="false">AE133-AD133</f>
        <v>48.5500000000029</v>
      </c>
      <c r="AG133" s="29" t="n">
        <f aca="false">IFERROR(AF133/AE133,0)</f>
        <v>0.000470315533771348</v>
      </c>
    </row>
    <row r="134" customFormat="false" ht="15" hidden="false" customHeight="false" outlineLevel="0" collapsed="false">
      <c r="A134" s="28" t="n">
        <v>133</v>
      </c>
      <c r="B134" s="43" t="n">
        <v>45202.7152777778</v>
      </c>
      <c r="C134" s="43" t="n">
        <v>45202.7738194445</v>
      </c>
      <c r="D134" s="42" t="n">
        <f aca="false">INT(C134)</f>
        <v>45202</v>
      </c>
      <c r="E134" s="42" t="n">
        <f aca="false">D134-WEEKDAY(D134,3)</f>
        <v>45201</v>
      </c>
      <c r="F134" s="28" t="s">
        <v>149</v>
      </c>
      <c r="G134" s="28" t="n">
        <v>2023</v>
      </c>
      <c r="H134" s="28" t="s">
        <v>232</v>
      </c>
      <c r="I134" s="28" t="n">
        <v>17</v>
      </c>
      <c r="J134" s="28" t="s">
        <v>236</v>
      </c>
      <c r="K134" s="28" t="s">
        <v>237</v>
      </c>
      <c r="L134" s="28" t="n">
        <v>0.31</v>
      </c>
      <c r="M134" s="31" t="n">
        <v>14673.21</v>
      </c>
      <c r="N134" s="31" t="n">
        <v>14723.49</v>
      </c>
      <c r="O134" s="31" t="n">
        <v>14570.5</v>
      </c>
      <c r="P134" s="44" t="n">
        <f aca="false">ABS(M134-N134)</f>
        <v>50.2800000000007</v>
      </c>
      <c r="Q134" s="44" t="n">
        <f aca="false">IF(O134="","",ABS(O134-M134))</f>
        <v>102.709999999999</v>
      </c>
      <c r="R134" s="30" t="n">
        <f aca="false">P134*L134*Summary!$C$6</f>
        <v>311.736000000004</v>
      </c>
      <c r="S134" s="31" t="n">
        <v>14570.31</v>
      </c>
      <c r="T134" s="28" t="s">
        <v>214</v>
      </c>
      <c r="U134" s="44" t="n">
        <f aca="false">IF(J134="BUY",S134-M134,M134-S134)</f>
        <v>102.9</v>
      </c>
      <c r="V134" s="45" t="n">
        <v>0</v>
      </c>
      <c r="W134" s="45" t="n">
        <v>0</v>
      </c>
      <c r="X134" s="45" t="n">
        <v>637.98</v>
      </c>
      <c r="Y134" s="32" t="n">
        <f aca="false">IFERROR(X134/R134,0)</f>
        <v>2.04653937947491</v>
      </c>
      <c r="Z134" s="28" t="str">
        <f aca="false">IF(X134&gt;0,"Win",IF(X134&lt;0,"Loss","Flat"))</f>
        <v>Win</v>
      </c>
      <c r="AA134" s="28" t="n">
        <f aca="false">ROUND((C134-B134)*1440,1)</f>
        <v>84.3</v>
      </c>
      <c r="AB134" s="28" t="str">
        <f aca="false">IF(AA134&lt;1,"a) &lt;1 min",IF(AA134&lt;10,"b) 1-10 min",IF(AA134&lt;60,"c) 10-60 min",IF(AA134&lt;240,"d) 1-4 h","e) 4 h+"))))</f>
        <v>d) 1-4 h</v>
      </c>
      <c r="AC134" s="28" t="str">
        <f aca="false">IF(P134&lt;10,"a) &lt;10",IF(P134&lt;20,"b) 10-20",IF(P134&lt;40,"c) 20-40",IF(P134&lt;80,"d) 40-80","e) 80+"))))</f>
        <v>d) 40-80</v>
      </c>
      <c r="AD134" s="30" t="n">
        <f aca="false">Summary!$C$5+SUM(X$2:X134)</f>
        <v>103818</v>
      </c>
      <c r="AE134" s="30" t="n">
        <f aca="false">MAX(AE133,AD134)</f>
        <v>103818</v>
      </c>
      <c r="AF134" s="30" t="n">
        <f aca="false">AE134-AD134</f>
        <v>0</v>
      </c>
      <c r="AG134" s="29" t="n">
        <f aca="false">IFERROR(AF134/AE134,0)</f>
        <v>0</v>
      </c>
    </row>
    <row r="135" customFormat="false" ht="15" hidden="false" customHeight="false" outlineLevel="0" collapsed="false">
      <c r="A135" s="28" t="n">
        <v>134</v>
      </c>
      <c r="B135" s="43" t="n">
        <v>45203.2847222222</v>
      </c>
      <c r="C135" s="43" t="n">
        <v>45203.2880092593</v>
      </c>
      <c r="D135" s="42" t="n">
        <f aca="false">INT(C135)</f>
        <v>45203</v>
      </c>
      <c r="E135" s="42" t="n">
        <f aca="false">D135-WEEKDAY(D135,3)</f>
        <v>45201</v>
      </c>
      <c r="F135" s="28" t="s">
        <v>149</v>
      </c>
      <c r="G135" s="28" t="n">
        <v>2023</v>
      </c>
      <c r="H135" s="28" t="s">
        <v>235</v>
      </c>
      <c r="I135" s="28" t="n">
        <v>6</v>
      </c>
      <c r="J135" s="28" t="s">
        <v>236</v>
      </c>
      <c r="K135" s="28" t="s">
        <v>237</v>
      </c>
      <c r="L135" s="28" t="n">
        <v>0.32</v>
      </c>
      <c r="M135" s="31" t="n">
        <v>14498.11</v>
      </c>
      <c r="N135" s="31" t="n">
        <v>14507.9</v>
      </c>
      <c r="O135" s="31" t="n">
        <v>14478.83</v>
      </c>
      <c r="P135" s="44" t="n">
        <f aca="false">ABS(M135-N135)</f>
        <v>9.78999999999905</v>
      </c>
      <c r="Q135" s="44" t="n">
        <f aca="false">IF(O135="","",ABS(O135-M135))</f>
        <v>19.2800000000007</v>
      </c>
      <c r="R135" s="30" t="n">
        <f aca="false">P135*L135*Summary!$C$6</f>
        <v>62.655999999994</v>
      </c>
      <c r="S135" s="31" t="n">
        <v>14508.09</v>
      </c>
      <c r="T135" s="28" t="s">
        <v>241</v>
      </c>
      <c r="U135" s="44" t="n">
        <f aca="false">IF(J135="BUY",S135-M135,M135-S135)</f>
        <v>-9.97999999999956</v>
      </c>
      <c r="V135" s="45" t="n">
        <v>0</v>
      </c>
      <c r="W135" s="45" t="n">
        <v>0</v>
      </c>
      <c r="X135" s="45" t="n">
        <v>-63.87</v>
      </c>
      <c r="Y135" s="32" t="n">
        <f aca="false">IFERROR(X135/R135,0)</f>
        <v>-1.01937563840664</v>
      </c>
      <c r="Z135" s="28" t="str">
        <f aca="false">IF(X135&gt;0,"Win",IF(X135&lt;0,"Loss","Flat"))</f>
        <v>Loss</v>
      </c>
      <c r="AA135" s="28" t="n">
        <f aca="false">ROUND((C135-B135)*1440,1)</f>
        <v>4.7</v>
      </c>
      <c r="AB135" s="28" t="str">
        <f aca="false">IF(AA135&lt;1,"a) &lt;1 min",IF(AA135&lt;10,"b) 1-10 min",IF(AA135&lt;60,"c) 10-60 min",IF(AA135&lt;240,"d) 1-4 h","e) 4 h+"))))</f>
        <v>b) 1-10 min</v>
      </c>
      <c r="AC135" s="28" t="str">
        <f aca="false">IF(P135&lt;10,"a) &lt;10",IF(P135&lt;20,"b) 10-20",IF(P135&lt;40,"c) 20-40",IF(P135&lt;80,"d) 40-80","e) 80+"))))</f>
        <v>a) &lt;10</v>
      </c>
      <c r="AD135" s="30" t="n">
        <f aca="false">Summary!$C$5+SUM(X$2:X135)</f>
        <v>103754.13</v>
      </c>
      <c r="AE135" s="30" t="n">
        <f aca="false">MAX(AE134,AD135)</f>
        <v>103818</v>
      </c>
      <c r="AF135" s="30" t="n">
        <f aca="false">AE135-AD135</f>
        <v>63.8699999999953</v>
      </c>
      <c r="AG135" s="29" t="n">
        <f aca="false">IFERROR(AF135/AE135,0)</f>
        <v>0.000615211235045901</v>
      </c>
    </row>
    <row r="136" customFormat="false" ht="15" hidden="false" customHeight="false" outlineLevel="0" collapsed="false">
      <c r="A136" s="28" t="n">
        <v>135</v>
      </c>
      <c r="B136" s="43" t="n">
        <v>45204.6284722222</v>
      </c>
      <c r="C136" s="43" t="n">
        <v>45204.6308217593</v>
      </c>
      <c r="D136" s="42" t="n">
        <f aca="false">INT(C136)</f>
        <v>45204</v>
      </c>
      <c r="E136" s="42" t="n">
        <f aca="false">D136-WEEKDAY(D136,3)</f>
        <v>45201</v>
      </c>
      <c r="F136" s="28" t="s">
        <v>149</v>
      </c>
      <c r="G136" s="28" t="n">
        <v>2023</v>
      </c>
      <c r="H136" s="28" t="s">
        <v>239</v>
      </c>
      <c r="I136" s="28" t="n">
        <v>15</v>
      </c>
      <c r="J136" s="28" t="s">
        <v>233</v>
      </c>
      <c r="K136" s="28" t="s">
        <v>234</v>
      </c>
      <c r="L136" s="28" t="n">
        <v>0.31</v>
      </c>
      <c r="M136" s="31" t="n">
        <v>14810.84</v>
      </c>
      <c r="N136" s="31" t="n">
        <v>14799.44</v>
      </c>
      <c r="O136" s="31" t="n">
        <v>14834.87</v>
      </c>
      <c r="P136" s="44" t="n">
        <f aca="false">ABS(M136-N136)</f>
        <v>11.3999999999996</v>
      </c>
      <c r="Q136" s="44" t="n">
        <f aca="false">IF(O136="","",ABS(O136-M136))</f>
        <v>24.0300000000007</v>
      </c>
      <c r="R136" s="30" t="n">
        <f aca="false">P136*L136*Summary!$C$6</f>
        <v>70.6799999999977</v>
      </c>
      <c r="S136" s="31" t="n">
        <v>14799.24</v>
      </c>
      <c r="T136" s="28" t="s">
        <v>241</v>
      </c>
      <c r="U136" s="44" t="n">
        <f aca="false">IF(J136="BUY",S136-M136,M136-S136)</f>
        <v>-11.6000000000004</v>
      </c>
      <c r="V136" s="45" t="n">
        <v>0</v>
      </c>
      <c r="W136" s="45" t="n">
        <v>0</v>
      </c>
      <c r="X136" s="45" t="n">
        <v>-71.92</v>
      </c>
      <c r="Y136" s="32" t="n">
        <f aca="false">IFERROR(X136/R136,0)</f>
        <v>-1.01754385964916</v>
      </c>
      <c r="Z136" s="28" t="str">
        <f aca="false">IF(X136&gt;0,"Win",IF(X136&lt;0,"Loss","Flat"))</f>
        <v>Loss</v>
      </c>
      <c r="AA136" s="28" t="n">
        <f aca="false">ROUND((C136-B136)*1440,1)</f>
        <v>3.4</v>
      </c>
      <c r="AB136" s="28" t="str">
        <f aca="false">IF(AA136&lt;1,"a) &lt;1 min",IF(AA136&lt;10,"b) 1-10 min",IF(AA136&lt;60,"c) 10-60 min",IF(AA136&lt;240,"d) 1-4 h","e) 4 h+"))))</f>
        <v>b) 1-10 min</v>
      </c>
      <c r="AC136" s="28" t="str">
        <f aca="false">IF(P136&lt;10,"a) &lt;10",IF(P136&lt;20,"b) 10-20",IF(P136&lt;40,"c) 20-40",IF(P136&lt;80,"d) 40-80","e) 80+"))))</f>
        <v>b) 10-20</v>
      </c>
      <c r="AD136" s="30" t="n">
        <f aca="false">Summary!$C$5+SUM(X$2:X136)</f>
        <v>103682.21</v>
      </c>
      <c r="AE136" s="30" t="n">
        <f aca="false">MAX(AE135,AD136)</f>
        <v>103818</v>
      </c>
      <c r="AF136" s="30" t="n">
        <f aca="false">AE136-AD136</f>
        <v>135.789999999994</v>
      </c>
      <c r="AG136" s="29" t="n">
        <f aca="false">IFERROR(AF136/AE136,0)</f>
        <v>0.00130796201044129</v>
      </c>
    </row>
    <row r="137" customFormat="false" ht="15" hidden="false" customHeight="false" outlineLevel="0" collapsed="false">
      <c r="A137" s="28" t="n">
        <v>136</v>
      </c>
      <c r="B137" s="43" t="n">
        <v>45205.6479166667</v>
      </c>
      <c r="C137" s="43" t="n">
        <v>45205.6839351852</v>
      </c>
      <c r="D137" s="42" t="n">
        <f aca="false">INT(C137)</f>
        <v>45205</v>
      </c>
      <c r="E137" s="42" t="n">
        <f aca="false">D137-WEEKDAY(D137,3)</f>
        <v>45201</v>
      </c>
      <c r="F137" s="28" t="s">
        <v>149</v>
      </c>
      <c r="G137" s="28" t="n">
        <v>2023</v>
      </c>
      <c r="H137" s="28" t="s">
        <v>242</v>
      </c>
      <c r="I137" s="28" t="n">
        <v>15</v>
      </c>
      <c r="J137" s="28" t="s">
        <v>236</v>
      </c>
      <c r="K137" s="28" t="s">
        <v>237</v>
      </c>
      <c r="L137" s="28" t="n">
        <v>0.32</v>
      </c>
      <c r="M137" s="31" t="n">
        <v>14559.75</v>
      </c>
      <c r="N137" s="31" t="n">
        <v>14625.12</v>
      </c>
      <c r="O137" s="31" t="n">
        <v>14429.16</v>
      </c>
      <c r="P137" s="44" t="n">
        <f aca="false">ABS(M137-N137)</f>
        <v>65.3700000000008</v>
      </c>
      <c r="Q137" s="44" t="n">
        <f aca="false">IF(O137="","",ABS(O137-M137))</f>
        <v>130.59</v>
      </c>
      <c r="R137" s="30" t="n">
        <f aca="false">P137*L137*Summary!$C$6</f>
        <v>418.368000000005</v>
      </c>
      <c r="S137" s="31" t="n">
        <v>14625.53</v>
      </c>
      <c r="T137" s="28" t="s">
        <v>241</v>
      </c>
      <c r="U137" s="44" t="n">
        <f aca="false">IF(J137="BUY",S137-M137,M137-S137)</f>
        <v>-65.7800000000007</v>
      </c>
      <c r="V137" s="45" t="n">
        <v>0</v>
      </c>
      <c r="W137" s="45" t="n">
        <v>0</v>
      </c>
      <c r="X137" s="45" t="n">
        <v>-420.99</v>
      </c>
      <c r="Y137" s="32" t="n">
        <f aca="false">IFERROR(X137/R137,0)</f>
        <v>-1.00626720972922</v>
      </c>
      <c r="Z137" s="28" t="str">
        <f aca="false">IF(X137&gt;0,"Win",IF(X137&lt;0,"Loss","Flat"))</f>
        <v>Loss</v>
      </c>
      <c r="AA137" s="28" t="n">
        <f aca="false">ROUND((C137-B137)*1440,1)</f>
        <v>51.9</v>
      </c>
      <c r="AB137" s="28" t="str">
        <f aca="false">IF(AA137&lt;1,"a) &lt;1 min",IF(AA137&lt;10,"b) 1-10 min",IF(AA137&lt;60,"c) 10-60 min",IF(AA137&lt;240,"d) 1-4 h","e) 4 h+"))))</f>
        <v>c) 10-60 min</v>
      </c>
      <c r="AC137" s="28" t="str">
        <f aca="false">IF(P137&lt;10,"a) &lt;10",IF(P137&lt;20,"b) 10-20",IF(P137&lt;40,"c) 20-40",IF(P137&lt;80,"d) 40-80","e) 80+"))))</f>
        <v>d) 40-80</v>
      </c>
      <c r="AD137" s="30" t="n">
        <f aca="false">Summary!$C$5+SUM(X$2:X137)</f>
        <v>103261.22</v>
      </c>
      <c r="AE137" s="30" t="n">
        <f aca="false">MAX(AE136,AD137)</f>
        <v>103818</v>
      </c>
      <c r="AF137" s="30" t="n">
        <f aca="false">AE137-AD137</f>
        <v>556.779999999999</v>
      </c>
      <c r="AG137" s="29" t="n">
        <f aca="false">IFERROR(AF137/AE137,0)</f>
        <v>0.00536303916469205</v>
      </c>
    </row>
    <row r="138" customFormat="false" ht="15" hidden="false" customHeight="false" outlineLevel="0" collapsed="false">
      <c r="A138" s="28" t="n">
        <v>137</v>
      </c>
      <c r="B138" s="43" t="n">
        <v>45205.7729166667</v>
      </c>
      <c r="C138" s="43" t="n">
        <v>45205.7802777778</v>
      </c>
      <c r="D138" s="42" t="n">
        <f aca="false">INT(C138)</f>
        <v>45205</v>
      </c>
      <c r="E138" s="42" t="n">
        <f aca="false">D138-WEEKDAY(D138,3)</f>
        <v>45201</v>
      </c>
      <c r="F138" s="28" t="s">
        <v>149</v>
      </c>
      <c r="G138" s="28" t="n">
        <v>2023</v>
      </c>
      <c r="H138" s="28" t="s">
        <v>242</v>
      </c>
      <c r="I138" s="28" t="n">
        <v>18</v>
      </c>
      <c r="J138" s="28" t="s">
        <v>233</v>
      </c>
      <c r="K138" s="28" t="s">
        <v>234</v>
      </c>
      <c r="L138" s="28" t="n">
        <v>0.31</v>
      </c>
      <c r="M138" s="31" t="n">
        <v>14817.57</v>
      </c>
      <c r="N138" s="31" t="n">
        <v>14786.18</v>
      </c>
      <c r="O138" s="31" t="n">
        <v>14880.29</v>
      </c>
      <c r="P138" s="44" t="n">
        <f aca="false">ABS(M138-N138)</f>
        <v>31.3899999999994</v>
      </c>
      <c r="Q138" s="44" t="n">
        <f aca="false">IF(O138="","",ABS(O138-M138))</f>
        <v>62.7200000000012</v>
      </c>
      <c r="R138" s="30" t="n">
        <f aca="false">P138*L138*Summary!$C$6</f>
        <v>194.617999999996</v>
      </c>
      <c r="S138" s="31" t="n">
        <v>14880.29</v>
      </c>
      <c r="T138" s="28" t="s">
        <v>214</v>
      </c>
      <c r="U138" s="44" t="n">
        <f aca="false">IF(J138="BUY",S138-M138,M138-S138)</f>
        <v>62.7200000000012</v>
      </c>
      <c r="V138" s="45" t="n">
        <v>0</v>
      </c>
      <c r="W138" s="45" t="n">
        <v>0</v>
      </c>
      <c r="X138" s="45" t="n">
        <v>388.86</v>
      </c>
      <c r="Y138" s="32" t="n">
        <f aca="false">IFERROR(X138/R138,0)</f>
        <v>1.99806801015326</v>
      </c>
      <c r="Z138" s="28" t="str">
        <f aca="false">IF(X138&gt;0,"Win",IF(X138&lt;0,"Loss","Flat"))</f>
        <v>Win</v>
      </c>
      <c r="AA138" s="28" t="n">
        <f aca="false">ROUND((C138-B138)*1440,1)</f>
        <v>10.6</v>
      </c>
      <c r="AB138" s="28" t="str">
        <f aca="false">IF(AA138&lt;1,"a) &lt;1 min",IF(AA138&lt;10,"b) 1-10 min",IF(AA138&lt;60,"c) 10-60 min",IF(AA138&lt;240,"d) 1-4 h","e) 4 h+"))))</f>
        <v>c) 10-60 min</v>
      </c>
      <c r="AC138" s="28" t="str">
        <f aca="false">IF(P138&lt;10,"a) &lt;10",IF(P138&lt;20,"b) 10-20",IF(P138&lt;40,"c) 20-40",IF(P138&lt;80,"d) 40-80","e) 80+"))))</f>
        <v>c) 20-40</v>
      </c>
      <c r="AD138" s="30" t="n">
        <f aca="false">Summary!$C$5+SUM(X$2:X138)</f>
        <v>103650.08</v>
      </c>
      <c r="AE138" s="30" t="n">
        <f aca="false">MAX(AE137,AD138)</f>
        <v>103818</v>
      </c>
      <c r="AF138" s="30" t="n">
        <f aca="false">AE138-AD138</f>
        <v>167.919999999998</v>
      </c>
      <c r="AG138" s="29" t="n">
        <f aca="false">IFERROR(AF138/AE138,0)</f>
        <v>0.00161744591496656</v>
      </c>
    </row>
    <row r="139" customFormat="false" ht="15" hidden="false" customHeight="false" outlineLevel="0" collapsed="false">
      <c r="A139" s="28" t="n">
        <v>138</v>
      </c>
      <c r="B139" s="43" t="n">
        <v>45208.8638888889</v>
      </c>
      <c r="C139" s="43" t="n">
        <v>45208.880474537</v>
      </c>
      <c r="D139" s="42" t="n">
        <f aca="false">INT(C139)</f>
        <v>45208</v>
      </c>
      <c r="E139" s="42" t="n">
        <f aca="false">D139-WEEKDAY(D139,3)</f>
        <v>45208</v>
      </c>
      <c r="F139" s="28" t="s">
        <v>149</v>
      </c>
      <c r="G139" s="28" t="n">
        <v>2023</v>
      </c>
      <c r="H139" s="28" t="s">
        <v>240</v>
      </c>
      <c r="I139" s="28" t="n">
        <v>20</v>
      </c>
      <c r="J139" s="28" t="s">
        <v>233</v>
      </c>
      <c r="K139" s="28" t="s">
        <v>234</v>
      </c>
      <c r="L139" s="28" t="n">
        <v>0.31</v>
      </c>
      <c r="M139" s="31" t="n">
        <v>15027.62</v>
      </c>
      <c r="N139" s="31" t="n">
        <v>15011.52</v>
      </c>
      <c r="O139" s="31" t="n">
        <v>15059.67</v>
      </c>
      <c r="P139" s="44" t="n">
        <f aca="false">ABS(M139-N139)</f>
        <v>16.1000000000004</v>
      </c>
      <c r="Q139" s="44" t="n">
        <f aca="false">IF(O139="","",ABS(O139-M139))</f>
        <v>32.0499999999993</v>
      </c>
      <c r="R139" s="30" t="n">
        <f aca="false">P139*L139*Summary!$C$6</f>
        <v>99.8200000000023</v>
      </c>
      <c r="S139" s="31" t="n">
        <v>15060.82</v>
      </c>
      <c r="T139" s="28" t="s">
        <v>214</v>
      </c>
      <c r="U139" s="44" t="n">
        <f aca="false">IF(J139="BUY",S139-M139,M139-S139)</f>
        <v>33.1999999999989</v>
      </c>
      <c r="V139" s="45" t="n">
        <v>0</v>
      </c>
      <c r="W139" s="45" t="n">
        <v>0</v>
      </c>
      <c r="X139" s="45" t="n">
        <v>205.84</v>
      </c>
      <c r="Y139" s="32" t="n">
        <f aca="false">IFERROR(X139/R139,0)</f>
        <v>2.06211180124219</v>
      </c>
      <c r="Z139" s="28" t="str">
        <f aca="false">IF(X139&gt;0,"Win",IF(X139&lt;0,"Loss","Flat"))</f>
        <v>Win</v>
      </c>
      <c r="AA139" s="28" t="n">
        <f aca="false">ROUND((C139-B139)*1440,1)</f>
        <v>23.9</v>
      </c>
      <c r="AB139" s="28" t="str">
        <f aca="false">IF(AA139&lt;1,"a) &lt;1 min",IF(AA139&lt;10,"b) 1-10 min",IF(AA139&lt;60,"c) 10-60 min",IF(AA139&lt;240,"d) 1-4 h","e) 4 h+"))))</f>
        <v>c) 10-60 min</v>
      </c>
      <c r="AC139" s="28" t="str">
        <f aca="false">IF(P139&lt;10,"a) &lt;10",IF(P139&lt;20,"b) 10-20",IF(P139&lt;40,"c) 20-40",IF(P139&lt;80,"d) 40-80","e) 80+"))))</f>
        <v>b) 10-20</v>
      </c>
      <c r="AD139" s="30" t="n">
        <f aca="false">Summary!$C$5+SUM(X$2:X139)</f>
        <v>103855.92</v>
      </c>
      <c r="AE139" s="30" t="n">
        <f aca="false">MAX(AE138,AD139)</f>
        <v>103855.92</v>
      </c>
      <c r="AF139" s="30" t="n">
        <f aca="false">AE139-AD139</f>
        <v>0</v>
      </c>
      <c r="AG139" s="29" t="n">
        <f aca="false">IFERROR(AF139/AE139,0)</f>
        <v>0</v>
      </c>
    </row>
    <row r="140" customFormat="false" ht="15" hidden="false" customHeight="false" outlineLevel="0" collapsed="false">
      <c r="A140" s="28" t="n">
        <v>139</v>
      </c>
      <c r="B140" s="43" t="n">
        <v>45209.1458333333</v>
      </c>
      <c r="C140" s="43" t="n">
        <v>45209.1774074074</v>
      </c>
      <c r="D140" s="42" t="n">
        <f aca="false">INT(C140)</f>
        <v>45209</v>
      </c>
      <c r="E140" s="42" t="n">
        <f aca="false">D140-WEEKDAY(D140,3)</f>
        <v>45208</v>
      </c>
      <c r="F140" s="28" t="s">
        <v>149</v>
      </c>
      <c r="G140" s="28" t="n">
        <v>2023</v>
      </c>
      <c r="H140" s="28" t="s">
        <v>232</v>
      </c>
      <c r="I140" s="28" t="n">
        <v>3</v>
      </c>
      <c r="J140" s="28" t="s">
        <v>233</v>
      </c>
      <c r="K140" s="28" t="s">
        <v>234</v>
      </c>
      <c r="L140" s="28" t="n">
        <v>0.31</v>
      </c>
      <c r="M140" s="31" t="n">
        <v>15072.67</v>
      </c>
      <c r="N140" s="31" t="n">
        <v>15065.15</v>
      </c>
      <c r="O140" s="31" t="n">
        <v>15087.72</v>
      </c>
      <c r="P140" s="44" t="n">
        <f aca="false">ABS(M140-N140)</f>
        <v>7.52000000000044</v>
      </c>
      <c r="Q140" s="44" t="n">
        <f aca="false">IF(O140="","",ABS(O140-M140))</f>
        <v>15.0499999999993</v>
      </c>
      <c r="R140" s="30" t="n">
        <f aca="false">P140*L140*Summary!$C$6</f>
        <v>46.6240000000027</v>
      </c>
      <c r="S140" s="31" t="n">
        <v>15087.8</v>
      </c>
      <c r="T140" s="28" t="s">
        <v>214</v>
      </c>
      <c r="U140" s="44" t="n">
        <f aca="false">IF(J140="BUY",S140-M140,M140-S140)</f>
        <v>15.1299999999992</v>
      </c>
      <c r="V140" s="45" t="n">
        <v>0</v>
      </c>
      <c r="W140" s="45" t="n">
        <v>0</v>
      </c>
      <c r="X140" s="45" t="n">
        <v>93.81</v>
      </c>
      <c r="Y140" s="32" t="n">
        <f aca="false">IFERROR(X140/R140,0)</f>
        <v>2.01205387783104</v>
      </c>
      <c r="Z140" s="28" t="str">
        <f aca="false">IF(X140&gt;0,"Win",IF(X140&lt;0,"Loss","Flat"))</f>
        <v>Win</v>
      </c>
      <c r="AA140" s="28" t="n">
        <f aca="false">ROUND((C140-B140)*1440,1)</f>
        <v>45.5</v>
      </c>
      <c r="AB140" s="28" t="str">
        <f aca="false">IF(AA140&lt;1,"a) &lt;1 min",IF(AA140&lt;10,"b) 1-10 min",IF(AA140&lt;60,"c) 10-60 min",IF(AA140&lt;240,"d) 1-4 h","e) 4 h+"))))</f>
        <v>c) 10-60 min</v>
      </c>
      <c r="AC140" s="28" t="str">
        <f aca="false">IF(P140&lt;10,"a) &lt;10",IF(P140&lt;20,"b) 10-20",IF(P140&lt;40,"c) 20-40",IF(P140&lt;80,"d) 40-80","e) 80+"))))</f>
        <v>a) &lt;10</v>
      </c>
      <c r="AD140" s="30" t="n">
        <f aca="false">Summary!$C$5+SUM(X$2:X140)</f>
        <v>103949.73</v>
      </c>
      <c r="AE140" s="30" t="n">
        <f aca="false">MAX(AE139,AD140)</f>
        <v>103949.73</v>
      </c>
      <c r="AF140" s="30" t="n">
        <f aca="false">AE140-AD140</f>
        <v>0</v>
      </c>
      <c r="AG140" s="29" t="n">
        <f aca="false">IFERROR(AF140/AE140,0)</f>
        <v>0</v>
      </c>
    </row>
    <row r="141" customFormat="false" ht="15" hidden="false" customHeight="false" outlineLevel="0" collapsed="false">
      <c r="A141" s="28" t="n">
        <v>140</v>
      </c>
      <c r="B141" s="43" t="n">
        <v>45210.6930555556</v>
      </c>
      <c r="C141" s="43" t="n">
        <v>45210.6947685185</v>
      </c>
      <c r="D141" s="42" t="n">
        <f aca="false">INT(C141)</f>
        <v>45210</v>
      </c>
      <c r="E141" s="42" t="n">
        <f aca="false">D141-WEEKDAY(D141,3)</f>
        <v>45208</v>
      </c>
      <c r="F141" s="28" t="s">
        <v>149</v>
      </c>
      <c r="G141" s="28" t="n">
        <v>2023</v>
      </c>
      <c r="H141" s="28" t="s">
        <v>235</v>
      </c>
      <c r="I141" s="28" t="n">
        <v>16</v>
      </c>
      <c r="J141" s="28" t="s">
        <v>233</v>
      </c>
      <c r="K141" s="28" t="s">
        <v>234</v>
      </c>
      <c r="L141" s="28" t="n">
        <v>0.3</v>
      </c>
      <c r="M141" s="31" t="n">
        <v>15244.21</v>
      </c>
      <c r="N141" s="31" t="n">
        <v>15219.48</v>
      </c>
      <c r="O141" s="31" t="n">
        <v>15293.7</v>
      </c>
      <c r="P141" s="44" t="n">
        <f aca="false">ABS(M141-N141)</f>
        <v>24.7299999999996</v>
      </c>
      <c r="Q141" s="44" t="n">
        <f aca="false">IF(O141="","",ABS(O141-M141))</f>
        <v>49.4900000000016</v>
      </c>
      <c r="R141" s="30" t="n">
        <f aca="false">P141*L141*Summary!$C$6</f>
        <v>148.379999999997</v>
      </c>
      <c r="S141" s="31" t="n">
        <v>15219.24</v>
      </c>
      <c r="T141" s="28" t="s">
        <v>241</v>
      </c>
      <c r="U141" s="44" t="n">
        <f aca="false">IF(J141="BUY",S141-M141,M141-S141)</f>
        <v>-24.9699999999993</v>
      </c>
      <c r="V141" s="45" t="n">
        <v>0</v>
      </c>
      <c r="W141" s="45" t="n">
        <v>0</v>
      </c>
      <c r="X141" s="45" t="n">
        <v>-149.82</v>
      </c>
      <c r="Y141" s="32" t="n">
        <f aca="false">IFERROR(X141/R141,0)</f>
        <v>-1.00970481196929</v>
      </c>
      <c r="Z141" s="28" t="str">
        <f aca="false">IF(X141&gt;0,"Win",IF(X141&lt;0,"Loss","Flat"))</f>
        <v>Loss</v>
      </c>
      <c r="AA141" s="28" t="n">
        <f aca="false">ROUND((C141-B141)*1440,1)</f>
        <v>2.5</v>
      </c>
      <c r="AB141" s="28" t="str">
        <f aca="false">IF(AA141&lt;1,"a) &lt;1 min",IF(AA141&lt;10,"b) 1-10 min",IF(AA141&lt;60,"c) 10-60 min",IF(AA141&lt;240,"d) 1-4 h","e) 4 h+"))))</f>
        <v>b) 1-10 min</v>
      </c>
      <c r="AC141" s="28" t="str">
        <f aca="false">IF(P141&lt;10,"a) &lt;10",IF(P141&lt;20,"b) 10-20",IF(P141&lt;40,"c) 20-40",IF(P141&lt;80,"d) 40-80","e) 80+"))))</f>
        <v>c) 20-40</v>
      </c>
      <c r="AD141" s="30" t="n">
        <f aca="false">Summary!$C$5+SUM(X$2:X141)</f>
        <v>103799.91</v>
      </c>
      <c r="AE141" s="30" t="n">
        <f aca="false">MAX(AE140,AD141)</f>
        <v>103949.73</v>
      </c>
      <c r="AF141" s="30" t="n">
        <f aca="false">AE141-AD141</f>
        <v>149.819999999992</v>
      </c>
      <c r="AG141" s="29" t="n">
        <f aca="false">IFERROR(AF141/AE141,0)</f>
        <v>0.00144127358483752</v>
      </c>
    </row>
    <row r="142" customFormat="false" ht="15" hidden="false" customHeight="false" outlineLevel="0" collapsed="false">
      <c r="A142" s="28" t="n">
        <v>141</v>
      </c>
      <c r="B142" s="43" t="n">
        <v>45211.0958333333</v>
      </c>
      <c r="C142" s="43" t="n">
        <v>45211.1020601852</v>
      </c>
      <c r="D142" s="42" t="n">
        <f aca="false">INT(C142)</f>
        <v>45211</v>
      </c>
      <c r="E142" s="42" t="n">
        <f aca="false">D142-WEEKDAY(D142,3)</f>
        <v>45208</v>
      </c>
      <c r="F142" s="28" t="s">
        <v>149</v>
      </c>
      <c r="G142" s="28" t="n">
        <v>2023</v>
      </c>
      <c r="H142" s="28" t="s">
        <v>239</v>
      </c>
      <c r="I142" s="28" t="n">
        <v>2</v>
      </c>
      <c r="J142" s="28" t="s">
        <v>233</v>
      </c>
      <c r="K142" s="28" t="s">
        <v>234</v>
      </c>
      <c r="L142" s="28" t="n">
        <v>0.3</v>
      </c>
      <c r="M142" s="31" t="n">
        <v>15275.27</v>
      </c>
      <c r="N142" s="31" t="n">
        <v>15273.24</v>
      </c>
      <c r="O142" s="31" t="n">
        <v>15279.42</v>
      </c>
      <c r="P142" s="44" t="n">
        <f aca="false">ABS(M142-N142)</f>
        <v>2.03000000000066</v>
      </c>
      <c r="Q142" s="44" t="n">
        <f aca="false">IF(O142="","",ABS(O142-M142))</f>
        <v>4.14999999999964</v>
      </c>
      <c r="R142" s="30" t="n">
        <f aca="false">P142*L142*Summary!$C$6</f>
        <v>12.1800000000039</v>
      </c>
      <c r="S142" s="31" t="n">
        <v>15280.09</v>
      </c>
      <c r="T142" s="28" t="s">
        <v>214</v>
      </c>
      <c r="U142" s="44" t="n">
        <f aca="false">IF(J142="BUY",S142-M142,M142-S142)</f>
        <v>4.81999999999971</v>
      </c>
      <c r="V142" s="45" t="n">
        <v>0</v>
      </c>
      <c r="W142" s="45" t="n">
        <v>0</v>
      </c>
      <c r="X142" s="45" t="n">
        <v>28.92</v>
      </c>
      <c r="Y142" s="32" t="n">
        <f aca="false">IFERROR(X142/R142,0)</f>
        <v>2.37438423645244</v>
      </c>
      <c r="Z142" s="28" t="str">
        <f aca="false">IF(X142&gt;0,"Win",IF(X142&lt;0,"Loss","Flat"))</f>
        <v>Win</v>
      </c>
      <c r="AA142" s="28" t="n">
        <f aca="false">ROUND((C142-B142)*1440,1)</f>
        <v>9</v>
      </c>
      <c r="AB142" s="28" t="str">
        <f aca="false">IF(AA142&lt;1,"a) &lt;1 min",IF(AA142&lt;10,"b) 1-10 min",IF(AA142&lt;60,"c) 10-60 min",IF(AA142&lt;240,"d) 1-4 h","e) 4 h+"))))</f>
        <v>b) 1-10 min</v>
      </c>
      <c r="AC142" s="28" t="str">
        <f aca="false">IF(P142&lt;10,"a) &lt;10",IF(P142&lt;20,"b) 10-20",IF(P142&lt;40,"c) 20-40",IF(P142&lt;80,"d) 40-80","e) 80+"))))</f>
        <v>a) &lt;10</v>
      </c>
      <c r="AD142" s="30" t="n">
        <f aca="false">Summary!$C$5+SUM(X$2:X142)</f>
        <v>103828.83</v>
      </c>
      <c r="AE142" s="30" t="n">
        <f aca="false">MAX(AE141,AD142)</f>
        <v>103949.73</v>
      </c>
      <c r="AF142" s="30" t="n">
        <f aca="false">AE142-AD142</f>
        <v>120.899999999994</v>
      </c>
      <c r="AG142" s="29" t="n">
        <f aca="false">IFERROR(AF142/AE142,0)</f>
        <v>0.00116306218399984</v>
      </c>
    </row>
    <row r="143" customFormat="false" ht="15" hidden="false" customHeight="false" outlineLevel="0" collapsed="false">
      <c r="A143" s="28" t="n">
        <v>142</v>
      </c>
      <c r="B143" s="43" t="n">
        <v>45211.88125</v>
      </c>
      <c r="C143" s="43" t="n">
        <v>45211.8899305556</v>
      </c>
      <c r="D143" s="42" t="n">
        <f aca="false">INT(C143)</f>
        <v>45211</v>
      </c>
      <c r="E143" s="42" t="n">
        <f aca="false">D143-WEEKDAY(D143,3)</f>
        <v>45208</v>
      </c>
      <c r="F143" s="28" t="s">
        <v>149</v>
      </c>
      <c r="G143" s="28" t="n">
        <v>2023</v>
      </c>
      <c r="H143" s="28" t="s">
        <v>239</v>
      </c>
      <c r="I143" s="28" t="n">
        <v>21</v>
      </c>
      <c r="J143" s="28" t="s">
        <v>236</v>
      </c>
      <c r="K143" s="28" t="s">
        <v>237</v>
      </c>
      <c r="L143" s="28" t="n">
        <v>0.3</v>
      </c>
      <c r="M143" s="31" t="n">
        <v>15114.8</v>
      </c>
      <c r="N143" s="31" t="n">
        <v>15135.99</v>
      </c>
      <c r="O143" s="31" t="n">
        <v>15070.71</v>
      </c>
      <c r="P143" s="44" t="n">
        <f aca="false">ABS(M143-N143)</f>
        <v>21.1900000000005</v>
      </c>
      <c r="Q143" s="44" t="n">
        <f aca="false">IF(O143="","",ABS(O143-M143))</f>
        <v>44.0900000000001</v>
      </c>
      <c r="R143" s="30" t="n">
        <f aca="false">P143*L143*Summary!$C$6</f>
        <v>127.140000000003</v>
      </c>
      <c r="S143" s="31" t="n">
        <v>15115.35</v>
      </c>
      <c r="T143" s="28" t="s">
        <v>238</v>
      </c>
      <c r="U143" s="44" t="n">
        <f aca="false">IF(J143="BUY",S143-M143,M143-S143)</f>
        <v>-0.550000000001091</v>
      </c>
      <c r="V143" s="45" t="n">
        <v>0</v>
      </c>
      <c r="W143" s="45" t="n">
        <v>0</v>
      </c>
      <c r="X143" s="45" t="n">
        <v>-3.3</v>
      </c>
      <c r="Y143" s="32" t="n">
        <f aca="false">IFERROR(X143/R143,0)</f>
        <v>-0.0259556394525713</v>
      </c>
      <c r="Z143" s="28" t="str">
        <f aca="false">IF(X143&gt;0,"Win",IF(X143&lt;0,"Loss","Flat"))</f>
        <v>Loss</v>
      </c>
      <c r="AA143" s="28" t="n">
        <f aca="false">ROUND((C143-B143)*1440,1)</f>
        <v>12.5</v>
      </c>
      <c r="AB143" s="28" t="str">
        <f aca="false">IF(AA143&lt;1,"a) &lt;1 min",IF(AA143&lt;10,"b) 1-10 min",IF(AA143&lt;60,"c) 10-60 min",IF(AA143&lt;240,"d) 1-4 h","e) 4 h+"))))</f>
        <v>c) 10-60 min</v>
      </c>
      <c r="AC143" s="28" t="str">
        <f aca="false">IF(P143&lt;10,"a) &lt;10",IF(P143&lt;20,"b) 10-20",IF(P143&lt;40,"c) 20-40",IF(P143&lt;80,"d) 40-80","e) 80+"))))</f>
        <v>c) 20-40</v>
      </c>
      <c r="AD143" s="30" t="n">
        <f aca="false">Summary!$C$5+SUM(X$2:X143)</f>
        <v>103825.53</v>
      </c>
      <c r="AE143" s="30" t="n">
        <f aca="false">MAX(AE142,AD143)</f>
        <v>103949.73</v>
      </c>
      <c r="AF143" s="30" t="n">
        <f aca="false">AE143-AD143</f>
        <v>124.199999999997</v>
      </c>
      <c r="AG143" s="29" t="n">
        <f aca="false">IFERROR(AF143/AE143,0)</f>
        <v>0.00119480829820334</v>
      </c>
    </row>
    <row r="144" customFormat="false" ht="15" hidden="false" customHeight="false" outlineLevel="0" collapsed="false">
      <c r="A144" s="28" t="n">
        <v>143</v>
      </c>
      <c r="B144" s="43" t="n">
        <v>45212.7451388889</v>
      </c>
      <c r="C144" s="43" t="n">
        <v>45212.7573611111</v>
      </c>
      <c r="D144" s="42" t="n">
        <f aca="false">INT(C144)</f>
        <v>45212</v>
      </c>
      <c r="E144" s="42" t="n">
        <f aca="false">D144-WEEKDAY(D144,3)</f>
        <v>45208</v>
      </c>
      <c r="F144" s="28" t="s">
        <v>149</v>
      </c>
      <c r="G144" s="28" t="n">
        <v>2023</v>
      </c>
      <c r="H144" s="28" t="s">
        <v>242</v>
      </c>
      <c r="I144" s="28" t="n">
        <v>17</v>
      </c>
      <c r="J144" s="28" t="s">
        <v>236</v>
      </c>
      <c r="K144" s="28" t="s">
        <v>237</v>
      </c>
      <c r="L144" s="28" t="n">
        <v>0.3</v>
      </c>
      <c r="M144" s="31" t="n">
        <v>15078.05</v>
      </c>
      <c r="N144" s="31" t="n">
        <v>15104.25</v>
      </c>
      <c r="O144" s="31" t="n">
        <v>15024.01</v>
      </c>
      <c r="P144" s="44" t="n">
        <f aca="false">ABS(M144-N144)</f>
        <v>26.2000000000007</v>
      </c>
      <c r="Q144" s="44" t="n">
        <f aca="false">IF(O144="","",ABS(O144-M144))</f>
        <v>54.0399999999991</v>
      </c>
      <c r="R144" s="30" t="n">
        <f aca="false">P144*L144*Summary!$C$6</f>
        <v>157.200000000004</v>
      </c>
      <c r="S144" s="31" t="n">
        <v>15078.9</v>
      </c>
      <c r="T144" s="28" t="s">
        <v>238</v>
      </c>
      <c r="U144" s="44" t="n">
        <f aca="false">IF(J144="BUY",S144-M144,M144-S144)</f>
        <v>-0.850000000000364</v>
      </c>
      <c r="V144" s="45" t="n">
        <v>0</v>
      </c>
      <c r="W144" s="45" t="n">
        <v>0</v>
      </c>
      <c r="X144" s="45" t="n">
        <v>-5.1</v>
      </c>
      <c r="Y144" s="32" t="n">
        <f aca="false">IFERROR(X144/R144,0)</f>
        <v>-0.0324427480916022</v>
      </c>
      <c r="Z144" s="28" t="str">
        <f aca="false">IF(X144&gt;0,"Win",IF(X144&lt;0,"Loss","Flat"))</f>
        <v>Loss</v>
      </c>
      <c r="AA144" s="28" t="n">
        <f aca="false">ROUND((C144-B144)*1440,1)</f>
        <v>17.6</v>
      </c>
      <c r="AB144" s="28" t="str">
        <f aca="false">IF(AA144&lt;1,"a) &lt;1 min",IF(AA144&lt;10,"b) 1-10 min",IF(AA144&lt;60,"c) 10-60 min",IF(AA144&lt;240,"d) 1-4 h","e) 4 h+"))))</f>
        <v>c) 10-60 min</v>
      </c>
      <c r="AC144" s="28" t="str">
        <f aca="false">IF(P144&lt;10,"a) &lt;10",IF(P144&lt;20,"b) 10-20",IF(P144&lt;40,"c) 20-40",IF(P144&lt;80,"d) 40-80","e) 80+"))))</f>
        <v>c) 20-40</v>
      </c>
      <c r="AD144" s="30" t="n">
        <f aca="false">Summary!$C$5+SUM(X$2:X144)</f>
        <v>103820.43</v>
      </c>
      <c r="AE144" s="30" t="n">
        <f aca="false">MAX(AE143,AD144)</f>
        <v>103949.73</v>
      </c>
      <c r="AF144" s="30" t="n">
        <f aca="false">AE144-AD144</f>
        <v>129.300000000003</v>
      </c>
      <c r="AG144" s="29" t="n">
        <f aca="false">IFERROR(AF144/AE144,0)</f>
        <v>0.00124387047469967</v>
      </c>
    </row>
    <row r="145" customFormat="false" ht="15" hidden="false" customHeight="false" outlineLevel="0" collapsed="false">
      <c r="A145" s="28" t="n">
        <v>144</v>
      </c>
      <c r="B145" s="43" t="n">
        <v>45216.7</v>
      </c>
      <c r="C145" s="43" t="n">
        <v>45216.7132060185</v>
      </c>
      <c r="D145" s="42" t="n">
        <f aca="false">INT(C145)</f>
        <v>45216</v>
      </c>
      <c r="E145" s="42" t="n">
        <f aca="false">D145-WEEKDAY(D145,3)</f>
        <v>45215</v>
      </c>
      <c r="F145" s="28" t="s">
        <v>149</v>
      </c>
      <c r="G145" s="28" t="n">
        <v>2023</v>
      </c>
      <c r="H145" s="28" t="s">
        <v>232</v>
      </c>
      <c r="I145" s="28" t="n">
        <v>16</v>
      </c>
      <c r="J145" s="28" t="s">
        <v>236</v>
      </c>
      <c r="K145" s="28" t="s">
        <v>237</v>
      </c>
      <c r="L145" s="28" t="n">
        <v>0.31</v>
      </c>
      <c r="M145" s="31" t="n">
        <v>14952.72</v>
      </c>
      <c r="N145" s="31" t="n">
        <v>14989.4</v>
      </c>
      <c r="O145" s="31" t="n">
        <v>14879.26</v>
      </c>
      <c r="P145" s="44" t="n">
        <f aca="false">ABS(M145-N145)</f>
        <v>36.6800000000003</v>
      </c>
      <c r="Q145" s="44" t="n">
        <f aca="false">IF(O145="","",ABS(O145-M145))</f>
        <v>73.4599999999991</v>
      </c>
      <c r="R145" s="30" t="n">
        <f aca="false">P145*L145*Summary!$C$6</f>
        <v>227.416000000002</v>
      </c>
      <c r="S145" s="31" t="n">
        <v>14989.8</v>
      </c>
      <c r="T145" s="28" t="s">
        <v>241</v>
      </c>
      <c r="U145" s="44" t="n">
        <f aca="false">IF(J145="BUY",S145-M145,M145-S145)</f>
        <v>-37.0799999999999</v>
      </c>
      <c r="V145" s="45" t="n">
        <v>0</v>
      </c>
      <c r="W145" s="45" t="n">
        <v>0</v>
      </c>
      <c r="X145" s="45" t="n">
        <v>-229.9</v>
      </c>
      <c r="Y145" s="32" t="n">
        <f aca="false">IFERROR(X145/R145,0)</f>
        <v>-1.01092271432088</v>
      </c>
      <c r="Z145" s="28" t="str">
        <f aca="false">IF(X145&gt;0,"Win",IF(X145&lt;0,"Loss","Flat"))</f>
        <v>Loss</v>
      </c>
      <c r="AA145" s="28" t="n">
        <f aca="false">ROUND((C145-B145)*1440,1)</f>
        <v>19</v>
      </c>
      <c r="AB145" s="28" t="str">
        <f aca="false">IF(AA145&lt;1,"a) &lt;1 min",IF(AA145&lt;10,"b) 1-10 min",IF(AA145&lt;60,"c) 10-60 min",IF(AA145&lt;240,"d) 1-4 h","e) 4 h+"))))</f>
        <v>c) 10-60 min</v>
      </c>
      <c r="AC145" s="28" t="str">
        <f aca="false">IF(P145&lt;10,"a) &lt;10",IF(P145&lt;20,"b) 10-20",IF(P145&lt;40,"c) 20-40",IF(P145&lt;80,"d) 40-80","e) 80+"))))</f>
        <v>c) 20-40</v>
      </c>
      <c r="AD145" s="30" t="n">
        <f aca="false">Summary!$C$5+SUM(X$2:X145)</f>
        <v>103590.53</v>
      </c>
      <c r="AE145" s="30" t="n">
        <f aca="false">MAX(AE144,AD145)</f>
        <v>103949.73</v>
      </c>
      <c r="AF145" s="30" t="n">
        <f aca="false">AE145-AD145</f>
        <v>359.199999999997</v>
      </c>
      <c r="AG145" s="29" t="n">
        <f aca="false">IFERROR(AF145/AE145,0)</f>
        <v>0.00345551643087478</v>
      </c>
    </row>
    <row r="146" customFormat="false" ht="15" hidden="false" customHeight="false" outlineLevel="0" collapsed="false">
      <c r="A146" s="28" t="n">
        <v>145</v>
      </c>
      <c r="B146" s="43" t="n">
        <v>45217.91875</v>
      </c>
      <c r="C146" s="43" t="n">
        <v>45217.9285185185</v>
      </c>
      <c r="D146" s="42" t="n">
        <f aca="false">INT(C146)</f>
        <v>45217</v>
      </c>
      <c r="E146" s="42" t="n">
        <f aca="false">D146-WEEKDAY(D146,3)</f>
        <v>45215</v>
      </c>
      <c r="F146" s="28" t="s">
        <v>149</v>
      </c>
      <c r="G146" s="28" t="n">
        <v>2023</v>
      </c>
      <c r="H146" s="28" t="s">
        <v>235</v>
      </c>
      <c r="I146" s="28" t="n">
        <v>22</v>
      </c>
      <c r="J146" s="28" t="s">
        <v>236</v>
      </c>
      <c r="K146" s="28" t="s">
        <v>237</v>
      </c>
      <c r="L146" s="28" t="n">
        <v>0.31</v>
      </c>
      <c r="M146" s="31" t="n">
        <v>14927.32</v>
      </c>
      <c r="N146" s="31" t="n">
        <v>14944.91</v>
      </c>
      <c r="O146" s="31" t="n">
        <v>14891.54</v>
      </c>
      <c r="P146" s="44" t="n">
        <f aca="false">ABS(M146-N146)</f>
        <v>17.5900000000001</v>
      </c>
      <c r="Q146" s="44" t="n">
        <f aca="false">IF(O146="","",ABS(O146-M146))</f>
        <v>35.7799999999988</v>
      </c>
      <c r="R146" s="30" t="n">
        <f aca="false">P146*L146*Summary!$C$6</f>
        <v>109.058000000001</v>
      </c>
      <c r="S146" s="31" t="n">
        <v>14928.16</v>
      </c>
      <c r="T146" s="28" t="s">
        <v>238</v>
      </c>
      <c r="U146" s="44" t="n">
        <f aca="false">IF(J146="BUY",S146-M146,M146-S146)</f>
        <v>-0.840000000000146</v>
      </c>
      <c r="V146" s="45" t="n">
        <v>0</v>
      </c>
      <c r="W146" s="45" t="n">
        <v>0</v>
      </c>
      <c r="X146" s="45" t="n">
        <v>-5.21</v>
      </c>
      <c r="Y146" s="32" t="n">
        <f aca="false">IFERROR(X146/R146,0)</f>
        <v>-0.0477727447780076</v>
      </c>
      <c r="Z146" s="28" t="str">
        <f aca="false">IF(X146&gt;0,"Win",IF(X146&lt;0,"Loss","Flat"))</f>
        <v>Loss</v>
      </c>
      <c r="AA146" s="28" t="n">
        <f aca="false">ROUND((C146-B146)*1440,1)</f>
        <v>14.1</v>
      </c>
      <c r="AB146" s="28" t="str">
        <f aca="false">IF(AA146&lt;1,"a) &lt;1 min",IF(AA146&lt;10,"b) 1-10 min",IF(AA146&lt;60,"c) 10-60 min",IF(AA146&lt;240,"d) 1-4 h","e) 4 h+"))))</f>
        <v>c) 10-60 min</v>
      </c>
      <c r="AC146" s="28" t="str">
        <f aca="false">IF(P146&lt;10,"a) &lt;10",IF(P146&lt;20,"b) 10-20",IF(P146&lt;40,"c) 20-40",IF(P146&lt;80,"d) 40-80","e) 80+"))))</f>
        <v>b) 10-20</v>
      </c>
      <c r="AD146" s="30" t="n">
        <f aca="false">Summary!$C$5+SUM(X$2:X146)</f>
        <v>103585.32</v>
      </c>
      <c r="AE146" s="30" t="n">
        <f aca="false">MAX(AE145,AD146)</f>
        <v>103949.73</v>
      </c>
      <c r="AF146" s="30" t="n">
        <f aca="false">AE146-AD146</f>
        <v>364.409999999989</v>
      </c>
      <c r="AG146" s="29" t="n">
        <f aca="false">IFERROR(AF146/AE146,0)</f>
        <v>0.00350563681117776</v>
      </c>
    </row>
    <row r="147" customFormat="false" ht="15" hidden="false" customHeight="false" outlineLevel="0" collapsed="false">
      <c r="A147" s="28" t="n">
        <v>146</v>
      </c>
      <c r="B147" s="43" t="n">
        <v>45218.4493055556</v>
      </c>
      <c r="C147" s="43" t="n">
        <v>45218.4528240741</v>
      </c>
      <c r="D147" s="42" t="n">
        <f aca="false">INT(C147)</f>
        <v>45218</v>
      </c>
      <c r="E147" s="42" t="n">
        <f aca="false">D147-WEEKDAY(D147,3)</f>
        <v>45215</v>
      </c>
      <c r="F147" s="28" t="s">
        <v>149</v>
      </c>
      <c r="G147" s="28" t="n">
        <v>2023</v>
      </c>
      <c r="H147" s="28" t="s">
        <v>239</v>
      </c>
      <c r="I147" s="28" t="n">
        <v>10</v>
      </c>
      <c r="J147" s="28" t="s">
        <v>236</v>
      </c>
      <c r="K147" s="28" t="s">
        <v>237</v>
      </c>
      <c r="L147" s="28" t="n">
        <v>0.31</v>
      </c>
      <c r="M147" s="31" t="n">
        <v>14860.03</v>
      </c>
      <c r="N147" s="31" t="n">
        <v>14876.91</v>
      </c>
      <c r="O147" s="31" t="n">
        <v>14826.42</v>
      </c>
      <c r="P147" s="44" t="n">
        <f aca="false">ABS(M147-N147)</f>
        <v>16.8799999999992</v>
      </c>
      <c r="Q147" s="44" t="n">
        <f aca="false">IF(O147="","",ABS(O147-M147))</f>
        <v>33.6100000000006</v>
      </c>
      <c r="R147" s="30" t="n">
        <f aca="false">P147*L147*Summary!$C$6</f>
        <v>104.655999999995</v>
      </c>
      <c r="S147" s="31" t="n">
        <v>14826.22</v>
      </c>
      <c r="T147" s="28" t="s">
        <v>214</v>
      </c>
      <c r="U147" s="44" t="n">
        <f aca="false">IF(J147="BUY",S147-M147,M147-S147)</f>
        <v>33.8100000000013</v>
      </c>
      <c r="V147" s="45" t="n">
        <v>0</v>
      </c>
      <c r="W147" s="45" t="n">
        <v>0</v>
      </c>
      <c r="X147" s="45" t="n">
        <v>209.62</v>
      </c>
      <c r="Y147" s="32" t="n">
        <f aca="false">IFERROR(X147/R147,0)</f>
        <v>2.00294297508036</v>
      </c>
      <c r="Z147" s="28" t="str">
        <f aca="false">IF(X147&gt;0,"Win",IF(X147&lt;0,"Loss","Flat"))</f>
        <v>Win</v>
      </c>
      <c r="AA147" s="28" t="n">
        <f aca="false">ROUND((C147-B147)*1440,1)</f>
        <v>5.1</v>
      </c>
      <c r="AB147" s="28" t="str">
        <f aca="false">IF(AA147&lt;1,"a) &lt;1 min",IF(AA147&lt;10,"b) 1-10 min",IF(AA147&lt;60,"c) 10-60 min",IF(AA147&lt;240,"d) 1-4 h","e) 4 h+"))))</f>
        <v>b) 1-10 min</v>
      </c>
      <c r="AC147" s="28" t="str">
        <f aca="false">IF(P147&lt;10,"a) &lt;10",IF(P147&lt;20,"b) 10-20",IF(P147&lt;40,"c) 20-40",IF(P147&lt;80,"d) 40-80","e) 80+"))))</f>
        <v>b) 10-20</v>
      </c>
      <c r="AD147" s="30" t="n">
        <f aca="false">Summary!$C$5+SUM(X$2:X147)</f>
        <v>103794.94</v>
      </c>
      <c r="AE147" s="30" t="n">
        <f aca="false">MAX(AE146,AD147)</f>
        <v>103949.73</v>
      </c>
      <c r="AF147" s="30" t="n">
        <f aca="false">AE147-AD147</f>
        <v>154.789999999994</v>
      </c>
      <c r="AG147" s="29" t="n">
        <f aca="false">IFERROR(AF147/AE147,0)</f>
        <v>0.00148908515683488</v>
      </c>
    </row>
    <row r="148" customFormat="false" ht="15" hidden="false" customHeight="false" outlineLevel="0" collapsed="false">
      <c r="A148" s="28" t="n">
        <v>147</v>
      </c>
      <c r="B148" s="43" t="n">
        <v>45219.0458449074</v>
      </c>
      <c r="C148" s="43" t="n">
        <v>45219.1055902778</v>
      </c>
      <c r="D148" s="42" t="n">
        <f aca="false">INT(C148)</f>
        <v>45219</v>
      </c>
      <c r="E148" s="42" t="n">
        <f aca="false">D148-WEEKDAY(D148,3)</f>
        <v>45215</v>
      </c>
      <c r="F148" s="28" t="s">
        <v>149</v>
      </c>
      <c r="G148" s="28" t="n">
        <v>2023</v>
      </c>
      <c r="H148" s="28" t="s">
        <v>242</v>
      </c>
      <c r="I148" s="28" t="n">
        <v>1</v>
      </c>
      <c r="J148" s="28" t="s">
        <v>236</v>
      </c>
      <c r="K148" s="28" t="s">
        <v>237</v>
      </c>
      <c r="L148" s="28" t="n">
        <v>0.31</v>
      </c>
      <c r="M148" s="31" t="n">
        <v>14732.33</v>
      </c>
      <c r="N148" s="31" t="n">
        <v>14743.88</v>
      </c>
      <c r="O148" s="31" t="n">
        <v>14709.23</v>
      </c>
      <c r="P148" s="44" t="n">
        <f aca="false">ABS(M148-N148)</f>
        <v>11.5499999999993</v>
      </c>
      <c r="Q148" s="44" t="n">
        <f aca="false">IF(O148="","",ABS(O148-M148))</f>
        <v>23.1000000000004</v>
      </c>
      <c r="R148" s="30" t="n">
        <f aca="false">P148*L148*Summary!$C$6</f>
        <v>71.6099999999955</v>
      </c>
      <c r="S148" s="31" t="n">
        <v>14732.4</v>
      </c>
      <c r="T148" s="28" t="s">
        <v>238</v>
      </c>
      <c r="U148" s="44" t="n">
        <f aca="false">IF(J148="BUY",S148-M148,M148-S148)</f>
        <v>-0.069999999999709</v>
      </c>
      <c r="V148" s="45" t="n">
        <v>0</v>
      </c>
      <c r="W148" s="45" t="n">
        <v>0</v>
      </c>
      <c r="X148" s="45" t="n">
        <v>-0.43</v>
      </c>
      <c r="Y148" s="32" t="n">
        <f aca="false">IFERROR(X148/R148,0)</f>
        <v>-0.00600474794023219</v>
      </c>
      <c r="Z148" s="28" t="str">
        <f aca="false">IF(X148&gt;0,"Win",IF(X148&lt;0,"Loss","Flat"))</f>
        <v>Loss</v>
      </c>
      <c r="AA148" s="28" t="n">
        <f aca="false">ROUND((C148-B148)*1440,1)</f>
        <v>86</v>
      </c>
      <c r="AB148" s="28" t="str">
        <f aca="false">IF(AA148&lt;1,"a) &lt;1 min",IF(AA148&lt;10,"b) 1-10 min",IF(AA148&lt;60,"c) 10-60 min",IF(AA148&lt;240,"d) 1-4 h","e) 4 h+"))))</f>
        <v>d) 1-4 h</v>
      </c>
      <c r="AC148" s="28" t="str">
        <f aca="false">IF(P148&lt;10,"a) &lt;10",IF(P148&lt;20,"b) 10-20",IF(P148&lt;40,"c) 20-40",IF(P148&lt;80,"d) 40-80","e) 80+"))))</f>
        <v>b) 10-20</v>
      </c>
      <c r="AD148" s="30" t="n">
        <f aca="false">Summary!$C$5+SUM(X$2:X148)</f>
        <v>103794.51</v>
      </c>
      <c r="AE148" s="30" t="n">
        <f aca="false">MAX(AE147,AD148)</f>
        <v>103949.73</v>
      </c>
      <c r="AF148" s="30" t="n">
        <f aca="false">AE148-AD148</f>
        <v>155.220000000001</v>
      </c>
      <c r="AG148" s="29" t="n">
        <f aca="false">IFERROR(AF148/AE148,0)</f>
        <v>0.00149322177171601</v>
      </c>
    </row>
    <row r="149" customFormat="false" ht="15" hidden="false" customHeight="false" outlineLevel="0" collapsed="false">
      <c r="A149" s="28" t="n">
        <v>148</v>
      </c>
      <c r="B149" s="43" t="n">
        <v>45222.4458333333</v>
      </c>
      <c r="C149" s="43" t="n">
        <v>45222.4507175926</v>
      </c>
      <c r="D149" s="42" t="n">
        <f aca="false">INT(C149)</f>
        <v>45222</v>
      </c>
      <c r="E149" s="42" t="n">
        <f aca="false">D149-WEEKDAY(D149,3)</f>
        <v>45222</v>
      </c>
      <c r="F149" s="28" t="s">
        <v>149</v>
      </c>
      <c r="G149" s="28" t="n">
        <v>2023</v>
      </c>
      <c r="H149" s="28" t="s">
        <v>240</v>
      </c>
      <c r="I149" s="28" t="n">
        <v>10</v>
      </c>
      <c r="J149" s="28" t="s">
        <v>236</v>
      </c>
      <c r="K149" s="28" t="s">
        <v>237</v>
      </c>
      <c r="L149" s="28" t="n">
        <v>0.32</v>
      </c>
      <c r="M149" s="31" t="n">
        <v>14544.21</v>
      </c>
      <c r="N149" s="31" t="n">
        <v>14555.93</v>
      </c>
      <c r="O149" s="31" t="n">
        <v>14520.91</v>
      </c>
      <c r="P149" s="44" t="n">
        <f aca="false">ABS(M149-N149)</f>
        <v>11.7200000000012</v>
      </c>
      <c r="Q149" s="44" t="n">
        <f aca="false">IF(O149="","",ABS(O149-M149))</f>
        <v>23.2999999999993</v>
      </c>
      <c r="R149" s="30" t="n">
        <f aca="false">P149*L149*Summary!$C$6</f>
        <v>75.0080000000075</v>
      </c>
      <c r="S149" s="31" t="n">
        <v>14556.16</v>
      </c>
      <c r="T149" s="28" t="s">
        <v>241</v>
      </c>
      <c r="U149" s="44" t="n">
        <f aca="false">IF(J149="BUY",S149-M149,M149-S149)</f>
        <v>-11.9500000000007</v>
      </c>
      <c r="V149" s="45" t="n">
        <v>0</v>
      </c>
      <c r="W149" s="45" t="n">
        <v>0</v>
      </c>
      <c r="X149" s="45" t="n">
        <v>-76.48</v>
      </c>
      <c r="Y149" s="32" t="n">
        <f aca="false">IFERROR(X149/R149,0)</f>
        <v>-1.01962457337874</v>
      </c>
      <c r="Z149" s="28" t="str">
        <f aca="false">IF(X149&gt;0,"Win",IF(X149&lt;0,"Loss","Flat"))</f>
        <v>Loss</v>
      </c>
      <c r="AA149" s="28" t="n">
        <f aca="false">ROUND((C149-B149)*1440,1)</f>
        <v>7</v>
      </c>
      <c r="AB149" s="28" t="str">
        <f aca="false">IF(AA149&lt;1,"a) &lt;1 min",IF(AA149&lt;10,"b) 1-10 min",IF(AA149&lt;60,"c) 10-60 min",IF(AA149&lt;240,"d) 1-4 h","e) 4 h+"))))</f>
        <v>b) 1-10 min</v>
      </c>
      <c r="AC149" s="28" t="str">
        <f aca="false">IF(P149&lt;10,"a) &lt;10",IF(P149&lt;20,"b) 10-20",IF(P149&lt;40,"c) 20-40",IF(P149&lt;80,"d) 40-80","e) 80+"))))</f>
        <v>b) 10-20</v>
      </c>
      <c r="AD149" s="30" t="n">
        <f aca="false">Summary!$C$5+SUM(X$2:X149)</f>
        <v>103718.03</v>
      </c>
      <c r="AE149" s="30" t="n">
        <f aca="false">MAX(AE148,AD149)</f>
        <v>103949.73</v>
      </c>
      <c r="AF149" s="30" t="n">
        <f aca="false">AE149-AD149</f>
        <v>231.699999999997</v>
      </c>
      <c r="AG149" s="29" t="n">
        <f aca="false">IFERROR(AF149/AE149,0)</f>
        <v>0.00222896201846794</v>
      </c>
    </row>
    <row r="150" customFormat="false" ht="15" hidden="false" customHeight="false" outlineLevel="0" collapsed="false">
      <c r="A150" s="28" t="n">
        <v>149</v>
      </c>
      <c r="B150" s="43" t="n">
        <v>45223.7347222222</v>
      </c>
      <c r="C150" s="43" t="n">
        <v>45223.7508101852</v>
      </c>
      <c r="D150" s="42" t="n">
        <f aca="false">INT(C150)</f>
        <v>45223</v>
      </c>
      <c r="E150" s="42" t="n">
        <f aca="false">D150-WEEKDAY(D150,3)</f>
        <v>45222</v>
      </c>
      <c r="F150" s="28" t="s">
        <v>149</v>
      </c>
      <c r="G150" s="28" t="n">
        <v>2023</v>
      </c>
      <c r="H150" s="28" t="s">
        <v>232</v>
      </c>
      <c r="I150" s="28" t="n">
        <v>17</v>
      </c>
      <c r="J150" s="28" t="s">
        <v>233</v>
      </c>
      <c r="K150" s="28" t="s">
        <v>234</v>
      </c>
      <c r="L150" s="28" t="n">
        <v>0.31</v>
      </c>
      <c r="M150" s="31" t="n">
        <v>14753.8</v>
      </c>
      <c r="N150" s="31" t="n">
        <v>14726.69</v>
      </c>
      <c r="O150" s="31" t="n">
        <v>14806.55</v>
      </c>
      <c r="P150" s="44" t="n">
        <f aca="false">ABS(M150-N150)</f>
        <v>27.1099999999988</v>
      </c>
      <c r="Q150" s="44" t="n">
        <f aca="false">IF(O150="","",ABS(O150-M150))</f>
        <v>52.75</v>
      </c>
      <c r="R150" s="30" t="n">
        <f aca="false">P150*L150*Summary!$C$6</f>
        <v>168.081999999992</v>
      </c>
      <c r="S150" s="31" t="n">
        <v>14725.28</v>
      </c>
      <c r="T150" s="28" t="s">
        <v>241</v>
      </c>
      <c r="U150" s="44" t="n">
        <f aca="false">IF(J150="BUY",S150-M150,M150-S150)</f>
        <v>-28.5199999999986</v>
      </c>
      <c r="V150" s="45" t="n">
        <v>0</v>
      </c>
      <c r="W150" s="45" t="n">
        <v>0</v>
      </c>
      <c r="X150" s="45" t="n">
        <v>-176.82</v>
      </c>
      <c r="Y150" s="32" t="n">
        <f aca="false">IFERROR(X150/R150,0)</f>
        <v>-1.05198653038403</v>
      </c>
      <c r="Z150" s="28" t="str">
        <f aca="false">IF(X150&gt;0,"Win",IF(X150&lt;0,"Loss","Flat"))</f>
        <v>Loss</v>
      </c>
      <c r="AA150" s="28" t="n">
        <f aca="false">ROUND((C150-B150)*1440,1)</f>
        <v>23.2</v>
      </c>
      <c r="AB150" s="28" t="str">
        <f aca="false">IF(AA150&lt;1,"a) &lt;1 min",IF(AA150&lt;10,"b) 1-10 min",IF(AA150&lt;60,"c) 10-60 min",IF(AA150&lt;240,"d) 1-4 h","e) 4 h+"))))</f>
        <v>c) 10-60 min</v>
      </c>
      <c r="AC150" s="28" t="str">
        <f aca="false">IF(P150&lt;10,"a) &lt;10",IF(P150&lt;20,"b) 10-20",IF(P150&lt;40,"c) 20-40",IF(P150&lt;80,"d) 40-80","e) 80+"))))</f>
        <v>c) 20-40</v>
      </c>
      <c r="AD150" s="30" t="n">
        <f aca="false">Summary!$C$5+SUM(X$2:X150)</f>
        <v>103541.21</v>
      </c>
      <c r="AE150" s="30" t="n">
        <f aca="false">MAX(AE149,AD150)</f>
        <v>103949.73</v>
      </c>
      <c r="AF150" s="30" t="n">
        <f aca="false">AE150-AD150</f>
        <v>408.51999999999</v>
      </c>
      <c r="AG150" s="29" t="n">
        <f aca="false">IFERROR(AF150/AE150,0)</f>
        <v>0.0039299765376975</v>
      </c>
    </row>
    <row r="151" customFormat="false" ht="15" hidden="false" customHeight="false" outlineLevel="0" collapsed="false">
      <c r="A151" s="28" t="n">
        <v>150</v>
      </c>
      <c r="B151" s="43" t="n">
        <v>45224.6888888889</v>
      </c>
      <c r="C151" s="43" t="n">
        <v>45224.6910416667</v>
      </c>
      <c r="D151" s="42" t="n">
        <f aca="false">INT(C151)</f>
        <v>45224</v>
      </c>
      <c r="E151" s="42" t="n">
        <f aca="false">D151-WEEKDAY(D151,3)</f>
        <v>45222</v>
      </c>
      <c r="F151" s="28" t="s">
        <v>149</v>
      </c>
      <c r="G151" s="28" t="n">
        <v>2023</v>
      </c>
      <c r="H151" s="28" t="s">
        <v>235</v>
      </c>
      <c r="I151" s="28" t="n">
        <v>16</v>
      </c>
      <c r="J151" s="28" t="s">
        <v>236</v>
      </c>
      <c r="K151" s="28" t="s">
        <v>237</v>
      </c>
      <c r="L151" s="28" t="n">
        <v>0.31</v>
      </c>
      <c r="M151" s="31" t="n">
        <v>14606.35</v>
      </c>
      <c r="N151" s="31" t="n">
        <v>14625.78</v>
      </c>
      <c r="O151" s="31" t="n">
        <v>14568.23</v>
      </c>
      <c r="P151" s="44" t="n">
        <f aca="false">ABS(M151-N151)</f>
        <v>19.4300000000003</v>
      </c>
      <c r="Q151" s="44" t="n">
        <f aca="false">IF(O151="","",ABS(O151-M151))</f>
        <v>38.1200000000008</v>
      </c>
      <c r="R151" s="30" t="n">
        <f aca="false">P151*L151*Summary!$C$6</f>
        <v>120.466000000002</v>
      </c>
      <c r="S151" s="31" t="n">
        <v>14568.14</v>
      </c>
      <c r="T151" s="28" t="s">
        <v>214</v>
      </c>
      <c r="U151" s="44" t="n">
        <f aca="false">IF(J151="BUY",S151-M151,M151-S151)</f>
        <v>38.2100000000009</v>
      </c>
      <c r="V151" s="45" t="n">
        <v>0</v>
      </c>
      <c r="W151" s="45" t="n">
        <v>0</v>
      </c>
      <c r="X151" s="45" t="n">
        <v>236.9</v>
      </c>
      <c r="Y151" s="32" t="n">
        <f aca="false">IFERROR(X151/R151,0)</f>
        <v>1.9665299752627</v>
      </c>
      <c r="Z151" s="28" t="str">
        <f aca="false">IF(X151&gt;0,"Win",IF(X151&lt;0,"Loss","Flat"))</f>
        <v>Win</v>
      </c>
      <c r="AA151" s="28" t="n">
        <f aca="false">ROUND((C151-B151)*1440,1)</f>
        <v>3.1</v>
      </c>
      <c r="AB151" s="28" t="str">
        <f aca="false">IF(AA151&lt;1,"a) &lt;1 min",IF(AA151&lt;10,"b) 1-10 min",IF(AA151&lt;60,"c) 10-60 min",IF(AA151&lt;240,"d) 1-4 h","e) 4 h+"))))</f>
        <v>b) 1-10 min</v>
      </c>
      <c r="AC151" s="28" t="str">
        <f aca="false">IF(P151&lt;10,"a) &lt;10",IF(P151&lt;20,"b) 10-20",IF(P151&lt;40,"c) 20-40",IF(P151&lt;80,"d) 40-80","e) 80+"))))</f>
        <v>b) 10-20</v>
      </c>
      <c r="AD151" s="30" t="n">
        <f aca="false">Summary!$C$5+SUM(X$2:X151)</f>
        <v>103778.11</v>
      </c>
      <c r="AE151" s="30" t="n">
        <f aca="false">MAX(AE150,AD151)</f>
        <v>103949.73</v>
      </c>
      <c r="AF151" s="30" t="n">
        <f aca="false">AE151-AD151</f>
        <v>171.619999999995</v>
      </c>
      <c r="AG151" s="29" t="n">
        <f aca="false">IFERROR(AF151/AE151,0)</f>
        <v>0.0016509903392726</v>
      </c>
    </row>
    <row r="152" customFormat="false" ht="15" hidden="false" customHeight="false" outlineLevel="0" collapsed="false">
      <c r="A152" s="28" t="n">
        <v>151</v>
      </c>
      <c r="B152" s="43" t="n">
        <v>45225.0423611111</v>
      </c>
      <c r="C152" s="43" t="n">
        <v>45225.0978703704</v>
      </c>
      <c r="D152" s="42" t="n">
        <f aca="false">INT(C152)</f>
        <v>45225</v>
      </c>
      <c r="E152" s="42" t="n">
        <f aca="false">D152-WEEKDAY(D152,3)</f>
        <v>45222</v>
      </c>
      <c r="F152" s="28" t="s">
        <v>149</v>
      </c>
      <c r="G152" s="28" t="n">
        <v>2023</v>
      </c>
      <c r="H152" s="28" t="s">
        <v>239</v>
      </c>
      <c r="I152" s="28" t="n">
        <v>1</v>
      </c>
      <c r="J152" s="28" t="s">
        <v>236</v>
      </c>
      <c r="K152" s="28" t="s">
        <v>237</v>
      </c>
      <c r="L152" s="28" t="n">
        <v>0.32</v>
      </c>
      <c r="M152" s="31" t="n">
        <v>14338.52</v>
      </c>
      <c r="N152" s="31" t="n">
        <v>14376.31</v>
      </c>
      <c r="O152" s="31" t="n">
        <v>14262.94</v>
      </c>
      <c r="P152" s="44" t="n">
        <f aca="false">ABS(M152-N152)</f>
        <v>37.7899999999991</v>
      </c>
      <c r="Q152" s="44" t="n">
        <f aca="false">IF(O152="","",ABS(O152-M152))</f>
        <v>75.5799999999999</v>
      </c>
      <c r="R152" s="30" t="n">
        <f aca="false">P152*L152*Summary!$C$6</f>
        <v>241.855999999994</v>
      </c>
      <c r="S152" s="31" t="n">
        <v>14261.82</v>
      </c>
      <c r="T152" s="28" t="s">
        <v>214</v>
      </c>
      <c r="U152" s="44" t="n">
        <f aca="false">IF(J152="BUY",S152-M152,M152-S152)</f>
        <v>76.7000000000007</v>
      </c>
      <c r="V152" s="45" t="n">
        <v>0</v>
      </c>
      <c r="W152" s="45" t="n">
        <v>0</v>
      </c>
      <c r="X152" s="45" t="n">
        <v>490.88</v>
      </c>
      <c r="Y152" s="32" t="n">
        <f aca="false">IFERROR(X152/R152,0)</f>
        <v>2.02963747023027</v>
      </c>
      <c r="Z152" s="28" t="str">
        <f aca="false">IF(X152&gt;0,"Win",IF(X152&lt;0,"Loss","Flat"))</f>
        <v>Win</v>
      </c>
      <c r="AA152" s="28" t="n">
        <f aca="false">ROUND((C152-B152)*1440,1)</f>
        <v>79.9</v>
      </c>
      <c r="AB152" s="28" t="str">
        <f aca="false">IF(AA152&lt;1,"a) &lt;1 min",IF(AA152&lt;10,"b) 1-10 min",IF(AA152&lt;60,"c) 10-60 min",IF(AA152&lt;240,"d) 1-4 h","e) 4 h+"))))</f>
        <v>d) 1-4 h</v>
      </c>
      <c r="AC152" s="28" t="str">
        <f aca="false">IF(P152&lt;10,"a) &lt;10",IF(P152&lt;20,"b) 10-20",IF(P152&lt;40,"c) 20-40",IF(P152&lt;80,"d) 40-80","e) 80+"))))</f>
        <v>c) 20-40</v>
      </c>
      <c r="AD152" s="30" t="n">
        <f aca="false">Summary!$C$5+SUM(X$2:X152)</f>
        <v>104268.99</v>
      </c>
      <c r="AE152" s="30" t="n">
        <f aca="false">MAX(AE151,AD152)</f>
        <v>104268.99</v>
      </c>
      <c r="AF152" s="30" t="n">
        <f aca="false">AE152-AD152</f>
        <v>0</v>
      </c>
      <c r="AG152" s="29" t="n">
        <f aca="false">IFERROR(AF152/AE152,0)</f>
        <v>0</v>
      </c>
    </row>
    <row r="153" customFormat="false" ht="15" hidden="false" customHeight="false" outlineLevel="0" collapsed="false">
      <c r="A153" s="28" t="n">
        <v>152</v>
      </c>
      <c r="B153" s="43" t="n">
        <v>45229.6930555556</v>
      </c>
      <c r="C153" s="43" t="n">
        <v>45229.7111574074</v>
      </c>
      <c r="D153" s="42" t="n">
        <f aca="false">INT(C153)</f>
        <v>45229</v>
      </c>
      <c r="E153" s="42" t="n">
        <f aca="false">D153-WEEKDAY(D153,3)</f>
        <v>45229</v>
      </c>
      <c r="F153" s="28" t="s">
        <v>149</v>
      </c>
      <c r="G153" s="28" t="n">
        <v>2023</v>
      </c>
      <c r="H153" s="28" t="s">
        <v>240</v>
      </c>
      <c r="I153" s="28" t="n">
        <v>16</v>
      </c>
      <c r="J153" s="28" t="s">
        <v>233</v>
      </c>
      <c r="K153" s="28" t="s">
        <v>234</v>
      </c>
      <c r="L153" s="28" t="n">
        <v>0.32</v>
      </c>
      <c r="M153" s="31" t="n">
        <v>14332.65</v>
      </c>
      <c r="N153" s="31" t="n">
        <v>14298.54</v>
      </c>
      <c r="O153" s="31" t="n">
        <v>14400.94</v>
      </c>
      <c r="P153" s="44" t="n">
        <f aca="false">ABS(M153-N153)</f>
        <v>34.1099999999988</v>
      </c>
      <c r="Q153" s="44" t="n">
        <f aca="false">IF(O153="","",ABS(O153-M153))</f>
        <v>68.2900000000009</v>
      </c>
      <c r="R153" s="30" t="n">
        <f aca="false">P153*L153*Summary!$C$6</f>
        <v>218.303999999992</v>
      </c>
      <c r="S153" s="31" t="n">
        <v>14332.54</v>
      </c>
      <c r="T153" s="28" t="s">
        <v>238</v>
      </c>
      <c r="U153" s="44" t="n">
        <f aca="false">IF(J153="BUY",S153-M153,M153-S153)</f>
        <v>-0.109999999998763</v>
      </c>
      <c r="V153" s="45" t="n">
        <v>0</v>
      </c>
      <c r="W153" s="45" t="n">
        <v>0</v>
      </c>
      <c r="X153" s="45" t="n">
        <v>-0.7</v>
      </c>
      <c r="Y153" s="32" t="n">
        <f aca="false">IFERROR(X153/R153,0)</f>
        <v>-0.003206537672237</v>
      </c>
      <c r="Z153" s="28" t="str">
        <f aca="false">IF(X153&gt;0,"Win",IF(X153&lt;0,"Loss","Flat"))</f>
        <v>Loss</v>
      </c>
      <c r="AA153" s="28" t="n">
        <f aca="false">ROUND((C153-B153)*1440,1)</f>
        <v>26.1</v>
      </c>
      <c r="AB153" s="28" t="str">
        <f aca="false">IF(AA153&lt;1,"a) &lt;1 min",IF(AA153&lt;10,"b) 1-10 min",IF(AA153&lt;60,"c) 10-60 min",IF(AA153&lt;240,"d) 1-4 h","e) 4 h+"))))</f>
        <v>c) 10-60 min</v>
      </c>
      <c r="AC153" s="28" t="str">
        <f aca="false">IF(P153&lt;10,"a) &lt;10",IF(P153&lt;20,"b) 10-20",IF(P153&lt;40,"c) 20-40",IF(P153&lt;80,"d) 40-80","e) 80+"))))</f>
        <v>c) 20-40</v>
      </c>
      <c r="AD153" s="30" t="n">
        <f aca="false">Summary!$C$5+SUM(X$2:X153)</f>
        <v>104268.29</v>
      </c>
      <c r="AE153" s="30" t="n">
        <f aca="false">MAX(AE152,AD153)</f>
        <v>104268.99</v>
      </c>
      <c r="AF153" s="30" t="n">
        <f aca="false">AE153-AD153</f>
        <v>0.700000000011642</v>
      </c>
      <c r="AG153" s="29" t="n">
        <f aca="false">IFERROR(AF153/AE153,0)</f>
        <v>6.71340539513849E-006</v>
      </c>
    </row>
    <row r="154" customFormat="false" ht="15" hidden="false" customHeight="false" outlineLevel="0" collapsed="false">
      <c r="A154" s="28" t="n">
        <v>153</v>
      </c>
      <c r="B154" s="43" t="n">
        <v>45230.8708333333</v>
      </c>
      <c r="C154" s="43" t="n">
        <v>45230.8880439815</v>
      </c>
      <c r="D154" s="42" t="n">
        <f aca="false">INT(C154)</f>
        <v>45230</v>
      </c>
      <c r="E154" s="42" t="n">
        <f aca="false">D154-WEEKDAY(D154,3)</f>
        <v>45229</v>
      </c>
      <c r="F154" s="28" t="s">
        <v>149</v>
      </c>
      <c r="G154" s="28" t="n">
        <v>2023</v>
      </c>
      <c r="H154" s="28" t="s">
        <v>232</v>
      </c>
      <c r="I154" s="28" t="n">
        <v>20</v>
      </c>
      <c r="J154" s="28" t="s">
        <v>233</v>
      </c>
      <c r="K154" s="28" t="s">
        <v>234</v>
      </c>
      <c r="L154" s="28" t="n">
        <v>0.32</v>
      </c>
      <c r="M154" s="31" t="n">
        <v>14394.81</v>
      </c>
      <c r="N154" s="31" t="n">
        <v>14379.56</v>
      </c>
      <c r="O154" s="31" t="n">
        <v>14425.32</v>
      </c>
      <c r="P154" s="44" t="n">
        <f aca="false">ABS(M154-N154)</f>
        <v>15.25</v>
      </c>
      <c r="Q154" s="44" t="n">
        <f aca="false">IF(O154="","",ABS(O154-M154))</f>
        <v>30.5100000000002</v>
      </c>
      <c r="R154" s="30" t="n">
        <f aca="false">P154*L154*Summary!$C$6</f>
        <v>97.6</v>
      </c>
      <c r="S154" s="31" t="n">
        <v>14379.53</v>
      </c>
      <c r="T154" s="28" t="s">
        <v>241</v>
      </c>
      <c r="U154" s="44" t="n">
        <f aca="false">IF(J154="BUY",S154-M154,M154-S154)</f>
        <v>-15.2799999999988</v>
      </c>
      <c r="V154" s="45" t="n">
        <v>0</v>
      </c>
      <c r="W154" s="45" t="n">
        <v>0</v>
      </c>
      <c r="X154" s="45" t="n">
        <v>-97.79</v>
      </c>
      <c r="Y154" s="32" t="n">
        <f aca="false">IFERROR(X154/R154,0)</f>
        <v>-1.00194672131148</v>
      </c>
      <c r="Z154" s="28" t="str">
        <f aca="false">IF(X154&gt;0,"Win",IF(X154&lt;0,"Loss","Flat"))</f>
        <v>Loss</v>
      </c>
      <c r="AA154" s="28" t="n">
        <f aca="false">ROUND((C154-B154)*1440,1)</f>
        <v>24.8</v>
      </c>
      <c r="AB154" s="28" t="str">
        <f aca="false">IF(AA154&lt;1,"a) &lt;1 min",IF(AA154&lt;10,"b) 1-10 min",IF(AA154&lt;60,"c) 10-60 min",IF(AA154&lt;240,"d) 1-4 h","e) 4 h+"))))</f>
        <v>c) 10-60 min</v>
      </c>
      <c r="AC154" s="28" t="str">
        <f aca="false">IF(P154&lt;10,"a) &lt;10",IF(P154&lt;20,"b) 10-20",IF(P154&lt;40,"c) 20-40",IF(P154&lt;80,"d) 40-80","e) 80+"))))</f>
        <v>b) 10-20</v>
      </c>
      <c r="AD154" s="30" t="n">
        <f aca="false">Summary!$C$5+SUM(X$2:X154)</f>
        <v>104170.5</v>
      </c>
      <c r="AE154" s="30" t="n">
        <f aca="false">MAX(AE153,AD154)</f>
        <v>104268.99</v>
      </c>
      <c r="AF154" s="30" t="n">
        <f aca="false">AE154-AD154</f>
        <v>98.4900000000052</v>
      </c>
      <c r="AG154" s="29" t="n">
        <f aca="false">IFERROR(AF154/AE154,0)</f>
        <v>0.000944576139080327</v>
      </c>
    </row>
    <row r="155" customFormat="false" ht="15" hidden="false" customHeight="false" outlineLevel="0" collapsed="false">
      <c r="A155" s="28" t="n">
        <v>154</v>
      </c>
      <c r="B155" s="43" t="n">
        <v>45231.6506944444</v>
      </c>
      <c r="C155" s="43" t="n">
        <v>45231.6676157407</v>
      </c>
      <c r="D155" s="42" t="n">
        <f aca="false">INT(C155)</f>
        <v>45231</v>
      </c>
      <c r="E155" s="42" t="n">
        <f aca="false">D155-WEEKDAY(D155,3)</f>
        <v>45229</v>
      </c>
      <c r="F155" s="28" t="s">
        <v>150</v>
      </c>
      <c r="G155" s="28" t="n">
        <v>2023</v>
      </c>
      <c r="H155" s="28" t="s">
        <v>235</v>
      </c>
      <c r="I155" s="28" t="n">
        <v>15</v>
      </c>
      <c r="J155" s="28" t="s">
        <v>233</v>
      </c>
      <c r="K155" s="28" t="s">
        <v>234</v>
      </c>
      <c r="L155" s="28" t="n">
        <v>0.32</v>
      </c>
      <c r="M155" s="31" t="n">
        <v>14421.71</v>
      </c>
      <c r="N155" s="31" t="n">
        <v>14397.46</v>
      </c>
      <c r="O155" s="31" t="n">
        <v>14470.22</v>
      </c>
      <c r="P155" s="44" t="n">
        <f aca="false">ABS(M155-N155)</f>
        <v>24.25</v>
      </c>
      <c r="Q155" s="44" t="n">
        <f aca="false">IF(O155="","",ABS(O155-M155))</f>
        <v>48.5100000000002</v>
      </c>
      <c r="R155" s="30" t="n">
        <f aca="false">P155*L155*Summary!$C$6</f>
        <v>155.2</v>
      </c>
      <c r="S155" s="31" t="n">
        <v>14396.99</v>
      </c>
      <c r="T155" s="28" t="s">
        <v>241</v>
      </c>
      <c r="U155" s="44" t="n">
        <f aca="false">IF(J155="BUY",S155-M155,M155-S155)</f>
        <v>-24.7199999999993</v>
      </c>
      <c r="V155" s="45" t="n">
        <v>0</v>
      </c>
      <c r="W155" s="45" t="n">
        <v>0</v>
      </c>
      <c r="X155" s="45" t="n">
        <v>-158.21</v>
      </c>
      <c r="Y155" s="32" t="n">
        <f aca="false">IFERROR(X155/R155,0)</f>
        <v>-1.01939432989691</v>
      </c>
      <c r="Z155" s="28" t="str">
        <f aca="false">IF(X155&gt;0,"Win",IF(X155&lt;0,"Loss","Flat"))</f>
        <v>Loss</v>
      </c>
      <c r="AA155" s="28" t="n">
        <f aca="false">ROUND((C155-B155)*1440,1)</f>
        <v>24.4</v>
      </c>
      <c r="AB155" s="28" t="str">
        <f aca="false">IF(AA155&lt;1,"a) &lt;1 min",IF(AA155&lt;10,"b) 1-10 min",IF(AA155&lt;60,"c) 10-60 min",IF(AA155&lt;240,"d) 1-4 h","e) 4 h+"))))</f>
        <v>c) 10-60 min</v>
      </c>
      <c r="AC155" s="28" t="str">
        <f aca="false">IF(P155&lt;10,"a) &lt;10",IF(P155&lt;20,"b) 10-20",IF(P155&lt;40,"c) 20-40",IF(P155&lt;80,"d) 40-80","e) 80+"))))</f>
        <v>c) 20-40</v>
      </c>
      <c r="AD155" s="30" t="n">
        <f aca="false">Summary!$C$5+SUM(X$2:X155)</f>
        <v>104012.29</v>
      </c>
      <c r="AE155" s="30" t="n">
        <f aca="false">MAX(AE154,AD155)</f>
        <v>104268.99</v>
      </c>
      <c r="AF155" s="30" t="n">
        <f aca="false">AE155-AD155</f>
        <v>256.700000000012</v>
      </c>
      <c r="AG155" s="29" t="n">
        <f aca="false">IFERROR(AF155/AE155,0)</f>
        <v>0.00246190166414781</v>
      </c>
    </row>
    <row r="156" customFormat="false" ht="15" hidden="false" customHeight="false" outlineLevel="0" collapsed="false">
      <c r="A156" s="28" t="n">
        <v>155</v>
      </c>
      <c r="B156" s="43" t="n">
        <v>45232.0423611111</v>
      </c>
      <c r="C156" s="43" t="n">
        <v>45232.0951388889</v>
      </c>
      <c r="D156" s="42" t="n">
        <f aca="false">INT(C156)</f>
        <v>45232</v>
      </c>
      <c r="E156" s="42" t="n">
        <f aca="false">D156-WEEKDAY(D156,3)</f>
        <v>45229</v>
      </c>
      <c r="F156" s="28" t="s">
        <v>150</v>
      </c>
      <c r="G156" s="28" t="n">
        <v>2023</v>
      </c>
      <c r="H156" s="28" t="s">
        <v>239</v>
      </c>
      <c r="I156" s="28" t="n">
        <v>1</v>
      </c>
      <c r="J156" s="28" t="s">
        <v>233</v>
      </c>
      <c r="K156" s="28" t="s">
        <v>234</v>
      </c>
      <c r="L156" s="28" t="n">
        <v>0.31</v>
      </c>
      <c r="M156" s="31" t="n">
        <v>14682.1</v>
      </c>
      <c r="N156" s="31" t="n">
        <v>14669.63</v>
      </c>
      <c r="O156" s="31" t="n">
        <v>14707.04</v>
      </c>
      <c r="P156" s="44" t="n">
        <f aca="false">ABS(M156-N156)</f>
        <v>12.4700000000012</v>
      </c>
      <c r="Q156" s="44" t="n">
        <f aca="false">IF(O156="","",ABS(O156-M156))</f>
        <v>24.9400000000005</v>
      </c>
      <c r="R156" s="30" t="n">
        <f aca="false">P156*L156*Summary!$C$6</f>
        <v>77.3140000000072</v>
      </c>
      <c r="S156" s="31" t="n">
        <v>14707.11</v>
      </c>
      <c r="T156" s="28" t="s">
        <v>214</v>
      </c>
      <c r="U156" s="44" t="n">
        <f aca="false">IF(J156="BUY",S156-M156,M156-S156)</f>
        <v>25.0100000000002</v>
      </c>
      <c r="V156" s="45" t="n">
        <v>0</v>
      </c>
      <c r="W156" s="45" t="n">
        <v>0</v>
      </c>
      <c r="X156" s="45" t="n">
        <v>155.06</v>
      </c>
      <c r="Y156" s="32" t="n">
        <f aca="false">IFERROR(X156/R156,0)</f>
        <v>2.00558760379731</v>
      </c>
      <c r="Z156" s="28" t="str">
        <f aca="false">IF(X156&gt;0,"Win",IF(X156&lt;0,"Loss","Flat"))</f>
        <v>Win</v>
      </c>
      <c r="AA156" s="28" t="n">
        <f aca="false">ROUND((C156-B156)*1440,1)</f>
        <v>76</v>
      </c>
      <c r="AB156" s="28" t="str">
        <f aca="false">IF(AA156&lt;1,"a) &lt;1 min",IF(AA156&lt;10,"b) 1-10 min",IF(AA156&lt;60,"c) 10-60 min",IF(AA156&lt;240,"d) 1-4 h","e) 4 h+"))))</f>
        <v>d) 1-4 h</v>
      </c>
      <c r="AC156" s="28" t="str">
        <f aca="false">IF(P156&lt;10,"a) &lt;10",IF(P156&lt;20,"b) 10-20",IF(P156&lt;40,"c) 20-40",IF(P156&lt;80,"d) 40-80","e) 80+"))))</f>
        <v>b) 10-20</v>
      </c>
      <c r="AD156" s="30" t="n">
        <f aca="false">Summary!$C$5+SUM(X$2:X156)</f>
        <v>104167.35</v>
      </c>
      <c r="AE156" s="30" t="n">
        <f aca="false">MAX(AE155,AD156)</f>
        <v>104268.99</v>
      </c>
      <c r="AF156" s="30" t="n">
        <f aca="false">AE156-AD156</f>
        <v>101.639999999999</v>
      </c>
      <c r="AG156" s="29" t="n">
        <f aca="false">IFERROR(AF156/AE156,0)</f>
        <v>0.000974786463357892</v>
      </c>
    </row>
    <row r="157" customFormat="false" ht="15" hidden="false" customHeight="false" outlineLevel="0" collapsed="false">
      <c r="A157" s="28" t="n">
        <v>156</v>
      </c>
      <c r="B157" s="43" t="n">
        <v>45233.6465277778</v>
      </c>
      <c r="C157" s="43" t="n">
        <v>45233.6529166667</v>
      </c>
      <c r="D157" s="42" t="n">
        <f aca="false">INT(C157)</f>
        <v>45233</v>
      </c>
      <c r="E157" s="42" t="n">
        <f aca="false">D157-WEEKDAY(D157,3)</f>
        <v>45229</v>
      </c>
      <c r="F157" s="28" t="s">
        <v>150</v>
      </c>
      <c r="G157" s="28" t="n">
        <v>2023</v>
      </c>
      <c r="H157" s="28" t="s">
        <v>242</v>
      </c>
      <c r="I157" s="28" t="n">
        <v>15</v>
      </c>
      <c r="J157" s="28" t="s">
        <v>233</v>
      </c>
      <c r="K157" s="28" t="s">
        <v>234</v>
      </c>
      <c r="L157" s="28" t="n">
        <v>0.31</v>
      </c>
      <c r="M157" s="31" t="n">
        <v>14955.05</v>
      </c>
      <c r="N157" s="31" t="n">
        <v>14932.05</v>
      </c>
      <c r="O157" s="31" t="n">
        <v>15010.29</v>
      </c>
      <c r="P157" s="44" t="n">
        <f aca="false">ABS(M157-N157)</f>
        <v>23</v>
      </c>
      <c r="Q157" s="44" t="n">
        <f aca="false">IF(O157="","",ABS(O157-M157))</f>
        <v>55.2400000000016</v>
      </c>
      <c r="R157" s="30" t="n">
        <f aca="false">P157*L157*Summary!$C$6</f>
        <v>142.6</v>
      </c>
      <c r="S157" s="31" t="n">
        <v>14955.02</v>
      </c>
      <c r="T157" s="28" t="s">
        <v>238</v>
      </c>
      <c r="U157" s="44" t="n">
        <f aca="false">IF(J157="BUY",S157-M157,M157-S157)</f>
        <v>-0.0299999999988358</v>
      </c>
      <c r="V157" s="45" t="n">
        <v>0</v>
      </c>
      <c r="W157" s="45" t="n">
        <v>0</v>
      </c>
      <c r="X157" s="45" t="n">
        <v>-0.19</v>
      </c>
      <c r="Y157" s="32" t="n">
        <f aca="false">IFERROR(X157/R157,0)</f>
        <v>-0.00133239831697055</v>
      </c>
      <c r="Z157" s="28" t="str">
        <f aca="false">IF(X157&gt;0,"Win",IF(X157&lt;0,"Loss","Flat"))</f>
        <v>Loss</v>
      </c>
      <c r="AA157" s="28" t="n">
        <f aca="false">ROUND((C157-B157)*1440,1)</f>
        <v>9.2</v>
      </c>
      <c r="AB157" s="28" t="str">
        <f aca="false">IF(AA157&lt;1,"a) &lt;1 min",IF(AA157&lt;10,"b) 1-10 min",IF(AA157&lt;60,"c) 10-60 min",IF(AA157&lt;240,"d) 1-4 h","e) 4 h+"))))</f>
        <v>b) 1-10 min</v>
      </c>
      <c r="AC157" s="28" t="str">
        <f aca="false">IF(P157&lt;10,"a) &lt;10",IF(P157&lt;20,"b) 10-20",IF(P157&lt;40,"c) 20-40",IF(P157&lt;80,"d) 40-80","e) 80+"))))</f>
        <v>c) 20-40</v>
      </c>
      <c r="AD157" s="30" t="n">
        <f aca="false">Summary!$C$5+SUM(X$2:X157)</f>
        <v>104167.16</v>
      </c>
      <c r="AE157" s="30" t="n">
        <f aca="false">MAX(AE156,AD157)</f>
        <v>104268.99</v>
      </c>
      <c r="AF157" s="30" t="n">
        <f aca="false">AE157-AD157</f>
        <v>101.830000000002</v>
      </c>
      <c r="AG157" s="29" t="n">
        <f aca="false">IFERROR(AF157/AE157,0)</f>
        <v>0.000976608673393708</v>
      </c>
    </row>
    <row r="158" customFormat="false" ht="15" hidden="false" customHeight="false" outlineLevel="0" collapsed="false">
      <c r="A158" s="28" t="n">
        <v>157</v>
      </c>
      <c r="B158" s="43" t="n">
        <v>45236.6881944445</v>
      </c>
      <c r="C158" s="43" t="n">
        <v>45236.6895949074</v>
      </c>
      <c r="D158" s="42" t="n">
        <f aca="false">INT(C158)</f>
        <v>45236</v>
      </c>
      <c r="E158" s="42" t="n">
        <f aca="false">D158-WEEKDAY(D158,3)</f>
        <v>45236</v>
      </c>
      <c r="F158" s="28" t="s">
        <v>150</v>
      </c>
      <c r="G158" s="28" t="n">
        <v>2023</v>
      </c>
      <c r="H158" s="28" t="s">
        <v>240</v>
      </c>
      <c r="I158" s="28" t="n">
        <v>16</v>
      </c>
      <c r="J158" s="28" t="s">
        <v>233</v>
      </c>
      <c r="K158" s="28" t="s">
        <v>234</v>
      </c>
      <c r="L158" s="28" t="n">
        <v>0.3</v>
      </c>
      <c r="M158" s="31" t="n">
        <v>15155.59</v>
      </c>
      <c r="N158" s="31" t="n">
        <v>15142.83</v>
      </c>
      <c r="O158" s="31" t="n">
        <v>15181.1</v>
      </c>
      <c r="P158" s="44" t="n">
        <f aca="false">ABS(M158-N158)</f>
        <v>12.7600000000002</v>
      </c>
      <c r="Q158" s="44" t="n">
        <f aca="false">IF(O158="","",ABS(O158-M158))</f>
        <v>25.5100000000002</v>
      </c>
      <c r="R158" s="30" t="n">
        <f aca="false">P158*L158*Summary!$C$6</f>
        <v>76.5600000000013</v>
      </c>
      <c r="S158" s="31" t="n">
        <v>15142.6</v>
      </c>
      <c r="T158" s="28" t="s">
        <v>241</v>
      </c>
      <c r="U158" s="44" t="n">
        <f aca="false">IF(J158="BUY",S158-M158,M158-S158)</f>
        <v>-12.9899999999998</v>
      </c>
      <c r="V158" s="45" t="n">
        <v>0</v>
      </c>
      <c r="W158" s="45" t="n">
        <v>0</v>
      </c>
      <c r="X158" s="45" t="n">
        <v>-77.94</v>
      </c>
      <c r="Y158" s="32" t="n">
        <f aca="false">IFERROR(X158/R158,0)</f>
        <v>-1.01802507836989</v>
      </c>
      <c r="Z158" s="28" t="str">
        <f aca="false">IF(X158&gt;0,"Win",IF(X158&lt;0,"Loss","Flat"))</f>
        <v>Loss</v>
      </c>
      <c r="AA158" s="28" t="n">
        <f aca="false">ROUND((C158-B158)*1440,1)</f>
        <v>2</v>
      </c>
      <c r="AB158" s="28" t="str">
        <f aca="false">IF(AA158&lt;1,"a) &lt;1 min",IF(AA158&lt;10,"b) 1-10 min",IF(AA158&lt;60,"c) 10-60 min",IF(AA158&lt;240,"d) 1-4 h","e) 4 h+"))))</f>
        <v>b) 1-10 min</v>
      </c>
      <c r="AC158" s="28" t="str">
        <f aca="false">IF(P158&lt;10,"a) &lt;10",IF(P158&lt;20,"b) 10-20",IF(P158&lt;40,"c) 20-40",IF(P158&lt;80,"d) 40-80","e) 80+"))))</f>
        <v>b) 10-20</v>
      </c>
      <c r="AD158" s="30" t="n">
        <f aca="false">Summary!$C$5+SUM(X$2:X158)</f>
        <v>104089.22</v>
      </c>
      <c r="AE158" s="30" t="n">
        <f aca="false">MAX(AE157,AD158)</f>
        <v>104268.99</v>
      </c>
      <c r="AF158" s="30" t="n">
        <f aca="false">AE158-AD158</f>
        <v>179.770000000004</v>
      </c>
      <c r="AG158" s="29" t="n">
        <f aca="false">IFERROR(AF158/AE158,0)</f>
        <v>0.00172409841123429</v>
      </c>
    </row>
    <row r="159" customFormat="false" ht="15" hidden="false" customHeight="false" outlineLevel="0" collapsed="false">
      <c r="A159" s="28" t="n">
        <v>158</v>
      </c>
      <c r="B159" s="43" t="n">
        <v>45237.6777777778</v>
      </c>
      <c r="C159" s="43" t="n">
        <v>45237.6798611111</v>
      </c>
      <c r="D159" s="42" t="n">
        <f aca="false">INT(C159)</f>
        <v>45237</v>
      </c>
      <c r="E159" s="42" t="n">
        <f aca="false">D159-WEEKDAY(D159,3)</f>
        <v>45236</v>
      </c>
      <c r="F159" s="28" t="s">
        <v>150</v>
      </c>
      <c r="G159" s="28" t="n">
        <v>2023</v>
      </c>
      <c r="H159" s="28" t="s">
        <v>232</v>
      </c>
      <c r="I159" s="28" t="n">
        <v>16</v>
      </c>
      <c r="J159" s="28" t="s">
        <v>233</v>
      </c>
      <c r="K159" s="28" t="s">
        <v>234</v>
      </c>
      <c r="L159" s="28" t="n">
        <v>0.3</v>
      </c>
      <c r="M159" s="31" t="n">
        <v>15186.23</v>
      </c>
      <c r="N159" s="31" t="n">
        <v>15176.28</v>
      </c>
      <c r="O159" s="31" t="n">
        <v>15207.22</v>
      </c>
      <c r="P159" s="44" t="n">
        <f aca="false">ABS(M159-N159)</f>
        <v>9.94999999999891</v>
      </c>
      <c r="Q159" s="44" t="n">
        <f aca="false">IF(O159="","",ABS(O159-M159))</f>
        <v>20.9899999999998</v>
      </c>
      <c r="R159" s="30" t="n">
        <f aca="false">P159*L159*Summary!$C$6</f>
        <v>59.6999999999935</v>
      </c>
      <c r="S159" s="31" t="n">
        <v>15207.27</v>
      </c>
      <c r="T159" s="28" t="s">
        <v>214</v>
      </c>
      <c r="U159" s="44" t="n">
        <f aca="false">IF(J159="BUY",S159-M159,M159-S159)</f>
        <v>21.0400000000009</v>
      </c>
      <c r="V159" s="45" t="n">
        <v>0</v>
      </c>
      <c r="W159" s="45" t="n">
        <v>0</v>
      </c>
      <c r="X159" s="45" t="n">
        <v>126.24</v>
      </c>
      <c r="Y159" s="32" t="n">
        <f aca="false">IFERROR(X159/R159,0)</f>
        <v>2.11457286432184</v>
      </c>
      <c r="Z159" s="28" t="str">
        <f aca="false">IF(X159&gt;0,"Win",IF(X159&lt;0,"Loss","Flat"))</f>
        <v>Win</v>
      </c>
      <c r="AA159" s="28" t="n">
        <f aca="false">ROUND((C159-B159)*1440,1)</f>
        <v>3</v>
      </c>
      <c r="AB159" s="28" t="str">
        <f aca="false">IF(AA159&lt;1,"a) &lt;1 min",IF(AA159&lt;10,"b) 1-10 min",IF(AA159&lt;60,"c) 10-60 min",IF(AA159&lt;240,"d) 1-4 h","e) 4 h+"))))</f>
        <v>b) 1-10 min</v>
      </c>
      <c r="AC159" s="28" t="str">
        <f aca="false">IF(P159&lt;10,"a) &lt;10",IF(P159&lt;20,"b) 10-20",IF(P159&lt;40,"c) 20-40",IF(P159&lt;80,"d) 40-80","e) 80+"))))</f>
        <v>a) &lt;10</v>
      </c>
      <c r="AD159" s="30" t="n">
        <f aca="false">Summary!$C$5+SUM(X$2:X159)</f>
        <v>104215.46</v>
      </c>
      <c r="AE159" s="30" t="n">
        <f aca="false">MAX(AE158,AD159)</f>
        <v>104268.99</v>
      </c>
      <c r="AF159" s="30" t="n">
        <f aca="false">AE159-AD159</f>
        <v>53.5299999999988</v>
      </c>
      <c r="AG159" s="29" t="n">
        <f aca="false">IFERROR(AF159/AE159,0)</f>
        <v>0.000513383701136827</v>
      </c>
    </row>
    <row r="160" customFormat="false" ht="15" hidden="false" customHeight="false" outlineLevel="0" collapsed="false">
      <c r="A160" s="28" t="n">
        <v>159</v>
      </c>
      <c r="B160" s="43" t="n">
        <v>45238.7055555556</v>
      </c>
      <c r="C160" s="43" t="n">
        <v>45238.7069560185</v>
      </c>
      <c r="D160" s="42" t="n">
        <f aca="false">INT(C160)</f>
        <v>45238</v>
      </c>
      <c r="E160" s="42" t="n">
        <f aca="false">D160-WEEKDAY(D160,3)</f>
        <v>45236</v>
      </c>
      <c r="F160" s="28" t="s">
        <v>150</v>
      </c>
      <c r="G160" s="28" t="n">
        <v>2023</v>
      </c>
      <c r="H160" s="28" t="s">
        <v>235</v>
      </c>
      <c r="I160" s="28" t="n">
        <v>16</v>
      </c>
      <c r="J160" s="28" t="s">
        <v>233</v>
      </c>
      <c r="K160" s="28" t="s">
        <v>234</v>
      </c>
      <c r="L160" s="28" t="n">
        <v>0.3</v>
      </c>
      <c r="M160" s="31" t="n">
        <v>15340.9</v>
      </c>
      <c r="N160" s="31" t="n">
        <v>15323.97</v>
      </c>
      <c r="O160" s="31" t="n">
        <v>15375.03</v>
      </c>
      <c r="P160" s="44" t="n">
        <f aca="false">ABS(M160-N160)</f>
        <v>16.9300000000003</v>
      </c>
      <c r="Q160" s="44" t="n">
        <f aca="false">IF(O160="","",ABS(O160-M160))</f>
        <v>34.130000000001</v>
      </c>
      <c r="R160" s="30" t="n">
        <f aca="false">P160*L160*Summary!$C$6</f>
        <v>101.580000000002</v>
      </c>
      <c r="S160" s="31" t="n">
        <v>15323.42</v>
      </c>
      <c r="T160" s="28" t="s">
        <v>241</v>
      </c>
      <c r="U160" s="44" t="n">
        <f aca="false">IF(J160="BUY",S160-M160,M160-S160)</f>
        <v>-17.4799999999996</v>
      </c>
      <c r="V160" s="45" t="n">
        <v>0</v>
      </c>
      <c r="W160" s="45" t="n">
        <v>0</v>
      </c>
      <c r="X160" s="45" t="n">
        <v>-104.88</v>
      </c>
      <c r="Y160" s="32" t="n">
        <f aca="false">IFERROR(X160/R160,0)</f>
        <v>-1.03248670998226</v>
      </c>
      <c r="Z160" s="28" t="str">
        <f aca="false">IF(X160&gt;0,"Win",IF(X160&lt;0,"Loss","Flat"))</f>
        <v>Loss</v>
      </c>
      <c r="AA160" s="28" t="n">
        <f aca="false">ROUND((C160-B160)*1440,1)</f>
        <v>2</v>
      </c>
      <c r="AB160" s="28" t="str">
        <f aca="false">IF(AA160&lt;1,"a) &lt;1 min",IF(AA160&lt;10,"b) 1-10 min",IF(AA160&lt;60,"c) 10-60 min",IF(AA160&lt;240,"d) 1-4 h","e) 4 h+"))))</f>
        <v>b) 1-10 min</v>
      </c>
      <c r="AC160" s="28" t="str">
        <f aca="false">IF(P160&lt;10,"a) &lt;10",IF(P160&lt;20,"b) 10-20",IF(P160&lt;40,"c) 20-40",IF(P160&lt;80,"d) 40-80","e) 80+"))))</f>
        <v>b) 10-20</v>
      </c>
      <c r="AD160" s="30" t="n">
        <f aca="false">Summary!$C$5+SUM(X$2:X160)</f>
        <v>104110.58</v>
      </c>
      <c r="AE160" s="30" t="n">
        <f aca="false">MAX(AE159,AD160)</f>
        <v>104268.99</v>
      </c>
      <c r="AF160" s="30" t="n">
        <f aca="false">AE160-AD160</f>
        <v>158.410000000004</v>
      </c>
      <c r="AG160" s="29" t="n">
        <f aca="false">IFERROR(AF160/AE160,0)</f>
        <v>0.00151924364089461</v>
      </c>
    </row>
    <row r="161" customFormat="false" ht="15" hidden="false" customHeight="false" outlineLevel="0" collapsed="false">
      <c r="A161" s="28" t="n">
        <v>160</v>
      </c>
      <c r="B161" s="43" t="n">
        <v>45239.7069444444</v>
      </c>
      <c r="C161" s="43" t="n">
        <v>45239.7088657407</v>
      </c>
      <c r="D161" s="42" t="n">
        <f aca="false">INT(C161)</f>
        <v>45239</v>
      </c>
      <c r="E161" s="42" t="n">
        <f aca="false">D161-WEEKDAY(D161,3)</f>
        <v>45236</v>
      </c>
      <c r="F161" s="28" t="s">
        <v>150</v>
      </c>
      <c r="G161" s="28" t="n">
        <v>2023</v>
      </c>
      <c r="H161" s="28" t="s">
        <v>239</v>
      </c>
      <c r="I161" s="28" t="n">
        <v>16</v>
      </c>
      <c r="J161" s="28" t="s">
        <v>233</v>
      </c>
      <c r="K161" s="28" t="s">
        <v>234</v>
      </c>
      <c r="L161" s="28" t="n">
        <v>0.3</v>
      </c>
      <c r="M161" s="31" t="n">
        <v>15344.1</v>
      </c>
      <c r="N161" s="31" t="n">
        <v>15327.58</v>
      </c>
      <c r="O161" s="31" t="n">
        <v>15379.31</v>
      </c>
      <c r="P161" s="44" t="n">
        <f aca="false">ABS(M161-N161)</f>
        <v>16.5200000000004</v>
      </c>
      <c r="Q161" s="44" t="n">
        <f aca="false">IF(O161="","",ABS(O161-M161))</f>
        <v>35.2099999999991</v>
      </c>
      <c r="R161" s="30" t="n">
        <f aca="false">P161*L161*Summary!$C$6</f>
        <v>99.1200000000026</v>
      </c>
      <c r="S161" s="31" t="n">
        <v>15343.13</v>
      </c>
      <c r="T161" s="28" t="s">
        <v>238</v>
      </c>
      <c r="U161" s="44" t="n">
        <f aca="false">IF(J161="BUY",S161-M161,M161-S161)</f>
        <v>-0.970000000001164</v>
      </c>
      <c r="V161" s="45" t="n">
        <v>0</v>
      </c>
      <c r="W161" s="45" t="n">
        <v>0</v>
      </c>
      <c r="X161" s="45" t="n">
        <v>-5.82</v>
      </c>
      <c r="Y161" s="32" t="n">
        <f aca="false">IFERROR(X161/R161,0)</f>
        <v>-0.0587167070217902</v>
      </c>
      <c r="Z161" s="28" t="str">
        <f aca="false">IF(X161&gt;0,"Win",IF(X161&lt;0,"Loss","Flat"))</f>
        <v>Loss</v>
      </c>
      <c r="AA161" s="28" t="n">
        <f aca="false">ROUND((C161-B161)*1440,1)</f>
        <v>2.8</v>
      </c>
      <c r="AB161" s="28" t="str">
        <f aca="false">IF(AA161&lt;1,"a) &lt;1 min",IF(AA161&lt;10,"b) 1-10 min",IF(AA161&lt;60,"c) 10-60 min",IF(AA161&lt;240,"d) 1-4 h","e) 4 h+"))))</f>
        <v>b) 1-10 min</v>
      </c>
      <c r="AC161" s="28" t="str">
        <f aca="false">IF(P161&lt;10,"a) &lt;10",IF(P161&lt;20,"b) 10-20",IF(P161&lt;40,"c) 20-40",IF(P161&lt;80,"d) 40-80","e) 80+"))))</f>
        <v>b) 10-20</v>
      </c>
      <c r="AD161" s="30" t="n">
        <f aca="false">Summary!$C$5+SUM(X$2:X161)</f>
        <v>104104.76</v>
      </c>
      <c r="AE161" s="30" t="n">
        <f aca="false">MAX(AE160,AD161)</f>
        <v>104268.99</v>
      </c>
      <c r="AF161" s="30" t="n">
        <f aca="false">AE161-AD161</f>
        <v>164.23000000001</v>
      </c>
      <c r="AG161" s="29" t="n">
        <f aca="false">IFERROR(AF161/AE161,0)</f>
        <v>0.00157506081146476</v>
      </c>
    </row>
    <row r="162" customFormat="false" ht="15" hidden="false" customHeight="false" outlineLevel="0" collapsed="false">
      <c r="A162" s="28" t="n">
        <v>161</v>
      </c>
      <c r="B162" s="43" t="n">
        <v>45239.8888888889</v>
      </c>
      <c r="C162" s="43" t="n">
        <v>45239.890162037</v>
      </c>
      <c r="D162" s="42" t="n">
        <f aca="false">INT(C162)</f>
        <v>45239</v>
      </c>
      <c r="E162" s="42" t="n">
        <f aca="false">D162-WEEKDAY(D162,3)</f>
        <v>45236</v>
      </c>
      <c r="F162" s="28" t="s">
        <v>150</v>
      </c>
      <c r="G162" s="28" t="n">
        <v>2023</v>
      </c>
      <c r="H162" s="28" t="s">
        <v>239</v>
      </c>
      <c r="I162" s="28" t="n">
        <v>21</v>
      </c>
      <c r="J162" s="28" t="s">
        <v>236</v>
      </c>
      <c r="K162" s="28" t="s">
        <v>237</v>
      </c>
      <c r="L162" s="28" t="n">
        <v>0.3</v>
      </c>
      <c r="M162" s="31" t="n">
        <v>15213.61</v>
      </c>
      <c r="N162" s="31" t="n">
        <v>15237.88</v>
      </c>
      <c r="O162" s="31" t="n">
        <v>15165.1</v>
      </c>
      <c r="P162" s="44" t="n">
        <f aca="false">ABS(M162-N162)</f>
        <v>24.2699999999986</v>
      </c>
      <c r="Q162" s="44" t="n">
        <f aca="false">IF(O162="","",ABS(O162-M162))</f>
        <v>48.5100000000002</v>
      </c>
      <c r="R162" s="30" t="n">
        <f aca="false">P162*L162*Summary!$C$6</f>
        <v>145.619999999992</v>
      </c>
      <c r="S162" s="31" t="n">
        <v>15238.14</v>
      </c>
      <c r="T162" s="28" t="s">
        <v>241</v>
      </c>
      <c r="U162" s="44" t="n">
        <f aca="false">IF(J162="BUY",S162-M162,M162-S162)</f>
        <v>-24.5299999999988</v>
      </c>
      <c r="V162" s="45" t="n">
        <v>0</v>
      </c>
      <c r="W162" s="45" t="n">
        <v>0</v>
      </c>
      <c r="X162" s="45" t="n">
        <v>-147.18</v>
      </c>
      <c r="Y162" s="32" t="n">
        <f aca="false">IFERROR(X162/R162,0)</f>
        <v>-1.01071281417393</v>
      </c>
      <c r="Z162" s="28" t="str">
        <f aca="false">IF(X162&gt;0,"Win",IF(X162&lt;0,"Loss","Flat"))</f>
        <v>Loss</v>
      </c>
      <c r="AA162" s="28" t="n">
        <f aca="false">ROUND((C162-B162)*1440,1)</f>
        <v>1.8</v>
      </c>
      <c r="AB162" s="28" t="str">
        <f aca="false">IF(AA162&lt;1,"a) &lt;1 min",IF(AA162&lt;10,"b) 1-10 min",IF(AA162&lt;60,"c) 10-60 min",IF(AA162&lt;240,"d) 1-4 h","e) 4 h+"))))</f>
        <v>b) 1-10 min</v>
      </c>
      <c r="AC162" s="28" t="str">
        <f aca="false">IF(P162&lt;10,"a) &lt;10",IF(P162&lt;20,"b) 10-20",IF(P162&lt;40,"c) 20-40",IF(P162&lt;80,"d) 40-80","e) 80+"))))</f>
        <v>c) 20-40</v>
      </c>
      <c r="AD162" s="30" t="n">
        <f aca="false">Summary!$C$5+SUM(X$2:X162)</f>
        <v>103957.58</v>
      </c>
      <c r="AE162" s="30" t="n">
        <f aca="false">MAX(AE161,AD162)</f>
        <v>104268.99</v>
      </c>
      <c r="AF162" s="30" t="n">
        <f aca="false">AE162-AD162</f>
        <v>311.410000000004</v>
      </c>
      <c r="AG162" s="29" t="n">
        <f aca="false">IFERROR(AF162/AE162,0)</f>
        <v>0.00298660224866476</v>
      </c>
    </row>
    <row r="163" customFormat="false" ht="15" hidden="false" customHeight="false" outlineLevel="0" collapsed="false">
      <c r="A163" s="28" t="n">
        <v>162</v>
      </c>
      <c r="B163" s="43" t="n">
        <v>45240.0548611111</v>
      </c>
      <c r="C163" s="43" t="n">
        <v>45240.0625231482</v>
      </c>
      <c r="D163" s="42" t="n">
        <f aca="false">INT(C163)</f>
        <v>45240</v>
      </c>
      <c r="E163" s="42" t="n">
        <f aca="false">D163-WEEKDAY(D163,3)</f>
        <v>45236</v>
      </c>
      <c r="F163" s="28" t="s">
        <v>150</v>
      </c>
      <c r="G163" s="28" t="n">
        <v>2023</v>
      </c>
      <c r="H163" s="28" t="s">
        <v>242</v>
      </c>
      <c r="I163" s="28" t="n">
        <v>1</v>
      </c>
      <c r="J163" s="28" t="s">
        <v>236</v>
      </c>
      <c r="K163" s="28" t="s">
        <v>237</v>
      </c>
      <c r="L163" s="28" t="n">
        <v>0.3</v>
      </c>
      <c r="M163" s="31" t="n">
        <v>15163.7</v>
      </c>
      <c r="N163" s="31" t="n">
        <v>15168.97</v>
      </c>
      <c r="O163" s="31" t="n">
        <v>15153.15</v>
      </c>
      <c r="P163" s="44" t="n">
        <f aca="false">ABS(M163-N163)</f>
        <v>5.26999999999862</v>
      </c>
      <c r="Q163" s="44" t="n">
        <f aca="false">IF(O163="","",ABS(O163-M163))</f>
        <v>10.5500000000011</v>
      </c>
      <c r="R163" s="30" t="n">
        <f aca="false">P163*L163*Summary!$C$6</f>
        <v>31.6199999999917</v>
      </c>
      <c r="S163" s="31" t="n">
        <v>15163.91</v>
      </c>
      <c r="T163" s="28" t="s">
        <v>238</v>
      </c>
      <c r="U163" s="44" t="n">
        <f aca="false">IF(J163="BUY",S163-M163,M163-S163)</f>
        <v>-0.209999999999127</v>
      </c>
      <c r="V163" s="45" t="n">
        <v>0</v>
      </c>
      <c r="W163" s="45" t="n">
        <v>0</v>
      </c>
      <c r="X163" s="45" t="n">
        <v>-1.26</v>
      </c>
      <c r="Y163" s="32" t="n">
        <f aca="false">IFERROR(X163/R163,0)</f>
        <v>-0.039848197343464</v>
      </c>
      <c r="Z163" s="28" t="str">
        <f aca="false">IF(X163&gt;0,"Win",IF(X163&lt;0,"Loss","Flat"))</f>
        <v>Loss</v>
      </c>
      <c r="AA163" s="28" t="n">
        <f aca="false">ROUND((C163-B163)*1440,1)</f>
        <v>11</v>
      </c>
      <c r="AB163" s="28" t="str">
        <f aca="false">IF(AA163&lt;1,"a) &lt;1 min",IF(AA163&lt;10,"b) 1-10 min",IF(AA163&lt;60,"c) 10-60 min",IF(AA163&lt;240,"d) 1-4 h","e) 4 h+"))))</f>
        <v>c) 10-60 min</v>
      </c>
      <c r="AC163" s="28" t="str">
        <f aca="false">IF(P163&lt;10,"a) &lt;10",IF(P163&lt;20,"b) 10-20",IF(P163&lt;40,"c) 20-40",IF(P163&lt;80,"d) 40-80","e) 80+"))))</f>
        <v>a) &lt;10</v>
      </c>
      <c r="AD163" s="30" t="n">
        <f aca="false">Summary!$C$5+SUM(X$2:X163)</f>
        <v>103956.32</v>
      </c>
      <c r="AE163" s="30" t="n">
        <f aca="false">MAX(AE162,AD163)</f>
        <v>104268.99</v>
      </c>
      <c r="AF163" s="30" t="n">
        <f aca="false">AE163-AD163</f>
        <v>312.669999999998</v>
      </c>
      <c r="AG163" s="29" t="n">
        <f aca="false">IFERROR(AF163/AE163,0)</f>
        <v>0.00299868637837576</v>
      </c>
    </row>
    <row r="164" customFormat="false" ht="15" hidden="false" customHeight="false" outlineLevel="0" collapsed="false">
      <c r="A164" s="28" t="n">
        <v>163</v>
      </c>
      <c r="B164" s="43" t="n">
        <v>45240.7930555556</v>
      </c>
      <c r="C164" s="43" t="n">
        <v>45240.8142708333</v>
      </c>
      <c r="D164" s="42" t="n">
        <f aca="false">INT(C164)</f>
        <v>45240</v>
      </c>
      <c r="E164" s="42" t="n">
        <f aca="false">D164-WEEKDAY(D164,3)</f>
        <v>45236</v>
      </c>
      <c r="F164" s="28" t="s">
        <v>150</v>
      </c>
      <c r="G164" s="28" t="n">
        <v>2023</v>
      </c>
      <c r="H164" s="28" t="s">
        <v>242</v>
      </c>
      <c r="I164" s="28" t="n">
        <v>19</v>
      </c>
      <c r="J164" s="28" t="s">
        <v>233</v>
      </c>
      <c r="K164" s="28" t="s">
        <v>234</v>
      </c>
      <c r="L164" s="28" t="n">
        <v>0.3</v>
      </c>
      <c r="M164" s="31" t="n">
        <v>15391.4</v>
      </c>
      <c r="N164" s="31" t="n">
        <v>15378</v>
      </c>
      <c r="O164" s="31" t="n">
        <v>15420.79</v>
      </c>
      <c r="P164" s="44" t="n">
        <f aca="false">ABS(M164-N164)</f>
        <v>13.3999999999996</v>
      </c>
      <c r="Q164" s="44" t="n">
        <f aca="false">IF(O164="","",ABS(O164-M164))</f>
        <v>29.3900000000012</v>
      </c>
      <c r="R164" s="30" t="n">
        <f aca="false">P164*L164*Summary!$C$6</f>
        <v>80.3999999999978</v>
      </c>
      <c r="S164" s="31" t="n">
        <v>15421.64</v>
      </c>
      <c r="T164" s="28" t="s">
        <v>214</v>
      </c>
      <c r="U164" s="44" t="n">
        <f aca="false">IF(J164="BUY",S164-M164,M164-S164)</f>
        <v>30.2399999999998</v>
      </c>
      <c r="V164" s="45" t="n">
        <v>0</v>
      </c>
      <c r="W164" s="45" t="n">
        <v>0</v>
      </c>
      <c r="X164" s="45" t="n">
        <v>181.44</v>
      </c>
      <c r="Y164" s="32" t="n">
        <f aca="false">IFERROR(X164/R164,0)</f>
        <v>2.25671641791051</v>
      </c>
      <c r="Z164" s="28" t="str">
        <f aca="false">IF(X164&gt;0,"Win",IF(X164&lt;0,"Loss","Flat"))</f>
        <v>Win</v>
      </c>
      <c r="AA164" s="28" t="n">
        <f aca="false">ROUND((C164-B164)*1440,1)</f>
        <v>30.6</v>
      </c>
      <c r="AB164" s="28" t="str">
        <f aca="false">IF(AA164&lt;1,"a) &lt;1 min",IF(AA164&lt;10,"b) 1-10 min",IF(AA164&lt;60,"c) 10-60 min",IF(AA164&lt;240,"d) 1-4 h","e) 4 h+"))))</f>
        <v>c) 10-60 min</v>
      </c>
      <c r="AC164" s="28" t="str">
        <f aca="false">IF(P164&lt;10,"a) &lt;10",IF(P164&lt;20,"b) 10-20",IF(P164&lt;40,"c) 20-40",IF(P164&lt;80,"d) 40-80","e) 80+"))))</f>
        <v>b) 10-20</v>
      </c>
      <c r="AD164" s="30" t="n">
        <f aca="false">Summary!$C$5+SUM(X$2:X164)</f>
        <v>104137.76</v>
      </c>
      <c r="AE164" s="30" t="n">
        <f aca="false">MAX(AE163,AD164)</f>
        <v>104268.99</v>
      </c>
      <c r="AF164" s="30" t="n">
        <f aca="false">AE164-AD164</f>
        <v>131.23000000001</v>
      </c>
      <c r="AG164" s="29" t="n">
        <f aca="false">IFERROR(AF164/AE164,0)</f>
        <v>0.00125857169998492</v>
      </c>
    </row>
    <row r="165" customFormat="false" ht="15" hidden="false" customHeight="false" outlineLevel="0" collapsed="false">
      <c r="A165" s="28" t="n">
        <v>164</v>
      </c>
      <c r="B165" s="43" t="n">
        <v>45244.4638888889</v>
      </c>
      <c r="C165" s="43" t="n">
        <v>45244.4695138889</v>
      </c>
      <c r="D165" s="42" t="n">
        <f aca="false">INT(C165)</f>
        <v>45244</v>
      </c>
      <c r="E165" s="42" t="n">
        <f aca="false">D165-WEEKDAY(D165,3)</f>
        <v>45243</v>
      </c>
      <c r="F165" s="28" t="s">
        <v>150</v>
      </c>
      <c r="G165" s="28" t="n">
        <v>2023</v>
      </c>
      <c r="H165" s="28" t="s">
        <v>232</v>
      </c>
      <c r="I165" s="28" t="n">
        <v>11</v>
      </c>
      <c r="J165" s="28" t="s">
        <v>233</v>
      </c>
      <c r="K165" s="28" t="s">
        <v>234</v>
      </c>
      <c r="L165" s="28" t="n">
        <v>0.3</v>
      </c>
      <c r="M165" s="31" t="n">
        <v>15531.26</v>
      </c>
      <c r="N165" s="31" t="n">
        <v>15526.54</v>
      </c>
      <c r="O165" s="31" t="n">
        <v>15540.71</v>
      </c>
      <c r="P165" s="44" t="n">
        <f aca="false">ABS(M165-N165)</f>
        <v>4.71999999999935</v>
      </c>
      <c r="Q165" s="44" t="n">
        <f aca="false">IF(O165="","",ABS(O165-M165))</f>
        <v>9.44999999999891</v>
      </c>
      <c r="R165" s="30" t="n">
        <f aca="false">P165*L165*Summary!$C$6</f>
        <v>28.3199999999961</v>
      </c>
      <c r="S165" s="31" t="n">
        <v>15540.72</v>
      </c>
      <c r="T165" s="28" t="s">
        <v>214</v>
      </c>
      <c r="U165" s="44" t="n">
        <f aca="false">IF(J165="BUY",S165-M165,M165-S165)</f>
        <v>9.45999999999913</v>
      </c>
      <c r="V165" s="45" t="n">
        <v>0</v>
      </c>
      <c r="W165" s="45" t="n">
        <v>0</v>
      </c>
      <c r="X165" s="45" t="n">
        <v>56.76</v>
      </c>
      <c r="Y165" s="32" t="n">
        <f aca="false">IFERROR(X165/R165,0)</f>
        <v>2.00423728813587</v>
      </c>
      <c r="Z165" s="28" t="str">
        <f aca="false">IF(X165&gt;0,"Win",IF(X165&lt;0,"Loss","Flat"))</f>
        <v>Win</v>
      </c>
      <c r="AA165" s="28" t="n">
        <f aca="false">ROUND((C165-B165)*1440,1)</f>
        <v>8.1</v>
      </c>
      <c r="AB165" s="28" t="str">
        <f aca="false">IF(AA165&lt;1,"a) &lt;1 min",IF(AA165&lt;10,"b) 1-10 min",IF(AA165&lt;60,"c) 10-60 min",IF(AA165&lt;240,"d) 1-4 h","e) 4 h+"))))</f>
        <v>b) 1-10 min</v>
      </c>
      <c r="AC165" s="28" t="str">
        <f aca="false">IF(P165&lt;10,"a) &lt;10",IF(P165&lt;20,"b) 10-20",IF(P165&lt;40,"c) 20-40",IF(P165&lt;80,"d) 40-80","e) 80+"))))</f>
        <v>a) &lt;10</v>
      </c>
      <c r="AD165" s="30" t="n">
        <f aca="false">Summary!$C$5+SUM(X$2:X165)</f>
        <v>104194.52</v>
      </c>
      <c r="AE165" s="30" t="n">
        <f aca="false">MAX(AE164,AD165)</f>
        <v>104268.99</v>
      </c>
      <c r="AF165" s="30" t="n">
        <f aca="false">AE165-AD165</f>
        <v>74.4700000000012</v>
      </c>
      <c r="AG165" s="29" t="n">
        <f aca="false">IFERROR(AF165/AE165,0)</f>
        <v>0.00071421042823951</v>
      </c>
    </row>
    <row r="166" customFormat="false" ht="15" hidden="false" customHeight="false" outlineLevel="0" collapsed="false">
      <c r="A166" s="28" t="n">
        <v>165</v>
      </c>
      <c r="B166" s="43" t="n">
        <v>45245.1986226852</v>
      </c>
      <c r="C166" s="43" t="n">
        <v>45245.2196990741</v>
      </c>
      <c r="D166" s="42" t="n">
        <f aca="false">INT(C166)</f>
        <v>45245</v>
      </c>
      <c r="E166" s="42" t="n">
        <f aca="false">D166-WEEKDAY(D166,3)</f>
        <v>45243</v>
      </c>
      <c r="F166" s="28" t="s">
        <v>150</v>
      </c>
      <c r="G166" s="28" t="n">
        <v>2023</v>
      </c>
      <c r="H166" s="28" t="s">
        <v>235</v>
      </c>
      <c r="I166" s="28" t="n">
        <v>4</v>
      </c>
      <c r="J166" s="28" t="s">
        <v>233</v>
      </c>
      <c r="K166" s="28" t="s">
        <v>234</v>
      </c>
      <c r="L166" s="28" t="n">
        <v>0.29</v>
      </c>
      <c r="M166" s="31" t="n">
        <v>15850.94</v>
      </c>
      <c r="N166" s="31" t="n">
        <v>15846.95</v>
      </c>
      <c r="O166" s="31" t="n">
        <v>15859.06</v>
      </c>
      <c r="P166" s="44" t="n">
        <f aca="false">ABS(M166-N166)</f>
        <v>3.98999999999978</v>
      </c>
      <c r="Q166" s="44" t="n">
        <f aca="false">IF(O166="","",ABS(O166-M166))</f>
        <v>8.11999999999898</v>
      </c>
      <c r="R166" s="30" t="n">
        <f aca="false">P166*L166*Summary!$C$6</f>
        <v>23.1419999999987</v>
      </c>
      <c r="S166" s="31" t="n">
        <v>15859.1</v>
      </c>
      <c r="T166" s="28" t="s">
        <v>214</v>
      </c>
      <c r="U166" s="44" t="n">
        <f aca="false">IF(J166="BUY",S166-M166,M166-S166)</f>
        <v>8.15999999999985</v>
      </c>
      <c r="V166" s="45" t="n">
        <v>0</v>
      </c>
      <c r="W166" s="45" t="n">
        <v>0</v>
      </c>
      <c r="X166" s="45" t="n">
        <v>47.33</v>
      </c>
      <c r="Y166" s="32" t="n">
        <f aca="false">IFERROR(X166/R166,0)</f>
        <v>2.04519920490894</v>
      </c>
      <c r="Z166" s="28" t="str">
        <f aca="false">IF(X166&gt;0,"Win",IF(X166&lt;0,"Loss","Flat"))</f>
        <v>Win</v>
      </c>
      <c r="AA166" s="28" t="n">
        <f aca="false">ROUND((C166-B166)*1440,1)</f>
        <v>30.4</v>
      </c>
      <c r="AB166" s="28" t="str">
        <f aca="false">IF(AA166&lt;1,"a) &lt;1 min",IF(AA166&lt;10,"b) 1-10 min",IF(AA166&lt;60,"c) 10-60 min",IF(AA166&lt;240,"d) 1-4 h","e) 4 h+"))))</f>
        <v>c) 10-60 min</v>
      </c>
      <c r="AC166" s="28" t="str">
        <f aca="false">IF(P166&lt;10,"a) &lt;10",IF(P166&lt;20,"b) 10-20",IF(P166&lt;40,"c) 20-40",IF(P166&lt;80,"d) 40-80","e) 80+"))))</f>
        <v>a) &lt;10</v>
      </c>
      <c r="AD166" s="30" t="n">
        <f aca="false">Summary!$C$5+SUM(X$2:X166)</f>
        <v>104241.85</v>
      </c>
      <c r="AE166" s="30" t="n">
        <f aca="false">MAX(AE165,AD166)</f>
        <v>104268.99</v>
      </c>
      <c r="AF166" s="30" t="n">
        <f aca="false">AE166-AD166</f>
        <v>27.1399999999994</v>
      </c>
      <c r="AG166" s="29" t="n">
        <f aca="false">IFERROR(AF166/AE166,0)</f>
        <v>0.000260288317744321</v>
      </c>
    </row>
    <row r="167" customFormat="false" ht="15" hidden="false" customHeight="false" outlineLevel="0" collapsed="false">
      <c r="A167" s="28" t="n">
        <v>166</v>
      </c>
      <c r="B167" s="43" t="n">
        <v>45246.1680555556</v>
      </c>
      <c r="C167" s="43" t="n">
        <v>45246.1778703704</v>
      </c>
      <c r="D167" s="42" t="n">
        <f aca="false">INT(C167)</f>
        <v>45246</v>
      </c>
      <c r="E167" s="42" t="n">
        <f aca="false">D167-WEEKDAY(D167,3)</f>
        <v>45243</v>
      </c>
      <c r="F167" s="28" t="s">
        <v>150</v>
      </c>
      <c r="G167" s="28" t="n">
        <v>2023</v>
      </c>
      <c r="H167" s="28" t="s">
        <v>239</v>
      </c>
      <c r="I167" s="28" t="n">
        <v>4</v>
      </c>
      <c r="J167" s="28" t="s">
        <v>236</v>
      </c>
      <c r="K167" s="28" t="s">
        <v>237</v>
      </c>
      <c r="L167" s="28" t="n">
        <v>0.29</v>
      </c>
      <c r="M167" s="31" t="n">
        <v>15762.91</v>
      </c>
      <c r="N167" s="31" t="n">
        <v>15770.73</v>
      </c>
      <c r="O167" s="31" t="n">
        <v>15746.94</v>
      </c>
      <c r="P167" s="44" t="n">
        <f aca="false">ABS(M167-N167)</f>
        <v>7.81999999999971</v>
      </c>
      <c r="Q167" s="44" t="n">
        <f aca="false">IF(O167="","",ABS(O167-M167))</f>
        <v>15.9699999999993</v>
      </c>
      <c r="R167" s="30" t="n">
        <f aca="false">P167*L167*Summary!$C$6</f>
        <v>45.3559999999983</v>
      </c>
      <c r="S167" s="31" t="n">
        <v>15771.11</v>
      </c>
      <c r="T167" s="28" t="s">
        <v>241</v>
      </c>
      <c r="U167" s="44" t="n">
        <f aca="false">IF(J167="BUY",S167-M167,M167-S167)</f>
        <v>-8.20000000000073</v>
      </c>
      <c r="V167" s="45" t="n">
        <v>0</v>
      </c>
      <c r="W167" s="45" t="n">
        <v>0</v>
      </c>
      <c r="X167" s="45" t="n">
        <v>-47.56</v>
      </c>
      <c r="Y167" s="32" t="n">
        <f aca="false">IFERROR(X167/R167,0)</f>
        <v>-1.04859335038367</v>
      </c>
      <c r="Z167" s="28" t="str">
        <f aca="false">IF(X167&gt;0,"Win",IF(X167&lt;0,"Loss","Flat"))</f>
        <v>Loss</v>
      </c>
      <c r="AA167" s="28" t="n">
        <f aca="false">ROUND((C167-B167)*1440,1)</f>
        <v>14.1</v>
      </c>
      <c r="AB167" s="28" t="str">
        <f aca="false">IF(AA167&lt;1,"a) &lt;1 min",IF(AA167&lt;10,"b) 1-10 min",IF(AA167&lt;60,"c) 10-60 min",IF(AA167&lt;240,"d) 1-4 h","e) 4 h+"))))</f>
        <v>c) 10-60 min</v>
      </c>
      <c r="AC167" s="28" t="str">
        <f aca="false">IF(P167&lt;10,"a) &lt;10",IF(P167&lt;20,"b) 10-20",IF(P167&lt;40,"c) 20-40",IF(P167&lt;80,"d) 40-80","e) 80+"))))</f>
        <v>a) &lt;10</v>
      </c>
      <c r="AD167" s="30" t="n">
        <f aca="false">Summary!$C$5+SUM(X$2:X167)</f>
        <v>104194.29</v>
      </c>
      <c r="AE167" s="30" t="n">
        <f aca="false">MAX(AE166,AD167)</f>
        <v>104268.99</v>
      </c>
      <c r="AF167" s="30" t="n">
        <f aca="false">AE167-AD167</f>
        <v>74.7000000000116</v>
      </c>
      <c r="AG167" s="29" t="n">
        <f aca="false">IFERROR(AF167/AE167,0)</f>
        <v>0.000716416261440833</v>
      </c>
    </row>
    <row r="168" customFormat="false" ht="15" hidden="false" customHeight="false" outlineLevel="0" collapsed="false">
      <c r="A168" s="28" t="n">
        <v>167</v>
      </c>
      <c r="B168" s="43" t="n">
        <v>45247.4402777778</v>
      </c>
      <c r="C168" s="43" t="n">
        <v>45247.4533680556</v>
      </c>
      <c r="D168" s="42" t="n">
        <f aca="false">INT(C168)</f>
        <v>45247</v>
      </c>
      <c r="E168" s="42" t="n">
        <f aca="false">D168-WEEKDAY(D168,3)</f>
        <v>45243</v>
      </c>
      <c r="F168" s="28" t="s">
        <v>150</v>
      </c>
      <c r="G168" s="28" t="n">
        <v>2023</v>
      </c>
      <c r="H168" s="28" t="s">
        <v>242</v>
      </c>
      <c r="I168" s="28" t="n">
        <v>10</v>
      </c>
      <c r="J168" s="28" t="s">
        <v>233</v>
      </c>
      <c r="K168" s="28" t="s">
        <v>234</v>
      </c>
      <c r="L168" s="28" t="n">
        <v>0.29</v>
      </c>
      <c r="M168" s="31" t="n">
        <v>15844.03</v>
      </c>
      <c r="N168" s="31" t="n">
        <v>15837.44</v>
      </c>
      <c r="O168" s="31" t="n">
        <v>15857.21</v>
      </c>
      <c r="P168" s="44" t="n">
        <f aca="false">ABS(M168-N168)</f>
        <v>6.59000000000015</v>
      </c>
      <c r="Q168" s="44" t="n">
        <f aca="false">IF(O168="","",ABS(O168-M168))</f>
        <v>13.1799999999985</v>
      </c>
      <c r="R168" s="30" t="n">
        <f aca="false">P168*L168*Summary!$C$6</f>
        <v>38.2220000000008</v>
      </c>
      <c r="S168" s="31" t="n">
        <v>15837.31</v>
      </c>
      <c r="T168" s="28" t="s">
        <v>241</v>
      </c>
      <c r="U168" s="44" t="n">
        <f aca="false">IF(J168="BUY",S168-M168,M168-S168)</f>
        <v>-6.72000000000116</v>
      </c>
      <c r="V168" s="45" t="n">
        <v>0</v>
      </c>
      <c r="W168" s="45" t="n">
        <v>0</v>
      </c>
      <c r="X168" s="45" t="n">
        <v>-38.98</v>
      </c>
      <c r="Y168" s="32" t="n">
        <f aca="false">IFERROR(X168/R168,0)</f>
        <v>-1.0198315106483</v>
      </c>
      <c r="Z168" s="28" t="str">
        <f aca="false">IF(X168&gt;0,"Win",IF(X168&lt;0,"Loss","Flat"))</f>
        <v>Loss</v>
      </c>
      <c r="AA168" s="28" t="n">
        <f aca="false">ROUND((C168-B168)*1440,1)</f>
        <v>18.9</v>
      </c>
      <c r="AB168" s="28" t="str">
        <f aca="false">IF(AA168&lt;1,"a) &lt;1 min",IF(AA168&lt;10,"b) 1-10 min",IF(AA168&lt;60,"c) 10-60 min",IF(AA168&lt;240,"d) 1-4 h","e) 4 h+"))))</f>
        <v>c) 10-60 min</v>
      </c>
      <c r="AC168" s="28" t="str">
        <f aca="false">IF(P168&lt;10,"a) &lt;10",IF(P168&lt;20,"b) 10-20",IF(P168&lt;40,"c) 20-40",IF(P168&lt;80,"d) 40-80","e) 80+"))))</f>
        <v>a) &lt;10</v>
      </c>
      <c r="AD168" s="30" t="n">
        <f aca="false">Summary!$C$5+SUM(X$2:X168)</f>
        <v>104155.31</v>
      </c>
      <c r="AE168" s="30" t="n">
        <f aca="false">MAX(AE167,AD168)</f>
        <v>104268.99</v>
      </c>
      <c r="AF168" s="30" t="n">
        <f aca="false">AE168-AD168</f>
        <v>113.680000000008</v>
      </c>
      <c r="AG168" s="29" t="n">
        <f aca="false">IFERROR(AF168/AE168,0)</f>
        <v>0.00109025703615243</v>
      </c>
    </row>
    <row r="169" customFormat="false" ht="15" hidden="false" customHeight="false" outlineLevel="0" collapsed="false">
      <c r="A169" s="28" t="n">
        <v>168</v>
      </c>
      <c r="B169" s="43" t="n">
        <v>45250.6888888889</v>
      </c>
      <c r="C169" s="43" t="n">
        <v>45250.6928356482</v>
      </c>
      <c r="D169" s="42" t="n">
        <f aca="false">INT(C169)</f>
        <v>45250</v>
      </c>
      <c r="E169" s="42" t="n">
        <f aca="false">D169-WEEKDAY(D169,3)</f>
        <v>45250</v>
      </c>
      <c r="F169" s="28" t="s">
        <v>150</v>
      </c>
      <c r="G169" s="28" t="n">
        <v>2023</v>
      </c>
      <c r="H169" s="28" t="s">
        <v>240</v>
      </c>
      <c r="I169" s="28" t="n">
        <v>16</v>
      </c>
      <c r="J169" s="28" t="s">
        <v>233</v>
      </c>
      <c r="K169" s="28" t="s">
        <v>234</v>
      </c>
      <c r="L169" s="28" t="n">
        <v>0.29</v>
      </c>
      <c r="M169" s="31" t="n">
        <v>15885.64</v>
      </c>
      <c r="N169" s="31" t="n">
        <v>15867.39</v>
      </c>
      <c r="O169" s="31" t="n">
        <v>15921.93</v>
      </c>
      <c r="P169" s="44" t="n">
        <f aca="false">ABS(M169-N169)</f>
        <v>18.25</v>
      </c>
      <c r="Q169" s="44" t="n">
        <f aca="false">IF(O169="","",ABS(O169-M169))</f>
        <v>36.2900000000009</v>
      </c>
      <c r="R169" s="30" t="n">
        <f aca="false">P169*L169*Summary!$C$6</f>
        <v>105.85</v>
      </c>
      <c r="S169" s="31" t="n">
        <v>15922.1</v>
      </c>
      <c r="T169" s="28" t="s">
        <v>214</v>
      </c>
      <c r="U169" s="44" t="n">
        <f aca="false">IF(J169="BUY",S169-M169,M169-S169)</f>
        <v>36.4600000000009</v>
      </c>
      <c r="V169" s="45" t="n">
        <v>0</v>
      </c>
      <c r="W169" s="45" t="n">
        <v>0</v>
      </c>
      <c r="X169" s="45" t="n">
        <v>211.47</v>
      </c>
      <c r="Y169" s="32" t="n">
        <f aca="false">IFERROR(X169/R169,0)</f>
        <v>1.99782711384034</v>
      </c>
      <c r="Z169" s="28" t="str">
        <f aca="false">IF(X169&gt;0,"Win",IF(X169&lt;0,"Loss","Flat"))</f>
        <v>Win</v>
      </c>
      <c r="AA169" s="28" t="n">
        <f aca="false">ROUND((C169-B169)*1440,1)</f>
        <v>5.7</v>
      </c>
      <c r="AB169" s="28" t="str">
        <f aca="false">IF(AA169&lt;1,"a) &lt;1 min",IF(AA169&lt;10,"b) 1-10 min",IF(AA169&lt;60,"c) 10-60 min",IF(AA169&lt;240,"d) 1-4 h","e) 4 h+"))))</f>
        <v>b) 1-10 min</v>
      </c>
      <c r="AC169" s="28" t="str">
        <f aca="false">IF(P169&lt;10,"a) &lt;10",IF(P169&lt;20,"b) 10-20",IF(P169&lt;40,"c) 20-40",IF(P169&lt;80,"d) 40-80","e) 80+"))))</f>
        <v>b) 10-20</v>
      </c>
      <c r="AD169" s="30" t="n">
        <f aca="false">Summary!$C$5+SUM(X$2:X169)</f>
        <v>104366.78</v>
      </c>
      <c r="AE169" s="30" t="n">
        <f aca="false">MAX(AE168,AD169)</f>
        <v>104366.78</v>
      </c>
      <c r="AF169" s="30" t="n">
        <f aca="false">AE169-AD169</f>
        <v>0</v>
      </c>
      <c r="AG169" s="29" t="n">
        <f aca="false">IFERROR(AF169/AE169,0)</f>
        <v>0</v>
      </c>
    </row>
    <row r="170" customFormat="false" ht="15" hidden="false" customHeight="false" outlineLevel="0" collapsed="false">
      <c r="A170" s="28" t="n">
        <v>169</v>
      </c>
      <c r="B170" s="43" t="n">
        <v>45251.2194444445</v>
      </c>
      <c r="C170" s="43" t="n">
        <v>45251.2197337963</v>
      </c>
      <c r="D170" s="42" t="n">
        <f aca="false">INT(C170)</f>
        <v>45251</v>
      </c>
      <c r="E170" s="42" t="n">
        <f aca="false">D170-WEEKDAY(D170,3)</f>
        <v>45250</v>
      </c>
      <c r="F170" s="28" t="s">
        <v>150</v>
      </c>
      <c r="G170" s="28" t="n">
        <v>2023</v>
      </c>
      <c r="H170" s="28" t="s">
        <v>232</v>
      </c>
      <c r="I170" s="28" t="n">
        <v>5</v>
      </c>
      <c r="J170" s="28" t="s">
        <v>233</v>
      </c>
      <c r="K170" s="28" t="s">
        <v>234</v>
      </c>
      <c r="L170" s="28" t="n">
        <v>0.29</v>
      </c>
      <c r="M170" s="31" t="n">
        <v>16061.74</v>
      </c>
      <c r="N170" s="31" t="n">
        <v>16058.25</v>
      </c>
      <c r="O170" s="31" t="n">
        <v>16069.1</v>
      </c>
      <c r="P170" s="44" t="n">
        <f aca="false">ABS(M170-N170)</f>
        <v>3.48999999999978</v>
      </c>
      <c r="Q170" s="44" t="n">
        <f aca="false">IF(O170="","",ABS(O170-M170))</f>
        <v>7.36000000000058</v>
      </c>
      <c r="R170" s="30" t="n">
        <f aca="false">P170*L170*Summary!$C$6</f>
        <v>20.2419999999987</v>
      </c>
      <c r="S170" s="31" t="n">
        <v>16058.18</v>
      </c>
      <c r="T170" s="28" t="s">
        <v>241</v>
      </c>
      <c r="U170" s="44" t="n">
        <f aca="false">IF(J170="BUY",S170-M170,M170-S170)</f>
        <v>-3.55999999999949</v>
      </c>
      <c r="V170" s="45" t="n">
        <v>0</v>
      </c>
      <c r="W170" s="45" t="n">
        <v>0</v>
      </c>
      <c r="X170" s="45" t="n">
        <v>-20.65</v>
      </c>
      <c r="Y170" s="32" t="n">
        <f aca="false">IFERROR(X170/R170,0)</f>
        <v>-1.02015611105628</v>
      </c>
      <c r="Z170" s="28" t="str">
        <f aca="false">IF(X170&gt;0,"Win",IF(X170&lt;0,"Loss","Flat"))</f>
        <v>Loss</v>
      </c>
      <c r="AA170" s="28" t="n">
        <f aca="false">ROUND((C170-B170)*1440,1)</f>
        <v>0.4</v>
      </c>
      <c r="AB170" s="28" t="str">
        <f aca="false">IF(AA170&lt;1,"a) &lt;1 min",IF(AA170&lt;10,"b) 1-10 min",IF(AA170&lt;60,"c) 10-60 min",IF(AA170&lt;240,"d) 1-4 h","e) 4 h+"))))</f>
        <v>a) &lt;1 min</v>
      </c>
      <c r="AC170" s="28" t="str">
        <f aca="false">IF(P170&lt;10,"a) &lt;10",IF(P170&lt;20,"b) 10-20",IF(P170&lt;40,"c) 20-40",IF(P170&lt;80,"d) 40-80","e) 80+"))))</f>
        <v>a) &lt;10</v>
      </c>
      <c r="AD170" s="30" t="n">
        <f aca="false">Summary!$C$5+SUM(X$2:X170)</f>
        <v>104346.13</v>
      </c>
      <c r="AE170" s="30" t="n">
        <f aca="false">MAX(AE169,AD170)</f>
        <v>104366.78</v>
      </c>
      <c r="AF170" s="30" t="n">
        <f aca="false">AE170-AD170</f>
        <v>20.6499999999942</v>
      </c>
      <c r="AG170" s="29" t="n">
        <f aca="false">IFERROR(AF170/AE170,0)</f>
        <v>0.000197859893732414</v>
      </c>
    </row>
    <row r="171" customFormat="false" ht="15" hidden="false" customHeight="false" outlineLevel="0" collapsed="false">
      <c r="A171" s="28" t="n">
        <v>170</v>
      </c>
      <c r="B171" s="43" t="n">
        <v>45252.6895833333</v>
      </c>
      <c r="C171" s="43" t="n">
        <v>45252.6914236111</v>
      </c>
      <c r="D171" s="42" t="n">
        <f aca="false">INT(C171)</f>
        <v>45252</v>
      </c>
      <c r="E171" s="42" t="n">
        <f aca="false">D171-WEEKDAY(D171,3)</f>
        <v>45250</v>
      </c>
      <c r="F171" s="28" t="s">
        <v>150</v>
      </c>
      <c r="G171" s="28" t="n">
        <v>2023</v>
      </c>
      <c r="H171" s="28" t="s">
        <v>235</v>
      </c>
      <c r="I171" s="28" t="n">
        <v>16</v>
      </c>
      <c r="J171" s="28" t="s">
        <v>233</v>
      </c>
      <c r="K171" s="28" t="s">
        <v>234</v>
      </c>
      <c r="L171" s="28" t="n">
        <v>0.29</v>
      </c>
      <c r="M171" s="31" t="n">
        <v>16066.74</v>
      </c>
      <c r="N171" s="31" t="n">
        <v>16048.97</v>
      </c>
      <c r="O171" s="31" t="n">
        <v>16102.46</v>
      </c>
      <c r="P171" s="44" t="n">
        <f aca="false">ABS(M171-N171)</f>
        <v>17.7700000000004</v>
      </c>
      <c r="Q171" s="44" t="n">
        <f aca="false">IF(O171="","",ABS(O171-M171))</f>
        <v>35.7199999999993</v>
      </c>
      <c r="R171" s="30" t="n">
        <f aca="false">P171*L171*Summary!$C$6</f>
        <v>103.066000000003</v>
      </c>
      <c r="S171" s="31" t="n">
        <v>16102.65</v>
      </c>
      <c r="T171" s="28" t="s">
        <v>214</v>
      </c>
      <c r="U171" s="44" t="n">
        <f aca="false">IF(J171="BUY",S171-M171,M171-S171)</f>
        <v>35.9099999999999</v>
      </c>
      <c r="V171" s="45" t="n">
        <v>0</v>
      </c>
      <c r="W171" s="45" t="n">
        <v>0</v>
      </c>
      <c r="X171" s="45" t="n">
        <v>208.28</v>
      </c>
      <c r="Y171" s="32" t="n">
        <f aca="false">IFERROR(X171/R171,0)</f>
        <v>2.02084101449552</v>
      </c>
      <c r="Z171" s="28" t="str">
        <f aca="false">IF(X171&gt;0,"Win",IF(X171&lt;0,"Loss","Flat"))</f>
        <v>Win</v>
      </c>
      <c r="AA171" s="28" t="n">
        <f aca="false">ROUND((C171-B171)*1440,1)</f>
        <v>2.7</v>
      </c>
      <c r="AB171" s="28" t="str">
        <f aca="false">IF(AA171&lt;1,"a) &lt;1 min",IF(AA171&lt;10,"b) 1-10 min",IF(AA171&lt;60,"c) 10-60 min",IF(AA171&lt;240,"d) 1-4 h","e) 4 h+"))))</f>
        <v>b) 1-10 min</v>
      </c>
      <c r="AC171" s="28" t="str">
        <f aca="false">IF(P171&lt;10,"a) &lt;10",IF(P171&lt;20,"b) 10-20",IF(P171&lt;40,"c) 20-40",IF(P171&lt;80,"d) 40-80","e) 80+"))))</f>
        <v>b) 10-20</v>
      </c>
      <c r="AD171" s="30" t="n">
        <f aca="false">Summary!$C$5+SUM(X$2:X171)</f>
        <v>104554.41</v>
      </c>
      <c r="AE171" s="30" t="n">
        <f aca="false">MAX(AE170,AD171)</f>
        <v>104554.41</v>
      </c>
      <c r="AF171" s="30" t="n">
        <f aca="false">AE171-AD171</f>
        <v>0</v>
      </c>
      <c r="AG171" s="29" t="n">
        <f aca="false">IFERROR(AF171/AE171,0)</f>
        <v>0</v>
      </c>
    </row>
    <row r="172" customFormat="false" ht="15" hidden="false" customHeight="false" outlineLevel="0" collapsed="false">
      <c r="A172" s="28" t="n">
        <v>171</v>
      </c>
      <c r="B172" s="43" t="n">
        <v>45254.3868055556</v>
      </c>
      <c r="C172" s="43" t="n">
        <v>45254.4025810185</v>
      </c>
      <c r="D172" s="42" t="n">
        <f aca="false">INT(C172)</f>
        <v>45254</v>
      </c>
      <c r="E172" s="42" t="n">
        <f aca="false">D172-WEEKDAY(D172,3)</f>
        <v>45250</v>
      </c>
      <c r="F172" s="28" t="s">
        <v>150</v>
      </c>
      <c r="G172" s="28" t="n">
        <v>2023</v>
      </c>
      <c r="H172" s="28" t="s">
        <v>242</v>
      </c>
      <c r="I172" s="28" t="n">
        <v>9</v>
      </c>
      <c r="J172" s="28" t="s">
        <v>236</v>
      </c>
      <c r="K172" s="28" t="s">
        <v>237</v>
      </c>
      <c r="L172" s="28" t="n">
        <v>0.29</v>
      </c>
      <c r="M172" s="31" t="n">
        <v>15989.72</v>
      </c>
      <c r="N172" s="31" t="n">
        <v>15994.37</v>
      </c>
      <c r="O172" s="31" t="n">
        <v>15980.41</v>
      </c>
      <c r="P172" s="44" t="n">
        <f aca="false">ABS(M172-N172)</f>
        <v>4.65000000000146</v>
      </c>
      <c r="Q172" s="44" t="n">
        <f aca="false">IF(O172="","",ABS(O172-M172))</f>
        <v>9.30999999999949</v>
      </c>
      <c r="R172" s="30" t="n">
        <f aca="false">P172*L172*Summary!$C$6</f>
        <v>26.9700000000084</v>
      </c>
      <c r="S172" s="31" t="n">
        <v>15989.78</v>
      </c>
      <c r="T172" s="28" t="s">
        <v>238</v>
      </c>
      <c r="U172" s="44" t="n">
        <f aca="false">IF(J172="BUY",S172-M172,M172-S172)</f>
        <v>-0.0600000000013097</v>
      </c>
      <c r="V172" s="45" t="n">
        <v>0</v>
      </c>
      <c r="W172" s="45" t="n">
        <v>0</v>
      </c>
      <c r="X172" s="45" t="n">
        <v>-0.35</v>
      </c>
      <c r="Y172" s="32" t="n">
        <f aca="false">IFERROR(X172/R172,0)</f>
        <v>-0.0129773822765996</v>
      </c>
      <c r="Z172" s="28" t="str">
        <f aca="false">IF(X172&gt;0,"Win",IF(X172&lt;0,"Loss","Flat"))</f>
        <v>Loss</v>
      </c>
      <c r="AA172" s="28" t="n">
        <f aca="false">ROUND((C172-B172)*1440,1)</f>
        <v>22.7</v>
      </c>
      <c r="AB172" s="28" t="str">
        <f aca="false">IF(AA172&lt;1,"a) &lt;1 min",IF(AA172&lt;10,"b) 1-10 min",IF(AA172&lt;60,"c) 10-60 min",IF(AA172&lt;240,"d) 1-4 h","e) 4 h+"))))</f>
        <v>c) 10-60 min</v>
      </c>
      <c r="AC172" s="28" t="str">
        <f aca="false">IF(P172&lt;10,"a) &lt;10",IF(P172&lt;20,"b) 10-20",IF(P172&lt;40,"c) 20-40",IF(P172&lt;80,"d) 40-80","e) 80+"))))</f>
        <v>a) &lt;10</v>
      </c>
      <c r="AD172" s="30" t="n">
        <f aca="false">Summary!$C$5+SUM(X$2:X172)</f>
        <v>104554.06</v>
      </c>
      <c r="AE172" s="30" t="n">
        <f aca="false">MAX(AE171,AD172)</f>
        <v>104554.41</v>
      </c>
      <c r="AF172" s="30" t="n">
        <f aca="false">AE172-AD172</f>
        <v>0.350000000005821</v>
      </c>
      <c r="AG172" s="29" t="n">
        <f aca="false">IFERROR(AF172/AE172,0)</f>
        <v>3.34753933388195E-006</v>
      </c>
    </row>
    <row r="173" customFormat="false" ht="15" hidden="false" customHeight="false" outlineLevel="0" collapsed="false">
      <c r="A173" s="28" t="n">
        <v>172</v>
      </c>
      <c r="B173" s="43" t="n">
        <v>45257.0888888889</v>
      </c>
      <c r="C173" s="43" t="n">
        <v>45257.090787037</v>
      </c>
      <c r="D173" s="42" t="n">
        <f aca="false">INT(C173)</f>
        <v>45257</v>
      </c>
      <c r="E173" s="42" t="n">
        <f aca="false">D173-WEEKDAY(D173,3)</f>
        <v>45257</v>
      </c>
      <c r="F173" s="28" t="s">
        <v>150</v>
      </c>
      <c r="G173" s="28" t="n">
        <v>2023</v>
      </c>
      <c r="H173" s="28" t="s">
        <v>240</v>
      </c>
      <c r="I173" s="28" t="n">
        <v>2</v>
      </c>
      <c r="J173" s="28" t="s">
        <v>236</v>
      </c>
      <c r="K173" s="28" t="s">
        <v>237</v>
      </c>
      <c r="L173" s="28" t="n">
        <v>0.29</v>
      </c>
      <c r="M173" s="31" t="n">
        <v>15932.32</v>
      </c>
      <c r="N173" s="31" t="n">
        <v>15937.32</v>
      </c>
      <c r="O173" s="31" t="n">
        <v>15922.32</v>
      </c>
      <c r="P173" s="44" t="n">
        <f aca="false">ABS(M173-N173)</f>
        <v>5</v>
      </c>
      <c r="Q173" s="44" t="n">
        <f aca="false">IF(O173="","",ABS(O173-M173))</f>
        <v>10</v>
      </c>
      <c r="R173" s="30" t="n">
        <f aca="false">P173*L173*Summary!$C$6</f>
        <v>29</v>
      </c>
      <c r="S173" s="31" t="n">
        <v>15937.38</v>
      </c>
      <c r="T173" s="28" t="s">
        <v>241</v>
      </c>
      <c r="U173" s="44" t="n">
        <f aca="false">IF(J173="BUY",S173-M173,M173-S173)</f>
        <v>-5.05999999999949</v>
      </c>
      <c r="V173" s="45" t="n">
        <v>0</v>
      </c>
      <c r="W173" s="45" t="n">
        <v>0</v>
      </c>
      <c r="X173" s="45" t="n">
        <v>-29.35</v>
      </c>
      <c r="Y173" s="32" t="n">
        <f aca="false">IFERROR(X173/R173,0)</f>
        <v>-1.01206896551724</v>
      </c>
      <c r="Z173" s="28" t="str">
        <f aca="false">IF(X173&gt;0,"Win",IF(X173&lt;0,"Loss","Flat"))</f>
        <v>Loss</v>
      </c>
      <c r="AA173" s="28" t="n">
        <f aca="false">ROUND((C173-B173)*1440,1)</f>
        <v>2.7</v>
      </c>
      <c r="AB173" s="28" t="str">
        <f aca="false">IF(AA173&lt;1,"a) &lt;1 min",IF(AA173&lt;10,"b) 1-10 min",IF(AA173&lt;60,"c) 10-60 min",IF(AA173&lt;240,"d) 1-4 h","e) 4 h+"))))</f>
        <v>b) 1-10 min</v>
      </c>
      <c r="AC173" s="28" t="str">
        <f aca="false">IF(P173&lt;10,"a) &lt;10",IF(P173&lt;20,"b) 10-20",IF(P173&lt;40,"c) 20-40",IF(P173&lt;80,"d) 40-80","e) 80+"))))</f>
        <v>a) &lt;10</v>
      </c>
      <c r="AD173" s="30" t="n">
        <f aca="false">Summary!$C$5+SUM(X$2:X173)</f>
        <v>104524.71</v>
      </c>
      <c r="AE173" s="30" t="n">
        <f aca="false">MAX(AE172,AD173)</f>
        <v>104554.41</v>
      </c>
      <c r="AF173" s="30" t="n">
        <f aca="false">AE173-AD173</f>
        <v>29.6999999999971</v>
      </c>
      <c r="AG173" s="29" t="n">
        <f aca="false">IFERROR(AF173/AE173,0)</f>
        <v>0.000284062623470374</v>
      </c>
    </row>
    <row r="174" customFormat="false" ht="15" hidden="false" customHeight="false" outlineLevel="0" collapsed="false">
      <c r="A174" s="28" t="n">
        <v>173</v>
      </c>
      <c r="B174" s="43" t="n">
        <v>45257.8326388889</v>
      </c>
      <c r="C174" s="43" t="n">
        <v>45257.8472685185</v>
      </c>
      <c r="D174" s="42" t="n">
        <f aca="false">INT(C174)</f>
        <v>45257</v>
      </c>
      <c r="E174" s="42" t="n">
        <f aca="false">D174-WEEKDAY(D174,3)</f>
        <v>45257</v>
      </c>
      <c r="F174" s="28" t="s">
        <v>150</v>
      </c>
      <c r="G174" s="28" t="n">
        <v>2023</v>
      </c>
      <c r="H174" s="28" t="s">
        <v>240</v>
      </c>
      <c r="I174" s="28" t="n">
        <v>19</v>
      </c>
      <c r="J174" s="28" t="s">
        <v>233</v>
      </c>
      <c r="K174" s="28" t="s">
        <v>234</v>
      </c>
      <c r="L174" s="28" t="n">
        <v>0.29</v>
      </c>
      <c r="M174" s="31" t="n">
        <v>16032.9</v>
      </c>
      <c r="N174" s="31" t="n">
        <v>16025.23</v>
      </c>
      <c r="O174" s="31" t="n">
        <v>16048.25</v>
      </c>
      <c r="P174" s="44" t="n">
        <f aca="false">ABS(M174-N174)</f>
        <v>7.67000000000007</v>
      </c>
      <c r="Q174" s="44" t="n">
        <f aca="false">IF(O174="","",ABS(O174-M174))</f>
        <v>15.3500000000004</v>
      </c>
      <c r="R174" s="30" t="n">
        <f aca="false">P174*L174*Summary!$C$6</f>
        <v>44.4860000000004</v>
      </c>
      <c r="S174" s="31" t="n">
        <v>16032.59</v>
      </c>
      <c r="T174" s="28" t="s">
        <v>238</v>
      </c>
      <c r="U174" s="44" t="n">
        <f aca="false">IF(J174="BUY",S174-M174,M174-S174)</f>
        <v>-0.309999999999491</v>
      </c>
      <c r="V174" s="45" t="n">
        <v>0</v>
      </c>
      <c r="W174" s="45" t="n">
        <v>0</v>
      </c>
      <c r="X174" s="45" t="n">
        <v>-1.8</v>
      </c>
      <c r="Y174" s="32" t="n">
        <f aca="false">IFERROR(X174/R174,0)</f>
        <v>-0.0404621678730383</v>
      </c>
      <c r="Z174" s="28" t="str">
        <f aca="false">IF(X174&gt;0,"Win",IF(X174&lt;0,"Loss","Flat"))</f>
        <v>Loss</v>
      </c>
      <c r="AA174" s="28" t="n">
        <f aca="false">ROUND((C174-B174)*1440,1)</f>
        <v>21.1</v>
      </c>
      <c r="AB174" s="28" t="str">
        <f aca="false">IF(AA174&lt;1,"a) &lt;1 min",IF(AA174&lt;10,"b) 1-10 min",IF(AA174&lt;60,"c) 10-60 min",IF(AA174&lt;240,"d) 1-4 h","e) 4 h+"))))</f>
        <v>c) 10-60 min</v>
      </c>
      <c r="AC174" s="28" t="str">
        <f aca="false">IF(P174&lt;10,"a) &lt;10",IF(P174&lt;20,"b) 10-20",IF(P174&lt;40,"c) 20-40",IF(P174&lt;80,"d) 40-80","e) 80+"))))</f>
        <v>a) &lt;10</v>
      </c>
      <c r="AD174" s="30" t="n">
        <f aca="false">Summary!$C$5+SUM(X$2:X174)</f>
        <v>104522.91</v>
      </c>
      <c r="AE174" s="30" t="n">
        <f aca="false">MAX(AE173,AD174)</f>
        <v>104554.41</v>
      </c>
      <c r="AF174" s="30" t="n">
        <f aca="false">AE174-AD174</f>
        <v>31.5</v>
      </c>
      <c r="AG174" s="29" t="n">
        <f aca="false">IFERROR(AF174/AE174,0)</f>
        <v>0.000301278540044365</v>
      </c>
    </row>
    <row r="175" customFormat="false" ht="15" hidden="false" customHeight="false" outlineLevel="0" collapsed="false">
      <c r="A175" s="28" t="n">
        <v>174</v>
      </c>
      <c r="B175" s="43" t="n">
        <v>45259.1263888889</v>
      </c>
      <c r="C175" s="43" t="n">
        <v>45259.1275578704</v>
      </c>
      <c r="D175" s="42" t="n">
        <f aca="false">INT(C175)</f>
        <v>45259</v>
      </c>
      <c r="E175" s="42" t="n">
        <f aca="false">D175-WEEKDAY(D175,3)</f>
        <v>45257</v>
      </c>
      <c r="F175" s="28" t="s">
        <v>150</v>
      </c>
      <c r="G175" s="28" t="n">
        <v>2023</v>
      </c>
      <c r="H175" s="28" t="s">
        <v>235</v>
      </c>
      <c r="I175" s="28" t="n">
        <v>3</v>
      </c>
      <c r="J175" s="28" t="s">
        <v>233</v>
      </c>
      <c r="K175" s="28" t="s">
        <v>234</v>
      </c>
      <c r="L175" s="28" t="n">
        <v>0.29</v>
      </c>
      <c r="M175" s="31" t="n">
        <v>16039.18</v>
      </c>
      <c r="N175" s="31" t="n">
        <v>16033.01</v>
      </c>
      <c r="O175" s="31" t="n">
        <v>16051.51</v>
      </c>
      <c r="P175" s="44" t="n">
        <f aca="false">ABS(M175-N175)</f>
        <v>6.17000000000007</v>
      </c>
      <c r="Q175" s="44" t="n">
        <f aca="false">IF(O175="","",ABS(O175-M175))</f>
        <v>12.3299999999999</v>
      </c>
      <c r="R175" s="30" t="n">
        <f aca="false">P175*L175*Summary!$C$6</f>
        <v>35.7860000000004</v>
      </c>
      <c r="S175" s="31" t="n">
        <v>16038.96</v>
      </c>
      <c r="T175" s="28" t="s">
        <v>238</v>
      </c>
      <c r="U175" s="44" t="n">
        <f aca="false">IF(J175="BUY",S175-M175,M175-S175)</f>
        <v>-0.220000000001164</v>
      </c>
      <c r="V175" s="45" t="n">
        <v>0</v>
      </c>
      <c r="W175" s="45" t="n">
        <v>0</v>
      </c>
      <c r="X175" s="45" t="n">
        <v>-1.28</v>
      </c>
      <c r="Y175" s="32" t="n">
        <f aca="false">IFERROR(X175/R175,0)</f>
        <v>-0.0357681774995804</v>
      </c>
      <c r="Z175" s="28" t="str">
        <f aca="false">IF(X175&gt;0,"Win",IF(X175&lt;0,"Loss","Flat"))</f>
        <v>Loss</v>
      </c>
      <c r="AA175" s="28" t="n">
        <f aca="false">ROUND((C175-B175)*1440,1)</f>
        <v>1.7</v>
      </c>
      <c r="AB175" s="28" t="str">
        <f aca="false">IF(AA175&lt;1,"a) &lt;1 min",IF(AA175&lt;10,"b) 1-10 min",IF(AA175&lt;60,"c) 10-60 min",IF(AA175&lt;240,"d) 1-4 h","e) 4 h+"))))</f>
        <v>b) 1-10 min</v>
      </c>
      <c r="AC175" s="28" t="str">
        <f aca="false">IF(P175&lt;10,"a) &lt;10",IF(P175&lt;20,"b) 10-20",IF(P175&lt;40,"c) 20-40",IF(P175&lt;80,"d) 40-80","e) 80+"))))</f>
        <v>a) &lt;10</v>
      </c>
      <c r="AD175" s="30" t="n">
        <f aca="false">Summary!$C$5+SUM(X$2:X175)</f>
        <v>104521.63</v>
      </c>
      <c r="AE175" s="30" t="n">
        <f aca="false">MAX(AE174,AD175)</f>
        <v>104554.41</v>
      </c>
      <c r="AF175" s="30" t="n">
        <f aca="false">AE175-AD175</f>
        <v>32.7799999999988</v>
      </c>
      <c r="AG175" s="29" t="n">
        <f aca="false">IFERROR(AF175/AE175,0)</f>
        <v>0.000313520969608062</v>
      </c>
    </row>
    <row r="176" customFormat="false" ht="15" hidden="false" customHeight="false" outlineLevel="0" collapsed="false">
      <c r="A176" s="28" t="n">
        <v>175</v>
      </c>
      <c r="B176" s="43" t="n">
        <v>45260.69375</v>
      </c>
      <c r="C176" s="43" t="n">
        <v>45260.7099537037</v>
      </c>
      <c r="D176" s="42" t="n">
        <f aca="false">INT(C176)</f>
        <v>45260</v>
      </c>
      <c r="E176" s="42" t="n">
        <f aca="false">D176-WEEKDAY(D176,3)</f>
        <v>45257</v>
      </c>
      <c r="F176" s="28" t="s">
        <v>150</v>
      </c>
      <c r="G176" s="28" t="n">
        <v>2023</v>
      </c>
      <c r="H176" s="28" t="s">
        <v>239</v>
      </c>
      <c r="I176" s="28" t="n">
        <v>16</v>
      </c>
      <c r="J176" s="28" t="s">
        <v>236</v>
      </c>
      <c r="K176" s="28" t="s">
        <v>237</v>
      </c>
      <c r="L176" s="28" t="n">
        <v>0.29</v>
      </c>
      <c r="M176" s="31" t="n">
        <v>15961.49</v>
      </c>
      <c r="N176" s="31" t="n">
        <v>15994.43</v>
      </c>
      <c r="O176" s="31" t="n">
        <v>15897.11</v>
      </c>
      <c r="P176" s="44" t="n">
        <f aca="false">ABS(M176-N176)</f>
        <v>32.9400000000005</v>
      </c>
      <c r="Q176" s="44" t="n">
        <f aca="false">IF(O176="","",ABS(O176-M176))</f>
        <v>64.3799999999992</v>
      </c>
      <c r="R176" s="30" t="n">
        <f aca="false">P176*L176*Summary!$C$6</f>
        <v>191.052000000003</v>
      </c>
      <c r="S176" s="31" t="n">
        <v>15897.07</v>
      </c>
      <c r="T176" s="28" t="s">
        <v>214</v>
      </c>
      <c r="U176" s="44" t="n">
        <f aca="false">IF(J176="BUY",S176-M176,M176-S176)</f>
        <v>64.4200000000001</v>
      </c>
      <c r="V176" s="45" t="n">
        <v>0</v>
      </c>
      <c r="W176" s="45" t="n">
        <v>0</v>
      </c>
      <c r="X176" s="45" t="n">
        <v>373.64</v>
      </c>
      <c r="Y176" s="32" t="n">
        <f aca="false">IFERROR(X176/R176,0)</f>
        <v>1.95569792517217</v>
      </c>
      <c r="Z176" s="28" t="str">
        <f aca="false">IF(X176&gt;0,"Win",IF(X176&lt;0,"Loss","Flat"))</f>
        <v>Win</v>
      </c>
      <c r="AA176" s="28" t="n">
        <f aca="false">ROUND((C176-B176)*1440,1)</f>
        <v>23.3</v>
      </c>
      <c r="AB176" s="28" t="str">
        <f aca="false">IF(AA176&lt;1,"a) &lt;1 min",IF(AA176&lt;10,"b) 1-10 min",IF(AA176&lt;60,"c) 10-60 min",IF(AA176&lt;240,"d) 1-4 h","e) 4 h+"))))</f>
        <v>c) 10-60 min</v>
      </c>
      <c r="AC176" s="28" t="str">
        <f aca="false">IF(P176&lt;10,"a) &lt;10",IF(P176&lt;20,"b) 10-20",IF(P176&lt;40,"c) 20-40",IF(P176&lt;80,"d) 40-80","e) 80+"))))</f>
        <v>c) 20-40</v>
      </c>
      <c r="AD176" s="30" t="n">
        <f aca="false">Summary!$C$5+SUM(X$2:X176)</f>
        <v>104895.27</v>
      </c>
      <c r="AE176" s="30" t="n">
        <f aca="false">MAX(AE175,AD176)</f>
        <v>104895.27</v>
      </c>
      <c r="AF176" s="30" t="n">
        <f aca="false">AE176-AD176</f>
        <v>0</v>
      </c>
      <c r="AG176" s="29" t="n">
        <f aca="false">IFERROR(AF176/AE176,0)</f>
        <v>0</v>
      </c>
    </row>
    <row r="177" customFormat="false" ht="15" hidden="false" customHeight="false" outlineLevel="0" collapsed="false">
      <c r="A177" s="28" t="n">
        <v>176</v>
      </c>
      <c r="B177" s="43" t="n">
        <v>45264.6840277778</v>
      </c>
      <c r="C177" s="43" t="n">
        <v>45264.6875231482</v>
      </c>
      <c r="D177" s="42" t="n">
        <f aca="false">INT(C177)</f>
        <v>45264</v>
      </c>
      <c r="E177" s="42" t="n">
        <f aca="false">D177-WEEKDAY(D177,3)</f>
        <v>45264</v>
      </c>
      <c r="F177" s="28" t="s">
        <v>151</v>
      </c>
      <c r="G177" s="28" t="n">
        <v>2023</v>
      </c>
      <c r="H177" s="28" t="s">
        <v>240</v>
      </c>
      <c r="I177" s="28" t="n">
        <v>16</v>
      </c>
      <c r="J177" s="28" t="s">
        <v>236</v>
      </c>
      <c r="K177" s="28" t="s">
        <v>237</v>
      </c>
      <c r="L177" s="28" t="n">
        <v>0.29</v>
      </c>
      <c r="M177" s="31" t="n">
        <v>15818.62</v>
      </c>
      <c r="N177" s="31" t="n">
        <v>15833.43</v>
      </c>
      <c r="O177" s="31" t="n">
        <v>15789</v>
      </c>
      <c r="P177" s="44" t="n">
        <f aca="false">ABS(M177-N177)</f>
        <v>14.8099999999995</v>
      </c>
      <c r="Q177" s="44" t="n">
        <f aca="false">IF(O177="","",ABS(O177-M177))</f>
        <v>29.6200000000008</v>
      </c>
      <c r="R177" s="30" t="n">
        <f aca="false">P177*L177*Summary!$C$6</f>
        <v>85.897999999997</v>
      </c>
      <c r="S177" s="31" t="n">
        <v>15833.7</v>
      </c>
      <c r="T177" s="28" t="s">
        <v>241</v>
      </c>
      <c r="U177" s="44" t="n">
        <f aca="false">IF(J177="BUY",S177-M177,M177-S177)</f>
        <v>-15.0799999999999</v>
      </c>
      <c r="V177" s="45" t="n">
        <v>0</v>
      </c>
      <c r="W177" s="45" t="n">
        <v>0</v>
      </c>
      <c r="X177" s="45" t="n">
        <v>-87.46</v>
      </c>
      <c r="Y177" s="32" t="n">
        <f aca="false">IFERROR(X177/R177,0)</f>
        <v>-1.01818435819231</v>
      </c>
      <c r="Z177" s="28" t="str">
        <f aca="false">IF(X177&gt;0,"Win",IF(X177&lt;0,"Loss","Flat"))</f>
        <v>Loss</v>
      </c>
      <c r="AA177" s="28" t="n">
        <f aca="false">ROUND((C177-B177)*1440,1)</f>
        <v>5</v>
      </c>
      <c r="AB177" s="28" t="str">
        <f aca="false">IF(AA177&lt;1,"a) &lt;1 min",IF(AA177&lt;10,"b) 1-10 min",IF(AA177&lt;60,"c) 10-60 min",IF(AA177&lt;240,"d) 1-4 h","e) 4 h+"))))</f>
        <v>b) 1-10 min</v>
      </c>
      <c r="AC177" s="28" t="str">
        <f aca="false">IF(P177&lt;10,"a) &lt;10",IF(P177&lt;20,"b) 10-20",IF(P177&lt;40,"c) 20-40",IF(P177&lt;80,"d) 40-80","e) 80+"))))</f>
        <v>b) 10-20</v>
      </c>
      <c r="AD177" s="30" t="n">
        <f aca="false">Summary!$C$5+SUM(X$2:X177)</f>
        <v>104807.81</v>
      </c>
      <c r="AE177" s="30" t="n">
        <f aca="false">MAX(AE176,AD177)</f>
        <v>104895.27</v>
      </c>
      <c r="AF177" s="30" t="n">
        <f aca="false">AE177-AD177</f>
        <v>87.4600000000064</v>
      </c>
      <c r="AG177" s="29" t="n">
        <f aca="false">IFERROR(AF177/AE177,0)</f>
        <v>0.000833784020957345</v>
      </c>
    </row>
    <row r="178" customFormat="false" ht="15" hidden="false" customHeight="false" outlineLevel="0" collapsed="false">
      <c r="A178" s="28" t="n">
        <v>177</v>
      </c>
      <c r="B178" s="43" t="n">
        <v>45266.1090277778</v>
      </c>
      <c r="C178" s="43" t="n">
        <v>45266.1110763889</v>
      </c>
      <c r="D178" s="42" t="n">
        <f aca="false">INT(C178)</f>
        <v>45266</v>
      </c>
      <c r="E178" s="42" t="n">
        <f aca="false">D178-WEEKDAY(D178,3)</f>
        <v>45264</v>
      </c>
      <c r="F178" s="28" t="s">
        <v>151</v>
      </c>
      <c r="G178" s="28" t="n">
        <v>2023</v>
      </c>
      <c r="H178" s="28" t="s">
        <v>235</v>
      </c>
      <c r="I178" s="28" t="n">
        <v>2</v>
      </c>
      <c r="J178" s="28" t="s">
        <v>233</v>
      </c>
      <c r="K178" s="28" t="s">
        <v>234</v>
      </c>
      <c r="L178" s="28" t="n">
        <v>0.29</v>
      </c>
      <c r="M178" s="31" t="n">
        <v>15934.91</v>
      </c>
      <c r="N178" s="31" t="n">
        <v>15929.65</v>
      </c>
      <c r="O178" s="31" t="n">
        <v>15945.44</v>
      </c>
      <c r="P178" s="44" t="n">
        <f aca="false">ABS(M178-N178)</f>
        <v>5.26000000000022</v>
      </c>
      <c r="Q178" s="44" t="n">
        <f aca="false">IF(O178="","",ABS(O178-M178))</f>
        <v>10.5300000000007</v>
      </c>
      <c r="R178" s="30" t="n">
        <f aca="false">P178*L178*Summary!$C$6</f>
        <v>30.5080000000013</v>
      </c>
      <c r="S178" s="31" t="n">
        <v>15929.12</v>
      </c>
      <c r="T178" s="28" t="s">
        <v>241</v>
      </c>
      <c r="U178" s="44" t="n">
        <f aca="false">IF(J178="BUY",S178-M178,M178-S178)</f>
        <v>-5.78999999999905</v>
      </c>
      <c r="V178" s="45" t="n">
        <v>0</v>
      </c>
      <c r="W178" s="45" t="n">
        <v>0</v>
      </c>
      <c r="X178" s="45" t="n">
        <v>-33.58</v>
      </c>
      <c r="Y178" s="32" t="n">
        <f aca="false">IFERROR(X178/R178,0)</f>
        <v>-1.10069489969839</v>
      </c>
      <c r="Z178" s="28" t="str">
        <f aca="false">IF(X178&gt;0,"Win",IF(X178&lt;0,"Loss","Flat"))</f>
        <v>Loss</v>
      </c>
      <c r="AA178" s="28" t="n">
        <f aca="false">ROUND((C178-B178)*1440,1)</f>
        <v>3</v>
      </c>
      <c r="AB178" s="28" t="str">
        <f aca="false">IF(AA178&lt;1,"a) &lt;1 min",IF(AA178&lt;10,"b) 1-10 min",IF(AA178&lt;60,"c) 10-60 min",IF(AA178&lt;240,"d) 1-4 h","e) 4 h+"))))</f>
        <v>b) 1-10 min</v>
      </c>
      <c r="AC178" s="28" t="str">
        <f aca="false">IF(P178&lt;10,"a) &lt;10",IF(P178&lt;20,"b) 10-20",IF(P178&lt;40,"c) 20-40",IF(P178&lt;80,"d) 40-80","e) 80+"))))</f>
        <v>a) &lt;10</v>
      </c>
      <c r="AD178" s="30" t="n">
        <f aca="false">Summary!$C$5+SUM(X$2:X178)</f>
        <v>104774.23</v>
      </c>
      <c r="AE178" s="30" t="n">
        <f aca="false">MAX(AE177,AD178)</f>
        <v>104895.27</v>
      </c>
      <c r="AF178" s="30" t="n">
        <f aca="false">AE178-AD178</f>
        <v>121.040000000008</v>
      </c>
      <c r="AG178" s="29" t="n">
        <f aca="false">IFERROR(AF178/AE178,0)</f>
        <v>0.00115391285040792</v>
      </c>
    </row>
    <row r="179" customFormat="false" ht="15" hidden="false" customHeight="false" outlineLevel="0" collapsed="false">
      <c r="A179" s="28" t="n">
        <v>178</v>
      </c>
      <c r="B179" s="43" t="n">
        <v>45267.3159722222</v>
      </c>
      <c r="C179" s="43" t="n">
        <v>45267.3438773148</v>
      </c>
      <c r="D179" s="42" t="n">
        <f aca="false">INT(C179)</f>
        <v>45267</v>
      </c>
      <c r="E179" s="42" t="n">
        <f aca="false">D179-WEEKDAY(D179,3)</f>
        <v>45264</v>
      </c>
      <c r="F179" s="28" t="s">
        <v>151</v>
      </c>
      <c r="G179" s="28" t="n">
        <v>2023</v>
      </c>
      <c r="H179" s="28" t="s">
        <v>239</v>
      </c>
      <c r="I179" s="28" t="n">
        <v>7</v>
      </c>
      <c r="J179" s="28" t="s">
        <v>236</v>
      </c>
      <c r="K179" s="28" t="s">
        <v>237</v>
      </c>
      <c r="L179" s="28" t="n">
        <v>0.29</v>
      </c>
      <c r="M179" s="31" t="n">
        <v>15776.7</v>
      </c>
      <c r="N179" s="31" t="n">
        <v>15782.03</v>
      </c>
      <c r="O179" s="31" t="n">
        <v>15766.04</v>
      </c>
      <c r="P179" s="44" t="n">
        <f aca="false">ABS(M179-N179)</f>
        <v>5.32999999999993</v>
      </c>
      <c r="Q179" s="44" t="n">
        <f aca="false">IF(O179="","",ABS(O179-M179))</f>
        <v>10.6599999999999</v>
      </c>
      <c r="R179" s="30" t="n">
        <f aca="false">P179*L179*Summary!$C$6</f>
        <v>30.9139999999996</v>
      </c>
      <c r="S179" s="31" t="n">
        <v>15782.15</v>
      </c>
      <c r="T179" s="28" t="s">
        <v>241</v>
      </c>
      <c r="U179" s="44" t="n">
        <f aca="false">IF(J179="BUY",S179-M179,M179-S179)</f>
        <v>-5.44999999999891</v>
      </c>
      <c r="V179" s="45" t="n">
        <v>0</v>
      </c>
      <c r="W179" s="45" t="n">
        <v>0</v>
      </c>
      <c r="X179" s="45" t="n">
        <v>-31.61</v>
      </c>
      <c r="Y179" s="32" t="n">
        <f aca="false">IFERROR(X179/R179,0)</f>
        <v>-1.02251407129457</v>
      </c>
      <c r="Z179" s="28" t="str">
        <f aca="false">IF(X179&gt;0,"Win",IF(X179&lt;0,"Loss","Flat"))</f>
        <v>Loss</v>
      </c>
      <c r="AA179" s="28" t="n">
        <f aca="false">ROUND((C179-B179)*1440,1)</f>
        <v>40.2</v>
      </c>
      <c r="AB179" s="28" t="str">
        <f aca="false">IF(AA179&lt;1,"a) &lt;1 min",IF(AA179&lt;10,"b) 1-10 min",IF(AA179&lt;60,"c) 10-60 min",IF(AA179&lt;240,"d) 1-4 h","e) 4 h+"))))</f>
        <v>c) 10-60 min</v>
      </c>
      <c r="AC179" s="28" t="str">
        <f aca="false">IF(P179&lt;10,"a) &lt;10",IF(P179&lt;20,"b) 10-20",IF(P179&lt;40,"c) 20-40",IF(P179&lt;80,"d) 40-80","e) 80+"))))</f>
        <v>a) &lt;10</v>
      </c>
      <c r="AD179" s="30" t="n">
        <f aca="false">Summary!$C$5+SUM(X$2:X179)</f>
        <v>104742.62</v>
      </c>
      <c r="AE179" s="30" t="n">
        <f aca="false">MAX(AE178,AD179)</f>
        <v>104895.27</v>
      </c>
      <c r="AF179" s="30" t="n">
        <f aca="false">AE179-AD179</f>
        <v>152.650000000009</v>
      </c>
      <c r="AG179" s="29" t="n">
        <f aca="false">IFERROR(AF179/AE179,0)</f>
        <v>0.00145526104275254</v>
      </c>
    </row>
    <row r="180" customFormat="false" ht="15" hidden="false" customHeight="false" outlineLevel="0" collapsed="false">
      <c r="A180" s="28" t="n">
        <v>179</v>
      </c>
      <c r="B180" s="43" t="n">
        <v>45267.8048611111</v>
      </c>
      <c r="C180" s="43" t="n">
        <v>45267.821724537</v>
      </c>
      <c r="D180" s="42" t="n">
        <f aca="false">INT(C180)</f>
        <v>45267</v>
      </c>
      <c r="E180" s="42" t="n">
        <f aca="false">D180-WEEKDAY(D180,3)</f>
        <v>45264</v>
      </c>
      <c r="F180" s="28" t="s">
        <v>151</v>
      </c>
      <c r="G180" s="28" t="n">
        <v>2023</v>
      </c>
      <c r="H180" s="28" t="s">
        <v>239</v>
      </c>
      <c r="I180" s="28" t="n">
        <v>19</v>
      </c>
      <c r="J180" s="28" t="s">
        <v>233</v>
      </c>
      <c r="K180" s="28" t="s">
        <v>234</v>
      </c>
      <c r="L180" s="28" t="n">
        <v>0.29</v>
      </c>
      <c r="M180" s="31" t="n">
        <v>16022.52</v>
      </c>
      <c r="N180" s="31" t="n">
        <v>16008.44</v>
      </c>
      <c r="O180" s="31" t="n">
        <v>16050.68</v>
      </c>
      <c r="P180" s="44" t="n">
        <f aca="false">ABS(M180-N180)</f>
        <v>14.0799999999999</v>
      </c>
      <c r="Q180" s="44" t="n">
        <f aca="false">IF(O180="","",ABS(O180-M180))</f>
        <v>28.1599999999999</v>
      </c>
      <c r="R180" s="30" t="n">
        <f aca="false">P180*L180*Summary!$C$6</f>
        <v>81.6639999999996</v>
      </c>
      <c r="S180" s="31" t="n">
        <v>16008.29</v>
      </c>
      <c r="T180" s="28" t="s">
        <v>241</v>
      </c>
      <c r="U180" s="44" t="n">
        <f aca="false">IF(J180="BUY",S180-M180,M180-S180)</f>
        <v>-14.2299999999996</v>
      </c>
      <c r="V180" s="45" t="n">
        <v>0</v>
      </c>
      <c r="W180" s="45" t="n">
        <v>0</v>
      </c>
      <c r="X180" s="45" t="n">
        <v>-82.53</v>
      </c>
      <c r="Y180" s="32" t="n">
        <f aca="false">IFERROR(X180/R180,0)</f>
        <v>-1.01060442789969</v>
      </c>
      <c r="Z180" s="28" t="str">
        <f aca="false">IF(X180&gt;0,"Win",IF(X180&lt;0,"Loss","Flat"))</f>
        <v>Loss</v>
      </c>
      <c r="AA180" s="28" t="n">
        <f aca="false">ROUND((C180-B180)*1440,1)</f>
        <v>24.3</v>
      </c>
      <c r="AB180" s="28" t="str">
        <f aca="false">IF(AA180&lt;1,"a) &lt;1 min",IF(AA180&lt;10,"b) 1-10 min",IF(AA180&lt;60,"c) 10-60 min",IF(AA180&lt;240,"d) 1-4 h","e) 4 h+"))))</f>
        <v>c) 10-60 min</v>
      </c>
      <c r="AC180" s="28" t="str">
        <f aca="false">IF(P180&lt;10,"a) &lt;10",IF(P180&lt;20,"b) 10-20",IF(P180&lt;40,"c) 20-40",IF(P180&lt;80,"d) 40-80","e) 80+"))))</f>
        <v>b) 10-20</v>
      </c>
      <c r="AD180" s="30" t="n">
        <f aca="false">Summary!$C$5+SUM(X$2:X180)</f>
        <v>104660.09</v>
      </c>
      <c r="AE180" s="30" t="n">
        <f aca="false">MAX(AE179,AD180)</f>
        <v>104895.27</v>
      </c>
      <c r="AF180" s="30" t="n">
        <f aca="false">AE180-AD180</f>
        <v>235.180000000008</v>
      </c>
      <c r="AG180" s="29" t="n">
        <f aca="false">IFERROR(AF180/AE180,0)</f>
        <v>0.00224204580435331</v>
      </c>
    </row>
    <row r="181" customFormat="false" ht="15" hidden="false" customHeight="false" outlineLevel="0" collapsed="false">
      <c r="A181" s="28" t="n">
        <v>180</v>
      </c>
      <c r="B181" s="43" t="n">
        <v>45268.7138888889</v>
      </c>
      <c r="C181" s="43" t="n">
        <v>45268.7319097222</v>
      </c>
      <c r="D181" s="42" t="n">
        <f aca="false">INT(C181)</f>
        <v>45268</v>
      </c>
      <c r="E181" s="42" t="n">
        <f aca="false">D181-WEEKDAY(D181,3)</f>
        <v>45264</v>
      </c>
      <c r="F181" s="28" t="s">
        <v>151</v>
      </c>
      <c r="G181" s="28" t="n">
        <v>2023</v>
      </c>
      <c r="H181" s="28" t="s">
        <v>242</v>
      </c>
      <c r="I181" s="28" t="n">
        <v>17</v>
      </c>
      <c r="J181" s="28" t="s">
        <v>233</v>
      </c>
      <c r="K181" s="28" t="s">
        <v>234</v>
      </c>
      <c r="L181" s="28" t="n">
        <v>0.29</v>
      </c>
      <c r="M181" s="31" t="n">
        <v>16054.79</v>
      </c>
      <c r="N181" s="31" t="n">
        <v>16014.63</v>
      </c>
      <c r="O181" s="31" t="n">
        <v>16135.11</v>
      </c>
      <c r="P181" s="44" t="n">
        <f aca="false">ABS(M181-N181)</f>
        <v>40.1600000000017</v>
      </c>
      <c r="Q181" s="44" t="n">
        <f aca="false">IF(O181="","",ABS(O181-M181))</f>
        <v>80.3199999999997</v>
      </c>
      <c r="R181" s="30" t="n">
        <f aca="false">P181*L181*Summary!$C$6</f>
        <v>232.92800000001</v>
      </c>
      <c r="S181" s="31" t="n">
        <v>16054.43</v>
      </c>
      <c r="T181" s="28" t="s">
        <v>238</v>
      </c>
      <c r="U181" s="44" t="n">
        <f aca="false">IF(J181="BUY",S181-M181,M181-S181)</f>
        <v>-0.360000000000582</v>
      </c>
      <c r="V181" s="45" t="n">
        <v>0</v>
      </c>
      <c r="W181" s="45" t="n">
        <v>0</v>
      </c>
      <c r="X181" s="45" t="n">
        <v>-2.09</v>
      </c>
      <c r="Y181" s="32" t="n">
        <f aca="false">IFERROR(X181/R181,0)</f>
        <v>-0.00897272977057251</v>
      </c>
      <c r="Z181" s="28" t="str">
        <f aca="false">IF(X181&gt;0,"Win",IF(X181&lt;0,"Loss","Flat"))</f>
        <v>Loss</v>
      </c>
      <c r="AA181" s="28" t="n">
        <f aca="false">ROUND((C181-B181)*1440,1)</f>
        <v>26</v>
      </c>
      <c r="AB181" s="28" t="str">
        <f aca="false">IF(AA181&lt;1,"a) &lt;1 min",IF(AA181&lt;10,"b) 1-10 min",IF(AA181&lt;60,"c) 10-60 min",IF(AA181&lt;240,"d) 1-4 h","e) 4 h+"))))</f>
        <v>c) 10-60 min</v>
      </c>
      <c r="AC181" s="28" t="str">
        <f aca="false">IF(P181&lt;10,"a) &lt;10",IF(P181&lt;20,"b) 10-20",IF(P181&lt;40,"c) 20-40",IF(P181&lt;80,"d) 40-80","e) 80+"))))</f>
        <v>d) 40-80</v>
      </c>
      <c r="AD181" s="30" t="n">
        <f aca="false">Summary!$C$5+SUM(X$2:X181)</f>
        <v>104658</v>
      </c>
      <c r="AE181" s="30" t="n">
        <f aca="false">MAX(AE180,AD181)</f>
        <v>104895.27</v>
      </c>
      <c r="AF181" s="30" t="n">
        <f aca="false">AE181-AD181</f>
        <v>237.270000000004</v>
      </c>
      <c r="AG181" s="29" t="n">
        <f aca="false">IFERROR(AF181/AE181,0)</f>
        <v>0.00226197043965857</v>
      </c>
    </row>
    <row r="182" customFormat="false" ht="15" hidden="false" customHeight="false" outlineLevel="0" collapsed="false">
      <c r="A182" s="28" t="n">
        <v>181</v>
      </c>
      <c r="B182" s="43" t="n">
        <v>45271.6902777778</v>
      </c>
      <c r="C182" s="43" t="n">
        <v>45271.6914467593</v>
      </c>
      <c r="D182" s="42" t="n">
        <f aca="false">INT(C182)</f>
        <v>45271</v>
      </c>
      <c r="E182" s="42" t="n">
        <f aca="false">D182-WEEKDAY(D182,3)</f>
        <v>45271</v>
      </c>
      <c r="F182" s="28" t="s">
        <v>151</v>
      </c>
      <c r="G182" s="28" t="n">
        <v>2023</v>
      </c>
      <c r="H182" s="28" t="s">
        <v>240</v>
      </c>
      <c r="I182" s="28" t="n">
        <v>16</v>
      </c>
      <c r="J182" s="28" t="s">
        <v>233</v>
      </c>
      <c r="K182" s="28" t="s">
        <v>234</v>
      </c>
      <c r="L182" s="28" t="n">
        <v>0.29</v>
      </c>
      <c r="M182" s="31" t="n">
        <v>16104.42</v>
      </c>
      <c r="N182" s="31" t="n">
        <v>16076.71</v>
      </c>
      <c r="O182" s="31" t="n">
        <v>16154.14</v>
      </c>
      <c r="P182" s="44" t="n">
        <f aca="false">ABS(M182-N182)</f>
        <v>27.7100000000009</v>
      </c>
      <c r="Q182" s="44" t="n">
        <f aca="false">IF(O182="","",ABS(O182-M182))</f>
        <v>49.7199999999993</v>
      </c>
      <c r="R182" s="30" t="n">
        <f aca="false">P182*L182*Summary!$C$6</f>
        <v>160.718000000005</v>
      </c>
      <c r="S182" s="31" t="n">
        <v>16076.39</v>
      </c>
      <c r="T182" s="28" t="s">
        <v>241</v>
      </c>
      <c r="U182" s="44" t="n">
        <f aca="false">IF(J182="BUY",S182-M182,M182-S182)</f>
        <v>-28.0300000000007</v>
      </c>
      <c r="V182" s="45" t="n">
        <v>0</v>
      </c>
      <c r="W182" s="45" t="n">
        <v>0</v>
      </c>
      <c r="X182" s="45" t="n">
        <v>-162.57</v>
      </c>
      <c r="Y182" s="32" t="n">
        <f aca="false">IFERROR(X182/R182,0)</f>
        <v>-1.0115232892395</v>
      </c>
      <c r="Z182" s="28" t="str">
        <f aca="false">IF(X182&gt;0,"Win",IF(X182&lt;0,"Loss","Flat"))</f>
        <v>Loss</v>
      </c>
      <c r="AA182" s="28" t="n">
        <f aca="false">ROUND((C182-B182)*1440,1)</f>
        <v>1.7</v>
      </c>
      <c r="AB182" s="28" t="str">
        <f aca="false">IF(AA182&lt;1,"a) &lt;1 min",IF(AA182&lt;10,"b) 1-10 min",IF(AA182&lt;60,"c) 10-60 min",IF(AA182&lt;240,"d) 1-4 h","e) 4 h+"))))</f>
        <v>b) 1-10 min</v>
      </c>
      <c r="AC182" s="28" t="str">
        <f aca="false">IF(P182&lt;10,"a) &lt;10",IF(P182&lt;20,"b) 10-20",IF(P182&lt;40,"c) 20-40",IF(P182&lt;80,"d) 40-80","e) 80+"))))</f>
        <v>c) 20-40</v>
      </c>
      <c r="AD182" s="30" t="n">
        <f aca="false">Summary!$C$5+SUM(X$2:X182)</f>
        <v>104495.43</v>
      </c>
      <c r="AE182" s="30" t="n">
        <f aca="false">MAX(AE181,AD182)</f>
        <v>104895.27</v>
      </c>
      <c r="AF182" s="30" t="n">
        <f aca="false">AE182-AD182</f>
        <v>399.840000000011</v>
      </c>
      <c r="AG182" s="29" t="n">
        <f aca="false">IFERROR(AF182/AE182,0)</f>
        <v>0.00381180200022376</v>
      </c>
    </row>
    <row r="183" customFormat="false" ht="15" hidden="false" customHeight="false" outlineLevel="0" collapsed="false">
      <c r="A183" s="28" t="n">
        <v>182</v>
      </c>
      <c r="B183" s="43" t="n">
        <v>45272.0979166667</v>
      </c>
      <c r="C183" s="43" t="n">
        <v>45272.0983564815</v>
      </c>
      <c r="D183" s="42" t="n">
        <f aca="false">INT(C183)</f>
        <v>45272</v>
      </c>
      <c r="E183" s="42" t="n">
        <f aca="false">D183-WEEKDAY(D183,3)</f>
        <v>45271</v>
      </c>
      <c r="F183" s="28" t="s">
        <v>151</v>
      </c>
      <c r="G183" s="28" t="n">
        <v>2023</v>
      </c>
      <c r="H183" s="28" t="s">
        <v>232</v>
      </c>
      <c r="I183" s="28" t="n">
        <v>2</v>
      </c>
      <c r="J183" s="28" t="s">
        <v>233</v>
      </c>
      <c r="K183" s="28" t="s">
        <v>234</v>
      </c>
      <c r="L183" s="28" t="n">
        <v>0.28</v>
      </c>
      <c r="M183" s="31" t="n">
        <v>16242.01</v>
      </c>
      <c r="N183" s="31" t="n">
        <v>16236.79</v>
      </c>
      <c r="O183" s="31" t="n">
        <v>16252.44</v>
      </c>
      <c r="P183" s="44" t="n">
        <f aca="false">ABS(M183-N183)</f>
        <v>5.21999999999935</v>
      </c>
      <c r="Q183" s="44" t="n">
        <f aca="false">IF(O183="","",ABS(O183-M183))</f>
        <v>10.4300000000003</v>
      </c>
      <c r="R183" s="30" t="n">
        <f aca="false">P183*L183*Summary!$C$6</f>
        <v>29.2319999999963</v>
      </c>
      <c r="S183" s="31" t="n">
        <v>16252.55</v>
      </c>
      <c r="T183" s="28" t="s">
        <v>214</v>
      </c>
      <c r="U183" s="44" t="n">
        <f aca="false">IF(J183="BUY",S183-M183,M183-S183)</f>
        <v>10.5399999999991</v>
      </c>
      <c r="V183" s="45" t="n">
        <v>0</v>
      </c>
      <c r="W183" s="45" t="n">
        <v>0</v>
      </c>
      <c r="X183" s="45" t="n">
        <v>59.02</v>
      </c>
      <c r="Y183" s="32" t="n">
        <f aca="false">IFERROR(X183/R183,0)</f>
        <v>2.01902025177913</v>
      </c>
      <c r="Z183" s="28" t="str">
        <f aca="false">IF(X183&gt;0,"Win",IF(X183&lt;0,"Loss","Flat"))</f>
        <v>Win</v>
      </c>
      <c r="AA183" s="28" t="n">
        <f aca="false">ROUND((C183-B183)*1440,1)</f>
        <v>0.6</v>
      </c>
      <c r="AB183" s="28" t="str">
        <f aca="false">IF(AA183&lt;1,"a) &lt;1 min",IF(AA183&lt;10,"b) 1-10 min",IF(AA183&lt;60,"c) 10-60 min",IF(AA183&lt;240,"d) 1-4 h","e) 4 h+"))))</f>
        <v>a) &lt;1 min</v>
      </c>
      <c r="AC183" s="28" t="str">
        <f aca="false">IF(P183&lt;10,"a) &lt;10",IF(P183&lt;20,"b) 10-20",IF(P183&lt;40,"c) 20-40",IF(P183&lt;80,"d) 40-80","e) 80+"))))</f>
        <v>a) &lt;10</v>
      </c>
      <c r="AD183" s="30" t="n">
        <f aca="false">Summary!$C$5+SUM(X$2:X183)</f>
        <v>104554.45</v>
      </c>
      <c r="AE183" s="30" t="n">
        <f aca="false">MAX(AE182,AD183)</f>
        <v>104895.27</v>
      </c>
      <c r="AF183" s="30" t="n">
        <f aca="false">AE183-AD183</f>
        <v>340.820000000007</v>
      </c>
      <c r="AG183" s="29" t="n">
        <f aca="false">IFERROR(AF183/AE183,0)</f>
        <v>0.00324914555251163</v>
      </c>
    </row>
    <row r="184" customFormat="false" ht="15" hidden="false" customHeight="false" outlineLevel="0" collapsed="false">
      <c r="A184" s="28" t="n">
        <v>183</v>
      </c>
      <c r="B184" s="43" t="n">
        <v>45273.0430555556</v>
      </c>
      <c r="C184" s="43" t="n">
        <v>45273.1076388889</v>
      </c>
      <c r="D184" s="42" t="n">
        <f aca="false">INT(C184)</f>
        <v>45273</v>
      </c>
      <c r="E184" s="42" t="n">
        <f aca="false">D184-WEEKDAY(D184,3)</f>
        <v>45271</v>
      </c>
      <c r="F184" s="28" t="s">
        <v>151</v>
      </c>
      <c r="G184" s="28" t="n">
        <v>2023</v>
      </c>
      <c r="H184" s="28" t="s">
        <v>235</v>
      </c>
      <c r="I184" s="28" t="n">
        <v>1</v>
      </c>
      <c r="J184" s="28" t="s">
        <v>233</v>
      </c>
      <c r="K184" s="28" t="s">
        <v>234</v>
      </c>
      <c r="L184" s="28" t="n">
        <v>0.28</v>
      </c>
      <c r="M184" s="31" t="n">
        <v>16377.06</v>
      </c>
      <c r="N184" s="31" t="n">
        <v>16369.75</v>
      </c>
      <c r="O184" s="31" t="n">
        <v>16391.67</v>
      </c>
      <c r="P184" s="44" t="n">
        <f aca="false">ABS(M184-N184)</f>
        <v>7.30999999999949</v>
      </c>
      <c r="Q184" s="44" t="n">
        <f aca="false">IF(O184="","",ABS(O184-M184))</f>
        <v>14.6099999999988</v>
      </c>
      <c r="R184" s="30" t="n">
        <f aca="false">P184*L184*Summary!$C$6</f>
        <v>40.9359999999972</v>
      </c>
      <c r="S184" s="31" t="n">
        <v>16377.02</v>
      </c>
      <c r="T184" s="28" t="s">
        <v>238</v>
      </c>
      <c r="U184" s="44" t="n">
        <f aca="false">IF(J184="BUY",S184-M184,M184-S184)</f>
        <v>-0.0399999999990541</v>
      </c>
      <c r="V184" s="45" t="n">
        <v>0</v>
      </c>
      <c r="W184" s="45" t="n">
        <v>0</v>
      </c>
      <c r="X184" s="45" t="n">
        <v>-0.22</v>
      </c>
      <c r="Y184" s="32" t="n">
        <f aca="false">IFERROR(X184/R184,0)</f>
        <v>-0.00537424272034433</v>
      </c>
      <c r="Z184" s="28" t="str">
        <f aca="false">IF(X184&gt;0,"Win",IF(X184&lt;0,"Loss","Flat"))</f>
        <v>Loss</v>
      </c>
      <c r="AA184" s="28" t="n">
        <f aca="false">ROUND((C184-B184)*1440,1)</f>
        <v>93</v>
      </c>
      <c r="AB184" s="28" t="str">
        <f aca="false">IF(AA184&lt;1,"a) &lt;1 min",IF(AA184&lt;10,"b) 1-10 min",IF(AA184&lt;60,"c) 10-60 min",IF(AA184&lt;240,"d) 1-4 h","e) 4 h+"))))</f>
        <v>d) 1-4 h</v>
      </c>
      <c r="AC184" s="28" t="str">
        <f aca="false">IF(P184&lt;10,"a) &lt;10",IF(P184&lt;20,"b) 10-20",IF(P184&lt;40,"c) 20-40",IF(P184&lt;80,"d) 40-80","e) 80+"))))</f>
        <v>a) &lt;10</v>
      </c>
      <c r="AD184" s="30" t="n">
        <f aca="false">Summary!$C$5+SUM(X$2:X184)</f>
        <v>104554.23</v>
      </c>
      <c r="AE184" s="30" t="n">
        <f aca="false">MAX(AE183,AD184)</f>
        <v>104895.27</v>
      </c>
      <c r="AF184" s="30" t="n">
        <f aca="false">AE184-AD184</f>
        <v>341.040000000008</v>
      </c>
      <c r="AG184" s="29" t="n">
        <f aca="false">IFERROR(AF184/AE184,0)</f>
        <v>0.00325124288254378</v>
      </c>
    </row>
    <row r="185" customFormat="false" ht="15" hidden="false" customHeight="false" outlineLevel="0" collapsed="false">
      <c r="A185" s="28" t="n">
        <v>184</v>
      </c>
      <c r="B185" s="43" t="n">
        <v>45274.0715509259</v>
      </c>
      <c r="C185" s="43" t="n">
        <v>45274.0727314815</v>
      </c>
      <c r="D185" s="42" t="n">
        <f aca="false">INT(C185)</f>
        <v>45274</v>
      </c>
      <c r="E185" s="42" t="n">
        <f aca="false">D185-WEEKDAY(D185,3)</f>
        <v>45271</v>
      </c>
      <c r="F185" s="28" t="s">
        <v>151</v>
      </c>
      <c r="G185" s="28" t="n">
        <v>2023</v>
      </c>
      <c r="H185" s="28" t="s">
        <v>239</v>
      </c>
      <c r="I185" s="28" t="n">
        <v>1</v>
      </c>
      <c r="J185" s="28" t="s">
        <v>233</v>
      </c>
      <c r="K185" s="28" t="s">
        <v>234</v>
      </c>
      <c r="L185" s="28" t="n">
        <v>0.28</v>
      </c>
      <c r="M185" s="31" t="n">
        <v>16585.52</v>
      </c>
      <c r="N185" s="31" t="n">
        <v>16581.9</v>
      </c>
      <c r="O185" s="31" t="n">
        <v>16592.75</v>
      </c>
      <c r="P185" s="44" t="n">
        <f aca="false">ABS(M185-N185)</f>
        <v>3.61999999999898</v>
      </c>
      <c r="Q185" s="44" t="n">
        <f aca="false">IF(O185="","",ABS(O185-M185))</f>
        <v>7.22999999999956</v>
      </c>
      <c r="R185" s="30" t="n">
        <f aca="false">P185*L185*Summary!$C$6</f>
        <v>20.2719999999943</v>
      </c>
      <c r="S185" s="31" t="n">
        <v>16593.12</v>
      </c>
      <c r="T185" s="28" t="s">
        <v>214</v>
      </c>
      <c r="U185" s="44" t="n">
        <f aca="false">IF(J185="BUY",S185-M185,M185-S185)</f>
        <v>7.59999999999855</v>
      </c>
      <c r="V185" s="45" t="n">
        <v>0</v>
      </c>
      <c r="W185" s="45" t="n">
        <v>0</v>
      </c>
      <c r="X185" s="45" t="n">
        <v>42.56</v>
      </c>
      <c r="Y185" s="32" t="n">
        <f aca="false">IFERROR(X185/R185,0)</f>
        <v>2.09944751381275</v>
      </c>
      <c r="Z185" s="28" t="str">
        <f aca="false">IF(X185&gt;0,"Win",IF(X185&lt;0,"Loss","Flat"))</f>
        <v>Win</v>
      </c>
      <c r="AA185" s="28" t="n">
        <f aca="false">ROUND((C185-B185)*1440,1)</f>
        <v>1.7</v>
      </c>
      <c r="AB185" s="28" t="str">
        <f aca="false">IF(AA185&lt;1,"a) &lt;1 min",IF(AA185&lt;10,"b) 1-10 min",IF(AA185&lt;60,"c) 10-60 min",IF(AA185&lt;240,"d) 1-4 h","e) 4 h+"))))</f>
        <v>b) 1-10 min</v>
      </c>
      <c r="AC185" s="28" t="str">
        <f aca="false">IF(P185&lt;10,"a) &lt;10",IF(P185&lt;20,"b) 10-20",IF(P185&lt;40,"c) 20-40",IF(P185&lt;80,"d) 40-80","e) 80+"))))</f>
        <v>a) &lt;10</v>
      </c>
      <c r="AD185" s="30" t="n">
        <f aca="false">Summary!$C$5+SUM(X$2:X185)</f>
        <v>104596.79</v>
      </c>
      <c r="AE185" s="30" t="n">
        <f aca="false">MAX(AE184,AD185)</f>
        <v>104895.27</v>
      </c>
      <c r="AF185" s="30" t="n">
        <f aca="false">AE185-AD185</f>
        <v>298.480000000011</v>
      </c>
      <c r="AG185" s="29" t="n">
        <f aca="false">IFERROR(AF185/AE185,0)</f>
        <v>0.00284550485450879</v>
      </c>
    </row>
    <row r="186" customFormat="false" ht="15" hidden="false" customHeight="false" outlineLevel="0" collapsed="false">
      <c r="A186" s="28" t="n">
        <v>185</v>
      </c>
      <c r="B186" s="43" t="n">
        <v>45275.7715277778</v>
      </c>
      <c r="C186" s="43" t="n">
        <v>45275.7779976852</v>
      </c>
      <c r="D186" s="42" t="n">
        <f aca="false">INT(C186)</f>
        <v>45275</v>
      </c>
      <c r="E186" s="42" t="n">
        <f aca="false">D186-WEEKDAY(D186,3)</f>
        <v>45271</v>
      </c>
      <c r="F186" s="28" t="s">
        <v>151</v>
      </c>
      <c r="G186" s="28" t="n">
        <v>2023</v>
      </c>
      <c r="H186" s="28" t="s">
        <v>242</v>
      </c>
      <c r="I186" s="28" t="n">
        <v>18</v>
      </c>
      <c r="J186" s="28" t="s">
        <v>233</v>
      </c>
      <c r="K186" s="28" t="s">
        <v>234</v>
      </c>
      <c r="L186" s="28" t="n">
        <v>0.28</v>
      </c>
      <c r="M186" s="31" t="n">
        <v>16667.66</v>
      </c>
      <c r="N186" s="31" t="n">
        <v>16652.62</v>
      </c>
      <c r="O186" s="31" t="n">
        <v>16697.75</v>
      </c>
      <c r="P186" s="44" t="n">
        <f aca="false">ABS(M186-N186)</f>
        <v>15.0400000000009</v>
      </c>
      <c r="Q186" s="44" t="n">
        <f aca="false">IF(O186="","",ABS(O186-M186))</f>
        <v>30.0900000000001</v>
      </c>
      <c r="R186" s="30" t="n">
        <f aca="false">P186*L186*Summary!$C$6</f>
        <v>84.2240000000049</v>
      </c>
      <c r="S186" s="31" t="n">
        <v>16651.87</v>
      </c>
      <c r="T186" s="28" t="s">
        <v>241</v>
      </c>
      <c r="U186" s="44" t="n">
        <f aca="false">IF(J186="BUY",S186-M186,M186-S186)</f>
        <v>-15.7900000000009</v>
      </c>
      <c r="V186" s="45" t="n">
        <v>0</v>
      </c>
      <c r="W186" s="45" t="n">
        <v>0</v>
      </c>
      <c r="X186" s="45" t="n">
        <v>-88.42</v>
      </c>
      <c r="Y186" s="32" t="n">
        <f aca="false">IFERROR(X186/R186,0)</f>
        <v>-1.04981952887532</v>
      </c>
      <c r="Z186" s="28" t="str">
        <f aca="false">IF(X186&gt;0,"Win",IF(X186&lt;0,"Loss","Flat"))</f>
        <v>Loss</v>
      </c>
      <c r="AA186" s="28" t="n">
        <f aca="false">ROUND((C186-B186)*1440,1)</f>
        <v>9.3</v>
      </c>
      <c r="AB186" s="28" t="str">
        <f aca="false">IF(AA186&lt;1,"a) &lt;1 min",IF(AA186&lt;10,"b) 1-10 min",IF(AA186&lt;60,"c) 10-60 min",IF(AA186&lt;240,"d) 1-4 h","e) 4 h+"))))</f>
        <v>b) 1-10 min</v>
      </c>
      <c r="AC186" s="28" t="str">
        <f aca="false">IF(P186&lt;10,"a) &lt;10",IF(P186&lt;20,"b) 10-20",IF(P186&lt;40,"c) 20-40",IF(P186&lt;80,"d) 40-80","e) 80+"))))</f>
        <v>b) 10-20</v>
      </c>
      <c r="AD186" s="30" t="n">
        <f aca="false">Summary!$C$5+SUM(X$2:X186)</f>
        <v>104508.37</v>
      </c>
      <c r="AE186" s="30" t="n">
        <f aca="false">MAX(AE185,AD186)</f>
        <v>104895.27</v>
      </c>
      <c r="AF186" s="30" t="n">
        <f aca="false">AE186-AD186</f>
        <v>386.900000000009</v>
      </c>
      <c r="AG186" s="29" t="n">
        <f aca="false">IFERROR(AF186/AE186,0)</f>
        <v>0.00368844086106083</v>
      </c>
    </row>
    <row r="187" customFormat="false" ht="15" hidden="false" customHeight="false" outlineLevel="0" collapsed="false">
      <c r="A187" s="28" t="n">
        <v>186</v>
      </c>
      <c r="B187" s="43" t="n">
        <v>45278.7104166667</v>
      </c>
      <c r="C187" s="43" t="n">
        <v>45278.7174189815</v>
      </c>
      <c r="D187" s="42" t="n">
        <f aca="false">INT(C187)</f>
        <v>45278</v>
      </c>
      <c r="E187" s="42" t="n">
        <f aca="false">D187-WEEKDAY(D187,3)</f>
        <v>45278</v>
      </c>
      <c r="F187" s="28" t="s">
        <v>151</v>
      </c>
      <c r="G187" s="28" t="n">
        <v>2023</v>
      </c>
      <c r="H187" s="28" t="s">
        <v>240</v>
      </c>
      <c r="I187" s="28" t="n">
        <v>17</v>
      </c>
      <c r="J187" s="28" t="s">
        <v>233</v>
      </c>
      <c r="K187" s="28" t="s">
        <v>234</v>
      </c>
      <c r="L187" s="28" t="n">
        <v>0.28</v>
      </c>
      <c r="M187" s="31" t="n">
        <v>16678.59</v>
      </c>
      <c r="N187" s="31" t="n">
        <v>16661.31</v>
      </c>
      <c r="O187" s="31" t="n">
        <v>16713.15</v>
      </c>
      <c r="P187" s="44" t="n">
        <f aca="false">ABS(M187-N187)</f>
        <v>17.2799999999988</v>
      </c>
      <c r="Q187" s="44" t="n">
        <f aca="false">IF(O187="","",ABS(O187-M187))</f>
        <v>34.5600000000013</v>
      </c>
      <c r="R187" s="30" t="n">
        <f aca="false">P187*L187*Summary!$C$6</f>
        <v>96.7679999999935</v>
      </c>
      <c r="S187" s="31" t="n">
        <v>16661.22</v>
      </c>
      <c r="T187" s="28" t="s">
        <v>241</v>
      </c>
      <c r="U187" s="44" t="n">
        <f aca="false">IF(J187="BUY",S187-M187,M187-S187)</f>
        <v>-17.369999999999</v>
      </c>
      <c r="V187" s="45" t="n">
        <v>0</v>
      </c>
      <c r="W187" s="45" t="n">
        <v>0</v>
      </c>
      <c r="X187" s="45" t="n">
        <v>-97.27</v>
      </c>
      <c r="Y187" s="32" t="n">
        <f aca="false">IFERROR(X187/R187,0)</f>
        <v>-1.00518766534398</v>
      </c>
      <c r="Z187" s="28" t="str">
        <f aca="false">IF(X187&gt;0,"Win",IF(X187&lt;0,"Loss","Flat"))</f>
        <v>Loss</v>
      </c>
      <c r="AA187" s="28" t="n">
        <f aca="false">ROUND((C187-B187)*1440,1)</f>
        <v>10.1</v>
      </c>
      <c r="AB187" s="28" t="str">
        <f aca="false">IF(AA187&lt;1,"a) &lt;1 min",IF(AA187&lt;10,"b) 1-10 min",IF(AA187&lt;60,"c) 10-60 min",IF(AA187&lt;240,"d) 1-4 h","e) 4 h+"))))</f>
        <v>c) 10-60 min</v>
      </c>
      <c r="AC187" s="28" t="str">
        <f aca="false">IF(P187&lt;10,"a) &lt;10",IF(P187&lt;20,"b) 10-20",IF(P187&lt;40,"c) 20-40",IF(P187&lt;80,"d) 40-80","e) 80+"))))</f>
        <v>b) 10-20</v>
      </c>
      <c r="AD187" s="30" t="n">
        <f aca="false">Summary!$C$5+SUM(X$2:X187)</f>
        <v>104411.1</v>
      </c>
      <c r="AE187" s="30" t="n">
        <f aca="false">MAX(AE186,AD187)</f>
        <v>104895.27</v>
      </c>
      <c r="AF187" s="30" t="n">
        <f aca="false">AE187-AD187</f>
        <v>484.169999999998</v>
      </c>
      <c r="AG187" s="29" t="n">
        <f aca="false">IFERROR(AF187/AE187,0)</f>
        <v>0.00461574673481462</v>
      </c>
    </row>
    <row r="188" customFormat="false" ht="15" hidden="false" customHeight="false" outlineLevel="0" collapsed="false">
      <c r="A188" s="28" t="n">
        <v>187</v>
      </c>
      <c r="B188" s="43" t="n">
        <v>45279.5958333333</v>
      </c>
      <c r="C188" s="43" t="n">
        <v>45279.5973148148</v>
      </c>
      <c r="D188" s="42" t="n">
        <f aca="false">INT(C188)</f>
        <v>45279</v>
      </c>
      <c r="E188" s="42" t="n">
        <f aca="false">D188-WEEKDAY(D188,3)</f>
        <v>45278</v>
      </c>
      <c r="F188" s="28" t="s">
        <v>151</v>
      </c>
      <c r="G188" s="28" t="n">
        <v>2023</v>
      </c>
      <c r="H188" s="28" t="s">
        <v>232</v>
      </c>
      <c r="I188" s="28" t="n">
        <v>14</v>
      </c>
      <c r="J188" s="28" t="s">
        <v>233</v>
      </c>
      <c r="K188" s="28" t="s">
        <v>234</v>
      </c>
      <c r="L188" s="28" t="n">
        <v>0.28</v>
      </c>
      <c r="M188" s="31" t="n">
        <v>16770.5</v>
      </c>
      <c r="N188" s="31" t="n">
        <v>16760.47</v>
      </c>
      <c r="O188" s="31" t="n">
        <v>16790.57</v>
      </c>
      <c r="P188" s="44" t="n">
        <f aca="false">ABS(M188-N188)</f>
        <v>10.0299999999988</v>
      </c>
      <c r="Q188" s="44" t="n">
        <f aca="false">IF(O188="","",ABS(O188-M188))</f>
        <v>20.0699999999997</v>
      </c>
      <c r="R188" s="30" t="n">
        <f aca="false">P188*L188*Summary!$C$6</f>
        <v>56.1679999999935</v>
      </c>
      <c r="S188" s="31" t="n">
        <v>16760.43</v>
      </c>
      <c r="T188" s="28" t="s">
        <v>241</v>
      </c>
      <c r="U188" s="44" t="n">
        <f aca="false">IF(J188="BUY",S188-M188,M188-S188)</f>
        <v>-10.0699999999997</v>
      </c>
      <c r="V188" s="45" t="n">
        <v>0</v>
      </c>
      <c r="W188" s="45" t="n">
        <v>0</v>
      </c>
      <c r="X188" s="45" t="n">
        <v>-56.39</v>
      </c>
      <c r="Y188" s="32" t="n">
        <f aca="false">IFERROR(X188/R188,0)</f>
        <v>-1.00395242842912</v>
      </c>
      <c r="Z188" s="28" t="str">
        <f aca="false">IF(X188&gt;0,"Win",IF(X188&lt;0,"Loss","Flat"))</f>
        <v>Loss</v>
      </c>
      <c r="AA188" s="28" t="n">
        <f aca="false">ROUND((C188-B188)*1440,1)</f>
        <v>2.1</v>
      </c>
      <c r="AB188" s="28" t="str">
        <f aca="false">IF(AA188&lt;1,"a) &lt;1 min",IF(AA188&lt;10,"b) 1-10 min",IF(AA188&lt;60,"c) 10-60 min",IF(AA188&lt;240,"d) 1-4 h","e) 4 h+"))))</f>
        <v>b) 1-10 min</v>
      </c>
      <c r="AC188" s="28" t="str">
        <f aca="false">IF(P188&lt;10,"a) &lt;10",IF(P188&lt;20,"b) 10-20",IF(P188&lt;40,"c) 20-40",IF(P188&lt;80,"d) 40-80","e) 80+"))))</f>
        <v>b) 10-20</v>
      </c>
      <c r="AD188" s="30" t="n">
        <f aca="false">Summary!$C$5+SUM(X$2:X188)</f>
        <v>104354.71</v>
      </c>
      <c r="AE188" s="30" t="n">
        <f aca="false">MAX(AE187,AD188)</f>
        <v>104895.27</v>
      </c>
      <c r="AF188" s="30" t="n">
        <f aca="false">AE188-AD188</f>
        <v>540.559999999998</v>
      </c>
      <c r="AG188" s="29" t="n">
        <f aca="false">IFERROR(AF188/AE188,0)</f>
        <v>0.00515333055532435</v>
      </c>
    </row>
    <row r="189" customFormat="false" ht="15" hidden="false" customHeight="false" outlineLevel="0" collapsed="false">
      <c r="A189" s="28" t="n">
        <v>188</v>
      </c>
      <c r="B189" s="43" t="n">
        <v>45280.0569560185</v>
      </c>
      <c r="C189" s="43" t="n">
        <v>45280.0674074074</v>
      </c>
      <c r="D189" s="42" t="n">
        <f aca="false">INT(C189)</f>
        <v>45280</v>
      </c>
      <c r="E189" s="42" t="n">
        <f aca="false">D189-WEEKDAY(D189,3)</f>
        <v>45278</v>
      </c>
      <c r="F189" s="28" t="s">
        <v>151</v>
      </c>
      <c r="G189" s="28" t="n">
        <v>2023</v>
      </c>
      <c r="H189" s="28" t="s">
        <v>235</v>
      </c>
      <c r="I189" s="28" t="n">
        <v>1</v>
      </c>
      <c r="J189" s="28" t="s">
        <v>233</v>
      </c>
      <c r="K189" s="28" t="s">
        <v>234</v>
      </c>
      <c r="L189" s="28" t="n">
        <v>0.27</v>
      </c>
      <c r="M189" s="31" t="n">
        <v>16818.28</v>
      </c>
      <c r="N189" s="31" t="n">
        <v>16815.64</v>
      </c>
      <c r="O189" s="31" t="n">
        <v>16823.57</v>
      </c>
      <c r="P189" s="44" t="n">
        <f aca="false">ABS(M189-N189)</f>
        <v>2.63999999999942</v>
      </c>
      <c r="Q189" s="44" t="n">
        <f aca="false">IF(O189="","",ABS(O189-M189))</f>
        <v>5.29000000000087</v>
      </c>
      <c r="R189" s="30" t="n">
        <f aca="false">P189*L189*Summary!$C$6</f>
        <v>14.2559999999969</v>
      </c>
      <c r="S189" s="31" t="n">
        <v>16818.21</v>
      </c>
      <c r="T189" s="28" t="s">
        <v>238</v>
      </c>
      <c r="U189" s="44" t="n">
        <f aca="false">IF(J189="BUY",S189-M189,M189-S189)</f>
        <v>-0.069999999999709</v>
      </c>
      <c r="V189" s="45" t="n">
        <v>0</v>
      </c>
      <c r="W189" s="45" t="n">
        <v>0</v>
      </c>
      <c r="X189" s="45" t="n">
        <v>-0.38</v>
      </c>
      <c r="Y189" s="32" t="n">
        <f aca="false">IFERROR(X189/R189,0)</f>
        <v>-0.0266554433221159</v>
      </c>
      <c r="Z189" s="28" t="str">
        <f aca="false">IF(X189&gt;0,"Win",IF(X189&lt;0,"Loss","Flat"))</f>
        <v>Loss</v>
      </c>
      <c r="AA189" s="28" t="n">
        <f aca="false">ROUND((C189-B189)*1440,1)</f>
        <v>15.1</v>
      </c>
      <c r="AB189" s="28" t="str">
        <f aca="false">IF(AA189&lt;1,"a) &lt;1 min",IF(AA189&lt;10,"b) 1-10 min",IF(AA189&lt;60,"c) 10-60 min",IF(AA189&lt;240,"d) 1-4 h","e) 4 h+"))))</f>
        <v>c) 10-60 min</v>
      </c>
      <c r="AC189" s="28" t="str">
        <f aca="false">IF(P189&lt;10,"a) &lt;10",IF(P189&lt;20,"b) 10-20",IF(P189&lt;40,"c) 20-40",IF(P189&lt;80,"d) 40-80","e) 80+"))))</f>
        <v>a) &lt;10</v>
      </c>
      <c r="AD189" s="30" t="n">
        <f aca="false">Summary!$C$5+SUM(X$2:X189)</f>
        <v>104354.33</v>
      </c>
      <c r="AE189" s="30" t="n">
        <f aca="false">MAX(AE188,AD189)</f>
        <v>104895.27</v>
      </c>
      <c r="AF189" s="30" t="n">
        <f aca="false">AE189-AD189</f>
        <v>540.940000000002</v>
      </c>
      <c r="AG189" s="29" t="n">
        <f aca="false">IFERROR(AF189/AE189,0)</f>
        <v>0.00515695321628899</v>
      </c>
    </row>
    <row r="190" customFormat="false" ht="15" hidden="false" customHeight="false" outlineLevel="0" collapsed="false">
      <c r="A190" s="28" t="n">
        <v>189</v>
      </c>
      <c r="B190" s="43" t="n">
        <v>45280.9104166667</v>
      </c>
      <c r="C190" s="43" t="n">
        <v>45280.9121412037</v>
      </c>
      <c r="D190" s="42" t="n">
        <f aca="false">INT(C190)</f>
        <v>45280</v>
      </c>
      <c r="E190" s="42" t="n">
        <f aca="false">D190-WEEKDAY(D190,3)</f>
        <v>45278</v>
      </c>
      <c r="F190" s="28" t="s">
        <v>151</v>
      </c>
      <c r="G190" s="28" t="n">
        <v>2023</v>
      </c>
      <c r="H190" s="28" t="s">
        <v>235</v>
      </c>
      <c r="I190" s="28" t="n">
        <v>21</v>
      </c>
      <c r="J190" s="28" t="s">
        <v>236</v>
      </c>
      <c r="K190" s="28" t="s">
        <v>237</v>
      </c>
      <c r="L190" s="28" t="n">
        <v>0.28</v>
      </c>
      <c r="M190" s="31" t="n">
        <v>16698.12</v>
      </c>
      <c r="N190" s="31" t="n">
        <v>16723.5</v>
      </c>
      <c r="O190" s="31" t="n">
        <v>16648.51</v>
      </c>
      <c r="P190" s="44" t="n">
        <f aca="false">ABS(M190-N190)</f>
        <v>25.380000000001</v>
      </c>
      <c r="Q190" s="44" t="n">
        <f aca="false">IF(O190="","",ABS(O190-M190))</f>
        <v>49.6100000000006</v>
      </c>
      <c r="R190" s="30" t="n">
        <f aca="false">P190*L190*Summary!$C$6</f>
        <v>142.128000000006</v>
      </c>
      <c r="S190" s="31" t="n">
        <v>16648.17</v>
      </c>
      <c r="T190" s="28" t="s">
        <v>214</v>
      </c>
      <c r="U190" s="44" t="n">
        <f aca="false">IF(J190="BUY",S190-M190,M190-S190)</f>
        <v>49.9500000000007</v>
      </c>
      <c r="V190" s="45" t="n">
        <v>0</v>
      </c>
      <c r="W190" s="45" t="n">
        <v>0</v>
      </c>
      <c r="X190" s="45" t="n">
        <v>279.72</v>
      </c>
      <c r="Y190" s="32" t="n">
        <f aca="false">IFERROR(X190/R190,0)</f>
        <v>1.9680851063829</v>
      </c>
      <c r="Z190" s="28" t="str">
        <f aca="false">IF(X190&gt;0,"Win",IF(X190&lt;0,"Loss","Flat"))</f>
        <v>Win</v>
      </c>
      <c r="AA190" s="28" t="n">
        <f aca="false">ROUND((C190-B190)*1440,1)</f>
        <v>2.5</v>
      </c>
      <c r="AB190" s="28" t="str">
        <f aca="false">IF(AA190&lt;1,"a) &lt;1 min",IF(AA190&lt;10,"b) 1-10 min",IF(AA190&lt;60,"c) 10-60 min",IF(AA190&lt;240,"d) 1-4 h","e) 4 h+"))))</f>
        <v>b) 1-10 min</v>
      </c>
      <c r="AC190" s="28" t="str">
        <f aca="false">IF(P190&lt;10,"a) &lt;10",IF(P190&lt;20,"b) 10-20",IF(P190&lt;40,"c) 20-40",IF(P190&lt;80,"d) 40-80","e) 80+"))))</f>
        <v>c) 20-40</v>
      </c>
      <c r="AD190" s="30" t="n">
        <f aca="false">Summary!$C$5+SUM(X$2:X190)</f>
        <v>104634.05</v>
      </c>
      <c r="AE190" s="30" t="n">
        <f aca="false">MAX(AE189,AD190)</f>
        <v>104895.27</v>
      </c>
      <c r="AF190" s="30" t="n">
        <f aca="false">AE190-AD190</f>
        <v>261.220000000001</v>
      </c>
      <c r="AG190" s="29" t="n">
        <f aca="false">IFERROR(AF190/AE190,0)</f>
        <v>0.00249029341361151</v>
      </c>
    </row>
    <row r="191" customFormat="false" ht="15" hidden="false" customHeight="false" outlineLevel="0" collapsed="false">
      <c r="A191" s="28" t="n">
        <v>190</v>
      </c>
      <c r="B191" s="43" t="n">
        <v>45282.6444560185</v>
      </c>
      <c r="C191" s="43" t="n">
        <v>45282.6458449074</v>
      </c>
      <c r="D191" s="42" t="n">
        <f aca="false">INT(C191)</f>
        <v>45282</v>
      </c>
      <c r="E191" s="42" t="n">
        <f aca="false">D191-WEEKDAY(D191,3)</f>
        <v>45278</v>
      </c>
      <c r="F191" s="28" t="s">
        <v>151</v>
      </c>
      <c r="G191" s="28" t="n">
        <v>2023</v>
      </c>
      <c r="H191" s="28" t="s">
        <v>242</v>
      </c>
      <c r="I191" s="28" t="n">
        <v>15</v>
      </c>
      <c r="J191" s="28" t="s">
        <v>233</v>
      </c>
      <c r="K191" s="28" t="s">
        <v>234</v>
      </c>
      <c r="L191" s="28" t="n">
        <v>0.28</v>
      </c>
      <c r="M191" s="31" t="n">
        <v>16767.18</v>
      </c>
      <c r="N191" s="31" t="n">
        <v>16762.14</v>
      </c>
      <c r="O191" s="31" t="n">
        <v>16777.26</v>
      </c>
      <c r="P191" s="44" t="n">
        <f aca="false">ABS(M191-N191)</f>
        <v>5.04000000000087</v>
      </c>
      <c r="Q191" s="44" t="n">
        <f aca="false">IF(O191="","",ABS(O191-M191))</f>
        <v>10.0799999999981</v>
      </c>
      <c r="R191" s="30" t="n">
        <f aca="false">P191*L191*Summary!$C$6</f>
        <v>28.2240000000049</v>
      </c>
      <c r="S191" s="31" t="n">
        <v>16761.49</v>
      </c>
      <c r="T191" s="28" t="s">
        <v>241</v>
      </c>
      <c r="U191" s="44" t="n">
        <f aca="false">IF(J191="BUY",S191-M191,M191-S191)</f>
        <v>-5.68999999999869</v>
      </c>
      <c r="V191" s="45" t="n">
        <v>0</v>
      </c>
      <c r="W191" s="45" t="n">
        <v>0</v>
      </c>
      <c r="X191" s="45" t="n">
        <v>-31.86</v>
      </c>
      <c r="Y191" s="32" t="n">
        <f aca="false">IFERROR(X191/R191,0)</f>
        <v>-1.12882653061205</v>
      </c>
      <c r="Z191" s="28" t="str">
        <f aca="false">IF(X191&gt;0,"Win",IF(X191&lt;0,"Loss","Flat"))</f>
        <v>Loss</v>
      </c>
      <c r="AA191" s="28" t="n">
        <f aca="false">ROUND((C191-B191)*1440,1)</f>
        <v>2</v>
      </c>
      <c r="AB191" s="28" t="str">
        <f aca="false">IF(AA191&lt;1,"a) &lt;1 min",IF(AA191&lt;10,"b) 1-10 min",IF(AA191&lt;60,"c) 10-60 min",IF(AA191&lt;240,"d) 1-4 h","e) 4 h+"))))</f>
        <v>b) 1-10 min</v>
      </c>
      <c r="AC191" s="28" t="str">
        <f aca="false">IF(P191&lt;10,"a) &lt;10",IF(P191&lt;20,"b) 10-20",IF(P191&lt;40,"c) 20-40",IF(P191&lt;80,"d) 40-80","e) 80+"))))</f>
        <v>a) &lt;10</v>
      </c>
      <c r="AD191" s="30" t="n">
        <f aca="false">Summary!$C$5+SUM(X$2:X191)</f>
        <v>104602.19</v>
      </c>
      <c r="AE191" s="30" t="n">
        <f aca="false">MAX(AE190,AD191)</f>
        <v>104895.27</v>
      </c>
      <c r="AF191" s="30" t="n">
        <f aca="false">AE191-AD191</f>
        <v>293.080000000002</v>
      </c>
      <c r="AG191" s="29" t="n">
        <f aca="false">IFERROR(AF191/AE191,0)</f>
        <v>0.0027940249355381</v>
      </c>
    </row>
    <row r="192" customFormat="false" ht="15" hidden="false" customHeight="false" outlineLevel="0" collapsed="false">
      <c r="A192" s="28" t="n">
        <v>191</v>
      </c>
      <c r="B192" s="43" t="n">
        <v>45286.6965277778</v>
      </c>
      <c r="C192" s="43" t="n">
        <v>45286.7416319445</v>
      </c>
      <c r="D192" s="42" t="n">
        <f aca="false">INT(C192)</f>
        <v>45286</v>
      </c>
      <c r="E192" s="42" t="n">
        <f aca="false">D192-WEEKDAY(D192,3)</f>
        <v>45285</v>
      </c>
      <c r="F192" s="28" t="s">
        <v>151</v>
      </c>
      <c r="G192" s="28" t="n">
        <v>2023</v>
      </c>
      <c r="H192" s="28" t="s">
        <v>232</v>
      </c>
      <c r="I192" s="28" t="n">
        <v>16</v>
      </c>
      <c r="J192" s="28" t="s">
        <v>233</v>
      </c>
      <c r="K192" s="28" t="s">
        <v>234</v>
      </c>
      <c r="L192" s="28" t="n">
        <v>0.27</v>
      </c>
      <c r="M192" s="31" t="n">
        <v>16844.55</v>
      </c>
      <c r="N192" s="31" t="n">
        <v>16827.03</v>
      </c>
      <c r="O192" s="31" t="n">
        <v>16879.76</v>
      </c>
      <c r="P192" s="44" t="n">
        <f aca="false">ABS(M192-N192)</f>
        <v>17.5200000000004</v>
      </c>
      <c r="Q192" s="44" t="n">
        <f aca="false">IF(O192="","",ABS(O192-M192))</f>
        <v>35.2099999999991</v>
      </c>
      <c r="R192" s="30" t="n">
        <f aca="false">P192*L192*Summary!$C$6</f>
        <v>94.6080000000024</v>
      </c>
      <c r="S192" s="31" t="n">
        <v>16844.05</v>
      </c>
      <c r="T192" s="28" t="s">
        <v>238</v>
      </c>
      <c r="U192" s="44" t="n">
        <f aca="false">IF(J192="BUY",S192-M192,M192-S192)</f>
        <v>-0.5</v>
      </c>
      <c r="V192" s="45" t="n">
        <v>0</v>
      </c>
      <c r="W192" s="45" t="n">
        <v>0</v>
      </c>
      <c r="X192" s="45" t="n">
        <v>-2.7</v>
      </c>
      <c r="Y192" s="32" t="n">
        <f aca="false">IFERROR(X192/R192,0)</f>
        <v>-0.0285388127853874</v>
      </c>
      <c r="Z192" s="28" t="str">
        <f aca="false">IF(X192&gt;0,"Win",IF(X192&lt;0,"Loss","Flat"))</f>
        <v>Loss</v>
      </c>
      <c r="AA192" s="28" t="n">
        <f aca="false">ROUND((C192-B192)*1440,1)</f>
        <v>65</v>
      </c>
      <c r="AB192" s="28" t="str">
        <f aca="false">IF(AA192&lt;1,"a) &lt;1 min",IF(AA192&lt;10,"b) 1-10 min",IF(AA192&lt;60,"c) 10-60 min",IF(AA192&lt;240,"d) 1-4 h","e) 4 h+"))))</f>
        <v>d) 1-4 h</v>
      </c>
      <c r="AC192" s="28" t="str">
        <f aca="false">IF(P192&lt;10,"a) &lt;10",IF(P192&lt;20,"b) 10-20",IF(P192&lt;40,"c) 20-40",IF(P192&lt;80,"d) 40-80","e) 80+"))))</f>
        <v>b) 10-20</v>
      </c>
      <c r="AD192" s="30" t="n">
        <f aca="false">Summary!$C$5+SUM(X$2:X192)</f>
        <v>104599.49</v>
      </c>
      <c r="AE192" s="30" t="n">
        <f aca="false">MAX(AE191,AD192)</f>
        <v>104895.27</v>
      </c>
      <c r="AF192" s="30" t="n">
        <f aca="false">AE192-AD192</f>
        <v>295.779999999999</v>
      </c>
      <c r="AG192" s="29" t="n">
        <f aca="false">IFERROR(AF192/AE192,0)</f>
        <v>0.00281976489502338</v>
      </c>
    </row>
    <row r="193" customFormat="false" ht="15" hidden="false" customHeight="false" outlineLevel="0" collapsed="false">
      <c r="A193" s="28" t="n">
        <v>192</v>
      </c>
      <c r="B193" s="43" t="n">
        <v>45287.6916666667</v>
      </c>
      <c r="C193" s="43" t="n">
        <v>45287.7162152778</v>
      </c>
      <c r="D193" s="42" t="n">
        <f aca="false">INT(C193)</f>
        <v>45287</v>
      </c>
      <c r="E193" s="42" t="n">
        <f aca="false">D193-WEEKDAY(D193,3)</f>
        <v>45285</v>
      </c>
      <c r="F193" s="28" t="s">
        <v>151</v>
      </c>
      <c r="G193" s="28" t="n">
        <v>2023</v>
      </c>
      <c r="H193" s="28" t="s">
        <v>235</v>
      </c>
      <c r="I193" s="28" t="n">
        <v>16</v>
      </c>
      <c r="J193" s="28" t="s">
        <v>233</v>
      </c>
      <c r="K193" s="28" t="s">
        <v>234</v>
      </c>
      <c r="L193" s="28" t="n">
        <v>0.27</v>
      </c>
      <c r="M193" s="31" t="n">
        <v>16910.49</v>
      </c>
      <c r="N193" s="31" t="n">
        <v>16889.88</v>
      </c>
      <c r="O193" s="31" t="n">
        <v>16954.45</v>
      </c>
      <c r="P193" s="44" t="n">
        <f aca="false">ABS(M193-N193)</f>
        <v>20.6100000000006</v>
      </c>
      <c r="Q193" s="44" t="n">
        <f aca="false">IF(O193="","",ABS(O193-M193))</f>
        <v>43.9599999999991</v>
      </c>
      <c r="R193" s="30" t="n">
        <f aca="false">P193*L193*Summary!$C$6</f>
        <v>111.294000000003</v>
      </c>
      <c r="S193" s="31" t="n">
        <v>16889.3</v>
      </c>
      <c r="T193" s="28" t="s">
        <v>241</v>
      </c>
      <c r="U193" s="44" t="n">
        <f aca="false">IF(J193="BUY",S193-M193,M193-S193)</f>
        <v>-21.1900000000023</v>
      </c>
      <c r="V193" s="45" t="n">
        <v>0</v>
      </c>
      <c r="W193" s="45" t="n">
        <v>0</v>
      </c>
      <c r="X193" s="45" t="n">
        <v>-114.43</v>
      </c>
      <c r="Y193" s="32" t="n">
        <f aca="false">IFERROR(X193/R193,0)</f>
        <v>-1.02817761963805</v>
      </c>
      <c r="Z193" s="28" t="str">
        <f aca="false">IF(X193&gt;0,"Win",IF(X193&lt;0,"Loss","Flat"))</f>
        <v>Loss</v>
      </c>
      <c r="AA193" s="28" t="n">
        <f aca="false">ROUND((C193-B193)*1440,1)</f>
        <v>35.3</v>
      </c>
      <c r="AB193" s="28" t="str">
        <f aca="false">IF(AA193&lt;1,"a) &lt;1 min",IF(AA193&lt;10,"b) 1-10 min",IF(AA193&lt;60,"c) 10-60 min",IF(AA193&lt;240,"d) 1-4 h","e) 4 h+"))))</f>
        <v>c) 10-60 min</v>
      </c>
      <c r="AC193" s="28" t="str">
        <f aca="false">IF(P193&lt;10,"a) &lt;10",IF(P193&lt;20,"b) 10-20",IF(P193&lt;40,"c) 20-40",IF(P193&lt;80,"d) 40-80","e) 80+"))))</f>
        <v>c) 20-40</v>
      </c>
      <c r="AD193" s="30" t="n">
        <f aca="false">Summary!$C$5+SUM(X$2:X193)</f>
        <v>104485.06</v>
      </c>
      <c r="AE193" s="30" t="n">
        <f aca="false">MAX(AE192,AD193)</f>
        <v>104895.27</v>
      </c>
      <c r="AF193" s="30" t="n">
        <f aca="false">AE193-AD193</f>
        <v>410.210000000006</v>
      </c>
      <c r="AG193" s="29" t="n">
        <f aca="false">IFERROR(AF193/AE193,0)</f>
        <v>0.00391066251128394</v>
      </c>
    </row>
    <row r="194" customFormat="false" ht="15" hidden="false" customHeight="false" outlineLevel="0" collapsed="false">
      <c r="A194" s="28" t="n">
        <v>193</v>
      </c>
      <c r="B194" s="43" t="n">
        <v>45288.1159837963</v>
      </c>
      <c r="C194" s="43" t="n">
        <v>45288.1166782407</v>
      </c>
      <c r="D194" s="42" t="n">
        <f aca="false">INT(C194)</f>
        <v>45288</v>
      </c>
      <c r="E194" s="42" t="n">
        <f aca="false">D194-WEEKDAY(D194,3)</f>
        <v>45285</v>
      </c>
      <c r="F194" s="28" t="s">
        <v>151</v>
      </c>
      <c r="G194" s="28" t="n">
        <v>2023</v>
      </c>
      <c r="H194" s="28" t="s">
        <v>239</v>
      </c>
      <c r="I194" s="28" t="n">
        <v>2</v>
      </c>
      <c r="J194" s="28" t="s">
        <v>233</v>
      </c>
      <c r="K194" s="28" t="s">
        <v>234</v>
      </c>
      <c r="L194" s="28" t="n">
        <v>0.27</v>
      </c>
      <c r="M194" s="31" t="n">
        <v>16931.84</v>
      </c>
      <c r="N194" s="31" t="n">
        <v>16929.65</v>
      </c>
      <c r="O194" s="31" t="n">
        <v>16936.22</v>
      </c>
      <c r="P194" s="44" t="n">
        <f aca="false">ABS(M194-N194)</f>
        <v>2.18999999999869</v>
      </c>
      <c r="Q194" s="44" t="n">
        <f aca="false">IF(O194="","",ABS(O194-M194))</f>
        <v>4.38000000000102</v>
      </c>
      <c r="R194" s="30" t="n">
        <f aca="false">P194*L194*Summary!$C$6</f>
        <v>11.8259999999929</v>
      </c>
      <c r="S194" s="31" t="n">
        <v>16937.16</v>
      </c>
      <c r="T194" s="28" t="s">
        <v>214</v>
      </c>
      <c r="U194" s="44" t="n">
        <f aca="false">IF(J194="BUY",S194-M194,M194-S194)</f>
        <v>5.31999999999971</v>
      </c>
      <c r="V194" s="45" t="n">
        <v>0</v>
      </c>
      <c r="W194" s="45" t="n">
        <v>0</v>
      </c>
      <c r="X194" s="45" t="n">
        <v>28.73</v>
      </c>
      <c r="Y194" s="32" t="n">
        <f aca="false">IFERROR(X194/R194,0)</f>
        <v>2.42939286318427</v>
      </c>
      <c r="Z194" s="28" t="str">
        <f aca="false">IF(X194&gt;0,"Win",IF(X194&lt;0,"Loss","Flat"))</f>
        <v>Win</v>
      </c>
      <c r="AA194" s="28" t="n">
        <f aca="false">ROUND((C194-B194)*1440,1)</f>
        <v>1</v>
      </c>
      <c r="AB194" s="28" t="str">
        <f aca="false">IF(AA194&lt;1,"a) &lt;1 min",IF(AA194&lt;10,"b) 1-10 min",IF(AA194&lt;60,"c) 10-60 min",IF(AA194&lt;240,"d) 1-4 h","e) 4 h+"))))</f>
        <v>b) 1-10 min</v>
      </c>
      <c r="AC194" s="28" t="str">
        <f aca="false">IF(P194&lt;10,"a) &lt;10",IF(P194&lt;20,"b) 10-20",IF(P194&lt;40,"c) 20-40",IF(P194&lt;80,"d) 40-80","e) 80+"))))</f>
        <v>a) &lt;10</v>
      </c>
      <c r="AD194" s="30" t="n">
        <f aca="false">Summary!$C$5+SUM(X$2:X194)</f>
        <v>104513.79</v>
      </c>
      <c r="AE194" s="30" t="n">
        <f aca="false">MAX(AE193,AD194)</f>
        <v>104895.27</v>
      </c>
      <c r="AF194" s="30" t="n">
        <f aca="false">AE194-AD194</f>
        <v>381.480000000011</v>
      </c>
      <c r="AG194" s="29" t="n">
        <f aca="false">IFERROR(AF194/AE194,0)</f>
        <v>0.00363677027572369</v>
      </c>
    </row>
    <row r="195" customFormat="false" ht="15" hidden="false" customHeight="false" outlineLevel="0" collapsed="false">
      <c r="A195" s="28" t="n">
        <v>194</v>
      </c>
      <c r="B195" s="43" t="n">
        <v>45289.6368055556</v>
      </c>
      <c r="C195" s="43" t="n">
        <v>45289.639375</v>
      </c>
      <c r="D195" s="42" t="n">
        <f aca="false">INT(C195)</f>
        <v>45289</v>
      </c>
      <c r="E195" s="42" t="n">
        <f aca="false">D195-WEEKDAY(D195,3)</f>
        <v>45285</v>
      </c>
      <c r="F195" s="28" t="s">
        <v>151</v>
      </c>
      <c r="G195" s="28" t="n">
        <v>2023</v>
      </c>
      <c r="H195" s="28" t="s">
        <v>242</v>
      </c>
      <c r="I195" s="28" t="n">
        <v>15</v>
      </c>
      <c r="J195" s="28" t="s">
        <v>236</v>
      </c>
      <c r="K195" s="28" t="s">
        <v>237</v>
      </c>
      <c r="L195" s="28" t="n">
        <v>0.27</v>
      </c>
      <c r="M195" s="31" t="n">
        <v>16884.41</v>
      </c>
      <c r="N195" s="31" t="n">
        <v>16893.04</v>
      </c>
      <c r="O195" s="31" t="n">
        <v>16867.16</v>
      </c>
      <c r="P195" s="44" t="n">
        <f aca="false">ABS(M195-N195)</f>
        <v>8.63000000000102</v>
      </c>
      <c r="Q195" s="44" t="n">
        <f aca="false">IF(O195="","",ABS(O195-M195))</f>
        <v>17.25</v>
      </c>
      <c r="R195" s="30" t="n">
        <f aca="false">P195*L195*Summary!$C$6</f>
        <v>46.6020000000055</v>
      </c>
      <c r="S195" s="31" t="n">
        <v>16893.14</v>
      </c>
      <c r="T195" s="28" t="s">
        <v>241</v>
      </c>
      <c r="U195" s="44" t="n">
        <f aca="false">IF(J195="BUY",S195-M195,M195-S195)</f>
        <v>-8.72999999999956</v>
      </c>
      <c r="V195" s="45" t="n">
        <v>0</v>
      </c>
      <c r="W195" s="45" t="n">
        <v>0</v>
      </c>
      <c r="X195" s="45" t="n">
        <v>-47.14</v>
      </c>
      <c r="Y195" s="32" t="n">
        <f aca="false">IFERROR(X195/R195,0)</f>
        <v>-1.0115445689025</v>
      </c>
      <c r="Z195" s="28" t="str">
        <f aca="false">IF(X195&gt;0,"Win",IF(X195&lt;0,"Loss","Flat"))</f>
        <v>Loss</v>
      </c>
      <c r="AA195" s="28" t="n">
        <f aca="false">ROUND((C195-B195)*1440,1)</f>
        <v>3.7</v>
      </c>
      <c r="AB195" s="28" t="str">
        <f aca="false">IF(AA195&lt;1,"a) &lt;1 min",IF(AA195&lt;10,"b) 1-10 min",IF(AA195&lt;60,"c) 10-60 min",IF(AA195&lt;240,"d) 1-4 h","e) 4 h+"))))</f>
        <v>b) 1-10 min</v>
      </c>
      <c r="AC195" s="28" t="str">
        <f aca="false">IF(P195&lt;10,"a) &lt;10",IF(P195&lt;20,"b) 10-20",IF(P195&lt;40,"c) 20-40",IF(P195&lt;80,"d) 40-80","e) 80+"))))</f>
        <v>a) &lt;10</v>
      </c>
      <c r="AD195" s="30" t="n">
        <f aca="false">Summary!$C$5+SUM(X$2:X195)</f>
        <v>104466.65</v>
      </c>
      <c r="AE195" s="30" t="n">
        <f aca="false">MAX(AE194,AD195)</f>
        <v>104895.27</v>
      </c>
      <c r="AF195" s="30" t="n">
        <f aca="false">AE195-AD195</f>
        <v>428.62000000001</v>
      </c>
      <c r="AG195" s="29" t="n">
        <f aca="false">IFERROR(AF195/AE195,0)</f>
        <v>0.00408617090170043</v>
      </c>
    </row>
    <row r="196" customFormat="false" ht="15" hidden="false" customHeight="false" outlineLevel="0" collapsed="false">
      <c r="A196" s="28" t="n">
        <v>195</v>
      </c>
      <c r="B196" s="43" t="n">
        <v>45293.5520833333</v>
      </c>
      <c r="C196" s="43" t="n">
        <v>45293.5546990741</v>
      </c>
      <c r="D196" s="42" t="n">
        <f aca="false">INT(C196)</f>
        <v>45293</v>
      </c>
      <c r="E196" s="42" t="n">
        <f aca="false">D196-WEEKDAY(D196,3)</f>
        <v>45292</v>
      </c>
      <c r="F196" s="28" t="s">
        <v>152</v>
      </c>
      <c r="G196" s="28" t="n">
        <v>2024</v>
      </c>
      <c r="H196" s="28" t="s">
        <v>232</v>
      </c>
      <c r="I196" s="28" t="n">
        <v>13</v>
      </c>
      <c r="J196" s="28" t="s">
        <v>236</v>
      </c>
      <c r="K196" s="28" t="s">
        <v>237</v>
      </c>
      <c r="L196" s="28" t="n">
        <v>0.28</v>
      </c>
      <c r="M196" s="31" t="n">
        <v>16745.33</v>
      </c>
      <c r="N196" s="31" t="n">
        <v>16760.57</v>
      </c>
      <c r="O196" s="31" t="n">
        <v>16714.86</v>
      </c>
      <c r="P196" s="44" t="n">
        <f aca="false">ABS(M196-N196)</f>
        <v>15.239999999998</v>
      </c>
      <c r="Q196" s="44" t="n">
        <f aca="false">IF(O196="","",ABS(O196-M196))</f>
        <v>30.4700000000012</v>
      </c>
      <c r="R196" s="30" t="n">
        <f aca="false">P196*L196*Summary!$C$6</f>
        <v>85.3439999999886</v>
      </c>
      <c r="S196" s="31" t="n">
        <v>16714.83</v>
      </c>
      <c r="T196" s="28" t="s">
        <v>214</v>
      </c>
      <c r="U196" s="44" t="n">
        <f aca="false">IF(J196="BUY",S196-M196,M196-S196)</f>
        <v>30.5</v>
      </c>
      <c r="V196" s="45" t="n">
        <v>0</v>
      </c>
      <c r="W196" s="45" t="n">
        <v>0</v>
      </c>
      <c r="X196" s="45" t="n">
        <v>170.8</v>
      </c>
      <c r="Y196" s="32" t="n">
        <f aca="false">IFERROR(X196/R196,0)</f>
        <v>2.00131233595827</v>
      </c>
      <c r="Z196" s="28" t="str">
        <f aca="false">IF(X196&gt;0,"Win",IF(X196&lt;0,"Loss","Flat"))</f>
        <v>Win</v>
      </c>
      <c r="AA196" s="28" t="n">
        <f aca="false">ROUND((C196-B196)*1440,1)</f>
        <v>3.8</v>
      </c>
      <c r="AB196" s="28" t="str">
        <f aca="false">IF(AA196&lt;1,"a) &lt;1 min",IF(AA196&lt;10,"b) 1-10 min",IF(AA196&lt;60,"c) 10-60 min",IF(AA196&lt;240,"d) 1-4 h","e) 4 h+"))))</f>
        <v>b) 1-10 min</v>
      </c>
      <c r="AC196" s="28" t="str">
        <f aca="false">IF(P196&lt;10,"a) &lt;10",IF(P196&lt;20,"b) 10-20",IF(P196&lt;40,"c) 20-40",IF(P196&lt;80,"d) 40-80","e) 80+"))))</f>
        <v>b) 10-20</v>
      </c>
      <c r="AD196" s="30" t="n">
        <f aca="false">Summary!$C$5+SUM(X$2:X196)</f>
        <v>104637.45</v>
      </c>
      <c r="AE196" s="30" t="n">
        <f aca="false">MAX(AE195,AD196)</f>
        <v>104895.27</v>
      </c>
      <c r="AF196" s="30" t="n">
        <f aca="false">AE196-AD196</f>
        <v>257.820000000007</v>
      </c>
      <c r="AG196" s="29" t="n">
        <f aca="false">IFERROR(AF196/AE196,0)</f>
        <v>0.00245788013129674</v>
      </c>
    </row>
    <row r="197" customFormat="false" ht="15" hidden="false" customHeight="false" outlineLevel="0" collapsed="false">
      <c r="A197" s="28" t="n">
        <v>196</v>
      </c>
      <c r="B197" s="43" t="n">
        <v>45294.5993055556</v>
      </c>
      <c r="C197" s="43" t="n">
        <v>45294.6098148148</v>
      </c>
      <c r="D197" s="42" t="n">
        <f aca="false">INT(C197)</f>
        <v>45294</v>
      </c>
      <c r="E197" s="42" t="n">
        <f aca="false">D197-WEEKDAY(D197,3)</f>
        <v>45292</v>
      </c>
      <c r="F197" s="28" t="s">
        <v>152</v>
      </c>
      <c r="G197" s="28" t="n">
        <v>2024</v>
      </c>
      <c r="H197" s="28" t="s">
        <v>235</v>
      </c>
      <c r="I197" s="28" t="n">
        <v>14</v>
      </c>
      <c r="J197" s="28" t="s">
        <v>236</v>
      </c>
      <c r="K197" s="28" t="s">
        <v>237</v>
      </c>
      <c r="L197" s="28" t="n">
        <v>0.28</v>
      </c>
      <c r="M197" s="31" t="n">
        <v>16447.59</v>
      </c>
      <c r="N197" s="31" t="n">
        <v>16456.83</v>
      </c>
      <c r="O197" s="31" t="n">
        <v>16429.11</v>
      </c>
      <c r="P197" s="44" t="n">
        <f aca="false">ABS(M197-N197)</f>
        <v>9.2400000000016</v>
      </c>
      <c r="Q197" s="44" t="n">
        <f aca="false">IF(O197="","",ABS(O197-M197))</f>
        <v>18.4799999999996</v>
      </c>
      <c r="R197" s="30" t="n">
        <f aca="false">P197*L197*Summary!$C$6</f>
        <v>51.744000000009</v>
      </c>
      <c r="S197" s="31" t="n">
        <v>16429.04</v>
      </c>
      <c r="T197" s="28" t="s">
        <v>214</v>
      </c>
      <c r="U197" s="44" t="n">
        <f aca="false">IF(J197="BUY",S197-M197,M197-S197)</f>
        <v>18.5499999999993</v>
      </c>
      <c r="V197" s="45" t="n">
        <v>0</v>
      </c>
      <c r="W197" s="45" t="n">
        <v>0</v>
      </c>
      <c r="X197" s="45" t="n">
        <v>103.88</v>
      </c>
      <c r="Y197" s="32" t="n">
        <f aca="false">IFERROR(X197/R197,0)</f>
        <v>2.00757575757541</v>
      </c>
      <c r="Z197" s="28" t="str">
        <f aca="false">IF(X197&gt;0,"Win",IF(X197&lt;0,"Loss","Flat"))</f>
        <v>Win</v>
      </c>
      <c r="AA197" s="28" t="n">
        <f aca="false">ROUND((C197-B197)*1440,1)</f>
        <v>15.1</v>
      </c>
      <c r="AB197" s="28" t="str">
        <f aca="false">IF(AA197&lt;1,"a) &lt;1 min",IF(AA197&lt;10,"b) 1-10 min",IF(AA197&lt;60,"c) 10-60 min",IF(AA197&lt;240,"d) 1-4 h","e) 4 h+"))))</f>
        <v>c) 10-60 min</v>
      </c>
      <c r="AC197" s="28" t="str">
        <f aca="false">IF(P197&lt;10,"a) &lt;10",IF(P197&lt;20,"b) 10-20",IF(P197&lt;40,"c) 20-40",IF(P197&lt;80,"d) 40-80","e) 80+"))))</f>
        <v>a) &lt;10</v>
      </c>
      <c r="AD197" s="30" t="n">
        <f aca="false">Summary!$C$5+SUM(X$2:X197)</f>
        <v>104741.33</v>
      </c>
      <c r="AE197" s="30" t="n">
        <f aca="false">MAX(AE196,AD197)</f>
        <v>104895.27</v>
      </c>
      <c r="AF197" s="30" t="n">
        <f aca="false">AE197-AD197</f>
        <v>153.940000000002</v>
      </c>
      <c r="AG197" s="29" t="n">
        <f aca="false">IFERROR(AF197/AE197,0)</f>
        <v>0.00146755902339545</v>
      </c>
    </row>
    <row r="198" customFormat="false" ht="15" hidden="false" customHeight="false" outlineLevel="0" collapsed="false">
      <c r="A198" s="28" t="n">
        <v>197</v>
      </c>
      <c r="B198" s="43" t="n">
        <v>45295.5854166667</v>
      </c>
      <c r="C198" s="43" t="n">
        <v>45295.5919560185</v>
      </c>
      <c r="D198" s="42" t="n">
        <f aca="false">INT(C198)</f>
        <v>45295</v>
      </c>
      <c r="E198" s="42" t="n">
        <f aca="false">D198-WEEKDAY(D198,3)</f>
        <v>45292</v>
      </c>
      <c r="F198" s="28" t="s">
        <v>152</v>
      </c>
      <c r="G198" s="28" t="n">
        <v>2024</v>
      </c>
      <c r="H198" s="28" t="s">
        <v>239</v>
      </c>
      <c r="I198" s="28" t="n">
        <v>14</v>
      </c>
      <c r="J198" s="28" t="s">
        <v>236</v>
      </c>
      <c r="K198" s="28" t="s">
        <v>237</v>
      </c>
      <c r="L198" s="28" t="n">
        <v>0.28</v>
      </c>
      <c r="M198" s="31" t="n">
        <v>16349.14</v>
      </c>
      <c r="N198" s="31" t="n">
        <v>16361.08</v>
      </c>
      <c r="O198" s="31" t="n">
        <v>16325.26</v>
      </c>
      <c r="P198" s="44" t="n">
        <f aca="false">ABS(M198-N198)</f>
        <v>11.9400000000005</v>
      </c>
      <c r="Q198" s="44" t="n">
        <f aca="false">IF(O198="","",ABS(O198-M198))</f>
        <v>23.8799999999992</v>
      </c>
      <c r="R198" s="30" t="n">
        <f aca="false">P198*L198*Summary!$C$6</f>
        <v>66.8640000000029</v>
      </c>
      <c r="S198" s="31" t="n">
        <v>16361.1</v>
      </c>
      <c r="T198" s="28" t="s">
        <v>241</v>
      </c>
      <c r="U198" s="44" t="n">
        <f aca="false">IF(J198="BUY",S198-M198,M198-S198)</f>
        <v>-11.9600000000009</v>
      </c>
      <c r="V198" s="45" t="n">
        <v>0</v>
      </c>
      <c r="W198" s="45" t="n">
        <v>0</v>
      </c>
      <c r="X198" s="45" t="n">
        <v>-66.98</v>
      </c>
      <c r="Y198" s="32" t="n">
        <f aca="false">IFERROR(X198/R198,0)</f>
        <v>-1.00173486480015</v>
      </c>
      <c r="Z198" s="28" t="str">
        <f aca="false">IF(X198&gt;0,"Win",IF(X198&lt;0,"Loss","Flat"))</f>
        <v>Loss</v>
      </c>
      <c r="AA198" s="28" t="n">
        <f aca="false">ROUND((C198-B198)*1440,1)</f>
        <v>9.4</v>
      </c>
      <c r="AB198" s="28" t="str">
        <f aca="false">IF(AA198&lt;1,"a) &lt;1 min",IF(AA198&lt;10,"b) 1-10 min",IF(AA198&lt;60,"c) 10-60 min",IF(AA198&lt;240,"d) 1-4 h","e) 4 h+"))))</f>
        <v>b) 1-10 min</v>
      </c>
      <c r="AC198" s="28" t="str">
        <f aca="false">IF(P198&lt;10,"a) &lt;10",IF(P198&lt;20,"b) 10-20",IF(P198&lt;40,"c) 20-40",IF(P198&lt;80,"d) 40-80","e) 80+"))))</f>
        <v>b) 10-20</v>
      </c>
      <c r="AD198" s="30" t="n">
        <f aca="false">Summary!$C$5+SUM(X$2:X198)</f>
        <v>104674.35</v>
      </c>
      <c r="AE198" s="30" t="n">
        <f aca="false">MAX(AE197,AD198)</f>
        <v>104895.27</v>
      </c>
      <c r="AF198" s="30" t="n">
        <f aca="false">AE198-AD198</f>
        <v>220.919999999998</v>
      </c>
      <c r="AG198" s="29" t="n">
        <f aca="false">IFERROR(AF198/AE198,0)</f>
        <v>0.00210610068499751</v>
      </c>
    </row>
    <row r="199" customFormat="false" ht="15" hidden="false" customHeight="false" outlineLevel="0" collapsed="false">
      <c r="A199" s="28" t="n">
        <v>198</v>
      </c>
      <c r="B199" s="43" t="n">
        <v>45296.30625</v>
      </c>
      <c r="C199" s="43" t="n">
        <v>45296.3078125</v>
      </c>
      <c r="D199" s="42" t="n">
        <f aca="false">INT(C199)</f>
        <v>45296</v>
      </c>
      <c r="E199" s="42" t="n">
        <f aca="false">D199-WEEKDAY(D199,3)</f>
        <v>45292</v>
      </c>
      <c r="F199" s="28" t="s">
        <v>152</v>
      </c>
      <c r="G199" s="28" t="n">
        <v>2024</v>
      </c>
      <c r="H199" s="28" t="s">
        <v>242</v>
      </c>
      <c r="I199" s="28" t="n">
        <v>7</v>
      </c>
      <c r="J199" s="28" t="s">
        <v>236</v>
      </c>
      <c r="K199" s="28" t="s">
        <v>237</v>
      </c>
      <c r="L199" s="28" t="n">
        <v>0.28</v>
      </c>
      <c r="M199" s="31" t="n">
        <v>16272.88</v>
      </c>
      <c r="N199" s="31" t="n">
        <v>16276.56</v>
      </c>
      <c r="O199" s="31" t="n">
        <v>16265.51</v>
      </c>
      <c r="P199" s="44" t="n">
        <f aca="false">ABS(M199-N199)</f>
        <v>3.68000000000029</v>
      </c>
      <c r="Q199" s="44" t="n">
        <f aca="false">IF(O199="","",ABS(O199-M199))</f>
        <v>7.36999999999898</v>
      </c>
      <c r="R199" s="30" t="n">
        <f aca="false">P199*L199*Summary!$C$6</f>
        <v>20.6080000000016</v>
      </c>
      <c r="S199" s="31" t="n">
        <v>16264.94</v>
      </c>
      <c r="T199" s="28" t="s">
        <v>214</v>
      </c>
      <c r="U199" s="44" t="n">
        <f aca="false">IF(J199="BUY",S199-M199,M199-S199)</f>
        <v>7.93999999999869</v>
      </c>
      <c r="V199" s="45" t="n">
        <v>0</v>
      </c>
      <c r="W199" s="45" t="n">
        <v>0</v>
      </c>
      <c r="X199" s="45" t="n">
        <v>44.46</v>
      </c>
      <c r="Y199" s="32" t="n">
        <f aca="false">IFERROR(X199/R199,0)</f>
        <v>2.15741459627312</v>
      </c>
      <c r="Z199" s="28" t="str">
        <f aca="false">IF(X199&gt;0,"Win",IF(X199&lt;0,"Loss","Flat"))</f>
        <v>Win</v>
      </c>
      <c r="AA199" s="28" t="n">
        <f aca="false">ROUND((C199-B199)*1440,1)</f>
        <v>2.3</v>
      </c>
      <c r="AB199" s="28" t="str">
        <f aca="false">IF(AA199&lt;1,"a) &lt;1 min",IF(AA199&lt;10,"b) 1-10 min",IF(AA199&lt;60,"c) 10-60 min",IF(AA199&lt;240,"d) 1-4 h","e) 4 h+"))))</f>
        <v>b) 1-10 min</v>
      </c>
      <c r="AC199" s="28" t="str">
        <f aca="false">IF(P199&lt;10,"a) &lt;10",IF(P199&lt;20,"b) 10-20",IF(P199&lt;40,"c) 20-40",IF(P199&lt;80,"d) 40-80","e) 80+"))))</f>
        <v>a) &lt;10</v>
      </c>
      <c r="AD199" s="30" t="n">
        <f aca="false">Summary!$C$5+SUM(X$2:X199)</f>
        <v>104718.81</v>
      </c>
      <c r="AE199" s="30" t="n">
        <f aca="false">MAX(AE198,AD199)</f>
        <v>104895.27</v>
      </c>
      <c r="AF199" s="30" t="n">
        <f aca="false">AE199-AD199</f>
        <v>176.460000000006</v>
      </c>
      <c r="AG199" s="29" t="n">
        <f aca="false">IFERROR(AF199/AE199,0)</f>
        <v>0.00168224935213958</v>
      </c>
    </row>
    <row r="200" customFormat="false" ht="15" hidden="false" customHeight="false" outlineLevel="0" collapsed="false">
      <c r="A200" s="28" t="n">
        <v>199</v>
      </c>
      <c r="B200" s="43" t="n">
        <v>45299.6979166667</v>
      </c>
      <c r="C200" s="43" t="n">
        <v>45299.7073958333</v>
      </c>
      <c r="D200" s="42" t="n">
        <f aca="false">INT(C200)</f>
        <v>45299</v>
      </c>
      <c r="E200" s="42" t="n">
        <f aca="false">D200-WEEKDAY(D200,3)</f>
        <v>45299</v>
      </c>
      <c r="F200" s="28" t="s">
        <v>152</v>
      </c>
      <c r="G200" s="28" t="n">
        <v>2024</v>
      </c>
      <c r="H200" s="28" t="s">
        <v>240</v>
      </c>
      <c r="I200" s="28" t="n">
        <v>16</v>
      </c>
      <c r="J200" s="28" t="s">
        <v>233</v>
      </c>
      <c r="K200" s="28" t="s">
        <v>234</v>
      </c>
      <c r="L200" s="28" t="n">
        <v>0.28</v>
      </c>
      <c r="M200" s="31" t="n">
        <v>16417.77</v>
      </c>
      <c r="N200" s="31" t="n">
        <v>16396.98</v>
      </c>
      <c r="O200" s="31" t="n">
        <v>16459.36</v>
      </c>
      <c r="P200" s="44" t="n">
        <f aca="false">ABS(M200-N200)</f>
        <v>20.7900000000009</v>
      </c>
      <c r="Q200" s="44" t="n">
        <f aca="false">IF(O200="","",ABS(O200-M200))</f>
        <v>41.5900000000001</v>
      </c>
      <c r="R200" s="30" t="n">
        <f aca="false">P200*L200*Summary!$C$6</f>
        <v>116.424000000005</v>
      </c>
      <c r="S200" s="31" t="n">
        <v>16459.74</v>
      </c>
      <c r="T200" s="28" t="s">
        <v>214</v>
      </c>
      <c r="U200" s="44" t="n">
        <f aca="false">IF(J200="BUY",S200-M200,M200-S200)</f>
        <v>41.9700000000012</v>
      </c>
      <c r="V200" s="45" t="n">
        <v>0</v>
      </c>
      <c r="W200" s="45" t="n">
        <v>0</v>
      </c>
      <c r="X200" s="45" t="n">
        <v>235.03</v>
      </c>
      <c r="Y200" s="32" t="n">
        <f aca="false">IFERROR(X200/R200,0)</f>
        <v>2.01874184017033</v>
      </c>
      <c r="Z200" s="28" t="str">
        <f aca="false">IF(X200&gt;0,"Win",IF(X200&lt;0,"Loss","Flat"))</f>
        <v>Win</v>
      </c>
      <c r="AA200" s="28" t="n">
        <f aca="false">ROUND((C200-B200)*1440,1)</f>
        <v>13.7</v>
      </c>
      <c r="AB200" s="28" t="str">
        <f aca="false">IF(AA200&lt;1,"a) &lt;1 min",IF(AA200&lt;10,"b) 1-10 min",IF(AA200&lt;60,"c) 10-60 min",IF(AA200&lt;240,"d) 1-4 h","e) 4 h+"))))</f>
        <v>c) 10-60 min</v>
      </c>
      <c r="AC200" s="28" t="str">
        <f aca="false">IF(P200&lt;10,"a) &lt;10",IF(P200&lt;20,"b) 10-20",IF(P200&lt;40,"c) 20-40",IF(P200&lt;80,"d) 40-80","e) 80+"))))</f>
        <v>c) 20-40</v>
      </c>
      <c r="AD200" s="30" t="n">
        <f aca="false">Summary!$C$5+SUM(X$2:X200)</f>
        <v>104953.84</v>
      </c>
      <c r="AE200" s="30" t="n">
        <f aca="false">MAX(AE199,AD200)</f>
        <v>104953.84</v>
      </c>
      <c r="AF200" s="30" t="n">
        <f aca="false">AE200-AD200</f>
        <v>0</v>
      </c>
      <c r="AG200" s="29" t="n">
        <f aca="false">IFERROR(AF200/AE200,0)</f>
        <v>0</v>
      </c>
    </row>
    <row r="201" customFormat="false" ht="15" hidden="false" customHeight="false" outlineLevel="0" collapsed="false">
      <c r="A201" s="28" t="n">
        <v>200</v>
      </c>
      <c r="B201" s="43" t="n">
        <v>45300.7868055556</v>
      </c>
      <c r="C201" s="43" t="n">
        <v>45300.7906365741</v>
      </c>
      <c r="D201" s="42" t="n">
        <f aca="false">INT(C201)</f>
        <v>45300</v>
      </c>
      <c r="E201" s="42" t="n">
        <f aca="false">D201-WEEKDAY(D201,3)</f>
        <v>45299</v>
      </c>
      <c r="F201" s="28" t="s">
        <v>152</v>
      </c>
      <c r="G201" s="28" t="n">
        <v>2024</v>
      </c>
      <c r="H201" s="28" t="s">
        <v>232</v>
      </c>
      <c r="I201" s="28" t="n">
        <v>18</v>
      </c>
      <c r="J201" s="28" t="s">
        <v>233</v>
      </c>
      <c r="K201" s="28" t="s">
        <v>234</v>
      </c>
      <c r="L201" s="28" t="n">
        <v>0.28</v>
      </c>
      <c r="M201" s="31" t="n">
        <v>16655.29</v>
      </c>
      <c r="N201" s="31" t="n">
        <v>16644.81</v>
      </c>
      <c r="O201" s="31" t="n">
        <v>16676.24</v>
      </c>
      <c r="P201" s="44" t="n">
        <f aca="false">ABS(M201-N201)</f>
        <v>10.4799999999996</v>
      </c>
      <c r="Q201" s="44" t="n">
        <f aca="false">IF(O201="","",ABS(O201-M201))</f>
        <v>20.9500000000007</v>
      </c>
      <c r="R201" s="30" t="n">
        <f aca="false">P201*L201*Summary!$C$6</f>
        <v>58.6879999999976</v>
      </c>
      <c r="S201" s="31" t="n">
        <v>16676.33</v>
      </c>
      <c r="T201" s="28" t="s">
        <v>214</v>
      </c>
      <c r="U201" s="44" t="n">
        <f aca="false">IF(J201="BUY",S201-M201,M201-S201)</f>
        <v>21.0400000000009</v>
      </c>
      <c r="V201" s="45" t="n">
        <v>0</v>
      </c>
      <c r="W201" s="45" t="n">
        <v>0</v>
      </c>
      <c r="X201" s="45" t="n">
        <v>117.82</v>
      </c>
      <c r="Y201" s="32" t="n">
        <f aca="false">IFERROR(X201/R201,0)</f>
        <v>2.00756543075254</v>
      </c>
      <c r="Z201" s="28" t="str">
        <f aca="false">IF(X201&gt;0,"Win",IF(X201&lt;0,"Loss","Flat"))</f>
        <v>Win</v>
      </c>
      <c r="AA201" s="28" t="n">
        <f aca="false">ROUND((C201-B201)*1440,1)</f>
        <v>5.5</v>
      </c>
      <c r="AB201" s="28" t="str">
        <f aca="false">IF(AA201&lt;1,"a) &lt;1 min",IF(AA201&lt;10,"b) 1-10 min",IF(AA201&lt;60,"c) 10-60 min",IF(AA201&lt;240,"d) 1-4 h","e) 4 h+"))))</f>
        <v>b) 1-10 min</v>
      </c>
      <c r="AC201" s="28" t="str">
        <f aca="false">IF(P201&lt;10,"a) &lt;10",IF(P201&lt;20,"b) 10-20",IF(P201&lt;40,"c) 20-40",IF(P201&lt;80,"d) 40-80","e) 80+"))))</f>
        <v>b) 10-20</v>
      </c>
      <c r="AD201" s="30" t="n">
        <f aca="false">Summary!$C$5+SUM(X$2:X201)</f>
        <v>105071.66</v>
      </c>
      <c r="AE201" s="30" t="n">
        <f aca="false">MAX(AE200,AD201)</f>
        <v>105071.66</v>
      </c>
      <c r="AF201" s="30" t="n">
        <f aca="false">AE201-AD201</f>
        <v>0</v>
      </c>
      <c r="AG201" s="29" t="n">
        <f aca="false">IFERROR(AF201/AE201,0)</f>
        <v>0</v>
      </c>
    </row>
    <row r="202" customFormat="false" ht="15" hidden="false" customHeight="false" outlineLevel="0" collapsed="false">
      <c r="A202" s="28" t="n">
        <v>201</v>
      </c>
      <c r="B202" s="43" t="n">
        <v>45301.4631944444</v>
      </c>
      <c r="C202" s="43" t="n">
        <v>45301.4655439815</v>
      </c>
      <c r="D202" s="42" t="n">
        <f aca="false">INT(C202)</f>
        <v>45301</v>
      </c>
      <c r="E202" s="42" t="n">
        <f aca="false">D202-WEEKDAY(D202,3)</f>
        <v>45299</v>
      </c>
      <c r="F202" s="28" t="s">
        <v>152</v>
      </c>
      <c r="G202" s="28" t="n">
        <v>2024</v>
      </c>
      <c r="H202" s="28" t="s">
        <v>235</v>
      </c>
      <c r="I202" s="28" t="n">
        <v>11</v>
      </c>
      <c r="J202" s="28" t="s">
        <v>233</v>
      </c>
      <c r="K202" s="28" t="s">
        <v>234</v>
      </c>
      <c r="L202" s="28" t="n">
        <v>0.28</v>
      </c>
      <c r="M202" s="31" t="n">
        <v>16722.17</v>
      </c>
      <c r="N202" s="31" t="n">
        <v>16713.23</v>
      </c>
      <c r="O202" s="31" t="n">
        <v>16740.06</v>
      </c>
      <c r="P202" s="44" t="n">
        <f aca="false">ABS(M202-N202)</f>
        <v>8.93999999999869</v>
      </c>
      <c r="Q202" s="44" t="n">
        <f aca="false">IF(O202="","",ABS(O202-M202))</f>
        <v>17.8900000000031</v>
      </c>
      <c r="R202" s="30" t="n">
        <f aca="false">P202*L202*Summary!$C$6</f>
        <v>50.0639999999927</v>
      </c>
      <c r="S202" s="31" t="n">
        <v>16740.79</v>
      </c>
      <c r="T202" s="28" t="s">
        <v>214</v>
      </c>
      <c r="U202" s="44" t="n">
        <f aca="false">IF(J202="BUY",S202-M202,M202-S202)</f>
        <v>18.6200000000026</v>
      </c>
      <c r="V202" s="45" t="n">
        <v>0</v>
      </c>
      <c r="W202" s="45" t="n">
        <v>0</v>
      </c>
      <c r="X202" s="45" t="n">
        <v>104.27</v>
      </c>
      <c r="Y202" s="32" t="n">
        <f aca="false">IFERROR(X202/R202,0)</f>
        <v>2.08273410035185</v>
      </c>
      <c r="Z202" s="28" t="str">
        <f aca="false">IF(X202&gt;0,"Win",IF(X202&lt;0,"Loss","Flat"))</f>
        <v>Win</v>
      </c>
      <c r="AA202" s="28" t="n">
        <f aca="false">ROUND((C202-B202)*1440,1)</f>
        <v>3.4</v>
      </c>
      <c r="AB202" s="28" t="str">
        <f aca="false">IF(AA202&lt;1,"a) &lt;1 min",IF(AA202&lt;10,"b) 1-10 min",IF(AA202&lt;60,"c) 10-60 min",IF(AA202&lt;240,"d) 1-4 h","e) 4 h+"))))</f>
        <v>b) 1-10 min</v>
      </c>
      <c r="AC202" s="28" t="str">
        <f aca="false">IF(P202&lt;10,"a) &lt;10",IF(P202&lt;20,"b) 10-20",IF(P202&lt;40,"c) 20-40",IF(P202&lt;80,"d) 40-80","e) 80+"))))</f>
        <v>a) &lt;10</v>
      </c>
      <c r="AD202" s="30" t="n">
        <f aca="false">Summary!$C$5+SUM(X$2:X202)</f>
        <v>105175.93</v>
      </c>
      <c r="AE202" s="30" t="n">
        <f aca="false">MAX(AE201,AD202)</f>
        <v>105175.93</v>
      </c>
      <c r="AF202" s="30" t="n">
        <f aca="false">AE202-AD202</f>
        <v>0</v>
      </c>
      <c r="AG202" s="29" t="n">
        <f aca="false">IFERROR(AF202/AE202,0)</f>
        <v>0</v>
      </c>
    </row>
    <row r="203" customFormat="false" ht="15" hidden="false" customHeight="false" outlineLevel="0" collapsed="false">
      <c r="A203" s="28" t="n">
        <v>202</v>
      </c>
      <c r="B203" s="43" t="n">
        <v>45302.1152777778</v>
      </c>
      <c r="C203" s="43" t="n">
        <v>45302.1183333333</v>
      </c>
      <c r="D203" s="42" t="n">
        <f aca="false">INT(C203)</f>
        <v>45302</v>
      </c>
      <c r="E203" s="42" t="n">
        <f aca="false">D203-WEEKDAY(D203,3)</f>
        <v>45299</v>
      </c>
      <c r="F203" s="28" t="s">
        <v>152</v>
      </c>
      <c r="G203" s="28" t="n">
        <v>2024</v>
      </c>
      <c r="H203" s="28" t="s">
        <v>239</v>
      </c>
      <c r="I203" s="28" t="n">
        <v>2</v>
      </c>
      <c r="J203" s="28" t="s">
        <v>233</v>
      </c>
      <c r="K203" s="28" t="s">
        <v>234</v>
      </c>
      <c r="L203" s="28" t="n">
        <v>0.28</v>
      </c>
      <c r="M203" s="31" t="n">
        <v>16834.1</v>
      </c>
      <c r="N203" s="31" t="n">
        <v>16827.81</v>
      </c>
      <c r="O203" s="31" t="n">
        <v>16846.69</v>
      </c>
      <c r="P203" s="44" t="n">
        <f aca="false">ABS(M203-N203)</f>
        <v>6.28999999999724</v>
      </c>
      <c r="Q203" s="44" t="n">
        <f aca="false">IF(O203="","",ABS(O203-M203))</f>
        <v>12.5900000000001</v>
      </c>
      <c r="R203" s="30" t="n">
        <f aca="false">P203*L203*Summary!$C$6</f>
        <v>35.2239999999845</v>
      </c>
      <c r="S203" s="31" t="n">
        <v>16827.53</v>
      </c>
      <c r="T203" s="28" t="s">
        <v>241</v>
      </c>
      <c r="U203" s="44" t="n">
        <f aca="false">IF(J203="BUY",S203-M203,M203-S203)</f>
        <v>-6.56999999999971</v>
      </c>
      <c r="V203" s="45" t="n">
        <v>0</v>
      </c>
      <c r="W203" s="45" t="n">
        <v>0</v>
      </c>
      <c r="X203" s="45" t="n">
        <v>-36.79</v>
      </c>
      <c r="Y203" s="32" t="n">
        <f aca="false">IFERROR(X203/R203,0)</f>
        <v>-1.04445832387055</v>
      </c>
      <c r="Z203" s="28" t="str">
        <f aca="false">IF(X203&gt;0,"Win",IF(X203&lt;0,"Loss","Flat"))</f>
        <v>Loss</v>
      </c>
      <c r="AA203" s="28" t="n">
        <f aca="false">ROUND((C203-B203)*1440,1)</f>
        <v>4.4</v>
      </c>
      <c r="AB203" s="28" t="str">
        <f aca="false">IF(AA203&lt;1,"a) &lt;1 min",IF(AA203&lt;10,"b) 1-10 min",IF(AA203&lt;60,"c) 10-60 min",IF(AA203&lt;240,"d) 1-4 h","e) 4 h+"))))</f>
        <v>b) 1-10 min</v>
      </c>
      <c r="AC203" s="28" t="str">
        <f aca="false">IF(P203&lt;10,"a) &lt;10",IF(P203&lt;20,"b) 10-20",IF(P203&lt;40,"c) 20-40",IF(P203&lt;80,"d) 40-80","e) 80+"))))</f>
        <v>a) &lt;10</v>
      </c>
      <c r="AD203" s="30" t="n">
        <f aca="false">Summary!$C$5+SUM(X$2:X203)</f>
        <v>105139.14</v>
      </c>
      <c r="AE203" s="30" t="n">
        <f aca="false">MAX(AE202,AD203)</f>
        <v>105175.93</v>
      </c>
      <c r="AF203" s="30" t="n">
        <f aca="false">AE203-AD203</f>
        <v>36.7899999999936</v>
      </c>
      <c r="AG203" s="29" t="n">
        <f aca="false">IFERROR(AF203/AE203,0)</f>
        <v>0.000349794862759888</v>
      </c>
    </row>
    <row r="204" customFormat="false" ht="15" hidden="false" customHeight="false" outlineLevel="0" collapsed="false">
      <c r="A204" s="28" t="n">
        <v>203</v>
      </c>
      <c r="B204" s="43" t="n">
        <v>45302.7604166667</v>
      </c>
      <c r="C204" s="43" t="n">
        <v>45302.7831134259</v>
      </c>
      <c r="D204" s="42" t="n">
        <f aca="false">INT(C204)</f>
        <v>45302</v>
      </c>
      <c r="E204" s="42" t="n">
        <f aca="false">D204-WEEKDAY(D204,3)</f>
        <v>45299</v>
      </c>
      <c r="F204" s="28" t="s">
        <v>152</v>
      </c>
      <c r="G204" s="28" t="n">
        <v>2024</v>
      </c>
      <c r="H204" s="28" t="s">
        <v>239</v>
      </c>
      <c r="I204" s="28" t="n">
        <v>18</v>
      </c>
      <c r="J204" s="28" t="s">
        <v>236</v>
      </c>
      <c r="K204" s="28" t="s">
        <v>237</v>
      </c>
      <c r="L204" s="28" t="n">
        <v>0.28</v>
      </c>
      <c r="M204" s="31" t="n">
        <v>16647.03</v>
      </c>
      <c r="N204" s="31" t="n">
        <v>16673.69</v>
      </c>
      <c r="O204" s="31" t="n">
        <v>16593.71</v>
      </c>
      <c r="P204" s="44" t="n">
        <f aca="false">ABS(M204-N204)</f>
        <v>26.6599999999999</v>
      </c>
      <c r="Q204" s="44" t="n">
        <f aca="false">IF(O204="","",ABS(O204-M204))</f>
        <v>53.3199999999997</v>
      </c>
      <c r="R204" s="30" t="n">
        <f aca="false">P204*L204*Summary!$C$6</f>
        <v>149.295999999999</v>
      </c>
      <c r="S204" s="31" t="n">
        <v>16647.84</v>
      </c>
      <c r="T204" s="28" t="s">
        <v>238</v>
      </c>
      <c r="U204" s="44" t="n">
        <f aca="false">IF(J204="BUY",S204-M204,M204-S204)</f>
        <v>-0.81000000000131</v>
      </c>
      <c r="V204" s="45" t="n">
        <v>0</v>
      </c>
      <c r="W204" s="45" t="n">
        <v>0</v>
      </c>
      <c r="X204" s="45" t="n">
        <v>-4.54</v>
      </c>
      <c r="Y204" s="32" t="n">
        <f aca="false">IFERROR(X204/R204,0)</f>
        <v>-0.0304093880613012</v>
      </c>
      <c r="Z204" s="28" t="str">
        <f aca="false">IF(X204&gt;0,"Win",IF(X204&lt;0,"Loss","Flat"))</f>
        <v>Loss</v>
      </c>
      <c r="AA204" s="28" t="n">
        <f aca="false">ROUND((C204-B204)*1440,1)</f>
        <v>32.7</v>
      </c>
      <c r="AB204" s="28" t="str">
        <f aca="false">IF(AA204&lt;1,"a) &lt;1 min",IF(AA204&lt;10,"b) 1-10 min",IF(AA204&lt;60,"c) 10-60 min",IF(AA204&lt;240,"d) 1-4 h","e) 4 h+"))))</f>
        <v>c) 10-60 min</v>
      </c>
      <c r="AC204" s="28" t="str">
        <f aca="false">IF(P204&lt;10,"a) &lt;10",IF(P204&lt;20,"b) 10-20",IF(P204&lt;40,"c) 20-40",IF(P204&lt;80,"d) 40-80","e) 80+"))))</f>
        <v>c) 20-40</v>
      </c>
      <c r="AD204" s="30" t="n">
        <f aca="false">Summary!$C$5+SUM(X$2:X204)</f>
        <v>105134.6</v>
      </c>
      <c r="AE204" s="30" t="n">
        <f aca="false">MAX(AE203,AD204)</f>
        <v>105175.93</v>
      </c>
      <c r="AF204" s="30" t="n">
        <f aca="false">AE204-AD204</f>
        <v>41.3299999999872</v>
      </c>
      <c r="AG204" s="29" t="n">
        <f aca="false">IFERROR(AF204/AE204,0)</f>
        <v>0.000392960632722593</v>
      </c>
    </row>
    <row r="205" customFormat="false" ht="15" hidden="false" customHeight="false" outlineLevel="0" collapsed="false">
      <c r="A205" s="28" t="n">
        <v>204</v>
      </c>
      <c r="B205" s="43" t="n">
        <v>45307.0708333333</v>
      </c>
      <c r="C205" s="43" t="n">
        <v>45307.0839236111</v>
      </c>
      <c r="D205" s="42" t="n">
        <f aca="false">INT(C205)</f>
        <v>45307</v>
      </c>
      <c r="E205" s="42" t="n">
        <f aca="false">D205-WEEKDAY(D205,3)</f>
        <v>45306</v>
      </c>
      <c r="F205" s="28" t="s">
        <v>152</v>
      </c>
      <c r="G205" s="28" t="n">
        <v>2024</v>
      </c>
      <c r="H205" s="28" t="s">
        <v>232</v>
      </c>
      <c r="I205" s="28" t="n">
        <v>1</v>
      </c>
      <c r="J205" s="28" t="s">
        <v>236</v>
      </c>
      <c r="K205" s="28" t="s">
        <v>237</v>
      </c>
      <c r="L205" s="28" t="n">
        <v>0.28</v>
      </c>
      <c r="M205" s="31" t="n">
        <v>16799.34</v>
      </c>
      <c r="N205" s="31" t="n">
        <v>16805.66</v>
      </c>
      <c r="O205" s="31" t="n">
        <v>16786.71</v>
      </c>
      <c r="P205" s="44" t="n">
        <f aca="false">ABS(M205-N205)</f>
        <v>6.31999999999971</v>
      </c>
      <c r="Q205" s="44" t="n">
        <f aca="false">IF(O205="","",ABS(O205-M205))</f>
        <v>12.630000000001</v>
      </c>
      <c r="R205" s="30" t="n">
        <f aca="false">P205*L205*Summary!$C$6</f>
        <v>35.3919999999984</v>
      </c>
      <c r="S205" s="31" t="n">
        <v>16786.62</v>
      </c>
      <c r="T205" s="28" t="s">
        <v>214</v>
      </c>
      <c r="U205" s="44" t="n">
        <f aca="false">IF(J205="BUY",S205-M205,M205-S205)</f>
        <v>12.7200000000012</v>
      </c>
      <c r="V205" s="45" t="n">
        <v>0</v>
      </c>
      <c r="W205" s="45" t="n">
        <v>0</v>
      </c>
      <c r="X205" s="45" t="n">
        <v>71.23</v>
      </c>
      <c r="Y205" s="32" t="n">
        <f aca="false">IFERROR(X205/R205,0)</f>
        <v>2.01260171790244</v>
      </c>
      <c r="Z205" s="28" t="str">
        <f aca="false">IF(X205&gt;0,"Win",IF(X205&lt;0,"Loss","Flat"))</f>
        <v>Win</v>
      </c>
      <c r="AA205" s="28" t="n">
        <f aca="false">ROUND((C205-B205)*1440,1)</f>
        <v>18.9</v>
      </c>
      <c r="AB205" s="28" t="str">
        <f aca="false">IF(AA205&lt;1,"a) &lt;1 min",IF(AA205&lt;10,"b) 1-10 min",IF(AA205&lt;60,"c) 10-60 min",IF(AA205&lt;240,"d) 1-4 h","e) 4 h+"))))</f>
        <v>c) 10-60 min</v>
      </c>
      <c r="AC205" s="28" t="str">
        <f aca="false">IF(P205&lt;10,"a) &lt;10",IF(P205&lt;20,"b) 10-20",IF(P205&lt;40,"c) 20-40",IF(P205&lt;80,"d) 40-80","e) 80+"))))</f>
        <v>a) &lt;10</v>
      </c>
      <c r="AD205" s="30" t="n">
        <f aca="false">Summary!$C$5+SUM(X$2:X205)</f>
        <v>105205.83</v>
      </c>
      <c r="AE205" s="30" t="n">
        <f aca="false">MAX(AE204,AD205)</f>
        <v>105205.83</v>
      </c>
      <c r="AF205" s="30" t="n">
        <f aca="false">AE205-AD205</f>
        <v>0</v>
      </c>
      <c r="AG205" s="29" t="n">
        <f aca="false">IFERROR(AF205/AE205,0)</f>
        <v>0</v>
      </c>
    </row>
    <row r="206" customFormat="false" ht="15" hidden="false" customHeight="false" outlineLevel="0" collapsed="false">
      <c r="A206" s="28" t="n">
        <v>205</v>
      </c>
      <c r="B206" s="43" t="n">
        <v>45307.7416666667</v>
      </c>
      <c r="C206" s="43" t="n">
        <v>45307.7500578704</v>
      </c>
      <c r="D206" s="42" t="n">
        <f aca="false">INT(C206)</f>
        <v>45307</v>
      </c>
      <c r="E206" s="42" t="n">
        <f aca="false">D206-WEEKDAY(D206,3)</f>
        <v>45306</v>
      </c>
      <c r="F206" s="28" t="s">
        <v>152</v>
      </c>
      <c r="G206" s="28" t="n">
        <v>2024</v>
      </c>
      <c r="H206" s="28" t="s">
        <v>232</v>
      </c>
      <c r="I206" s="28" t="n">
        <v>17</v>
      </c>
      <c r="J206" s="28" t="s">
        <v>233</v>
      </c>
      <c r="K206" s="28" t="s">
        <v>234</v>
      </c>
      <c r="L206" s="28" t="n">
        <v>0.28</v>
      </c>
      <c r="M206" s="31" t="n">
        <v>16889.22</v>
      </c>
      <c r="N206" s="31" t="n">
        <v>16869.45</v>
      </c>
      <c r="O206" s="31" t="n">
        <v>16928.97</v>
      </c>
      <c r="P206" s="44" t="n">
        <f aca="false">ABS(M206-N206)</f>
        <v>19.7700000000004</v>
      </c>
      <c r="Q206" s="44" t="n">
        <f aca="false">IF(O206="","",ABS(O206-M206))</f>
        <v>39.75</v>
      </c>
      <c r="R206" s="30" t="n">
        <f aca="false">P206*L206*Summary!$C$6</f>
        <v>110.712000000002</v>
      </c>
      <c r="S206" s="31" t="n">
        <v>16869.38</v>
      </c>
      <c r="T206" s="28" t="s">
        <v>241</v>
      </c>
      <c r="U206" s="44" t="n">
        <f aca="false">IF(J206="BUY",S206-M206,M206-S206)</f>
        <v>-19.8400000000001</v>
      </c>
      <c r="V206" s="45" t="n">
        <v>0</v>
      </c>
      <c r="W206" s="45" t="n">
        <v>0</v>
      </c>
      <c r="X206" s="45" t="n">
        <v>-111.1</v>
      </c>
      <c r="Y206" s="32" t="n">
        <f aca="false">IFERROR(X206/R206,0)</f>
        <v>-1.0035045884818</v>
      </c>
      <c r="Z206" s="28" t="str">
        <f aca="false">IF(X206&gt;0,"Win",IF(X206&lt;0,"Loss","Flat"))</f>
        <v>Loss</v>
      </c>
      <c r="AA206" s="28" t="n">
        <f aca="false">ROUND((C206-B206)*1440,1)</f>
        <v>12.1</v>
      </c>
      <c r="AB206" s="28" t="str">
        <f aca="false">IF(AA206&lt;1,"a) &lt;1 min",IF(AA206&lt;10,"b) 1-10 min",IF(AA206&lt;60,"c) 10-60 min",IF(AA206&lt;240,"d) 1-4 h","e) 4 h+"))))</f>
        <v>c) 10-60 min</v>
      </c>
      <c r="AC206" s="28" t="str">
        <f aca="false">IF(P206&lt;10,"a) &lt;10",IF(P206&lt;20,"b) 10-20",IF(P206&lt;40,"c) 20-40",IF(P206&lt;80,"d) 40-80","e) 80+"))))</f>
        <v>b) 10-20</v>
      </c>
      <c r="AD206" s="30" t="n">
        <f aca="false">Summary!$C$5+SUM(X$2:X206)</f>
        <v>105094.73</v>
      </c>
      <c r="AE206" s="30" t="n">
        <f aca="false">MAX(AE205,AD206)</f>
        <v>105205.83</v>
      </c>
      <c r="AF206" s="30" t="n">
        <f aca="false">AE206-AD206</f>
        <v>111.100000000006</v>
      </c>
      <c r="AG206" s="29" t="n">
        <f aca="false">IFERROR(AF206/AE206,0)</f>
        <v>0.00105602512712466</v>
      </c>
    </row>
    <row r="207" customFormat="false" ht="15" hidden="false" customHeight="false" outlineLevel="0" collapsed="false">
      <c r="A207" s="28" t="n">
        <v>206</v>
      </c>
      <c r="B207" s="43" t="n">
        <v>45308.6618055556</v>
      </c>
      <c r="C207" s="43" t="n">
        <v>45308.6726157407</v>
      </c>
      <c r="D207" s="42" t="n">
        <f aca="false">INT(C207)</f>
        <v>45308</v>
      </c>
      <c r="E207" s="42" t="n">
        <f aca="false">D207-WEEKDAY(D207,3)</f>
        <v>45306</v>
      </c>
      <c r="F207" s="28" t="s">
        <v>152</v>
      </c>
      <c r="G207" s="28" t="n">
        <v>2024</v>
      </c>
      <c r="H207" s="28" t="s">
        <v>235</v>
      </c>
      <c r="I207" s="28" t="n">
        <v>15</v>
      </c>
      <c r="J207" s="28" t="s">
        <v>236</v>
      </c>
      <c r="K207" s="28" t="s">
        <v>237</v>
      </c>
      <c r="L207" s="28" t="n">
        <v>0.28</v>
      </c>
      <c r="M207" s="31" t="n">
        <v>16673.9</v>
      </c>
      <c r="N207" s="31" t="n">
        <v>16690.4</v>
      </c>
      <c r="O207" s="31" t="n">
        <v>16640.9</v>
      </c>
      <c r="P207" s="44" t="n">
        <f aca="false">ABS(M207-N207)</f>
        <v>16.5</v>
      </c>
      <c r="Q207" s="44" t="n">
        <f aca="false">IF(O207="","",ABS(O207-M207))</f>
        <v>33</v>
      </c>
      <c r="R207" s="30" t="n">
        <f aca="false">P207*L207*Summary!$C$6</f>
        <v>92.4</v>
      </c>
      <c r="S207" s="31" t="n">
        <v>16690.56</v>
      </c>
      <c r="T207" s="28" t="s">
        <v>241</v>
      </c>
      <c r="U207" s="44" t="n">
        <f aca="false">IF(J207="BUY",S207-M207,M207-S207)</f>
        <v>-16.6599999999999</v>
      </c>
      <c r="V207" s="45" t="n">
        <v>0</v>
      </c>
      <c r="W207" s="45" t="n">
        <v>0</v>
      </c>
      <c r="X207" s="45" t="n">
        <v>-93.3</v>
      </c>
      <c r="Y207" s="32" t="n">
        <f aca="false">IFERROR(X207/R207,0)</f>
        <v>-1.00974025974026</v>
      </c>
      <c r="Z207" s="28" t="str">
        <f aca="false">IF(X207&gt;0,"Win",IF(X207&lt;0,"Loss","Flat"))</f>
        <v>Loss</v>
      </c>
      <c r="AA207" s="28" t="n">
        <f aca="false">ROUND((C207-B207)*1440,1)</f>
        <v>15.6</v>
      </c>
      <c r="AB207" s="28" t="str">
        <f aca="false">IF(AA207&lt;1,"a) &lt;1 min",IF(AA207&lt;10,"b) 1-10 min",IF(AA207&lt;60,"c) 10-60 min",IF(AA207&lt;240,"d) 1-4 h","e) 4 h+"))))</f>
        <v>c) 10-60 min</v>
      </c>
      <c r="AC207" s="28" t="str">
        <f aca="false">IF(P207&lt;10,"a) &lt;10",IF(P207&lt;20,"b) 10-20",IF(P207&lt;40,"c) 20-40",IF(P207&lt;80,"d) 40-80","e) 80+"))))</f>
        <v>b) 10-20</v>
      </c>
      <c r="AD207" s="30" t="n">
        <f aca="false">Summary!$C$5+SUM(X$2:X207)</f>
        <v>105001.43</v>
      </c>
      <c r="AE207" s="30" t="n">
        <f aca="false">MAX(AE206,AD207)</f>
        <v>105205.83</v>
      </c>
      <c r="AF207" s="30" t="n">
        <f aca="false">AE207-AD207</f>
        <v>204.400000000009</v>
      </c>
      <c r="AG207" s="29" t="n">
        <f aca="false">IFERROR(AF207/AE207,0)</f>
        <v>0.00194285810966948</v>
      </c>
    </row>
    <row r="208" customFormat="false" ht="15" hidden="false" customHeight="false" outlineLevel="0" collapsed="false">
      <c r="A208" s="28" t="n">
        <v>207</v>
      </c>
      <c r="B208" s="43" t="n">
        <v>45309.5666666667</v>
      </c>
      <c r="C208" s="43" t="n">
        <v>45309.5728703704</v>
      </c>
      <c r="D208" s="42" t="n">
        <f aca="false">INT(C208)</f>
        <v>45309</v>
      </c>
      <c r="E208" s="42" t="n">
        <f aca="false">D208-WEEKDAY(D208,3)</f>
        <v>45306</v>
      </c>
      <c r="F208" s="28" t="s">
        <v>152</v>
      </c>
      <c r="G208" s="28" t="n">
        <v>2024</v>
      </c>
      <c r="H208" s="28" t="s">
        <v>239</v>
      </c>
      <c r="I208" s="28" t="n">
        <v>13</v>
      </c>
      <c r="J208" s="28" t="s">
        <v>233</v>
      </c>
      <c r="K208" s="28" t="s">
        <v>234</v>
      </c>
      <c r="L208" s="28" t="n">
        <v>0.28</v>
      </c>
      <c r="M208" s="31" t="n">
        <v>16847.79</v>
      </c>
      <c r="N208" s="31" t="n">
        <v>16839.92</v>
      </c>
      <c r="O208" s="31" t="n">
        <v>16863.53</v>
      </c>
      <c r="P208" s="44" t="n">
        <f aca="false">ABS(M208-N208)</f>
        <v>7.87000000000262</v>
      </c>
      <c r="Q208" s="44" t="n">
        <f aca="false">IF(O208="","",ABS(O208-M208))</f>
        <v>15.739999999998</v>
      </c>
      <c r="R208" s="30" t="n">
        <f aca="false">P208*L208*Summary!$C$6</f>
        <v>44.0720000000147</v>
      </c>
      <c r="S208" s="31" t="n">
        <v>16863.79</v>
      </c>
      <c r="T208" s="28" t="s">
        <v>214</v>
      </c>
      <c r="U208" s="44" t="n">
        <f aca="false">IF(J208="BUY",S208-M208,M208-S208)</f>
        <v>16</v>
      </c>
      <c r="V208" s="45" t="n">
        <v>0</v>
      </c>
      <c r="W208" s="45" t="n">
        <v>0</v>
      </c>
      <c r="X208" s="45" t="n">
        <v>89.6</v>
      </c>
      <c r="Y208" s="32" t="n">
        <f aca="false">IFERROR(X208/R208,0)</f>
        <v>2.03303684879221</v>
      </c>
      <c r="Z208" s="28" t="str">
        <f aca="false">IF(X208&gt;0,"Win",IF(X208&lt;0,"Loss","Flat"))</f>
        <v>Win</v>
      </c>
      <c r="AA208" s="28" t="n">
        <f aca="false">ROUND((C208-B208)*1440,1)</f>
        <v>8.9</v>
      </c>
      <c r="AB208" s="28" t="str">
        <f aca="false">IF(AA208&lt;1,"a) &lt;1 min",IF(AA208&lt;10,"b) 1-10 min",IF(AA208&lt;60,"c) 10-60 min",IF(AA208&lt;240,"d) 1-4 h","e) 4 h+"))))</f>
        <v>b) 1-10 min</v>
      </c>
      <c r="AC208" s="28" t="str">
        <f aca="false">IF(P208&lt;10,"a) &lt;10",IF(P208&lt;20,"b) 10-20",IF(P208&lt;40,"c) 20-40",IF(P208&lt;80,"d) 40-80","e) 80+"))))</f>
        <v>a) &lt;10</v>
      </c>
      <c r="AD208" s="30" t="n">
        <f aca="false">Summary!$C$5+SUM(X$2:X208)</f>
        <v>105091.03</v>
      </c>
      <c r="AE208" s="30" t="n">
        <f aca="false">MAX(AE207,AD208)</f>
        <v>105205.83</v>
      </c>
      <c r="AF208" s="30" t="n">
        <f aca="false">AE208-AD208</f>
        <v>114.800000000003</v>
      </c>
      <c r="AG208" s="29" t="n">
        <f aca="false">IFERROR(AF208/AE208,0)</f>
        <v>0.00109119428077325</v>
      </c>
    </row>
    <row r="209" customFormat="false" ht="15" hidden="false" customHeight="false" outlineLevel="0" collapsed="false">
      <c r="A209" s="28" t="n">
        <v>208</v>
      </c>
      <c r="B209" s="43" t="n">
        <v>45310.0701388889</v>
      </c>
      <c r="C209" s="43" t="n">
        <v>45310.0750694444</v>
      </c>
      <c r="D209" s="42" t="n">
        <f aca="false">INT(C209)</f>
        <v>45310</v>
      </c>
      <c r="E209" s="42" t="n">
        <f aca="false">D209-WEEKDAY(D209,3)</f>
        <v>45306</v>
      </c>
      <c r="F209" s="28" t="s">
        <v>152</v>
      </c>
      <c r="G209" s="28" t="n">
        <v>2024</v>
      </c>
      <c r="H209" s="28" t="s">
        <v>242</v>
      </c>
      <c r="I209" s="28" t="n">
        <v>1</v>
      </c>
      <c r="J209" s="28" t="s">
        <v>233</v>
      </c>
      <c r="K209" s="28" t="s">
        <v>234</v>
      </c>
      <c r="L209" s="28" t="n">
        <v>0.27</v>
      </c>
      <c r="M209" s="31" t="n">
        <v>16997.54</v>
      </c>
      <c r="N209" s="31" t="n">
        <v>16992.79</v>
      </c>
      <c r="O209" s="31" t="n">
        <v>17007.04</v>
      </c>
      <c r="P209" s="44" t="n">
        <f aca="false">ABS(M209-N209)</f>
        <v>4.75</v>
      </c>
      <c r="Q209" s="44" t="n">
        <f aca="false">IF(O209="","",ABS(O209-M209))</f>
        <v>9.5</v>
      </c>
      <c r="R209" s="30" t="n">
        <f aca="false">P209*L209*Summary!$C$6</f>
        <v>25.65</v>
      </c>
      <c r="S209" s="31" t="n">
        <v>16992.76</v>
      </c>
      <c r="T209" s="28" t="s">
        <v>241</v>
      </c>
      <c r="U209" s="44" t="n">
        <f aca="false">IF(J209="BUY",S209-M209,M209-S209)</f>
        <v>-4.78000000000247</v>
      </c>
      <c r="V209" s="45" t="n">
        <v>0</v>
      </c>
      <c r="W209" s="45" t="n">
        <v>0</v>
      </c>
      <c r="X209" s="45" t="n">
        <v>-25.81</v>
      </c>
      <c r="Y209" s="32" t="n">
        <f aca="false">IFERROR(X209/R209,0)</f>
        <v>-1.00623781676413</v>
      </c>
      <c r="Z209" s="28" t="str">
        <f aca="false">IF(X209&gt;0,"Win",IF(X209&lt;0,"Loss","Flat"))</f>
        <v>Loss</v>
      </c>
      <c r="AA209" s="28" t="n">
        <f aca="false">ROUND((C209-B209)*1440,1)</f>
        <v>7.1</v>
      </c>
      <c r="AB209" s="28" t="str">
        <f aca="false">IF(AA209&lt;1,"a) &lt;1 min",IF(AA209&lt;10,"b) 1-10 min",IF(AA209&lt;60,"c) 10-60 min",IF(AA209&lt;240,"d) 1-4 h","e) 4 h+"))))</f>
        <v>b) 1-10 min</v>
      </c>
      <c r="AC209" s="28" t="str">
        <f aca="false">IF(P209&lt;10,"a) &lt;10",IF(P209&lt;20,"b) 10-20",IF(P209&lt;40,"c) 20-40",IF(P209&lt;80,"d) 40-80","e) 80+"))))</f>
        <v>a) &lt;10</v>
      </c>
      <c r="AD209" s="30" t="n">
        <f aca="false">Summary!$C$5+SUM(X$2:X209)</f>
        <v>105065.22</v>
      </c>
      <c r="AE209" s="30" t="n">
        <f aca="false">MAX(AE208,AD209)</f>
        <v>105205.83</v>
      </c>
      <c r="AF209" s="30" t="n">
        <f aca="false">AE209-AD209</f>
        <v>140.610000000001</v>
      </c>
      <c r="AG209" s="29" t="n">
        <f aca="false">IFERROR(AF209/AE209,0)</f>
        <v>0.00133652289041397</v>
      </c>
    </row>
    <row r="210" customFormat="false" ht="15" hidden="false" customHeight="false" outlineLevel="0" collapsed="false">
      <c r="A210" s="28" t="n">
        <v>209</v>
      </c>
      <c r="B210" s="43" t="n">
        <v>45313.0423611111</v>
      </c>
      <c r="C210" s="43" t="n">
        <v>45313.0662615741</v>
      </c>
      <c r="D210" s="42" t="n">
        <f aca="false">INT(C210)</f>
        <v>45313</v>
      </c>
      <c r="E210" s="42" t="n">
        <f aca="false">D210-WEEKDAY(D210,3)</f>
        <v>45313</v>
      </c>
      <c r="F210" s="28" t="s">
        <v>152</v>
      </c>
      <c r="G210" s="28" t="n">
        <v>2024</v>
      </c>
      <c r="H210" s="28" t="s">
        <v>240</v>
      </c>
      <c r="I210" s="28" t="n">
        <v>1</v>
      </c>
      <c r="J210" s="28" t="s">
        <v>233</v>
      </c>
      <c r="K210" s="28" t="s">
        <v>234</v>
      </c>
      <c r="L210" s="28" t="n">
        <v>0.27</v>
      </c>
      <c r="M210" s="31" t="n">
        <v>17361.22</v>
      </c>
      <c r="N210" s="31" t="n">
        <v>17348.57</v>
      </c>
      <c r="O210" s="31" t="n">
        <v>17386.52</v>
      </c>
      <c r="P210" s="44" t="n">
        <f aca="false">ABS(M210-N210)</f>
        <v>12.6500000000015</v>
      </c>
      <c r="Q210" s="44" t="n">
        <f aca="false">IF(O210="","",ABS(O210-M210))</f>
        <v>25.2999999999993</v>
      </c>
      <c r="R210" s="30" t="n">
        <f aca="false">P210*L210*Summary!$C$6</f>
        <v>68.3100000000079</v>
      </c>
      <c r="S210" s="31" t="n">
        <v>17348.54</v>
      </c>
      <c r="T210" s="28" t="s">
        <v>241</v>
      </c>
      <c r="U210" s="44" t="n">
        <f aca="false">IF(J210="BUY",S210-M210,M210-S210)</f>
        <v>-12.6800000000003</v>
      </c>
      <c r="V210" s="45" t="n">
        <v>0</v>
      </c>
      <c r="W210" s="45" t="n">
        <v>0</v>
      </c>
      <c r="X210" s="45" t="n">
        <v>-68.47</v>
      </c>
      <c r="Y210" s="32" t="n">
        <f aca="false">IFERROR(X210/R210,0)</f>
        <v>-1.00234226321171</v>
      </c>
      <c r="Z210" s="28" t="str">
        <f aca="false">IF(X210&gt;0,"Win",IF(X210&lt;0,"Loss","Flat"))</f>
        <v>Loss</v>
      </c>
      <c r="AA210" s="28" t="n">
        <f aca="false">ROUND((C210-B210)*1440,1)</f>
        <v>34.4</v>
      </c>
      <c r="AB210" s="28" t="str">
        <f aca="false">IF(AA210&lt;1,"a) &lt;1 min",IF(AA210&lt;10,"b) 1-10 min",IF(AA210&lt;60,"c) 10-60 min",IF(AA210&lt;240,"d) 1-4 h","e) 4 h+"))))</f>
        <v>c) 10-60 min</v>
      </c>
      <c r="AC210" s="28" t="str">
        <f aca="false">IF(P210&lt;10,"a) &lt;10",IF(P210&lt;20,"b) 10-20",IF(P210&lt;40,"c) 20-40",IF(P210&lt;80,"d) 40-80","e) 80+"))))</f>
        <v>b) 10-20</v>
      </c>
      <c r="AD210" s="30" t="n">
        <f aca="false">Summary!$C$5+SUM(X$2:X210)</f>
        <v>104996.75</v>
      </c>
      <c r="AE210" s="30" t="n">
        <f aca="false">MAX(AE209,AD210)</f>
        <v>105205.83</v>
      </c>
      <c r="AF210" s="30" t="n">
        <f aca="false">AE210-AD210</f>
        <v>209.080000000002</v>
      </c>
      <c r="AG210" s="29" t="n">
        <f aca="false">IFERROR(AF210/AE210,0)</f>
        <v>0.00198734233644658</v>
      </c>
    </row>
    <row r="211" customFormat="false" ht="15" hidden="false" customHeight="false" outlineLevel="0" collapsed="false">
      <c r="A211" s="28" t="n">
        <v>210</v>
      </c>
      <c r="B211" s="43" t="n">
        <v>45314.4451388889</v>
      </c>
      <c r="C211" s="43" t="n">
        <v>45314.4465046296</v>
      </c>
      <c r="D211" s="42" t="n">
        <f aca="false">INT(C211)</f>
        <v>45314</v>
      </c>
      <c r="E211" s="42" t="n">
        <f aca="false">D211-WEEKDAY(D211,3)</f>
        <v>45313</v>
      </c>
      <c r="F211" s="28" t="s">
        <v>152</v>
      </c>
      <c r="G211" s="28" t="n">
        <v>2024</v>
      </c>
      <c r="H211" s="28" t="s">
        <v>232</v>
      </c>
      <c r="I211" s="28" t="n">
        <v>10</v>
      </c>
      <c r="J211" s="28" t="s">
        <v>236</v>
      </c>
      <c r="K211" s="28" t="s">
        <v>237</v>
      </c>
      <c r="L211" s="28" t="n">
        <v>0.27</v>
      </c>
      <c r="M211" s="31" t="n">
        <v>17298.61</v>
      </c>
      <c r="N211" s="31" t="n">
        <v>17307.75</v>
      </c>
      <c r="O211" s="31" t="n">
        <v>17280.32</v>
      </c>
      <c r="P211" s="44" t="n">
        <f aca="false">ABS(M211-N211)</f>
        <v>9.13999999999942</v>
      </c>
      <c r="Q211" s="44" t="n">
        <f aca="false">IF(O211="","",ABS(O211-M211))</f>
        <v>18.2900000000009</v>
      </c>
      <c r="R211" s="30" t="n">
        <f aca="false">P211*L211*Summary!$C$6</f>
        <v>49.3559999999969</v>
      </c>
      <c r="S211" s="31" t="n">
        <v>17308.09</v>
      </c>
      <c r="T211" s="28" t="s">
        <v>241</v>
      </c>
      <c r="U211" s="44" t="n">
        <f aca="false">IF(J211="BUY",S211-M211,M211-S211)</f>
        <v>-9.47999999999956</v>
      </c>
      <c r="V211" s="45" t="n">
        <v>0</v>
      </c>
      <c r="W211" s="45" t="n">
        <v>0</v>
      </c>
      <c r="X211" s="45" t="n">
        <v>-51.19</v>
      </c>
      <c r="Y211" s="32" t="n">
        <f aca="false">IFERROR(X211/R211,0)</f>
        <v>-1.03715860280418</v>
      </c>
      <c r="Z211" s="28" t="str">
        <f aca="false">IF(X211&gt;0,"Win",IF(X211&lt;0,"Loss","Flat"))</f>
        <v>Loss</v>
      </c>
      <c r="AA211" s="28" t="n">
        <f aca="false">ROUND((C211-B211)*1440,1)</f>
        <v>2</v>
      </c>
      <c r="AB211" s="28" t="str">
        <f aca="false">IF(AA211&lt;1,"a) &lt;1 min",IF(AA211&lt;10,"b) 1-10 min",IF(AA211&lt;60,"c) 10-60 min",IF(AA211&lt;240,"d) 1-4 h","e) 4 h+"))))</f>
        <v>b) 1-10 min</v>
      </c>
      <c r="AC211" s="28" t="str">
        <f aca="false">IF(P211&lt;10,"a) &lt;10",IF(P211&lt;20,"b) 10-20",IF(P211&lt;40,"c) 20-40",IF(P211&lt;80,"d) 40-80","e) 80+"))))</f>
        <v>a) &lt;10</v>
      </c>
      <c r="AD211" s="30" t="n">
        <f aca="false">Summary!$C$5+SUM(X$2:X211)</f>
        <v>104945.56</v>
      </c>
      <c r="AE211" s="30" t="n">
        <f aca="false">MAX(AE210,AD211)</f>
        <v>105205.83</v>
      </c>
      <c r="AF211" s="30" t="n">
        <f aca="false">AE211-AD211</f>
        <v>260.270000000004</v>
      </c>
      <c r="AG211" s="29" t="n">
        <f aca="false">IFERROR(AF211/AE211,0)</f>
        <v>0.00247391232976351</v>
      </c>
    </row>
    <row r="212" customFormat="false" ht="15" hidden="false" customHeight="false" outlineLevel="0" collapsed="false">
      <c r="A212" s="28" t="n">
        <v>211</v>
      </c>
      <c r="B212" s="43" t="n">
        <v>45315.0423611111</v>
      </c>
      <c r="C212" s="43" t="n">
        <v>45315.3100810185</v>
      </c>
      <c r="D212" s="42" t="n">
        <f aca="false">INT(C212)</f>
        <v>45315</v>
      </c>
      <c r="E212" s="42" t="n">
        <f aca="false">D212-WEEKDAY(D212,3)</f>
        <v>45313</v>
      </c>
      <c r="F212" s="28" t="s">
        <v>152</v>
      </c>
      <c r="G212" s="28" t="n">
        <v>2024</v>
      </c>
      <c r="H212" s="28" t="s">
        <v>235</v>
      </c>
      <c r="I212" s="28" t="n">
        <v>1</v>
      </c>
      <c r="J212" s="28" t="s">
        <v>233</v>
      </c>
      <c r="K212" s="28" t="s">
        <v>234</v>
      </c>
      <c r="L212" s="28" t="n">
        <v>0.27</v>
      </c>
      <c r="M212" s="31" t="n">
        <v>17437.9</v>
      </c>
      <c r="N212" s="31" t="n">
        <v>17420.14</v>
      </c>
      <c r="O212" s="31" t="n">
        <v>17473.42</v>
      </c>
      <c r="P212" s="44" t="n">
        <f aca="false">ABS(M212-N212)</f>
        <v>17.760000000002</v>
      </c>
      <c r="Q212" s="44" t="n">
        <f aca="false">IF(O212="","",ABS(O212-M212))</f>
        <v>35.5199999999968</v>
      </c>
      <c r="R212" s="30" t="n">
        <f aca="false">P212*L212*Summary!$C$6</f>
        <v>95.904000000011</v>
      </c>
      <c r="S212" s="31" t="n">
        <v>17473.7</v>
      </c>
      <c r="T212" s="28" t="s">
        <v>214</v>
      </c>
      <c r="U212" s="44" t="n">
        <f aca="false">IF(J212="BUY",S212-M212,M212-S212)</f>
        <v>35.7999999999993</v>
      </c>
      <c r="V212" s="45" t="n">
        <v>0</v>
      </c>
      <c r="W212" s="45" t="n">
        <v>0</v>
      </c>
      <c r="X212" s="45" t="n">
        <v>193.32</v>
      </c>
      <c r="Y212" s="32" t="n">
        <f aca="false">IFERROR(X212/R212,0)</f>
        <v>2.01576576576553</v>
      </c>
      <c r="Z212" s="28" t="str">
        <f aca="false">IF(X212&gt;0,"Win",IF(X212&lt;0,"Loss","Flat"))</f>
        <v>Win</v>
      </c>
      <c r="AA212" s="28" t="n">
        <f aca="false">ROUND((C212-B212)*1440,1)</f>
        <v>385.5</v>
      </c>
      <c r="AB212" s="28" t="str">
        <f aca="false">IF(AA212&lt;1,"a) &lt;1 min",IF(AA212&lt;10,"b) 1-10 min",IF(AA212&lt;60,"c) 10-60 min",IF(AA212&lt;240,"d) 1-4 h","e) 4 h+"))))</f>
        <v>e) 4 h+</v>
      </c>
      <c r="AC212" s="28" t="str">
        <f aca="false">IF(P212&lt;10,"a) &lt;10",IF(P212&lt;20,"b) 10-20",IF(P212&lt;40,"c) 20-40",IF(P212&lt;80,"d) 40-80","e) 80+"))))</f>
        <v>b) 10-20</v>
      </c>
      <c r="AD212" s="30" t="n">
        <f aca="false">Summary!$C$5+SUM(X$2:X212)</f>
        <v>105138.88</v>
      </c>
      <c r="AE212" s="30" t="n">
        <f aca="false">MAX(AE211,AD212)</f>
        <v>105205.83</v>
      </c>
      <c r="AF212" s="30" t="n">
        <f aca="false">AE212-AD212</f>
        <v>66.9499999999971</v>
      </c>
      <c r="AG212" s="29" t="n">
        <f aca="false">IFERROR(AF212/AE212,0)</f>
        <v>0.000636371577506656</v>
      </c>
    </row>
    <row r="213" customFormat="false" ht="15" hidden="false" customHeight="false" outlineLevel="0" collapsed="false">
      <c r="A213" s="28" t="n">
        <v>212</v>
      </c>
      <c r="B213" s="43" t="n">
        <v>45316.88125</v>
      </c>
      <c r="C213" s="43" t="n">
        <v>45316.8833912037</v>
      </c>
      <c r="D213" s="42" t="n">
        <f aca="false">INT(C213)</f>
        <v>45316</v>
      </c>
      <c r="E213" s="42" t="n">
        <f aca="false">D213-WEEKDAY(D213,3)</f>
        <v>45313</v>
      </c>
      <c r="F213" s="28" t="s">
        <v>152</v>
      </c>
      <c r="G213" s="28" t="n">
        <v>2024</v>
      </c>
      <c r="H213" s="28" t="s">
        <v>239</v>
      </c>
      <c r="I213" s="28" t="n">
        <v>21</v>
      </c>
      <c r="J213" s="28" t="s">
        <v>236</v>
      </c>
      <c r="K213" s="28" t="s">
        <v>237</v>
      </c>
      <c r="L213" s="28" t="n">
        <v>0.27</v>
      </c>
      <c r="M213" s="31" t="n">
        <v>17429.15</v>
      </c>
      <c r="N213" s="31" t="n">
        <v>17454.58</v>
      </c>
      <c r="O213" s="31" t="n">
        <v>17378.3</v>
      </c>
      <c r="P213" s="44" t="n">
        <f aca="false">ABS(M213-N213)</f>
        <v>25.4300000000003</v>
      </c>
      <c r="Q213" s="44" t="n">
        <f aca="false">IF(O213="","",ABS(O213-M213))</f>
        <v>50.8500000000022</v>
      </c>
      <c r="R213" s="30" t="n">
        <f aca="false">P213*L213*Summary!$C$6</f>
        <v>137.322000000002</v>
      </c>
      <c r="S213" s="31" t="n">
        <v>17455.1</v>
      </c>
      <c r="T213" s="28" t="s">
        <v>241</v>
      </c>
      <c r="U213" s="44" t="n">
        <f aca="false">IF(J213="BUY",S213-M213,M213-S213)</f>
        <v>-25.9499999999971</v>
      </c>
      <c r="V213" s="45" t="n">
        <v>0</v>
      </c>
      <c r="W213" s="45" t="n">
        <v>0</v>
      </c>
      <c r="X213" s="45" t="n">
        <v>-140.13</v>
      </c>
      <c r="Y213" s="32" t="n">
        <f aca="false">IFERROR(X213/R213,0)</f>
        <v>-1.02044828942193</v>
      </c>
      <c r="Z213" s="28" t="str">
        <f aca="false">IF(X213&gt;0,"Win",IF(X213&lt;0,"Loss","Flat"))</f>
        <v>Loss</v>
      </c>
      <c r="AA213" s="28" t="n">
        <f aca="false">ROUND((C213-B213)*1440,1)</f>
        <v>3.1</v>
      </c>
      <c r="AB213" s="28" t="str">
        <f aca="false">IF(AA213&lt;1,"a) &lt;1 min",IF(AA213&lt;10,"b) 1-10 min",IF(AA213&lt;60,"c) 10-60 min",IF(AA213&lt;240,"d) 1-4 h","e) 4 h+"))))</f>
        <v>b) 1-10 min</v>
      </c>
      <c r="AC213" s="28" t="str">
        <f aca="false">IF(P213&lt;10,"a) &lt;10",IF(P213&lt;20,"b) 10-20",IF(P213&lt;40,"c) 20-40",IF(P213&lt;80,"d) 40-80","e) 80+"))))</f>
        <v>c) 20-40</v>
      </c>
      <c r="AD213" s="30" t="n">
        <f aca="false">Summary!$C$5+SUM(X$2:X213)</f>
        <v>104998.75</v>
      </c>
      <c r="AE213" s="30" t="n">
        <f aca="false">MAX(AE212,AD213)</f>
        <v>105205.83</v>
      </c>
      <c r="AF213" s="30" t="n">
        <f aca="false">AE213-AD213</f>
        <v>207.080000000002</v>
      </c>
      <c r="AG213" s="29" t="n">
        <f aca="false">IFERROR(AF213/AE213,0)</f>
        <v>0.00196833198312301</v>
      </c>
    </row>
    <row r="214" customFormat="false" ht="15" hidden="false" customHeight="false" outlineLevel="0" collapsed="false">
      <c r="A214" s="28" t="n">
        <v>213</v>
      </c>
      <c r="B214" s="43" t="n">
        <v>45317.0611111111</v>
      </c>
      <c r="C214" s="43" t="n">
        <v>45317.064837963</v>
      </c>
      <c r="D214" s="42" t="n">
        <f aca="false">INT(C214)</f>
        <v>45317</v>
      </c>
      <c r="E214" s="42" t="n">
        <f aca="false">D214-WEEKDAY(D214,3)</f>
        <v>45313</v>
      </c>
      <c r="F214" s="28" t="s">
        <v>152</v>
      </c>
      <c r="G214" s="28" t="n">
        <v>2024</v>
      </c>
      <c r="H214" s="28" t="s">
        <v>242</v>
      </c>
      <c r="I214" s="28" t="n">
        <v>1</v>
      </c>
      <c r="J214" s="28" t="s">
        <v>236</v>
      </c>
      <c r="K214" s="28" t="s">
        <v>237</v>
      </c>
      <c r="L214" s="28" t="n">
        <v>0.27</v>
      </c>
      <c r="M214" s="31" t="n">
        <v>17421.24</v>
      </c>
      <c r="N214" s="31" t="n">
        <v>17428.27</v>
      </c>
      <c r="O214" s="31" t="n">
        <v>17407.18</v>
      </c>
      <c r="P214" s="44" t="n">
        <f aca="false">ABS(M214-N214)</f>
        <v>7.02999999999884</v>
      </c>
      <c r="Q214" s="44" t="n">
        <f aca="false">IF(O214="","",ABS(O214-M214))</f>
        <v>14.0600000000013</v>
      </c>
      <c r="R214" s="30" t="n">
        <f aca="false">P214*L214*Summary!$C$6</f>
        <v>37.9619999999937</v>
      </c>
      <c r="S214" s="31" t="n">
        <v>17421.8</v>
      </c>
      <c r="T214" s="28" t="s">
        <v>238</v>
      </c>
      <c r="U214" s="44" t="n">
        <f aca="false">IF(J214="BUY",S214-M214,M214-S214)</f>
        <v>-0.559999999997672</v>
      </c>
      <c r="V214" s="45" t="n">
        <v>0</v>
      </c>
      <c r="W214" s="45" t="n">
        <v>0</v>
      </c>
      <c r="X214" s="45" t="n">
        <v>-3.02</v>
      </c>
      <c r="Y214" s="32" t="n">
        <f aca="false">IFERROR(X214/R214,0)</f>
        <v>-0.0795532374479875</v>
      </c>
      <c r="Z214" s="28" t="str">
        <f aca="false">IF(X214&gt;0,"Win",IF(X214&lt;0,"Loss","Flat"))</f>
        <v>Loss</v>
      </c>
      <c r="AA214" s="28" t="n">
        <f aca="false">ROUND((C214-B214)*1440,1)</f>
        <v>5.4</v>
      </c>
      <c r="AB214" s="28" t="str">
        <f aca="false">IF(AA214&lt;1,"a) &lt;1 min",IF(AA214&lt;10,"b) 1-10 min",IF(AA214&lt;60,"c) 10-60 min",IF(AA214&lt;240,"d) 1-4 h","e) 4 h+"))))</f>
        <v>b) 1-10 min</v>
      </c>
      <c r="AC214" s="28" t="str">
        <f aca="false">IF(P214&lt;10,"a) &lt;10",IF(P214&lt;20,"b) 10-20",IF(P214&lt;40,"c) 20-40",IF(P214&lt;80,"d) 40-80","e) 80+"))))</f>
        <v>a) &lt;10</v>
      </c>
      <c r="AD214" s="30" t="n">
        <f aca="false">Summary!$C$5+SUM(X$2:X214)</f>
        <v>104995.73</v>
      </c>
      <c r="AE214" s="30" t="n">
        <f aca="false">MAX(AE213,AD214)</f>
        <v>105205.83</v>
      </c>
      <c r="AF214" s="30" t="n">
        <f aca="false">AE214-AD214</f>
        <v>210.100000000006</v>
      </c>
      <c r="AG214" s="29" t="n">
        <f aca="false">IFERROR(AF214/AE214,0)</f>
        <v>0.00199703761664164</v>
      </c>
    </row>
    <row r="215" customFormat="false" ht="15" hidden="false" customHeight="false" outlineLevel="0" collapsed="false">
      <c r="A215" s="28" t="n">
        <v>214</v>
      </c>
      <c r="B215" s="43" t="n">
        <v>45320.9034722222</v>
      </c>
      <c r="C215" s="43" t="n">
        <v>45320.9093981482</v>
      </c>
      <c r="D215" s="42" t="n">
        <f aca="false">INT(C215)</f>
        <v>45320</v>
      </c>
      <c r="E215" s="42" t="n">
        <f aca="false">D215-WEEKDAY(D215,3)</f>
        <v>45320</v>
      </c>
      <c r="F215" s="28" t="s">
        <v>152</v>
      </c>
      <c r="G215" s="28" t="n">
        <v>2024</v>
      </c>
      <c r="H215" s="28" t="s">
        <v>240</v>
      </c>
      <c r="I215" s="28" t="n">
        <v>21</v>
      </c>
      <c r="J215" s="28" t="s">
        <v>233</v>
      </c>
      <c r="K215" s="28" t="s">
        <v>234</v>
      </c>
      <c r="L215" s="28" t="n">
        <v>0.26</v>
      </c>
      <c r="M215" s="31" t="n">
        <v>17518.81</v>
      </c>
      <c r="N215" s="31" t="n">
        <v>17510.44</v>
      </c>
      <c r="O215" s="31" t="n">
        <v>17535.55</v>
      </c>
      <c r="P215" s="44" t="n">
        <f aca="false">ABS(M215-N215)</f>
        <v>8.37000000000262</v>
      </c>
      <c r="Q215" s="44" t="n">
        <f aca="false">IF(O215="","",ABS(O215-M215))</f>
        <v>16.739999999998</v>
      </c>
      <c r="R215" s="30" t="n">
        <f aca="false">P215*L215*Summary!$C$6</f>
        <v>43.5240000000136</v>
      </c>
      <c r="S215" s="31" t="n">
        <v>17510.38</v>
      </c>
      <c r="T215" s="28" t="s">
        <v>241</v>
      </c>
      <c r="U215" s="44" t="n">
        <f aca="false">IF(J215="BUY",S215-M215,M215-S215)</f>
        <v>-8.43000000000029</v>
      </c>
      <c r="V215" s="45" t="n">
        <v>0</v>
      </c>
      <c r="W215" s="45" t="n">
        <v>0</v>
      </c>
      <c r="X215" s="45" t="n">
        <v>-43.84</v>
      </c>
      <c r="Y215" s="32" t="n">
        <f aca="false">IFERROR(X215/R215,0)</f>
        <v>-1.00726036209876</v>
      </c>
      <c r="Z215" s="28" t="str">
        <f aca="false">IF(X215&gt;0,"Win",IF(X215&lt;0,"Loss","Flat"))</f>
        <v>Loss</v>
      </c>
      <c r="AA215" s="28" t="n">
        <f aca="false">ROUND((C215-B215)*1440,1)</f>
        <v>8.5</v>
      </c>
      <c r="AB215" s="28" t="str">
        <f aca="false">IF(AA215&lt;1,"a) &lt;1 min",IF(AA215&lt;10,"b) 1-10 min",IF(AA215&lt;60,"c) 10-60 min",IF(AA215&lt;240,"d) 1-4 h","e) 4 h+"))))</f>
        <v>b) 1-10 min</v>
      </c>
      <c r="AC215" s="28" t="str">
        <f aca="false">IF(P215&lt;10,"a) &lt;10",IF(P215&lt;20,"b) 10-20",IF(P215&lt;40,"c) 20-40",IF(P215&lt;80,"d) 40-80","e) 80+"))))</f>
        <v>a) &lt;10</v>
      </c>
      <c r="AD215" s="30" t="n">
        <f aca="false">Summary!$C$5+SUM(X$2:X215)</f>
        <v>104951.89</v>
      </c>
      <c r="AE215" s="30" t="n">
        <f aca="false">MAX(AE214,AD215)</f>
        <v>105205.83</v>
      </c>
      <c r="AF215" s="30" t="n">
        <f aca="false">AE215-AD215</f>
        <v>253.940000000002</v>
      </c>
      <c r="AG215" s="29" t="n">
        <f aca="false">IFERROR(AF215/AE215,0)</f>
        <v>0.00241374456149438</v>
      </c>
    </row>
    <row r="216" customFormat="false" ht="15" hidden="false" customHeight="false" outlineLevel="0" collapsed="false">
      <c r="A216" s="28" t="n">
        <v>215</v>
      </c>
      <c r="B216" s="43" t="n">
        <v>45321.0444675926</v>
      </c>
      <c r="C216" s="43" t="n">
        <v>45321.0498032407</v>
      </c>
      <c r="D216" s="42" t="n">
        <f aca="false">INT(C216)</f>
        <v>45321</v>
      </c>
      <c r="E216" s="42" t="n">
        <f aca="false">D216-WEEKDAY(D216,3)</f>
        <v>45320</v>
      </c>
      <c r="F216" s="28" t="s">
        <v>152</v>
      </c>
      <c r="G216" s="28" t="n">
        <v>2024</v>
      </c>
      <c r="H216" s="28" t="s">
        <v>232</v>
      </c>
      <c r="I216" s="28" t="n">
        <v>1</v>
      </c>
      <c r="J216" s="28" t="s">
        <v>233</v>
      </c>
      <c r="K216" s="28" t="s">
        <v>234</v>
      </c>
      <c r="L216" s="28" t="n">
        <v>0.26</v>
      </c>
      <c r="M216" s="31" t="n">
        <v>17605.71</v>
      </c>
      <c r="N216" s="31" t="n">
        <v>17597</v>
      </c>
      <c r="O216" s="31" t="n">
        <v>17623.13</v>
      </c>
      <c r="P216" s="44" t="n">
        <f aca="false">ABS(M216-N216)</f>
        <v>8.70999999999913</v>
      </c>
      <c r="Q216" s="44" t="n">
        <f aca="false">IF(O216="","",ABS(O216-M216))</f>
        <v>17.4200000000019</v>
      </c>
      <c r="R216" s="30" t="n">
        <f aca="false">P216*L216*Summary!$C$6</f>
        <v>45.2919999999955</v>
      </c>
      <c r="S216" s="31" t="n">
        <v>17605.68</v>
      </c>
      <c r="T216" s="28" t="s">
        <v>238</v>
      </c>
      <c r="U216" s="44" t="n">
        <f aca="false">IF(J216="BUY",S216-M216,M216-S216)</f>
        <v>-0.0299999999988358</v>
      </c>
      <c r="V216" s="45" t="n">
        <v>0</v>
      </c>
      <c r="W216" s="45" t="n">
        <v>0</v>
      </c>
      <c r="X216" s="45" t="n">
        <v>-0.16</v>
      </c>
      <c r="Y216" s="32" t="n">
        <f aca="false">IFERROR(X216/R216,0)</f>
        <v>-0.00353263269451594</v>
      </c>
      <c r="Z216" s="28" t="str">
        <f aca="false">IF(X216&gt;0,"Win",IF(X216&lt;0,"Loss","Flat"))</f>
        <v>Loss</v>
      </c>
      <c r="AA216" s="28" t="n">
        <f aca="false">ROUND((C216-B216)*1440,1)</f>
        <v>7.7</v>
      </c>
      <c r="AB216" s="28" t="str">
        <f aca="false">IF(AA216&lt;1,"a) &lt;1 min",IF(AA216&lt;10,"b) 1-10 min",IF(AA216&lt;60,"c) 10-60 min",IF(AA216&lt;240,"d) 1-4 h","e) 4 h+"))))</f>
        <v>b) 1-10 min</v>
      </c>
      <c r="AC216" s="28" t="str">
        <f aca="false">IF(P216&lt;10,"a) &lt;10",IF(P216&lt;20,"b) 10-20",IF(P216&lt;40,"c) 20-40",IF(P216&lt;80,"d) 40-80","e) 80+"))))</f>
        <v>a) &lt;10</v>
      </c>
      <c r="AD216" s="30" t="n">
        <f aca="false">Summary!$C$5+SUM(X$2:X216)</f>
        <v>104951.73</v>
      </c>
      <c r="AE216" s="30" t="n">
        <f aca="false">MAX(AE215,AD216)</f>
        <v>105205.83</v>
      </c>
      <c r="AF216" s="30" t="n">
        <f aca="false">AE216-AD216</f>
        <v>254.100000000006</v>
      </c>
      <c r="AG216" s="29" t="n">
        <f aca="false">IFERROR(AF216/AE216,0)</f>
        <v>0.0024152653897603</v>
      </c>
    </row>
    <row r="217" customFormat="false" ht="15" hidden="false" customHeight="false" outlineLevel="0" collapsed="false">
      <c r="A217" s="28" t="n">
        <v>216</v>
      </c>
      <c r="B217" s="43" t="n">
        <v>45322.0423611111</v>
      </c>
      <c r="C217" s="43" t="n">
        <v>45322.5425</v>
      </c>
      <c r="D217" s="42" t="n">
        <f aca="false">INT(C217)</f>
        <v>45322</v>
      </c>
      <c r="E217" s="42" t="n">
        <f aca="false">D217-WEEKDAY(D217,3)</f>
        <v>45320</v>
      </c>
      <c r="F217" s="28" t="s">
        <v>152</v>
      </c>
      <c r="G217" s="28" t="n">
        <v>2024</v>
      </c>
      <c r="H217" s="28" t="s">
        <v>235</v>
      </c>
      <c r="I217" s="28" t="n">
        <v>1</v>
      </c>
      <c r="J217" s="28" t="s">
        <v>236</v>
      </c>
      <c r="K217" s="28" t="s">
        <v>237</v>
      </c>
      <c r="L217" s="28" t="n">
        <v>0.27</v>
      </c>
      <c r="M217" s="31" t="n">
        <v>17332.3</v>
      </c>
      <c r="N217" s="31" t="n">
        <v>17380.97</v>
      </c>
      <c r="O217" s="31" t="n">
        <v>17234.97</v>
      </c>
      <c r="P217" s="44" t="n">
        <f aca="false">ABS(M217-N217)</f>
        <v>48.6700000000019</v>
      </c>
      <c r="Q217" s="44" t="n">
        <f aca="false">IF(O217="","",ABS(O217-M217))</f>
        <v>97.3299999999981</v>
      </c>
      <c r="R217" s="30" t="n">
        <f aca="false">P217*L217*Summary!$C$6</f>
        <v>262.81800000001</v>
      </c>
      <c r="S217" s="31" t="n">
        <v>17234.95</v>
      </c>
      <c r="T217" s="28" t="s">
        <v>214</v>
      </c>
      <c r="U217" s="44" t="n">
        <f aca="false">IF(J217="BUY",S217-M217,M217-S217)</f>
        <v>97.3499999999985</v>
      </c>
      <c r="V217" s="45" t="n">
        <v>0</v>
      </c>
      <c r="W217" s="45" t="n">
        <v>0</v>
      </c>
      <c r="X217" s="45" t="n">
        <v>525.69</v>
      </c>
      <c r="Y217" s="32" t="n">
        <f aca="false">IFERROR(X217/R217,0)</f>
        <v>2.00020546537901</v>
      </c>
      <c r="Z217" s="28" t="str">
        <f aca="false">IF(X217&gt;0,"Win",IF(X217&lt;0,"Loss","Flat"))</f>
        <v>Win</v>
      </c>
      <c r="AA217" s="28" t="n">
        <f aca="false">ROUND((C217-B217)*1440,1)</f>
        <v>720.2</v>
      </c>
      <c r="AB217" s="28" t="str">
        <f aca="false">IF(AA217&lt;1,"a) &lt;1 min",IF(AA217&lt;10,"b) 1-10 min",IF(AA217&lt;60,"c) 10-60 min",IF(AA217&lt;240,"d) 1-4 h","e) 4 h+"))))</f>
        <v>e) 4 h+</v>
      </c>
      <c r="AC217" s="28" t="str">
        <f aca="false">IF(P217&lt;10,"a) &lt;10",IF(P217&lt;20,"b) 10-20",IF(P217&lt;40,"c) 20-40",IF(P217&lt;80,"d) 40-80","e) 80+"))))</f>
        <v>d) 40-80</v>
      </c>
      <c r="AD217" s="30" t="n">
        <f aca="false">Summary!$C$5+SUM(X$2:X217)</f>
        <v>105477.42</v>
      </c>
      <c r="AE217" s="30" t="n">
        <f aca="false">MAX(AE216,AD217)</f>
        <v>105477.42</v>
      </c>
      <c r="AF217" s="30" t="n">
        <f aca="false">AE217-AD217</f>
        <v>0</v>
      </c>
      <c r="AG217" s="29" t="n">
        <f aca="false">IFERROR(AF217/AE217,0)</f>
        <v>0</v>
      </c>
    </row>
    <row r="218" customFormat="false" ht="15" hidden="false" customHeight="false" outlineLevel="0" collapsed="false">
      <c r="A218" s="28" t="n">
        <v>217</v>
      </c>
      <c r="B218" s="43" t="n">
        <v>45323.9625</v>
      </c>
      <c r="C218" s="43" t="n">
        <v>45324.0416666667</v>
      </c>
      <c r="D218" s="42" t="n">
        <f aca="false">INT(C218)</f>
        <v>45324</v>
      </c>
      <c r="E218" s="42" t="n">
        <f aca="false">D218-WEEKDAY(D218,3)</f>
        <v>45320</v>
      </c>
      <c r="F218" s="28" t="s">
        <v>153</v>
      </c>
      <c r="G218" s="28" t="n">
        <v>2024</v>
      </c>
      <c r="H218" s="28" t="s">
        <v>239</v>
      </c>
      <c r="I218" s="28" t="n">
        <v>23</v>
      </c>
      <c r="J218" s="28" t="s">
        <v>233</v>
      </c>
      <c r="K218" s="28" t="s">
        <v>234</v>
      </c>
      <c r="L218" s="28" t="n">
        <v>0.27</v>
      </c>
      <c r="M218" s="31" t="n">
        <v>17397.19</v>
      </c>
      <c r="N218" s="31" t="n">
        <v>17358.4</v>
      </c>
      <c r="O218" s="31" t="n">
        <v>17474.83</v>
      </c>
      <c r="P218" s="44" t="n">
        <f aca="false">ABS(M218-N218)</f>
        <v>38.7899999999972</v>
      </c>
      <c r="Q218" s="44" t="n">
        <f aca="false">IF(O218="","",ABS(O218-M218))</f>
        <v>77.6400000000031</v>
      </c>
      <c r="R218" s="30" t="n">
        <f aca="false">P218*L218*Summary!$C$6</f>
        <v>209.465999999985</v>
      </c>
      <c r="S218" s="31" t="n">
        <v>17490.22</v>
      </c>
      <c r="T218" s="28" t="s">
        <v>214</v>
      </c>
      <c r="U218" s="44" t="n">
        <f aca="false">IF(J218="BUY",S218-M218,M218-S218)</f>
        <v>93.0300000000025</v>
      </c>
      <c r="V218" s="45" t="n">
        <v>0</v>
      </c>
      <c r="W218" s="45" t="n">
        <v>-19.18</v>
      </c>
      <c r="X218" s="45" t="n">
        <v>483.18</v>
      </c>
      <c r="Y218" s="32" t="n">
        <f aca="false">IFERROR(X218/R218,0)</f>
        <v>2.30672280942986</v>
      </c>
      <c r="Z218" s="28" t="str">
        <f aca="false">IF(X218&gt;0,"Win",IF(X218&lt;0,"Loss","Flat"))</f>
        <v>Win</v>
      </c>
      <c r="AA218" s="28" t="n">
        <f aca="false">ROUND((C218-B218)*1440,1)</f>
        <v>114</v>
      </c>
      <c r="AB218" s="28" t="str">
        <f aca="false">IF(AA218&lt;1,"a) &lt;1 min",IF(AA218&lt;10,"b) 1-10 min",IF(AA218&lt;60,"c) 10-60 min",IF(AA218&lt;240,"d) 1-4 h","e) 4 h+"))))</f>
        <v>d) 1-4 h</v>
      </c>
      <c r="AC218" s="28" t="str">
        <f aca="false">IF(P218&lt;10,"a) &lt;10",IF(P218&lt;20,"b) 10-20",IF(P218&lt;40,"c) 20-40",IF(P218&lt;80,"d) 40-80","e) 80+"))))</f>
        <v>c) 20-40</v>
      </c>
      <c r="AD218" s="30" t="n">
        <f aca="false">Summary!$C$5+SUM(X$2:X218)</f>
        <v>105960.6</v>
      </c>
      <c r="AE218" s="30" t="n">
        <f aca="false">MAX(AE217,AD218)</f>
        <v>105960.6</v>
      </c>
      <c r="AF218" s="30" t="n">
        <f aca="false">AE218-AD218</f>
        <v>0</v>
      </c>
      <c r="AG218" s="29" t="n">
        <f aca="false">IFERROR(AF218/AE218,0)</f>
        <v>0</v>
      </c>
    </row>
    <row r="219" customFormat="false" ht="15" hidden="false" customHeight="false" outlineLevel="0" collapsed="false">
      <c r="A219" s="28" t="n">
        <v>218</v>
      </c>
      <c r="B219" s="43" t="n">
        <v>45324.0423611111</v>
      </c>
      <c r="C219" s="43" t="n">
        <v>45324.6458449074</v>
      </c>
      <c r="D219" s="42" t="n">
        <f aca="false">INT(C219)</f>
        <v>45324</v>
      </c>
      <c r="E219" s="42" t="n">
        <f aca="false">D219-WEEKDAY(D219,3)</f>
        <v>45320</v>
      </c>
      <c r="F219" s="28" t="s">
        <v>153</v>
      </c>
      <c r="G219" s="28" t="n">
        <v>2024</v>
      </c>
      <c r="H219" s="28" t="s">
        <v>242</v>
      </c>
      <c r="I219" s="28" t="n">
        <v>1</v>
      </c>
      <c r="J219" s="28" t="s">
        <v>233</v>
      </c>
      <c r="K219" s="28" t="s">
        <v>234</v>
      </c>
      <c r="L219" s="28" t="n">
        <v>0.27</v>
      </c>
      <c r="M219" s="31" t="n">
        <v>17500.94</v>
      </c>
      <c r="N219" s="31" t="n">
        <v>17462.55</v>
      </c>
      <c r="O219" s="31" t="n">
        <v>17577.83</v>
      </c>
      <c r="P219" s="44" t="n">
        <f aca="false">ABS(M219-N219)</f>
        <v>38.3899999999994</v>
      </c>
      <c r="Q219" s="44" t="n">
        <f aca="false">IF(O219="","",ABS(O219-M219))</f>
        <v>76.8900000000031</v>
      </c>
      <c r="R219" s="30" t="n">
        <f aca="false">P219*L219*Summary!$C$6</f>
        <v>207.305999999997</v>
      </c>
      <c r="S219" s="31" t="n">
        <v>17493.63</v>
      </c>
      <c r="T219" s="28" t="s">
        <v>238</v>
      </c>
      <c r="U219" s="44" t="n">
        <f aca="false">IF(J219="BUY",S219-M219,M219-S219)</f>
        <v>-7.30999999999767</v>
      </c>
      <c r="V219" s="45" t="n">
        <v>0</v>
      </c>
      <c r="W219" s="45" t="n">
        <v>0</v>
      </c>
      <c r="X219" s="45" t="n">
        <v>-39.47</v>
      </c>
      <c r="Y219" s="32" t="n">
        <f aca="false">IFERROR(X219/R219,0)</f>
        <v>-0.190394875208632</v>
      </c>
      <c r="Z219" s="28" t="str">
        <f aca="false">IF(X219&gt;0,"Win",IF(X219&lt;0,"Loss","Flat"))</f>
        <v>Loss</v>
      </c>
      <c r="AA219" s="28" t="n">
        <f aca="false">ROUND((C219-B219)*1440,1)</f>
        <v>869</v>
      </c>
      <c r="AB219" s="28" t="str">
        <f aca="false">IF(AA219&lt;1,"a) &lt;1 min",IF(AA219&lt;10,"b) 1-10 min",IF(AA219&lt;60,"c) 10-60 min",IF(AA219&lt;240,"d) 1-4 h","e) 4 h+"))))</f>
        <v>e) 4 h+</v>
      </c>
      <c r="AC219" s="28" t="str">
        <f aca="false">IF(P219&lt;10,"a) &lt;10",IF(P219&lt;20,"b) 10-20",IF(P219&lt;40,"c) 20-40",IF(P219&lt;80,"d) 40-80","e) 80+"))))</f>
        <v>c) 20-40</v>
      </c>
      <c r="AD219" s="30" t="n">
        <f aca="false">Summary!$C$5+SUM(X$2:X219)</f>
        <v>105921.13</v>
      </c>
      <c r="AE219" s="30" t="n">
        <f aca="false">MAX(AE218,AD219)</f>
        <v>105960.6</v>
      </c>
      <c r="AF219" s="30" t="n">
        <f aca="false">AE219-AD219</f>
        <v>39.4700000000012</v>
      </c>
      <c r="AG219" s="29" t="n">
        <f aca="false">IFERROR(AF219/AE219,0)</f>
        <v>0.000372496946978416</v>
      </c>
    </row>
    <row r="220" customFormat="false" ht="15" hidden="false" customHeight="false" outlineLevel="0" collapsed="false">
      <c r="A220" s="28" t="n">
        <v>219</v>
      </c>
      <c r="B220" s="43" t="n">
        <v>45328.2930555556</v>
      </c>
      <c r="C220" s="43" t="n">
        <v>45328.3060763889</v>
      </c>
      <c r="D220" s="42" t="n">
        <f aca="false">INT(C220)</f>
        <v>45328</v>
      </c>
      <c r="E220" s="42" t="n">
        <f aca="false">D220-WEEKDAY(D220,3)</f>
        <v>45327</v>
      </c>
      <c r="F220" s="28" t="s">
        <v>153</v>
      </c>
      <c r="G220" s="28" t="n">
        <v>2024</v>
      </c>
      <c r="H220" s="28" t="s">
        <v>232</v>
      </c>
      <c r="I220" s="28" t="n">
        <v>7</v>
      </c>
      <c r="J220" s="28" t="s">
        <v>233</v>
      </c>
      <c r="K220" s="28" t="s">
        <v>234</v>
      </c>
      <c r="L220" s="28" t="n">
        <v>0.26</v>
      </c>
      <c r="M220" s="31" t="n">
        <v>17657.38</v>
      </c>
      <c r="N220" s="31" t="n">
        <v>17652.2</v>
      </c>
      <c r="O220" s="31" t="n">
        <v>17667.75</v>
      </c>
      <c r="P220" s="44" t="n">
        <f aca="false">ABS(M220-N220)</f>
        <v>5.18000000000029</v>
      </c>
      <c r="Q220" s="44" t="n">
        <f aca="false">IF(O220="","",ABS(O220-M220))</f>
        <v>10.369999999999</v>
      </c>
      <c r="R220" s="30" t="n">
        <f aca="false">P220*L220*Summary!$C$6</f>
        <v>26.9360000000015</v>
      </c>
      <c r="S220" s="31" t="n">
        <v>17651.28</v>
      </c>
      <c r="T220" s="28" t="s">
        <v>241</v>
      </c>
      <c r="U220" s="44" t="n">
        <f aca="false">IF(J220="BUY",S220-M220,M220-S220)</f>
        <v>-6.10000000000218</v>
      </c>
      <c r="V220" s="45" t="n">
        <v>0</v>
      </c>
      <c r="W220" s="45" t="n">
        <v>0</v>
      </c>
      <c r="X220" s="45" t="n">
        <v>-31.72</v>
      </c>
      <c r="Y220" s="32" t="n">
        <f aca="false">IFERROR(X220/R220,0)</f>
        <v>-1.17760617760611</v>
      </c>
      <c r="Z220" s="28" t="str">
        <f aca="false">IF(X220&gt;0,"Win",IF(X220&lt;0,"Loss","Flat"))</f>
        <v>Loss</v>
      </c>
      <c r="AA220" s="28" t="n">
        <f aca="false">ROUND((C220-B220)*1440,1)</f>
        <v>18.8</v>
      </c>
      <c r="AB220" s="28" t="str">
        <f aca="false">IF(AA220&lt;1,"a) &lt;1 min",IF(AA220&lt;10,"b) 1-10 min",IF(AA220&lt;60,"c) 10-60 min",IF(AA220&lt;240,"d) 1-4 h","e) 4 h+"))))</f>
        <v>c) 10-60 min</v>
      </c>
      <c r="AC220" s="28" t="str">
        <f aca="false">IF(P220&lt;10,"a) &lt;10",IF(P220&lt;20,"b) 10-20",IF(P220&lt;40,"c) 20-40",IF(P220&lt;80,"d) 40-80","e) 80+"))))</f>
        <v>a) &lt;10</v>
      </c>
      <c r="AD220" s="30" t="n">
        <f aca="false">Summary!$C$5+SUM(X$2:X220)</f>
        <v>105889.41</v>
      </c>
      <c r="AE220" s="30" t="n">
        <f aca="false">MAX(AE219,AD220)</f>
        <v>105960.6</v>
      </c>
      <c r="AF220" s="30" t="n">
        <f aca="false">AE220-AD220</f>
        <v>71.1900000000023</v>
      </c>
      <c r="AG220" s="29" t="n">
        <f aca="false">IFERROR(AF220/AE220,0)</f>
        <v>0.000671853500263327</v>
      </c>
    </row>
    <row r="221" customFormat="false" ht="15" hidden="false" customHeight="false" outlineLevel="0" collapsed="false">
      <c r="A221" s="28" t="n">
        <v>220</v>
      </c>
      <c r="B221" s="43" t="n">
        <v>45329.6840277778</v>
      </c>
      <c r="C221" s="43" t="n">
        <v>45329.6876041667</v>
      </c>
      <c r="D221" s="42" t="n">
        <f aca="false">INT(C221)</f>
        <v>45329</v>
      </c>
      <c r="E221" s="42" t="n">
        <f aca="false">D221-WEEKDAY(D221,3)</f>
        <v>45327</v>
      </c>
      <c r="F221" s="28" t="s">
        <v>153</v>
      </c>
      <c r="G221" s="28" t="n">
        <v>2024</v>
      </c>
      <c r="H221" s="28" t="s">
        <v>235</v>
      </c>
      <c r="I221" s="28" t="n">
        <v>16</v>
      </c>
      <c r="J221" s="28" t="s">
        <v>233</v>
      </c>
      <c r="K221" s="28" t="s">
        <v>234</v>
      </c>
      <c r="L221" s="28" t="n">
        <v>0.26</v>
      </c>
      <c r="M221" s="31" t="n">
        <v>17681.05</v>
      </c>
      <c r="N221" s="31" t="n">
        <v>17672.44</v>
      </c>
      <c r="O221" s="31" t="n">
        <v>17698.28</v>
      </c>
      <c r="P221" s="44" t="n">
        <f aca="false">ABS(M221-N221)</f>
        <v>8.61000000000058</v>
      </c>
      <c r="Q221" s="44" t="n">
        <f aca="false">IF(O221="","",ABS(O221-M221))</f>
        <v>17.2299999999996</v>
      </c>
      <c r="R221" s="30" t="n">
        <f aca="false">P221*L221*Summary!$C$6</f>
        <v>44.772000000003</v>
      </c>
      <c r="S221" s="31" t="n">
        <v>17680.75</v>
      </c>
      <c r="T221" s="28" t="s">
        <v>238</v>
      </c>
      <c r="U221" s="44" t="n">
        <f aca="false">IF(J221="BUY",S221-M221,M221-S221)</f>
        <v>-0.299999999999272</v>
      </c>
      <c r="V221" s="45" t="n">
        <v>0</v>
      </c>
      <c r="W221" s="45" t="n">
        <v>0</v>
      </c>
      <c r="X221" s="45" t="n">
        <v>-1.56</v>
      </c>
      <c r="Y221" s="32" t="n">
        <f aca="false">IFERROR(X221/R221,0)</f>
        <v>-0.0348432055749105</v>
      </c>
      <c r="Z221" s="28" t="str">
        <f aca="false">IF(X221&gt;0,"Win",IF(X221&lt;0,"Loss","Flat"))</f>
        <v>Loss</v>
      </c>
      <c r="AA221" s="28" t="n">
        <f aca="false">ROUND((C221-B221)*1440,1)</f>
        <v>5.2</v>
      </c>
      <c r="AB221" s="28" t="str">
        <f aca="false">IF(AA221&lt;1,"a) &lt;1 min",IF(AA221&lt;10,"b) 1-10 min",IF(AA221&lt;60,"c) 10-60 min",IF(AA221&lt;240,"d) 1-4 h","e) 4 h+"))))</f>
        <v>b) 1-10 min</v>
      </c>
      <c r="AC221" s="28" t="str">
        <f aca="false">IF(P221&lt;10,"a) &lt;10",IF(P221&lt;20,"b) 10-20",IF(P221&lt;40,"c) 20-40",IF(P221&lt;80,"d) 40-80","e) 80+"))))</f>
        <v>a) &lt;10</v>
      </c>
      <c r="AD221" s="30" t="n">
        <f aca="false">Summary!$C$5+SUM(X$2:X221)</f>
        <v>105887.85</v>
      </c>
      <c r="AE221" s="30" t="n">
        <f aca="false">MAX(AE220,AD221)</f>
        <v>105960.6</v>
      </c>
      <c r="AF221" s="30" t="n">
        <f aca="false">AE221-AD221</f>
        <v>72.75</v>
      </c>
      <c r="AG221" s="29" t="n">
        <f aca="false">IFERROR(AF221/AE221,0)</f>
        <v>0.000686575953703546</v>
      </c>
    </row>
    <row r="222" customFormat="false" ht="15" hidden="false" customHeight="false" outlineLevel="0" collapsed="false">
      <c r="A222" s="28" t="n">
        <v>221</v>
      </c>
      <c r="B222" s="43" t="n">
        <v>45330.7423611111</v>
      </c>
      <c r="C222" s="43" t="n">
        <v>45330.7549652778</v>
      </c>
      <c r="D222" s="42" t="n">
        <f aca="false">INT(C222)</f>
        <v>45330</v>
      </c>
      <c r="E222" s="42" t="n">
        <f aca="false">D222-WEEKDAY(D222,3)</f>
        <v>45327</v>
      </c>
      <c r="F222" s="28" t="s">
        <v>153</v>
      </c>
      <c r="G222" s="28" t="n">
        <v>2024</v>
      </c>
      <c r="H222" s="28" t="s">
        <v>239</v>
      </c>
      <c r="I222" s="28" t="n">
        <v>17</v>
      </c>
      <c r="J222" s="28" t="s">
        <v>233</v>
      </c>
      <c r="K222" s="28" t="s">
        <v>234</v>
      </c>
      <c r="L222" s="28" t="n">
        <v>0.26</v>
      </c>
      <c r="M222" s="31" t="n">
        <v>17792.53</v>
      </c>
      <c r="N222" s="31" t="n">
        <v>17773.71</v>
      </c>
      <c r="O222" s="31" t="n">
        <v>17830.18</v>
      </c>
      <c r="P222" s="44" t="n">
        <f aca="false">ABS(M222-N222)</f>
        <v>18.8199999999997</v>
      </c>
      <c r="Q222" s="44" t="n">
        <f aca="false">IF(O222="","",ABS(O222-M222))</f>
        <v>37.6500000000015</v>
      </c>
      <c r="R222" s="30" t="n">
        <f aca="false">P222*L222*Summary!$C$6</f>
        <v>97.8639999999985</v>
      </c>
      <c r="S222" s="31" t="n">
        <v>17792.16</v>
      </c>
      <c r="T222" s="28" t="s">
        <v>238</v>
      </c>
      <c r="U222" s="44" t="n">
        <f aca="false">IF(J222="BUY",S222-M222,M222-S222)</f>
        <v>-0.369999999998981</v>
      </c>
      <c r="V222" s="45" t="n">
        <v>0</v>
      </c>
      <c r="W222" s="45" t="n">
        <v>0</v>
      </c>
      <c r="X222" s="45" t="n">
        <v>-1.92</v>
      </c>
      <c r="Y222" s="32" t="n">
        <f aca="false">IFERROR(X222/R222,0)</f>
        <v>-0.019619063189733</v>
      </c>
      <c r="Z222" s="28" t="str">
        <f aca="false">IF(X222&gt;0,"Win",IF(X222&lt;0,"Loss","Flat"))</f>
        <v>Loss</v>
      </c>
      <c r="AA222" s="28" t="n">
        <f aca="false">ROUND((C222-B222)*1440,1)</f>
        <v>18.2</v>
      </c>
      <c r="AB222" s="28" t="str">
        <f aca="false">IF(AA222&lt;1,"a) &lt;1 min",IF(AA222&lt;10,"b) 1-10 min",IF(AA222&lt;60,"c) 10-60 min",IF(AA222&lt;240,"d) 1-4 h","e) 4 h+"))))</f>
        <v>c) 10-60 min</v>
      </c>
      <c r="AC222" s="28" t="str">
        <f aca="false">IF(P222&lt;10,"a) &lt;10",IF(P222&lt;20,"b) 10-20",IF(P222&lt;40,"c) 20-40",IF(P222&lt;80,"d) 40-80","e) 80+"))))</f>
        <v>b) 10-20</v>
      </c>
      <c r="AD222" s="30" t="n">
        <f aca="false">Summary!$C$5+SUM(X$2:X222)</f>
        <v>105885.93</v>
      </c>
      <c r="AE222" s="30" t="n">
        <f aca="false">MAX(AE221,AD222)</f>
        <v>105960.6</v>
      </c>
      <c r="AF222" s="30" t="n">
        <f aca="false">AE222-AD222</f>
        <v>74.6700000000128</v>
      </c>
      <c r="AG222" s="29" t="n">
        <f aca="false">IFERROR(AF222/AE222,0)</f>
        <v>0.000704695896399349</v>
      </c>
    </row>
    <row r="223" customFormat="false" ht="15" hidden="false" customHeight="false" outlineLevel="0" collapsed="false">
      <c r="A223" s="28" t="n">
        <v>222</v>
      </c>
      <c r="B223" s="43" t="n">
        <v>45331.41875</v>
      </c>
      <c r="C223" s="43" t="n">
        <v>45331.4215393519</v>
      </c>
      <c r="D223" s="42" t="n">
        <f aca="false">INT(C223)</f>
        <v>45331</v>
      </c>
      <c r="E223" s="42" t="n">
        <f aca="false">D223-WEEKDAY(D223,3)</f>
        <v>45327</v>
      </c>
      <c r="F223" s="28" t="s">
        <v>153</v>
      </c>
      <c r="G223" s="28" t="n">
        <v>2024</v>
      </c>
      <c r="H223" s="28" t="s">
        <v>242</v>
      </c>
      <c r="I223" s="28" t="n">
        <v>10</v>
      </c>
      <c r="J223" s="28" t="s">
        <v>233</v>
      </c>
      <c r="K223" s="28" t="s">
        <v>234</v>
      </c>
      <c r="L223" s="28" t="n">
        <v>0.26</v>
      </c>
      <c r="M223" s="31" t="n">
        <v>17821.65</v>
      </c>
      <c r="N223" s="31" t="n">
        <v>17814.36</v>
      </c>
      <c r="O223" s="31" t="n">
        <v>17836.22</v>
      </c>
      <c r="P223" s="44" t="n">
        <f aca="false">ABS(M223-N223)</f>
        <v>7.29000000000087</v>
      </c>
      <c r="Q223" s="44" t="n">
        <f aca="false">IF(O223="","",ABS(O223-M223))</f>
        <v>14.5699999999997</v>
      </c>
      <c r="R223" s="30" t="n">
        <f aca="false">P223*L223*Summary!$C$6</f>
        <v>37.9080000000045</v>
      </c>
      <c r="S223" s="31" t="n">
        <v>17814.32</v>
      </c>
      <c r="T223" s="28" t="s">
        <v>241</v>
      </c>
      <c r="U223" s="44" t="n">
        <f aca="false">IF(J223="BUY",S223-M223,M223-S223)</f>
        <v>-7.33000000000175</v>
      </c>
      <c r="V223" s="45" t="n">
        <v>0</v>
      </c>
      <c r="W223" s="45" t="n">
        <v>0</v>
      </c>
      <c r="X223" s="45" t="n">
        <v>-38.12</v>
      </c>
      <c r="Y223" s="32" t="n">
        <f aca="false">IFERROR(X223/R223,0)</f>
        <v>-1.00559248707385</v>
      </c>
      <c r="Z223" s="28" t="str">
        <f aca="false">IF(X223&gt;0,"Win",IF(X223&lt;0,"Loss","Flat"))</f>
        <v>Loss</v>
      </c>
      <c r="AA223" s="28" t="n">
        <f aca="false">ROUND((C223-B223)*1440,1)</f>
        <v>4</v>
      </c>
      <c r="AB223" s="28" t="str">
        <f aca="false">IF(AA223&lt;1,"a) &lt;1 min",IF(AA223&lt;10,"b) 1-10 min",IF(AA223&lt;60,"c) 10-60 min",IF(AA223&lt;240,"d) 1-4 h","e) 4 h+"))))</f>
        <v>b) 1-10 min</v>
      </c>
      <c r="AC223" s="28" t="str">
        <f aca="false">IF(P223&lt;10,"a) &lt;10",IF(P223&lt;20,"b) 10-20",IF(P223&lt;40,"c) 20-40",IF(P223&lt;80,"d) 40-80","e) 80+"))))</f>
        <v>a) &lt;10</v>
      </c>
      <c r="AD223" s="30" t="n">
        <f aca="false">Summary!$C$5+SUM(X$2:X223)</f>
        <v>105847.81</v>
      </c>
      <c r="AE223" s="30" t="n">
        <f aca="false">MAX(AE222,AD223)</f>
        <v>105960.6</v>
      </c>
      <c r="AF223" s="30" t="n">
        <f aca="false">AE223-AD223</f>
        <v>112.790000000008</v>
      </c>
      <c r="AG223" s="29" t="n">
        <f aca="false">IFERROR(AF223/AE223,0)</f>
        <v>0.00106445225866981</v>
      </c>
    </row>
    <row r="224" customFormat="false" ht="15" hidden="false" customHeight="false" outlineLevel="0" collapsed="false">
      <c r="A224" s="28" t="n">
        <v>223</v>
      </c>
      <c r="B224" s="43" t="n">
        <v>45334.7451388889</v>
      </c>
      <c r="C224" s="43" t="n">
        <v>45334.7705092593</v>
      </c>
      <c r="D224" s="42" t="n">
        <f aca="false">INT(C224)</f>
        <v>45334</v>
      </c>
      <c r="E224" s="42" t="n">
        <f aca="false">D224-WEEKDAY(D224,3)</f>
        <v>45334</v>
      </c>
      <c r="F224" s="28" t="s">
        <v>153</v>
      </c>
      <c r="G224" s="28" t="n">
        <v>2024</v>
      </c>
      <c r="H224" s="28" t="s">
        <v>240</v>
      </c>
      <c r="I224" s="28" t="n">
        <v>17</v>
      </c>
      <c r="J224" s="28" t="s">
        <v>233</v>
      </c>
      <c r="K224" s="28" t="s">
        <v>234</v>
      </c>
      <c r="L224" s="28" t="n">
        <v>0.26</v>
      </c>
      <c r="M224" s="31" t="n">
        <v>17994.85</v>
      </c>
      <c r="N224" s="31" t="n">
        <v>17982.97</v>
      </c>
      <c r="O224" s="31" t="n">
        <v>18018.79</v>
      </c>
      <c r="P224" s="44" t="n">
        <f aca="false">ABS(M224-N224)</f>
        <v>11.8799999999974</v>
      </c>
      <c r="Q224" s="44" t="n">
        <f aca="false">IF(O224="","",ABS(O224-M224))</f>
        <v>23.9400000000023</v>
      </c>
      <c r="R224" s="30" t="n">
        <f aca="false">P224*L224*Summary!$C$6</f>
        <v>61.7759999999864</v>
      </c>
      <c r="S224" s="31" t="n">
        <v>18018.9</v>
      </c>
      <c r="T224" s="28" t="s">
        <v>214</v>
      </c>
      <c r="U224" s="44" t="n">
        <f aca="false">IF(J224="BUY",S224-M224,M224-S224)</f>
        <v>24.0500000000029</v>
      </c>
      <c r="V224" s="45" t="n">
        <v>0</v>
      </c>
      <c r="W224" s="45" t="n">
        <v>0</v>
      </c>
      <c r="X224" s="45" t="n">
        <v>125.06</v>
      </c>
      <c r="Y224" s="32" t="n">
        <f aca="false">IFERROR(X224/R224,0)</f>
        <v>2.02441077441122</v>
      </c>
      <c r="Z224" s="28" t="str">
        <f aca="false">IF(X224&gt;0,"Win",IF(X224&lt;0,"Loss","Flat"))</f>
        <v>Win</v>
      </c>
      <c r="AA224" s="28" t="n">
        <f aca="false">ROUND((C224-B224)*1440,1)</f>
        <v>36.5</v>
      </c>
      <c r="AB224" s="28" t="str">
        <f aca="false">IF(AA224&lt;1,"a) &lt;1 min",IF(AA224&lt;10,"b) 1-10 min",IF(AA224&lt;60,"c) 10-60 min",IF(AA224&lt;240,"d) 1-4 h","e) 4 h+"))))</f>
        <v>c) 10-60 min</v>
      </c>
      <c r="AC224" s="28" t="str">
        <f aca="false">IF(P224&lt;10,"a) &lt;10",IF(P224&lt;20,"b) 10-20",IF(P224&lt;40,"c) 20-40",IF(P224&lt;80,"d) 40-80","e) 80+"))))</f>
        <v>b) 10-20</v>
      </c>
      <c r="AD224" s="30" t="n">
        <f aca="false">Summary!$C$5+SUM(X$2:X224)</f>
        <v>105972.87</v>
      </c>
      <c r="AE224" s="30" t="n">
        <f aca="false">MAX(AE223,AD224)</f>
        <v>105972.87</v>
      </c>
      <c r="AF224" s="30" t="n">
        <f aca="false">AE224-AD224</f>
        <v>0</v>
      </c>
      <c r="AG224" s="29" t="n">
        <f aca="false">IFERROR(AF224/AE224,0)</f>
        <v>0</v>
      </c>
    </row>
    <row r="225" customFormat="false" ht="15" hidden="false" customHeight="false" outlineLevel="0" collapsed="false">
      <c r="A225" s="28" t="n">
        <v>224</v>
      </c>
      <c r="B225" s="43" t="n">
        <v>45335.0507060185</v>
      </c>
      <c r="C225" s="43" t="n">
        <v>45335.0554976852</v>
      </c>
      <c r="D225" s="42" t="n">
        <f aca="false">INT(C225)</f>
        <v>45335</v>
      </c>
      <c r="E225" s="42" t="n">
        <f aca="false">D225-WEEKDAY(D225,3)</f>
        <v>45334</v>
      </c>
      <c r="F225" s="28" t="s">
        <v>153</v>
      </c>
      <c r="G225" s="28" t="n">
        <v>2024</v>
      </c>
      <c r="H225" s="28" t="s">
        <v>232</v>
      </c>
      <c r="I225" s="28" t="n">
        <v>1</v>
      </c>
      <c r="J225" s="28" t="s">
        <v>236</v>
      </c>
      <c r="K225" s="28" t="s">
        <v>237</v>
      </c>
      <c r="L225" s="28" t="n">
        <v>0.26</v>
      </c>
      <c r="M225" s="31" t="n">
        <v>17842.98</v>
      </c>
      <c r="N225" s="31" t="n">
        <v>17847.75</v>
      </c>
      <c r="O225" s="31" t="n">
        <v>17833.44</v>
      </c>
      <c r="P225" s="44" t="n">
        <f aca="false">ABS(M225-N225)</f>
        <v>4.77000000000044</v>
      </c>
      <c r="Q225" s="44" t="n">
        <f aca="false">IF(O225="","",ABS(O225-M225))</f>
        <v>9.54000000000087</v>
      </c>
      <c r="R225" s="30" t="n">
        <f aca="false">P225*L225*Summary!$C$6</f>
        <v>24.8040000000023</v>
      </c>
      <c r="S225" s="31" t="n">
        <v>17847.8</v>
      </c>
      <c r="T225" s="28" t="s">
        <v>241</v>
      </c>
      <c r="U225" s="44" t="n">
        <f aca="false">IF(J225="BUY",S225-M225,M225-S225)</f>
        <v>-4.81999999999971</v>
      </c>
      <c r="V225" s="45" t="n">
        <v>0</v>
      </c>
      <c r="W225" s="45" t="n">
        <v>0</v>
      </c>
      <c r="X225" s="45" t="n">
        <v>-25.06</v>
      </c>
      <c r="Y225" s="32" t="n">
        <f aca="false">IFERROR(X225/R225,0)</f>
        <v>-1.0103209159812</v>
      </c>
      <c r="Z225" s="28" t="str">
        <f aca="false">IF(X225&gt;0,"Win",IF(X225&lt;0,"Loss","Flat"))</f>
        <v>Loss</v>
      </c>
      <c r="AA225" s="28" t="n">
        <f aca="false">ROUND((C225-B225)*1440,1)</f>
        <v>6.9</v>
      </c>
      <c r="AB225" s="28" t="str">
        <f aca="false">IF(AA225&lt;1,"a) &lt;1 min",IF(AA225&lt;10,"b) 1-10 min",IF(AA225&lt;60,"c) 10-60 min",IF(AA225&lt;240,"d) 1-4 h","e) 4 h+"))))</f>
        <v>b) 1-10 min</v>
      </c>
      <c r="AC225" s="28" t="str">
        <f aca="false">IF(P225&lt;10,"a) &lt;10",IF(P225&lt;20,"b) 10-20",IF(P225&lt;40,"c) 20-40",IF(P225&lt;80,"d) 40-80","e) 80+"))))</f>
        <v>a) &lt;10</v>
      </c>
      <c r="AD225" s="30" t="n">
        <f aca="false">Summary!$C$5+SUM(X$2:X225)</f>
        <v>105947.81</v>
      </c>
      <c r="AE225" s="30" t="n">
        <f aca="false">MAX(AE224,AD225)</f>
        <v>105972.87</v>
      </c>
      <c r="AF225" s="30" t="n">
        <f aca="false">AE225-AD225</f>
        <v>25.0599999999977</v>
      </c>
      <c r="AG225" s="29" t="n">
        <f aca="false">IFERROR(AF225/AE225,0)</f>
        <v>0.000236475618712579</v>
      </c>
    </row>
    <row r="226" customFormat="false" ht="15" hidden="false" customHeight="false" outlineLevel="0" collapsed="false">
      <c r="A226" s="28" t="n">
        <v>225</v>
      </c>
      <c r="B226" s="43" t="n">
        <v>45337.3631944444</v>
      </c>
      <c r="C226" s="43" t="n">
        <v>45337.3720833333</v>
      </c>
      <c r="D226" s="42" t="n">
        <f aca="false">INT(C226)</f>
        <v>45337</v>
      </c>
      <c r="E226" s="42" t="n">
        <f aca="false">D226-WEEKDAY(D226,3)</f>
        <v>45334</v>
      </c>
      <c r="F226" s="28" t="s">
        <v>153</v>
      </c>
      <c r="G226" s="28" t="n">
        <v>2024</v>
      </c>
      <c r="H226" s="28" t="s">
        <v>239</v>
      </c>
      <c r="I226" s="28" t="n">
        <v>8</v>
      </c>
      <c r="J226" s="28" t="s">
        <v>233</v>
      </c>
      <c r="K226" s="28" t="s">
        <v>234</v>
      </c>
      <c r="L226" s="28" t="n">
        <v>0.26</v>
      </c>
      <c r="M226" s="31" t="n">
        <v>17823.42</v>
      </c>
      <c r="N226" s="31" t="n">
        <v>17818.04</v>
      </c>
      <c r="O226" s="31" t="n">
        <v>17834.18</v>
      </c>
      <c r="P226" s="44" t="n">
        <f aca="false">ABS(M226-N226)</f>
        <v>5.37999999999738</v>
      </c>
      <c r="Q226" s="44" t="n">
        <f aca="false">IF(O226="","",ABS(O226-M226))</f>
        <v>10.760000000002</v>
      </c>
      <c r="R226" s="30" t="n">
        <f aca="false">P226*L226*Summary!$C$6</f>
        <v>27.9759999999864</v>
      </c>
      <c r="S226" s="31" t="n">
        <v>17823.35</v>
      </c>
      <c r="T226" s="28" t="s">
        <v>238</v>
      </c>
      <c r="U226" s="44" t="n">
        <f aca="false">IF(J226="BUY",S226-M226,M226-S226)</f>
        <v>-0.069999999999709</v>
      </c>
      <c r="V226" s="45" t="n">
        <v>0</v>
      </c>
      <c r="W226" s="45" t="n">
        <v>0</v>
      </c>
      <c r="X226" s="45" t="n">
        <v>-0.36</v>
      </c>
      <c r="Y226" s="32" t="n">
        <f aca="false">IFERROR(X226/R226,0)</f>
        <v>-0.0128681727194801</v>
      </c>
      <c r="Z226" s="28" t="str">
        <f aca="false">IF(X226&gt;0,"Win",IF(X226&lt;0,"Loss","Flat"))</f>
        <v>Loss</v>
      </c>
      <c r="AA226" s="28" t="n">
        <f aca="false">ROUND((C226-B226)*1440,1)</f>
        <v>12.8</v>
      </c>
      <c r="AB226" s="28" t="str">
        <f aca="false">IF(AA226&lt;1,"a) &lt;1 min",IF(AA226&lt;10,"b) 1-10 min",IF(AA226&lt;60,"c) 10-60 min",IF(AA226&lt;240,"d) 1-4 h","e) 4 h+"))))</f>
        <v>c) 10-60 min</v>
      </c>
      <c r="AC226" s="28" t="str">
        <f aca="false">IF(P226&lt;10,"a) &lt;10",IF(P226&lt;20,"b) 10-20",IF(P226&lt;40,"c) 20-40",IF(P226&lt;80,"d) 40-80","e) 80+"))))</f>
        <v>a) &lt;10</v>
      </c>
      <c r="AD226" s="30" t="n">
        <f aca="false">Summary!$C$5+SUM(X$2:X226)</f>
        <v>105947.45</v>
      </c>
      <c r="AE226" s="30" t="n">
        <f aca="false">MAX(AE225,AD226)</f>
        <v>105972.87</v>
      </c>
      <c r="AF226" s="30" t="n">
        <f aca="false">AE226-AD226</f>
        <v>25.4199999999983</v>
      </c>
      <c r="AG226" s="29" t="n">
        <f aca="false">IFERROR(AF226/AE226,0)</f>
        <v>0.000239872714591935</v>
      </c>
    </row>
    <row r="227" customFormat="false" ht="15" hidden="false" customHeight="false" outlineLevel="0" collapsed="false">
      <c r="A227" s="28" t="n">
        <v>226</v>
      </c>
      <c r="B227" s="43" t="n">
        <v>45338.4125</v>
      </c>
      <c r="C227" s="43" t="n">
        <v>45338.4154861111</v>
      </c>
      <c r="D227" s="42" t="n">
        <f aca="false">INT(C227)</f>
        <v>45338</v>
      </c>
      <c r="E227" s="42" t="n">
        <f aca="false">D227-WEEKDAY(D227,3)</f>
        <v>45334</v>
      </c>
      <c r="F227" s="28" t="s">
        <v>153</v>
      </c>
      <c r="G227" s="28" t="n">
        <v>2024</v>
      </c>
      <c r="H227" s="28" t="s">
        <v>242</v>
      </c>
      <c r="I227" s="28" t="n">
        <v>9</v>
      </c>
      <c r="J227" s="28" t="s">
        <v>233</v>
      </c>
      <c r="K227" s="28" t="s">
        <v>234</v>
      </c>
      <c r="L227" s="28" t="n">
        <v>0.26</v>
      </c>
      <c r="M227" s="31" t="n">
        <v>17902.64</v>
      </c>
      <c r="N227" s="31" t="n">
        <v>17897.46</v>
      </c>
      <c r="O227" s="31" t="n">
        <v>17913</v>
      </c>
      <c r="P227" s="44" t="n">
        <f aca="false">ABS(M227-N227)</f>
        <v>5.18000000000029</v>
      </c>
      <c r="Q227" s="44" t="n">
        <f aca="false">IF(O227="","",ABS(O227-M227))</f>
        <v>10.3600000000006</v>
      </c>
      <c r="R227" s="30" t="n">
        <f aca="false">P227*L227*Summary!$C$6</f>
        <v>26.9360000000015</v>
      </c>
      <c r="S227" s="31" t="n">
        <v>17902.38</v>
      </c>
      <c r="T227" s="28" t="s">
        <v>238</v>
      </c>
      <c r="U227" s="44" t="n">
        <f aca="false">IF(J227="BUY",S227-M227,M227-S227)</f>
        <v>-0.259999999998399</v>
      </c>
      <c r="V227" s="45" t="n">
        <v>0</v>
      </c>
      <c r="W227" s="45" t="n">
        <v>0</v>
      </c>
      <c r="X227" s="45" t="n">
        <v>-1.35</v>
      </c>
      <c r="Y227" s="32" t="n">
        <f aca="false">IFERROR(X227/R227,0)</f>
        <v>-0.0501188001187973</v>
      </c>
      <c r="Z227" s="28" t="str">
        <f aca="false">IF(X227&gt;0,"Win",IF(X227&lt;0,"Loss","Flat"))</f>
        <v>Loss</v>
      </c>
      <c r="AA227" s="28" t="n">
        <f aca="false">ROUND((C227-B227)*1440,1)</f>
        <v>4.3</v>
      </c>
      <c r="AB227" s="28" t="str">
        <f aca="false">IF(AA227&lt;1,"a) &lt;1 min",IF(AA227&lt;10,"b) 1-10 min",IF(AA227&lt;60,"c) 10-60 min",IF(AA227&lt;240,"d) 1-4 h","e) 4 h+"))))</f>
        <v>b) 1-10 min</v>
      </c>
      <c r="AC227" s="28" t="str">
        <f aca="false">IF(P227&lt;10,"a) &lt;10",IF(P227&lt;20,"b) 10-20",IF(P227&lt;40,"c) 20-40",IF(P227&lt;80,"d) 40-80","e) 80+"))))</f>
        <v>a) &lt;10</v>
      </c>
      <c r="AD227" s="30" t="n">
        <f aca="false">Summary!$C$5+SUM(X$2:X227)</f>
        <v>105946.1</v>
      </c>
      <c r="AE227" s="30" t="n">
        <f aca="false">MAX(AE226,AD227)</f>
        <v>105972.87</v>
      </c>
      <c r="AF227" s="30" t="n">
        <f aca="false">AE227-AD227</f>
        <v>26.7699999999895</v>
      </c>
      <c r="AG227" s="29" t="n">
        <f aca="false">IFERROR(AF227/AE227,0)</f>
        <v>0.000252611824139419</v>
      </c>
    </row>
    <row r="228" customFormat="false" ht="15" hidden="false" customHeight="false" outlineLevel="0" collapsed="false">
      <c r="A228" s="28" t="n">
        <v>227</v>
      </c>
      <c r="B228" s="43" t="n">
        <v>45338.7048611111</v>
      </c>
      <c r="C228" s="43" t="n">
        <v>45338.7160069444</v>
      </c>
      <c r="D228" s="42" t="n">
        <f aca="false">INT(C228)</f>
        <v>45338</v>
      </c>
      <c r="E228" s="42" t="n">
        <f aca="false">D228-WEEKDAY(D228,3)</f>
        <v>45334</v>
      </c>
      <c r="F228" s="28" t="s">
        <v>153</v>
      </c>
      <c r="G228" s="28" t="n">
        <v>2024</v>
      </c>
      <c r="H228" s="28" t="s">
        <v>242</v>
      </c>
      <c r="I228" s="28" t="n">
        <v>16</v>
      </c>
      <c r="J228" s="28" t="s">
        <v>236</v>
      </c>
      <c r="K228" s="28" t="s">
        <v>237</v>
      </c>
      <c r="L228" s="28" t="n">
        <v>0.26</v>
      </c>
      <c r="M228" s="31" t="n">
        <v>17710.43</v>
      </c>
      <c r="N228" s="31" t="n">
        <v>17747.73</v>
      </c>
      <c r="O228" s="31" t="n">
        <v>17635.83</v>
      </c>
      <c r="P228" s="44" t="n">
        <f aca="false">ABS(M228-N228)</f>
        <v>37.2999999999993</v>
      </c>
      <c r="Q228" s="44" t="n">
        <f aca="false">IF(O228="","",ABS(O228-M228))</f>
        <v>74.5999999999985</v>
      </c>
      <c r="R228" s="30" t="n">
        <f aca="false">P228*L228*Summary!$C$6</f>
        <v>193.959999999996</v>
      </c>
      <c r="S228" s="31" t="n">
        <v>17711.15</v>
      </c>
      <c r="T228" s="28" t="s">
        <v>238</v>
      </c>
      <c r="U228" s="44" t="n">
        <f aca="false">IF(J228="BUY",S228-M228,M228-S228)</f>
        <v>-0.720000000001164</v>
      </c>
      <c r="V228" s="45" t="n">
        <v>0</v>
      </c>
      <c r="W228" s="45" t="n">
        <v>0</v>
      </c>
      <c r="X228" s="45" t="n">
        <v>-3.74</v>
      </c>
      <c r="Y228" s="32" t="n">
        <f aca="false">IFERROR(X228/R228,0)</f>
        <v>-0.019282326252836</v>
      </c>
      <c r="Z228" s="28" t="str">
        <f aca="false">IF(X228&gt;0,"Win",IF(X228&lt;0,"Loss","Flat"))</f>
        <v>Loss</v>
      </c>
      <c r="AA228" s="28" t="n">
        <f aca="false">ROUND((C228-B228)*1440,1)</f>
        <v>16.1</v>
      </c>
      <c r="AB228" s="28" t="str">
        <f aca="false">IF(AA228&lt;1,"a) &lt;1 min",IF(AA228&lt;10,"b) 1-10 min",IF(AA228&lt;60,"c) 10-60 min",IF(AA228&lt;240,"d) 1-4 h","e) 4 h+"))))</f>
        <v>c) 10-60 min</v>
      </c>
      <c r="AC228" s="28" t="str">
        <f aca="false">IF(P228&lt;10,"a) &lt;10",IF(P228&lt;20,"b) 10-20",IF(P228&lt;40,"c) 20-40",IF(P228&lt;80,"d) 40-80","e) 80+"))))</f>
        <v>c) 20-40</v>
      </c>
      <c r="AD228" s="30" t="n">
        <f aca="false">Summary!$C$5+SUM(X$2:X228)</f>
        <v>105942.36</v>
      </c>
      <c r="AE228" s="30" t="n">
        <f aca="false">MAX(AE227,AD228)</f>
        <v>105972.87</v>
      </c>
      <c r="AF228" s="30" t="n">
        <f aca="false">AE228-AD228</f>
        <v>30.5099999999948</v>
      </c>
      <c r="AG228" s="29" t="n">
        <f aca="false">IFERROR(AF228/AE228,0)</f>
        <v>0.000287903875774948</v>
      </c>
    </row>
    <row r="229" customFormat="false" ht="15" hidden="false" customHeight="false" outlineLevel="0" collapsed="false">
      <c r="A229" s="28" t="n">
        <v>228</v>
      </c>
      <c r="B229" s="43" t="n">
        <v>45342.1</v>
      </c>
      <c r="C229" s="43" t="n">
        <v>45342.1043518519</v>
      </c>
      <c r="D229" s="42" t="n">
        <f aca="false">INT(C229)</f>
        <v>45342</v>
      </c>
      <c r="E229" s="42" t="n">
        <f aca="false">D229-WEEKDAY(D229,3)</f>
        <v>45341</v>
      </c>
      <c r="F229" s="28" t="s">
        <v>153</v>
      </c>
      <c r="G229" s="28" t="n">
        <v>2024</v>
      </c>
      <c r="H229" s="28" t="s">
        <v>232</v>
      </c>
      <c r="I229" s="28" t="n">
        <v>2</v>
      </c>
      <c r="J229" s="28" t="s">
        <v>236</v>
      </c>
      <c r="K229" s="28" t="s">
        <v>237</v>
      </c>
      <c r="L229" s="28" t="n">
        <v>0.26</v>
      </c>
      <c r="M229" s="31" t="n">
        <v>17666.4</v>
      </c>
      <c r="N229" s="31" t="n">
        <v>17675.63</v>
      </c>
      <c r="O229" s="31" t="n">
        <v>17647.95</v>
      </c>
      <c r="P229" s="44" t="n">
        <f aca="false">ABS(M229-N229)</f>
        <v>9.22999999999956</v>
      </c>
      <c r="Q229" s="44" t="n">
        <f aca="false">IF(O229="","",ABS(O229-M229))</f>
        <v>18.4500000000007</v>
      </c>
      <c r="R229" s="30" t="n">
        <f aca="false">P229*L229*Summary!$C$6</f>
        <v>47.9959999999977</v>
      </c>
      <c r="S229" s="31" t="n">
        <v>17675.76</v>
      </c>
      <c r="T229" s="28" t="s">
        <v>241</v>
      </c>
      <c r="U229" s="44" t="n">
        <f aca="false">IF(J229="BUY",S229-M229,M229-S229)</f>
        <v>-9.35999999999694</v>
      </c>
      <c r="V229" s="45" t="n">
        <v>0</v>
      </c>
      <c r="W229" s="45" t="n">
        <v>0</v>
      </c>
      <c r="X229" s="45" t="n">
        <v>-48.67</v>
      </c>
      <c r="Y229" s="32" t="n">
        <f aca="false">IFERROR(X229/R229,0)</f>
        <v>-1.01404283690312</v>
      </c>
      <c r="Z229" s="28" t="str">
        <f aca="false">IF(X229&gt;0,"Win",IF(X229&lt;0,"Loss","Flat"))</f>
        <v>Loss</v>
      </c>
      <c r="AA229" s="28" t="n">
        <f aca="false">ROUND((C229-B229)*1440,1)</f>
        <v>6.3</v>
      </c>
      <c r="AB229" s="28" t="str">
        <f aca="false">IF(AA229&lt;1,"a) &lt;1 min",IF(AA229&lt;10,"b) 1-10 min",IF(AA229&lt;60,"c) 10-60 min",IF(AA229&lt;240,"d) 1-4 h","e) 4 h+"))))</f>
        <v>b) 1-10 min</v>
      </c>
      <c r="AC229" s="28" t="str">
        <f aca="false">IF(P229&lt;10,"a) &lt;10",IF(P229&lt;20,"b) 10-20",IF(P229&lt;40,"c) 20-40",IF(P229&lt;80,"d) 40-80","e) 80+"))))</f>
        <v>a) &lt;10</v>
      </c>
      <c r="AD229" s="30" t="n">
        <f aca="false">Summary!$C$5+SUM(X$2:X229)</f>
        <v>105893.69</v>
      </c>
      <c r="AE229" s="30" t="n">
        <f aca="false">MAX(AE228,AD229)</f>
        <v>105972.87</v>
      </c>
      <c r="AF229" s="30" t="n">
        <f aca="false">AE229-AD229</f>
        <v>79.179999999993</v>
      </c>
      <c r="AG229" s="29" t="n">
        <f aca="false">IFERROR(AF229/AE229,0)</f>
        <v>0.000747172365908303</v>
      </c>
    </row>
    <row r="230" customFormat="false" ht="15" hidden="false" customHeight="false" outlineLevel="0" collapsed="false">
      <c r="A230" s="28" t="n">
        <v>229</v>
      </c>
      <c r="B230" s="43" t="n">
        <v>45343.7993055556</v>
      </c>
      <c r="C230" s="43" t="n">
        <v>45343.826712963</v>
      </c>
      <c r="D230" s="42" t="n">
        <f aca="false">INT(C230)</f>
        <v>45343</v>
      </c>
      <c r="E230" s="42" t="n">
        <f aca="false">D230-WEEKDAY(D230,3)</f>
        <v>45341</v>
      </c>
      <c r="F230" s="28" t="s">
        <v>153</v>
      </c>
      <c r="G230" s="28" t="n">
        <v>2024</v>
      </c>
      <c r="H230" s="28" t="s">
        <v>235</v>
      </c>
      <c r="I230" s="28" t="n">
        <v>19</v>
      </c>
      <c r="J230" s="28" t="s">
        <v>236</v>
      </c>
      <c r="K230" s="28" t="s">
        <v>237</v>
      </c>
      <c r="L230" s="28" t="n">
        <v>0.27</v>
      </c>
      <c r="M230" s="31" t="n">
        <v>17385.02</v>
      </c>
      <c r="N230" s="31" t="n">
        <v>17408.6</v>
      </c>
      <c r="O230" s="31" t="n">
        <v>17337.86</v>
      </c>
      <c r="P230" s="44" t="n">
        <f aca="false">ABS(M230-N230)</f>
        <v>23.5799999999981</v>
      </c>
      <c r="Q230" s="44" t="n">
        <f aca="false">IF(O230="","",ABS(O230-M230))</f>
        <v>47.1599999999999</v>
      </c>
      <c r="R230" s="30" t="n">
        <f aca="false">P230*L230*Summary!$C$6</f>
        <v>127.33199999999</v>
      </c>
      <c r="S230" s="31" t="n">
        <v>17409.2</v>
      </c>
      <c r="T230" s="28" t="s">
        <v>241</v>
      </c>
      <c r="U230" s="44" t="n">
        <f aca="false">IF(J230="BUY",S230-M230,M230-S230)</f>
        <v>-24.1800000000003</v>
      </c>
      <c r="V230" s="45" t="n">
        <v>0</v>
      </c>
      <c r="W230" s="45" t="n">
        <v>0</v>
      </c>
      <c r="X230" s="45" t="n">
        <v>-130.57</v>
      </c>
      <c r="Y230" s="32" t="n">
        <f aca="false">IFERROR(X230/R230,0)</f>
        <v>-1.02542958565019</v>
      </c>
      <c r="Z230" s="28" t="str">
        <f aca="false">IF(X230&gt;0,"Win",IF(X230&lt;0,"Loss","Flat"))</f>
        <v>Loss</v>
      </c>
      <c r="AA230" s="28" t="n">
        <f aca="false">ROUND((C230-B230)*1440,1)</f>
        <v>39.5</v>
      </c>
      <c r="AB230" s="28" t="str">
        <f aca="false">IF(AA230&lt;1,"a) &lt;1 min",IF(AA230&lt;10,"b) 1-10 min",IF(AA230&lt;60,"c) 10-60 min",IF(AA230&lt;240,"d) 1-4 h","e) 4 h+"))))</f>
        <v>c) 10-60 min</v>
      </c>
      <c r="AC230" s="28" t="str">
        <f aca="false">IF(P230&lt;10,"a) &lt;10",IF(P230&lt;20,"b) 10-20",IF(P230&lt;40,"c) 20-40",IF(P230&lt;80,"d) 40-80","e) 80+"))))</f>
        <v>c) 20-40</v>
      </c>
      <c r="AD230" s="30" t="n">
        <f aca="false">Summary!$C$5+SUM(X$2:X230)</f>
        <v>105763.12</v>
      </c>
      <c r="AE230" s="30" t="n">
        <f aca="false">MAX(AE229,AD230)</f>
        <v>105972.87</v>
      </c>
      <c r="AF230" s="30" t="n">
        <f aca="false">AE230-AD230</f>
        <v>209.75</v>
      </c>
      <c r="AG230" s="29" t="n">
        <f aca="false">IFERROR(AF230/AE230,0)</f>
        <v>0.00197928016859409</v>
      </c>
    </row>
    <row r="231" customFormat="false" ht="15" hidden="false" customHeight="false" outlineLevel="0" collapsed="false">
      <c r="A231" s="28" t="n">
        <v>230</v>
      </c>
      <c r="B231" s="43" t="n">
        <v>45344.0423611111</v>
      </c>
      <c r="C231" s="43" t="n">
        <v>45344.1403125</v>
      </c>
      <c r="D231" s="42" t="n">
        <f aca="false">INT(C231)</f>
        <v>45344</v>
      </c>
      <c r="E231" s="42" t="n">
        <f aca="false">D231-WEEKDAY(D231,3)</f>
        <v>45341</v>
      </c>
      <c r="F231" s="28" t="s">
        <v>153</v>
      </c>
      <c r="G231" s="28" t="n">
        <v>2024</v>
      </c>
      <c r="H231" s="28" t="s">
        <v>239</v>
      </c>
      <c r="I231" s="28" t="n">
        <v>1</v>
      </c>
      <c r="J231" s="28" t="s">
        <v>233</v>
      </c>
      <c r="K231" s="28" t="s">
        <v>234</v>
      </c>
      <c r="L231" s="28" t="n">
        <v>0.26</v>
      </c>
      <c r="M231" s="31" t="n">
        <v>17636.9</v>
      </c>
      <c r="N231" s="31" t="n">
        <v>17589</v>
      </c>
      <c r="O231" s="31" t="n">
        <v>17732.71</v>
      </c>
      <c r="P231" s="44" t="n">
        <f aca="false">ABS(M231-N231)</f>
        <v>47.9000000000015</v>
      </c>
      <c r="Q231" s="44" t="n">
        <f aca="false">IF(O231="","",ABS(O231-M231))</f>
        <v>95.8099999999977</v>
      </c>
      <c r="R231" s="30" t="n">
        <f aca="false">P231*L231*Summary!$C$6</f>
        <v>249.080000000008</v>
      </c>
      <c r="S231" s="31" t="n">
        <v>17732.81</v>
      </c>
      <c r="T231" s="28" t="s">
        <v>214</v>
      </c>
      <c r="U231" s="44" t="n">
        <f aca="false">IF(J231="BUY",S231-M231,M231-S231)</f>
        <v>95.9099999999999</v>
      </c>
      <c r="V231" s="45" t="n">
        <v>0</v>
      </c>
      <c r="W231" s="45" t="n">
        <v>0</v>
      </c>
      <c r="X231" s="45" t="n">
        <v>498.73</v>
      </c>
      <c r="Y231" s="32" t="n">
        <f aca="false">IFERROR(X231/R231,0)</f>
        <v>2.00228842139066</v>
      </c>
      <c r="Z231" s="28" t="str">
        <f aca="false">IF(X231&gt;0,"Win",IF(X231&lt;0,"Loss","Flat"))</f>
        <v>Win</v>
      </c>
      <c r="AA231" s="28" t="n">
        <f aca="false">ROUND((C231-B231)*1440,1)</f>
        <v>141.1</v>
      </c>
      <c r="AB231" s="28" t="str">
        <f aca="false">IF(AA231&lt;1,"a) &lt;1 min",IF(AA231&lt;10,"b) 1-10 min",IF(AA231&lt;60,"c) 10-60 min",IF(AA231&lt;240,"d) 1-4 h","e) 4 h+"))))</f>
        <v>d) 1-4 h</v>
      </c>
      <c r="AC231" s="28" t="str">
        <f aca="false">IF(P231&lt;10,"a) &lt;10",IF(P231&lt;20,"b) 10-20",IF(P231&lt;40,"c) 20-40",IF(P231&lt;80,"d) 40-80","e) 80+"))))</f>
        <v>d) 40-80</v>
      </c>
      <c r="AD231" s="30" t="n">
        <f aca="false">Summary!$C$5+SUM(X$2:X231)</f>
        <v>106261.85</v>
      </c>
      <c r="AE231" s="30" t="n">
        <f aca="false">MAX(AE230,AD231)</f>
        <v>106261.85</v>
      </c>
      <c r="AF231" s="30" t="n">
        <f aca="false">AE231-AD231</f>
        <v>0</v>
      </c>
      <c r="AG231" s="29" t="n">
        <f aca="false">IFERROR(AF231/AE231,0)</f>
        <v>0</v>
      </c>
    </row>
    <row r="232" customFormat="false" ht="15" hidden="false" customHeight="false" outlineLevel="0" collapsed="false">
      <c r="A232" s="28" t="n">
        <v>231</v>
      </c>
      <c r="B232" s="43" t="n">
        <v>45345.6729166667</v>
      </c>
      <c r="C232" s="43" t="n">
        <v>45345.6808680556</v>
      </c>
      <c r="D232" s="42" t="n">
        <f aca="false">INT(C232)</f>
        <v>45345</v>
      </c>
      <c r="E232" s="42" t="n">
        <f aca="false">D232-WEEKDAY(D232,3)</f>
        <v>45341</v>
      </c>
      <c r="F232" s="28" t="s">
        <v>153</v>
      </c>
      <c r="G232" s="28" t="n">
        <v>2024</v>
      </c>
      <c r="H232" s="28" t="s">
        <v>242</v>
      </c>
      <c r="I232" s="28" t="n">
        <v>16</v>
      </c>
      <c r="J232" s="28" t="s">
        <v>233</v>
      </c>
      <c r="K232" s="28" t="s">
        <v>234</v>
      </c>
      <c r="L232" s="28" t="n">
        <v>0.26</v>
      </c>
      <c r="M232" s="31" t="n">
        <v>18035.52</v>
      </c>
      <c r="N232" s="31" t="n">
        <v>18024.05</v>
      </c>
      <c r="O232" s="31" t="n">
        <v>18058.47</v>
      </c>
      <c r="P232" s="44" t="n">
        <f aca="false">ABS(M232-N232)</f>
        <v>11.4700000000012</v>
      </c>
      <c r="Q232" s="44" t="n">
        <f aca="false">IF(O232="","",ABS(O232-M232))</f>
        <v>22.9500000000007</v>
      </c>
      <c r="R232" s="30" t="n">
        <f aca="false">P232*L232*Summary!$C$6</f>
        <v>59.6440000000061</v>
      </c>
      <c r="S232" s="31" t="n">
        <v>18058.55</v>
      </c>
      <c r="T232" s="28" t="s">
        <v>214</v>
      </c>
      <c r="U232" s="44" t="n">
        <f aca="false">IF(J232="BUY",S232-M232,M232-S232)</f>
        <v>23.0299999999988</v>
      </c>
      <c r="V232" s="45" t="n">
        <v>0</v>
      </c>
      <c r="W232" s="45" t="n">
        <v>0</v>
      </c>
      <c r="X232" s="45" t="n">
        <v>119.76</v>
      </c>
      <c r="Y232" s="32" t="n">
        <f aca="false">IFERROR(X232/R232,0)</f>
        <v>2.00791362081664</v>
      </c>
      <c r="Z232" s="28" t="str">
        <f aca="false">IF(X232&gt;0,"Win",IF(X232&lt;0,"Loss","Flat"))</f>
        <v>Win</v>
      </c>
      <c r="AA232" s="28" t="n">
        <f aca="false">ROUND((C232-B232)*1440,1)</f>
        <v>11.5</v>
      </c>
      <c r="AB232" s="28" t="str">
        <f aca="false">IF(AA232&lt;1,"a) &lt;1 min",IF(AA232&lt;10,"b) 1-10 min",IF(AA232&lt;60,"c) 10-60 min",IF(AA232&lt;240,"d) 1-4 h","e) 4 h+"))))</f>
        <v>c) 10-60 min</v>
      </c>
      <c r="AC232" s="28" t="str">
        <f aca="false">IF(P232&lt;10,"a) &lt;10",IF(P232&lt;20,"b) 10-20",IF(P232&lt;40,"c) 20-40",IF(P232&lt;80,"d) 40-80","e) 80+"))))</f>
        <v>b) 10-20</v>
      </c>
      <c r="AD232" s="30" t="n">
        <f aca="false">Summary!$C$5+SUM(X$2:X232)</f>
        <v>106381.61</v>
      </c>
      <c r="AE232" s="30" t="n">
        <f aca="false">MAX(AE231,AD232)</f>
        <v>106381.61</v>
      </c>
      <c r="AF232" s="30" t="n">
        <f aca="false">AE232-AD232</f>
        <v>0</v>
      </c>
      <c r="AG232" s="29" t="n">
        <f aca="false">IFERROR(AF232/AE232,0)</f>
        <v>0</v>
      </c>
    </row>
    <row r="233" customFormat="false" ht="15" hidden="false" customHeight="false" outlineLevel="0" collapsed="false">
      <c r="A233" s="28" t="n">
        <v>232</v>
      </c>
      <c r="B233" s="43" t="n">
        <v>45348.1166666667</v>
      </c>
      <c r="C233" s="43" t="n">
        <v>45348.1207523148</v>
      </c>
      <c r="D233" s="42" t="n">
        <f aca="false">INT(C233)</f>
        <v>45348</v>
      </c>
      <c r="E233" s="42" t="n">
        <f aca="false">D233-WEEKDAY(D233,3)</f>
        <v>45348</v>
      </c>
      <c r="F233" s="28" t="s">
        <v>153</v>
      </c>
      <c r="G233" s="28" t="n">
        <v>2024</v>
      </c>
      <c r="H233" s="28" t="s">
        <v>240</v>
      </c>
      <c r="I233" s="28" t="n">
        <v>2</v>
      </c>
      <c r="J233" s="28" t="s">
        <v>236</v>
      </c>
      <c r="K233" s="28" t="s">
        <v>237</v>
      </c>
      <c r="L233" s="28" t="n">
        <v>0.26</v>
      </c>
      <c r="M233" s="31" t="n">
        <v>17890.64</v>
      </c>
      <c r="N233" s="31" t="n">
        <v>17901.52</v>
      </c>
      <c r="O233" s="31" t="n">
        <v>17868.87</v>
      </c>
      <c r="P233" s="44" t="n">
        <f aca="false">ABS(M233-N233)</f>
        <v>10.880000000001</v>
      </c>
      <c r="Q233" s="44" t="n">
        <f aca="false">IF(O233="","",ABS(O233-M233))</f>
        <v>21.7700000000004</v>
      </c>
      <c r="R233" s="30" t="n">
        <f aca="false">P233*L233*Summary!$C$6</f>
        <v>56.5760000000053</v>
      </c>
      <c r="S233" s="31" t="n">
        <v>17891.1</v>
      </c>
      <c r="T233" s="28" t="s">
        <v>238</v>
      </c>
      <c r="U233" s="44" t="n">
        <f aca="false">IF(J233="BUY",S233-M233,M233-S233)</f>
        <v>-0.459999999999127</v>
      </c>
      <c r="V233" s="45" t="n">
        <v>0</v>
      </c>
      <c r="W233" s="45" t="n">
        <v>0</v>
      </c>
      <c r="X233" s="45" t="n">
        <v>-2.39</v>
      </c>
      <c r="Y233" s="32" t="n">
        <f aca="false">IFERROR(X233/R233,0)</f>
        <v>-0.0422440610859689</v>
      </c>
      <c r="Z233" s="28" t="str">
        <f aca="false">IF(X233&gt;0,"Win",IF(X233&lt;0,"Loss","Flat"))</f>
        <v>Loss</v>
      </c>
      <c r="AA233" s="28" t="n">
        <f aca="false">ROUND((C233-B233)*1440,1)</f>
        <v>5.9</v>
      </c>
      <c r="AB233" s="28" t="str">
        <f aca="false">IF(AA233&lt;1,"a) &lt;1 min",IF(AA233&lt;10,"b) 1-10 min",IF(AA233&lt;60,"c) 10-60 min",IF(AA233&lt;240,"d) 1-4 h","e) 4 h+"))))</f>
        <v>b) 1-10 min</v>
      </c>
      <c r="AC233" s="28" t="str">
        <f aca="false">IF(P233&lt;10,"a) &lt;10",IF(P233&lt;20,"b) 10-20",IF(P233&lt;40,"c) 20-40",IF(P233&lt;80,"d) 40-80","e) 80+"))))</f>
        <v>b) 10-20</v>
      </c>
      <c r="AD233" s="30" t="n">
        <f aca="false">Summary!$C$5+SUM(X$2:X233)</f>
        <v>106379.22</v>
      </c>
      <c r="AE233" s="30" t="n">
        <f aca="false">MAX(AE232,AD233)</f>
        <v>106381.61</v>
      </c>
      <c r="AF233" s="30" t="n">
        <f aca="false">AE233-AD233</f>
        <v>2.38999999999942</v>
      </c>
      <c r="AG233" s="29" t="n">
        <f aca="false">IFERROR(AF233/AE233,0)</f>
        <v>2.24662890512695E-005</v>
      </c>
    </row>
    <row r="234" customFormat="false" ht="15" hidden="false" customHeight="false" outlineLevel="0" collapsed="false">
      <c r="A234" s="28" t="n">
        <v>233</v>
      </c>
      <c r="B234" s="43" t="n">
        <v>45350.4875</v>
      </c>
      <c r="C234" s="43" t="n">
        <v>45350.5161689815</v>
      </c>
      <c r="D234" s="42" t="n">
        <f aca="false">INT(C234)</f>
        <v>45350</v>
      </c>
      <c r="E234" s="42" t="n">
        <f aca="false">D234-WEEKDAY(D234,3)</f>
        <v>45348</v>
      </c>
      <c r="F234" s="28" t="s">
        <v>153</v>
      </c>
      <c r="G234" s="28" t="n">
        <v>2024</v>
      </c>
      <c r="H234" s="28" t="s">
        <v>235</v>
      </c>
      <c r="I234" s="28" t="n">
        <v>11</v>
      </c>
      <c r="J234" s="28" t="s">
        <v>236</v>
      </c>
      <c r="K234" s="28" t="s">
        <v>237</v>
      </c>
      <c r="L234" s="28" t="n">
        <v>0.26</v>
      </c>
      <c r="M234" s="31" t="n">
        <v>17852.31</v>
      </c>
      <c r="N234" s="31" t="n">
        <v>17867.08</v>
      </c>
      <c r="O234" s="31" t="n">
        <v>17822.76</v>
      </c>
      <c r="P234" s="44" t="n">
        <f aca="false">ABS(M234-N234)</f>
        <v>14.7700000000004</v>
      </c>
      <c r="Q234" s="44" t="n">
        <f aca="false">IF(O234="","",ABS(O234-M234))</f>
        <v>29.5500000000029</v>
      </c>
      <c r="R234" s="30" t="n">
        <f aca="false">P234*L234*Summary!$C$6</f>
        <v>76.8040000000023</v>
      </c>
      <c r="S234" s="31" t="n">
        <v>17867.08</v>
      </c>
      <c r="T234" s="28" t="s">
        <v>241</v>
      </c>
      <c r="U234" s="44" t="n">
        <f aca="false">IF(J234="BUY",S234-M234,M234-S234)</f>
        <v>-14.7700000000004</v>
      </c>
      <c r="V234" s="45" t="n">
        <v>0</v>
      </c>
      <c r="W234" s="45" t="n">
        <v>0</v>
      </c>
      <c r="X234" s="45" t="n">
        <v>-76.8</v>
      </c>
      <c r="Y234" s="32" t="n">
        <f aca="false">IFERROR(X234/R234,0)</f>
        <v>-0.999947919379169</v>
      </c>
      <c r="Z234" s="28" t="str">
        <f aca="false">IF(X234&gt;0,"Win",IF(X234&lt;0,"Loss","Flat"))</f>
        <v>Loss</v>
      </c>
      <c r="AA234" s="28" t="n">
        <f aca="false">ROUND((C234-B234)*1440,1)</f>
        <v>41.3</v>
      </c>
      <c r="AB234" s="28" t="str">
        <f aca="false">IF(AA234&lt;1,"a) &lt;1 min",IF(AA234&lt;10,"b) 1-10 min",IF(AA234&lt;60,"c) 10-60 min",IF(AA234&lt;240,"d) 1-4 h","e) 4 h+"))))</f>
        <v>c) 10-60 min</v>
      </c>
      <c r="AC234" s="28" t="str">
        <f aca="false">IF(P234&lt;10,"a) &lt;10",IF(P234&lt;20,"b) 10-20",IF(P234&lt;40,"c) 20-40",IF(P234&lt;80,"d) 40-80","e) 80+"))))</f>
        <v>b) 10-20</v>
      </c>
      <c r="AD234" s="30" t="n">
        <f aca="false">Summary!$C$5+SUM(X$2:X234)</f>
        <v>106302.42</v>
      </c>
      <c r="AE234" s="30" t="n">
        <f aca="false">MAX(AE233,AD234)</f>
        <v>106381.61</v>
      </c>
      <c r="AF234" s="30" t="n">
        <f aca="false">AE234-AD234</f>
        <v>79.1900000000023</v>
      </c>
      <c r="AG234" s="29" t="n">
        <f aca="false">IFERROR(AF234/AE234,0)</f>
        <v>0.000744395577393521</v>
      </c>
    </row>
    <row r="235" customFormat="false" ht="15" hidden="false" customHeight="false" outlineLevel="0" collapsed="false">
      <c r="A235" s="28" t="n">
        <v>234</v>
      </c>
      <c r="B235" s="43" t="n">
        <v>45351.0784722222</v>
      </c>
      <c r="C235" s="43" t="n">
        <v>45351.0837152778</v>
      </c>
      <c r="D235" s="42" t="n">
        <f aca="false">INT(C235)</f>
        <v>45351</v>
      </c>
      <c r="E235" s="42" t="n">
        <f aca="false">D235-WEEKDAY(D235,3)</f>
        <v>45348</v>
      </c>
      <c r="F235" s="28" t="s">
        <v>153</v>
      </c>
      <c r="G235" s="28" t="n">
        <v>2024</v>
      </c>
      <c r="H235" s="28" t="s">
        <v>239</v>
      </c>
      <c r="I235" s="28" t="n">
        <v>1</v>
      </c>
      <c r="J235" s="28" t="s">
        <v>236</v>
      </c>
      <c r="K235" s="28" t="s">
        <v>237</v>
      </c>
      <c r="L235" s="28" t="n">
        <v>0.26</v>
      </c>
      <c r="M235" s="31" t="n">
        <v>17827.03</v>
      </c>
      <c r="N235" s="31" t="n">
        <v>17831.02</v>
      </c>
      <c r="O235" s="31" t="n">
        <v>17819.05</v>
      </c>
      <c r="P235" s="44" t="n">
        <f aca="false">ABS(M235-N235)</f>
        <v>3.9900000000016</v>
      </c>
      <c r="Q235" s="44" t="n">
        <f aca="false">IF(O235="","",ABS(O235-M235))</f>
        <v>7.97999999999956</v>
      </c>
      <c r="R235" s="30" t="n">
        <f aca="false">P235*L235*Summary!$C$6</f>
        <v>20.7480000000083</v>
      </c>
      <c r="S235" s="31" t="n">
        <v>17831.51</v>
      </c>
      <c r="T235" s="28" t="s">
        <v>241</v>
      </c>
      <c r="U235" s="44" t="n">
        <f aca="false">IF(J235="BUY",S235-M235,M235-S235)</f>
        <v>-4.47999999999956</v>
      </c>
      <c r="V235" s="45" t="n">
        <v>0</v>
      </c>
      <c r="W235" s="45" t="n">
        <v>0</v>
      </c>
      <c r="X235" s="45" t="n">
        <v>-23.3</v>
      </c>
      <c r="Y235" s="32" t="n">
        <f aca="false">IFERROR(X235/R235,0)</f>
        <v>-1.12299980720988</v>
      </c>
      <c r="Z235" s="28" t="str">
        <f aca="false">IF(X235&gt;0,"Win",IF(X235&lt;0,"Loss","Flat"))</f>
        <v>Loss</v>
      </c>
      <c r="AA235" s="28" t="n">
        <f aca="false">ROUND((C235-B235)*1440,1)</f>
        <v>7.6</v>
      </c>
      <c r="AB235" s="28" t="str">
        <f aca="false">IF(AA235&lt;1,"a) &lt;1 min",IF(AA235&lt;10,"b) 1-10 min",IF(AA235&lt;60,"c) 10-60 min",IF(AA235&lt;240,"d) 1-4 h","e) 4 h+"))))</f>
        <v>b) 1-10 min</v>
      </c>
      <c r="AC235" s="28" t="str">
        <f aca="false">IF(P235&lt;10,"a) &lt;10",IF(P235&lt;20,"b) 10-20",IF(P235&lt;40,"c) 20-40",IF(P235&lt;80,"d) 40-80","e) 80+"))))</f>
        <v>a) &lt;10</v>
      </c>
      <c r="AD235" s="30" t="n">
        <f aca="false">Summary!$C$5+SUM(X$2:X235)</f>
        <v>106279.12</v>
      </c>
      <c r="AE235" s="30" t="n">
        <f aca="false">MAX(AE234,AD235)</f>
        <v>106381.61</v>
      </c>
      <c r="AF235" s="30" t="n">
        <f aca="false">AE235-AD235</f>
        <v>102.490000000005</v>
      </c>
      <c r="AG235" s="29" t="n">
        <f aca="false">IFERROR(AF235/AE235,0)</f>
        <v>0.000963418395341124</v>
      </c>
    </row>
    <row r="236" customFormat="false" ht="15" hidden="false" customHeight="false" outlineLevel="0" collapsed="false">
      <c r="A236" s="28" t="n">
        <v>235</v>
      </c>
      <c r="B236" s="43" t="n">
        <v>45351.6576388889</v>
      </c>
      <c r="C236" s="43" t="n">
        <v>45351.6882407407</v>
      </c>
      <c r="D236" s="42" t="n">
        <f aca="false">INT(C236)</f>
        <v>45351</v>
      </c>
      <c r="E236" s="42" t="n">
        <f aca="false">D236-WEEKDAY(D236,3)</f>
        <v>45348</v>
      </c>
      <c r="F236" s="28" t="s">
        <v>153</v>
      </c>
      <c r="G236" s="28" t="n">
        <v>2024</v>
      </c>
      <c r="H236" s="28" t="s">
        <v>239</v>
      </c>
      <c r="I236" s="28" t="n">
        <v>15</v>
      </c>
      <c r="J236" s="28" t="s">
        <v>233</v>
      </c>
      <c r="K236" s="28" t="s">
        <v>234</v>
      </c>
      <c r="L236" s="28" t="n">
        <v>0.26</v>
      </c>
      <c r="M236" s="31" t="n">
        <v>17974.92</v>
      </c>
      <c r="N236" s="31" t="n">
        <v>17954.27</v>
      </c>
      <c r="O236" s="31" t="n">
        <v>18016.23</v>
      </c>
      <c r="P236" s="44" t="n">
        <f aca="false">ABS(M236-N236)</f>
        <v>20.6499999999978</v>
      </c>
      <c r="Q236" s="44" t="n">
        <f aca="false">IF(O236="","",ABS(O236-M236))</f>
        <v>41.3100000000013</v>
      </c>
      <c r="R236" s="30" t="n">
        <f aca="false">P236*L236*Summary!$C$6</f>
        <v>107.379999999989</v>
      </c>
      <c r="S236" s="31" t="n">
        <v>18016.6</v>
      </c>
      <c r="T236" s="28" t="s">
        <v>214</v>
      </c>
      <c r="U236" s="44" t="n">
        <f aca="false">IF(J236="BUY",S236-M236,M236-S236)</f>
        <v>41.6800000000003</v>
      </c>
      <c r="V236" s="45" t="n">
        <v>0</v>
      </c>
      <c r="W236" s="45" t="n">
        <v>0</v>
      </c>
      <c r="X236" s="45" t="n">
        <v>216.74</v>
      </c>
      <c r="Y236" s="32" t="n">
        <f aca="false">IFERROR(X236/R236,0)</f>
        <v>2.01843918793093</v>
      </c>
      <c r="Z236" s="28" t="str">
        <f aca="false">IF(X236&gt;0,"Win",IF(X236&lt;0,"Loss","Flat"))</f>
        <v>Win</v>
      </c>
      <c r="AA236" s="28" t="n">
        <f aca="false">ROUND((C236-B236)*1440,1)</f>
        <v>44.1</v>
      </c>
      <c r="AB236" s="28" t="str">
        <f aca="false">IF(AA236&lt;1,"a) &lt;1 min",IF(AA236&lt;10,"b) 1-10 min",IF(AA236&lt;60,"c) 10-60 min",IF(AA236&lt;240,"d) 1-4 h","e) 4 h+"))))</f>
        <v>c) 10-60 min</v>
      </c>
      <c r="AC236" s="28" t="str">
        <f aca="false">IF(P236&lt;10,"a) &lt;10",IF(P236&lt;20,"b) 10-20",IF(P236&lt;40,"c) 20-40",IF(P236&lt;80,"d) 40-80","e) 80+"))))</f>
        <v>c) 20-40</v>
      </c>
      <c r="AD236" s="30" t="n">
        <f aca="false">Summary!$C$5+SUM(X$2:X236)</f>
        <v>106495.86</v>
      </c>
      <c r="AE236" s="30" t="n">
        <f aca="false">MAX(AE235,AD236)</f>
        <v>106495.86</v>
      </c>
      <c r="AF236" s="30" t="n">
        <f aca="false">AE236-AD236</f>
        <v>0</v>
      </c>
      <c r="AG236" s="29" t="n">
        <f aca="false">IFERROR(AF236/AE236,0)</f>
        <v>0</v>
      </c>
    </row>
    <row r="237" customFormat="false" ht="15" hidden="false" customHeight="false" outlineLevel="0" collapsed="false">
      <c r="A237" s="28" t="n">
        <v>236</v>
      </c>
      <c r="B237" s="43" t="n">
        <v>45352.1638888889</v>
      </c>
      <c r="C237" s="43" t="n">
        <v>45352.2509953704</v>
      </c>
      <c r="D237" s="42" t="n">
        <f aca="false">INT(C237)</f>
        <v>45352</v>
      </c>
      <c r="E237" s="42" t="n">
        <f aca="false">D237-WEEKDAY(D237,3)</f>
        <v>45348</v>
      </c>
      <c r="F237" s="28" t="s">
        <v>154</v>
      </c>
      <c r="G237" s="28" t="n">
        <v>2024</v>
      </c>
      <c r="H237" s="28" t="s">
        <v>242</v>
      </c>
      <c r="I237" s="28" t="n">
        <v>3</v>
      </c>
      <c r="J237" s="28" t="s">
        <v>233</v>
      </c>
      <c r="K237" s="28" t="s">
        <v>234</v>
      </c>
      <c r="L237" s="28" t="n">
        <v>0.26</v>
      </c>
      <c r="M237" s="31" t="n">
        <v>18072.82</v>
      </c>
      <c r="N237" s="31" t="n">
        <v>18063.88</v>
      </c>
      <c r="O237" s="31" t="n">
        <v>18090.7</v>
      </c>
      <c r="P237" s="44" t="n">
        <f aca="false">ABS(M237-N237)</f>
        <v>8.93999999999869</v>
      </c>
      <c r="Q237" s="44" t="n">
        <f aca="false">IF(O237="","",ABS(O237-M237))</f>
        <v>17.880000000001</v>
      </c>
      <c r="R237" s="30" t="n">
        <f aca="false">P237*L237*Summary!$C$6</f>
        <v>46.4879999999932</v>
      </c>
      <c r="S237" s="31" t="n">
        <v>18090.71</v>
      </c>
      <c r="T237" s="28" t="s">
        <v>214</v>
      </c>
      <c r="U237" s="44" t="n">
        <f aca="false">IF(J237="BUY",S237-M237,M237-S237)</f>
        <v>17.8899999999994</v>
      </c>
      <c r="V237" s="45" t="n">
        <v>0</v>
      </c>
      <c r="W237" s="45" t="n">
        <v>0</v>
      </c>
      <c r="X237" s="45" t="n">
        <v>93.03</v>
      </c>
      <c r="Y237" s="32" t="n">
        <f aca="false">IFERROR(X237/R237,0)</f>
        <v>2.00116159008806</v>
      </c>
      <c r="Z237" s="28" t="str">
        <f aca="false">IF(X237&gt;0,"Win",IF(X237&lt;0,"Loss","Flat"))</f>
        <v>Win</v>
      </c>
      <c r="AA237" s="28" t="n">
        <f aca="false">ROUND((C237-B237)*1440,1)</f>
        <v>125.4</v>
      </c>
      <c r="AB237" s="28" t="str">
        <f aca="false">IF(AA237&lt;1,"a) &lt;1 min",IF(AA237&lt;10,"b) 1-10 min",IF(AA237&lt;60,"c) 10-60 min",IF(AA237&lt;240,"d) 1-4 h","e) 4 h+"))))</f>
        <v>d) 1-4 h</v>
      </c>
      <c r="AC237" s="28" t="str">
        <f aca="false">IF(P237&lt;10,"a) &lt;10",IF(P237&lt;20,"b) 10-20",IF(P237&lt;40,"c) 20-40",IF(P237&lt;80,"d) 40-80","e) 80+"))))</f>
        <v>a) &lt;10</v>
      </c>
      <c r="AD237" s="30" t="n">
        <f aca="false">Summary!$C$5+SUM(X$2:X237)</f>
        <v>106588.89</v>
      </c>
      <c r="AE237" s="30" t="n">
        <f aca="false">MAX(AE236,AD237)</f>
        <v>106588.89</v>
      </c>
      <c r="AF237" s="30" t="n">
        <f aca="false">AE237-AD237</f>
        <v>0</v>
      </c>
      <c r="AG237" s="29" t="n">
        <f aca="false">IFERROR(AF237/AE237,0)</f>
        <v>0</v>
      </c>
    </row>
    <row r="238" customFormat="false" ht="15" hidden="false" customHeight="false" outlineLevel="0" collapsed="false">
      <c r="A238" s="28" t="n">
        <v>237</v>
      </c>
      <c r="B238" s="43" t="n">
        <v>45355.4631944444</v>
      </c>
      <c r="C238" s="43" t="n">
        <v>45355.4640277778</v>
      </c>
      <c r="D238" s="42" t="n">
        <f aca="false">INT(C238)</f>
        <v>45355</v>
      </c>
      <c r="E238" s="42" t="n">
        <f aca="false">D238-WEEKDAY(D238,3)</f>
        <v>45355</v>
      </c>
      <c r="F238" s="28" t="s">
        <v>154</v>
      </c>
      <c r="G238" s="28" t="n">
        <v>2024</v>
      </c>
      <c r="H238" s="28" t="s">
        <v>240</v>
      </c>
      <c r="I238" s="28" t="n">
        <v>11</v>
      </c>
      <c r="J238" s="28" t="s">
        <v>233</v>
      </c>
      <c r="K238" s="28" t="s">
        <v>234</v>
      </c>
      <c r="L238" s="28" t="n">
        <v>0.26</v>
      </c>
      <c r="M238" s="31" t="n">
        <v>18337.25</v>
      </c>
      <c r="N238" s="31" t="n">
        <v>18328.4</v>
      </c>
      <c r="O238" s="31" t="n">
        <v>18354.94</v>
      </c>
      <c r="P238" s="44" t="n">
        <f aca="false">ABS(M238-N238)</f>
        <v>8.84999999999855</v>
      </c>
      <c r="Q238" s="44" t="n">
        <f aca="false">IF(O238="","",ABS(O238-M238))</f>
        <v>17.6899999999987</v>
      </c>
      <c r="R238" s="30" t="n">
        <f aca="false">P238*L238*Summary!$C$6</f>
        <v>46.0199999999924</v>
      </c>
      <c r="S238" s="31" t="n">
        <v>18328.22</v>
      </c>
      <c r="T238" s="28" t="s">
        <v>241</v>
      </c>
      <c r="U238" s="44" t="n">
        <f aca="false">IF(J238="BUY",S238-M238,M238-S238)</f>
        <v>-9.02999999999884</v>
      </c>
      <c r="V238" s="45" t="n">
        <v>0</v>
      </c>
      <c r="W238" s="45" t="n">
        <v>0</v>
      </c>
      <c r="X238" s="45" t="n">
        <v>-46.96</v>
      </c>
      <c r="Y238" s="32" t="n">
        <f aca="false">IFERROR(X238/R238,0)</f>
        <v>-1.020425901782</v>
      </c>
      <c r="Z238" s="28" t="str">
        <f aca="false">IF(X238&gt;0,"Win",IF(X238&lt;0,"Loss","Flat"))</f>
        <v>Loss</v>
      </c>
      <c r="AA238" s="28" t="n">
        <f aca="false">ROUND((C238-B238)*1440,1)</f>
        <v>1.2</v>
      </c>
      <c r="AB238" s="28" t="str">
        <f aca="false">IF(AA238&lt;1,"a) &lt;1 min",IF(AA238&lt;10,"b) 1-10 min",IF(AA238&lt;60,"c) 10-60 min",IF(AA238&lt;240,"d) 1-4 h","e) 4 h+"))))</f>
        <v>b) 1-10 min</v>
      </c>
      <c r="AC238" s="28" t="str">
        <f aca="false">IF(P238&lt;10,"a) &lt;10",IF(P238&lt;20,"b) 10-20",IF(P238&lt;40,"c) 20-40",IF(P238&lt;80,"d) 40-80","e) 80+"))))</f>
        <v>a) &lt;10</v>
      </c>
      <c r="AD238" s="30" t="n">
        <f aca="false">Summary!$C$5+SUM(X$2:X238)</f>
        <v>106541.93</v>
      </c>
      <c r="AE238" s="30" t="n">
        <f aca="false">MAX(AE237,AD238)</f>
        <v>106588.89</v>
      </c>
      <c r="AF238" s="30" t="n">
        <f aca="false">AE238-AD238</f>
        <v>46.9600000000064</v>
      </c>
      <c r="AG238" s="29" t="n">
        <f aca="false">IFERROR(AF238/AE238,0)</f>
        <v>0.000440571245277124</v>
      </c>
    </row>
    <row r="239" customFormat="false" ht="15" hidden="false" customHeight="false" outlineLevel="0" collapsed="false">
      <c r="A239" s="28" t="n">
        <v>238</v>
      </c>
      <c r="B239" s="43" t="n">
        <v>45356.0479166667</v>
      </c>
      <c r="C239" s="43" t="n">
        <v>45356.0575462963</v>
      </c>
      <c r="D239" s="42" t="n">
        <f aca="false">INT(C239)</f>
        <v>45356</v>
      </c>
      <c r="E239" s="42" t="n">
        <f aca="false">D239-WEEKDAY(D239,3)</f>
        <v>45355</v>
      </c>
      <c r="F239" s="28" t="s">
        <v>154</v>
      </c>
      <c r="G239" s="28" t="n">
        <v>2024</v>
      </c>
      <c r="H239" s="28" t="s">
        <v>232</v>
      </c>
      <c r="I239" s="28" t="n">
        <v>1</v>
      </c>
      <c r="J239" s="28" t="s">
        <v>236</v>
      </c>
      <c r="K239" s="28" t="s">
        <v>237</v>
      </c>
      <c r="L239" s="28" t="n">
        <v>0.26</v>
      </c>
      <c r="M239" s="31" t="n">
        <v>18200.83</v>
      </c>
      <c r="N239" s="31" t="n">
        <v>18209.69</v>
      </c>
      <c r="O239" s="31" t="n">
        <v>18183.11</v>
      </c>
      <c r="P239" s="44" t="n">
        <f aca="false">ABS(M239-N239)</f>
        <v>8.85999999999694</v>
      </c>
      <c r="Q239" s="44" t="n">
        <f aca="false">IF(O239="","",ABS(O239-M239))</f>
        <v>17.7200000000012</v>
      </c>
      <c r="R239" s="30" t="n">
        <f aca="false">P239*L239*Summary!$C$6</f>
        <v>46.0719999999841</v>
      </c>
      <c r="S239" s="31" t="n">
        <v>18200.9</v>
      </c>
      <c r="T239" s="28" t="s">
        <v>238</v>
      </c>
      <c r="U239" s="44" t="n">
        <f aca="false">IF(J239="BUY",S239-M239,M239-S239)</f>
        <v>-0.069999999999709</v>
      </c>
      <c r="V239" s="45" t="n">
        <v>0</v>
      </c>
      <c r="W239" s="45" t="n">
        <v>0</v>
      </c>
      <c r="X239" s="45" t="n">
        <v>-0.36</v>
      </c>
      <c r="Y239" s="32" t="n">
        <f aca="false">IFERROR(X239/R239,0)</f>
        <v>-0.00781385657232428</v>
      </c>
      <c r="Z239" s="28" t="str">
        <f aca="false">IF(X239&gt;0,"Win",IF(X239&lt;0,"Loss","Flat"))</f>
        <v>Loss</v>
      </c>
      <c r="AA239" s="28" t="n">
        <f aca="false">ROUND((C239-B239)*1440,1)</f>
        <v>13.9</v>
      </c>
      <c r="AB239" s="28" t="str">
        <f aca="false">IF(AA239&lt;1,"a) &lt;1 min",IF(AA239&lt;10,"b) 1-10 min",IF(AA239&lt;60,"c) 10-60 min",IF(AA239&lt;240,"d) 1-4 h","e) 4 h+"))))</f>
        <v>c) 10-60 min</v>
      </c>
      <c r="AC239" s="28" t="str">
        <f aca="false">IF(P239&lt;10,"a) &lt;10",IF(P239&lt;20,"b) 10-20",IF(P239&lt;40,"c) 20-40",IF(P239&lt;80,"d) 40-80","e) 80+"))))</f>
        <v>a) &lt;10</v>
      </c>
      <c r="AD239" s="30" t="n">
        <f aca="false">Summary!$C$5+SUM(X$2:X239)</f>
        <v>106541.57</v>
      </c>
      <c r="AE239" s="30" t="n">
        <f aca="false">MAX(AE238,AD239)</f>
        <v>106588.89</v>
      </c>
      <c r="AF239" s="30" t="n">
        <f aca="false">AE239-AD239</f>
        <v>47.3199999999924</v>
      </c>
      <c r="AG239" s="29" t="n">
        <f aca="false">IFERROR(AF239/AE239,0)</f>
        <v>0.000443948707975029</v>
      </c>
    </row>
    <row r="240" customFormat="false" ht="15" hidden="false" customHeight="false" outlineLevel="0" collapsed="false">
      <c r="A240" s="28" t="n">
        <v>239</v>
      </c>
      <c r="B240" s="43" t="n">
        <v>45358.1840277778</v>
      </c>
      <c r="C240" s="43" t="n">
        <v>45358.1990625</v>
      </c>
      <c r="D240" s="42" t="n">
        <f aca="false">INT(C240)</f>
        <v>45358</v>
      </c>
      <c r="E240" s="42" t="n">
        <f aca="false">D240-WEEKDAY(D240,3)</f>
        <v>45355</v>
      </c>
      <c r="F240" s="28" t="s">
        <v>154</v>
      </c>
      <c r="G240" s="28" t="n">
        <v>2024</v>
      </c>
      <c r="H240" s="28" t="s">
        <v>239</v>
      </c>
      <c r="I240" s="28" t="n">
        <v>4</v>
      </c>
      <c r="J240" s="28" t="s">
        <v>236</v>
      </c>
      <c r="K240" s="28" t="s">
        <v>237</v>
      </c>
      <c r="L240" s="28" t="n">
        <v>0.26</v>
      </c>
      <c r="M240" s="31" t="n">
        <v>17912.56</v>
      </c>
      <c r="N240" s="31" t="n">
        <v>17924.43</v>
      </c>
      <c r="O240" s="31" t="n">
        <v>17888.82</v>
      </c>
      <c r="P240" s="44" t="n">
        <f aca="false">ABS(M240-N240)</f>
        <v>11.869999999999</v>
      </c>
      <c r="Q240" s="44" t="n">
        <f aca="false">IF(O240="","",ABS(O240-M240))</f>
        <v>23.7400000000016</v>
      </c>
      <c r="R240" s="30" t="n">
        <f aca="false">P240*L240*Summary!$C$6</f>
        <v>61.7239999999947</v>
      </c>
      <c r="S240" s="31" t="n">
        <v>17924.62</v>
      </c>
      <c r="T240" s="28" t="s">
        <v>241</v>
      </c>
      <c r="U240" s="44" t="n">
        <f aca="false">IF(J240="BUY",S240-M240,M240-S240)</f>
        <v>-12.0599999999977</v>
      </c>
      <c r="V240" s="45" t="n">
        <v>0</v>
      </c>
      <c r="W240" s="45" t="n">
        <v>0</v>
      </c>
      <c r="X240" s="45" t="n">
        <v>-62.71</v>
      </c>
      <c r="Y240" s="32" t="n">
        <f aca="false">IFERROR(X240/R240,0)</f>
        <v>-1.01597433737291</v>
      </c>
      <c r="Z240" s="28" t="str">
        <f aca="false">IF(X240&gt;0,"Win",IF(X240&lt;0,"Loss","Flat"))</f>
        <v>Loss</v>
      </c>
      <c r="AA240" s="28" t="n">
        <f aca="false">ROUND((C240-B240)*1440,1)</f>
        <v>21.7</v>
      </c>
      <c r="AB240" s="28" t="str">
        <f aca="false">IF(AA240&lt;1,"a) &lt;1 min",IF(AA240&lt;10,"b) 1-10 min",IF(AA240&lt;60,"c) 10-60 min",IF(AA240&lt;240,"d) 1-4 h","e) 4 h+"))))</f>
        <v>c) 10-60 min</v>
      </c>
      <c r="AC240" s="28" t="str">
        <f aca="false">IF(P240&lt;10,"a) &lt;10",IF(P240&lt;20,"b) 10-20",IF(P240&lt;40,"c) 20-40",IF(P240&lt;80,"d) 40-80","e) 80+"))))</f>
        <v>b) 10-20</v>
      </c>
      <c r="AD240" s="30" t="n">
        <f aca="false">Summary!$C$5+SUM(X$2:X240)</f>
        <v>106478.86</v>
      </c>
      <c r="AE240" s="30" t="n">
        <f aca="false">MAX(AE239,AD240)</f>
        <v>106588.89</v>
      </c>
      <c r="AF240" s="30" t="n">
        <f aca="false">AE240-AD240</f>
        <v>110.029999999999</v>
      </c>
      <c r="AG240" s="29" t="n">
        <f aca="false">IFERROR(AF240/AE240,0)</f>
        <v>0.0010322839462912</v>
      </c>
    </row>
    <row r="241" customFormat="false" ht="15" hidden="false" customHeight="false" outlineLevel="0" collapsed="false">
      <c r="A241" s="28" t="n">
        <v>240</v>
      </c>
      <c r="B241" s="43" t="n">
        <v>45358.6805555556</v>
      </c>
      <c r="C241" s="43" t="n">
        <v>45358.6883449074</v>
      </c>
      <c r="D241" s="42" t="n">
        <f aca="false">INT(C241)</f>
        <v>45358</v>
      </c>
      <c r="E241" s="42" t="n">
        <f aca="false">D241-WEEKDAY(D241,3)</f>
        <v>45355</v>
      </c>
      <c r="F241" s="28" t="s">
        <v>154</v>
      </c>
      <c r="G241" s="28" t="n">
        <v>2024</v>
      </c>
      <c r="H241" s="28" t="s">
        <v>239</v>
      </c>
      <c r="I241" s="28" t="n">
        <v>16</v>
      </c>
      <c r="J241" s="28" t="s">
        <v>233</v>
      </c>
      <c r="K241" s="28" t="s">
        <v>234</v>
      </c>
      <c r="L241" s="28" t="n">
        <v>0.26</v>
      </c>
      <c r="M241" s="31" t="n">
        <v>18151.05</v>
      </c>
      <c r="N241" s="31" t="n">
        <v>18135.31</v>
      </c>
      <c r="O241" s="31" t="n">
        <v>18181.12</v>
      </c>
      <c r="P241" s="44" t="n">
        <f aca="false">ABS(M241-N241)</f>
        <v>15.739999999998</v>
      </c>
      <c r="Q241" s="44" t="n">
        <f aca="false">IF(O241="","",ABS(O241-M241))</f>
        <v>30.0699999999997</v>
      </c>
      <c r="R241" s="30" t="n">
        <f aca="false">P241*L241*Summary!$C$6</f>
        <v>81.8479999999894</v>
      </c>
      <c r="S241" s="31" t="n">
        <v>18150.12</v>
      </c>
      <c r="T241" s="28" t="s">
        <v>238</v>
      </c>
      <c r="U241" s="44" t="n">
        <f aca="false">IF(J241="BUY",S241-M241,M241-S241)</f>
        <v>-0.930000000000291</v>
      </c>
      <c r="V241" s="45" t="n">
        <v>0</v>
      </c>
      <c r="W241" s="45" t="n">
        <v>0</v>
      </c>
      <c r="X241" s="45" t="n">
        <v>-4.84</v>
      </c>
      <c r="Y241" s="32" t="n">
        <f aca="false">IFERROR(X241/R241,0)</f>
        <v>-0.0591340044961468</v>
      </c>
      <c r="Z241" s="28" t="str">
        <f aca="false">IF(X241&gt;0,"Win",IF(X241&lt;0,"Loss","Flat"))</f>
        <v>Loss</v>
      </c>
      <c r="AA241" s="28" t="n">
        <f aca="false">ROUND((C241-B241)*1440,1)</f>
        <v>11.2</v>
      </c>
      <c r="AB241" s="28" t="str">
        <f aca="false">IF(AA241&lt;1,"a) &lt;1 min",IF(AA241&lt;10,"b) 1-10 min",IF(AA241&lt;60,"c) 10-60 min",IF(AA241&lt;240,"d) 1-4 h","e) 4 h+"))))</f>
        <v>c) 10-60 min</v>
      </c>
      <c r="AC241" s="28" t="str">
        <f aca="false">IF(P241&lt;10,"a) &lt;10",IF(P241&lt;20,"b) 10-20",IF(P241&lt;40,"c) 20-40",IF(P241&lt;80,"d) 40-80","e) 80+"))))</f>
        <v>b) 10-20</v>
      </c>
      <c r="AD241" s="30" t="n">
        <f aca="false">Summary!$C$5+SUM(X$2:X241)</f>
        <v>106474.02</v>
      </c>
      <c r="AE241" s="30" t="n">
        <f aca="false">MAX(AE240,AD241)</f>
        <v>106588.89</v>
      </c>
      <c r="AF241" s="30" t="n">
        <f aca="false">AE241-AD241</f>
        <v>114.869999999995</v>
      </c>
      <c r="AG241" s="29" t="n">
        <f aca="false">IFERROR(AF241/AE241,0)</f>
        <v>0.00107769205589809</v>
      </c>
    </row>
    <row r="242" customFormat="false" ht="15" hidden="false" customHeight="false" outlineLevel="0" collapsed="false">
      <c r="A242" s="28" t="n">
        <v>241</v>
      </c>
      <c r="B242" s="43" t="n">
        <v>45359.6472222222</v>
      </c>
      <c r="C242" s="43" t="n">
        <v>45359.6486342593</v>
      </c>
      <c r="D242" s="42" t="n">
        <f aca="false">INT(C242)</f>
        <v>45359</v>
      </c>
      <c r="E242" s="42" t="n">
        <f aca="false">D242-WEEKDAY(D242,3)</f>
        <v>45355</v>
      </c>
      <c r="F242" s="28" t="s">
        <v>154</v>
      </c>
      <c r="G242" s="28" t="n">
        <v>2024</v>
      </c>
      <c r="H242" s="28" t="s">
        <v>242</v>
      </c>
      <c r="I242" s="28" t="n">
        <v>15</v>
      </c>
      <c r="J242" s="28" t="s">
        <v>233</v>
      </c>
      <c r="K242" s="28" t="s">
        <v>234</v>
      </c>
      <c r="L242" s="28" t="n">
        <v>0.26</v>
      </c>
      <c r="M242" s="31" t="n">
        <v>18345.71</v>
      </c>
      <c r="N242" s="31" t="n">
        <v>18301.22</v>
      </c>
      <c r="O242" s="31" t="n">
        <v>18437.06</v>
      </c>
      <c r="P242" s="44" t="n">
        <f aca="false">ABS(M242-N242)</f>
        <v>44.489999999998</v>
      </c>
      <c r="Q242" s="44" t="n">
        <f aca="false">IF(O242="","",ABS(O242-M242))</f>
        <v>91.3500000000022</v>
      </c>
      <c r="R242" s="30" t="n">
        <f aca="false">P242*L242*Summary!$C$6</f>
        <v>231.347999999989</v>
      </c>
      <c r="S242" s="31" t="n">
        <v>18299.08</v>
      </c>
      <c r="T242" s="28" t="s">
        <v>241</v>
      </c>
      <c r="U242" s="44" t="n">
        <f aca="false">IF(J242="BUY",S242-M242,M242-S242)</f>
        <v>-46.6299999999974</v>
      </c>
      <c r="V242" s="45" t="n">
        <v>0</v>
      </c>
      <c r="W242" s="45" t="n">
        <v>0</v>
      </c>
      <c r="X242" s="45" t="n">
        <v>-242.48</v>
      </c>
      <c r="Y242" s="32" t="n">
        <f aca="false">IFERROR(X242/R242,0)</f>
        <v>-1.04811798675593</v>
      </c>
      <c r="Z242" s="28" t="str">
        <f aca="false">IF(X242&gt;0,"Win",IF(X242&lt;0,"Loss","Flat"))</f>
        <v>Loss</v>
      </c>
      <c r="AA242" s="28" t="n">
        <f aca="false">ROUND((C242-B242)*1440,1)</f>
        <v>2</v>
      </c>
      <c r="AB242" s="28" t="str">
        <f aca="false">IF(AA242&lt;1,"a) &lt;1 min",IF(AA242&lt;10,"b) 1-10 min",IF(AA242&lt;60,"c) 10-60 min",IF(AA242&lt;240,"d) 1-4 h","e) 4 h+"))))</f>
        <v>b) 1-10 min</v>
      </c>
      <c r="AC242" s="28" t="str">
        <f aca="false">IF(P242&lt;10,"a) &lt;10",IF(P242&lt;20,"b) 10-20",IF(P242&lt;40,"c) 20-40",IF(P242&lt;80,"d) 40-80","e) 80+"))))</f>
        <v>d) 40-80</v>
      </c>
      <c r="AD242" s="30" t="n">
        <f aca="false">Summary!$C$5+SUM(X$2:X242)</f>
        <v>106231.54</v>
      </c>
      <c r="AE242" s="30" t="n">
        <f aca="false">MAX(AE241,AD242)</f>
        <v>106588.89</v>
      </c>
      <c r="AF242" s="30" t="n">
        <f aca="false">AE242-AD242</f>
        <v>357.350000000006</v>
      </c>
      <c r="AG242" s="29" t="n">
        <f aca="false">IFERROR(AF242/AE242,0)</f>
        <v>0.0033526008198416</v>
      </c>
    </row>
    <row r="243" customFormat="false" ht="15" hidden="false" customHeight="false" outlineLevel="0" collapsed="false">
      <c r="A243" s="28" t="n">
        <v>242</v>
      </c>
      <c r="B243" s="43" t="n">
        <v>45362.0583333333</v>
      </c>
      <c r="C243" s="43" t="n">
        <v>45362.0639583333</v>
      </c>
      <c r="D243" s="42" t="n">
        <f aca="false">INT(C243)</f>
        <v>45362</v>
      </c>
      <c r="E243" s="42" t="n">
        <f aca="false">D243-WEEKDAY(D243,3)</f>
        <v>45362</v>
      </c>
      <c r="F243" s="28" t="s">
        <v>154</v>
      </c>
      <c r="G243" s="28" t="n">
        <v>2024</v>
      </c>
      <c r="H243" s="28" t="s">
        <v>240</v>
      </c>
      <c r="I243" s="28" t="n">
        <v>1</v>
      </c>
      <c r="J243" s="28" t="s">
        <v>236</v>
      </c>
      <c r="K243" s="28" t="s">
        <v>237</v>
      </c>
      <c r="L243" s="28" t="n">
        <v>0.26</v>
      </c>
      <c r="M243" s="31" t="n">
        <v>17986.08</v>
      </c>
      <c r="N243" s="31" t="n">
        <v>18006.33</v>
      </c>
      <c r="O243" s="31" t="n">
        <v>17945.58</v>
      </c>
      <c r="P243" s="44" t="n">
        <f aca="false">ABS(M243-N243)</f>
        <v>20.25</v>
      </c>
      <c r="Q243" s="44" t="n">
        <f aca="false">IF(O243="","",ABS(O243-M243))</f>
        <v>40.5</v>
      </c>
      <c r="R243" s="30" t="n">
        <f aca="false">P243*L243*Summary!$C$6</f>
        <v>105.3</v>
      </c>
      <c r="S243" s="31" t="n">
        <v>18006.72</v>
      </c>
      <c r="T243" s="28" t="s">
        <v>241</v>
      </c>
      <c r="U243" s="44" t="n">
        <f aca="false">IF(J243="BUY",S243-M243,M243-S243)</f>
        <v>-20.6399999999994</v>
      </c>
      <c r="V243" s="45" t="n">
        <v>0</v>
      </c>
      <c r="W243" s="45" t="n">
        <v>0</v>
      </c>
      <c r="X243" s="45" t="n">
        <v>-107.33</v>
      </c>
      <c r="Y243" s="32" t="n">
        <f aca="false">IFERROR(X243/R243,0)</f>
        <v>-1.01927825261159</v>
      </c>
      <c r="Z243" s="28" t="str">
        <f aca="false">IF(X243&gt;0,"Win",IF(X243&lt;0,"Loss","Flat"))</f>
        <v>Loss</v>
      </c>
      <c r="AA243" s="28" t="n">
        <f aca="false">ROUND((C243-B243)*1440,1)</f>
        <v>8.1</v>
      </c>
      <c r="AB243" s="28" t="str">
        <f aca="false">IF(AA243&lt;1,"a) &lt;1 min",IF(AA243&lt;10,"b) 1-10 min",IF(AA243&lt;60,"c) 10-60 min",IF(AA243&lt;240,"d) 1-4 h","e) 4 h+"))))</f>
        <v>b) 1-10 min</v>
      </c>
      <c r="AC243" s="28" t="str">
        <f aca="false">IF(P243&lt;10,"a) &lt;10",IF(P243&lt;20,"b) 10-20",IF(P243&lt;40,"c) 20-40",IF(P243&lt;80,"d) 40-80","e) 80+"))))</f>
        <v>c) 20-40</v>
      </c>
      <c r="AD243" s="30" t="n">
        <f aca="false">Summary!$C$5+SUM(X$2:X243)</f>
        <v>106124.21</v>
      </c>
      <c r="AE243" s="30" t="n">
        <f aca="false">MAX(AE242,AD243)</f>
        <v>106588.89</v>
      </c>
      <c r="AF243" s="30" t="n">
        <f aca="false">AE243-AD243</f>
        <v>464.679999999993</v>
      </c>
      <c r="AG243" s="29" t="n">
        <f aca="false">IFERROR(AF243/AE243,0)</f>
        <v>0.00435955379589743</v>
      </c>
    </row>
    <row r="244" customFormat="false" ht="15" hidden="false" customHeight="false" outlineLevel="0" collapsed="false">
      <c r="A244" s="28" t="n">
        <v>243</v>
      </c>
      <c r="B244" s="43" t="n">
        <v>45363.1444444444</v>
      </c>
      <c r="C244" s="43" t="n">
        <v>45363.1505555556</v>
      </c>
      <c r="D244" s="42" t="n">
        <f aca="false">INT(C244)</f>
        <v>45363</v>
      </c>
      <c r="E244" s="42" t="n">
        <f aca="false">D244-WEEKDAY(D244,3)</f>
        <v>45362</v>
      </c>
      <c r="F244" s="28" t="s">
        <v>154</v>
      </c>
      <c r="G244" s="28" t="n">
        <v>2024</v>
      </c>
      <c r="H244" s="28" t="s">
        <v>232</v>
      </c>
      <c r="I244" s="28" t="n">
        <v>3</v>
      </c>
      <c r="J244" s="28" t="s">
        <v>233</v>
      </c>
      <c r="K244" s="28" t="s">
        <v>234</v>
      </c>
      <c r="L244" s="28" t="n">
        <v>0.26</v>
      </c>
      <c r="M244" s="31" t="n">
        <v>18038.42</v>
      </c>
      <c r="N244" s="31" t="n">
        <v>18033.49</v>
      </c>
      <c r="O244" s="31" t="n">
        <v>18048.28</v>
      </c>
      <c r="P244" s="44" t="n">
        <f aca="false">ABS(M244-N244)</f>
        <v>4.92999999999665</v>
      </c>
      <c r="Q244" s="44" t="n">
        <f aca="false">IF(O244="","",ABS(O244-M244))</f>
        <v>9.86000000000058</v>
      </c>
      <c r="R244" s="30" t="n">
        <f aca="false">P244*L244*Summary!$C$6</f>
        <v>25.6359999999826</v>
      </c>
      <c r="S244" s="31" t="n">
        <v>18048.48</v>
      </c>
      <c r="T244" s="28" t="s">
        <v>214</v>
      </c>
      <c r="U244" s="44" t="n">
        <f aca="false">IF(J244="BUY",S244-M244,M244-S244)</f>
        <v>10.0600000000013</v>
      </c>
      <c r="V244" s="45" t="n">
        <v>0</v>
      </c>
      <c r="W244" s="45" t="n">
        <v>0</v>
      </c>
      <c r="X244" s="45" t="n">
        <v>52.31</v>
      </c>
      <c r="Y244" s="32" t="n">
        <f aca="false">IFERROR(X244/R244,0)</f>
        <v>2.04048993602885</v>
      </c>
      <c r="Z244" s="28" t="str">
        <f aca="false">IF(X244&gt;0,"Win",IF(X244&lt;0,"Loss","Flat"))</f>
        <v>Win</v>
      </c>
      <c r="AA244" s="28" t="n">
        <f aca="false">ROUND((C244-B244)*1440,1)</f>
        <v>8.8</v>
      </c>
      <c r="AB244" s="28" t="str">
        <f aca="false">IF(AA244&lt;1,"a) &lt;1 min",IF(AA244&lt;10,"b) 1-10 min",IF(AA244&lt;60,"c) 10-60 min",IF(AA244&lt;240,"d) 1-4 h","e) 4 h+"))))</f>
        <v>b) 1-10 min</v>
      </c>
      <c r="AC244" s="28" t="str">
        <f aca="false">IF(P244&lt;10,"a) &lt;10",IF(P244&lt;20,"b) 10-20",IF(P244&lt;40,"c) 20-40",IF(P244&lt;80,"d) 40-80","e) 80+"))))</f>
        <v>a) &lt;10</v>
      </c>
      <c r="AD244" s="30" t="n">
        <f aca="false">Summary!$C$5+SUM(X$2:X244)</f>
        <v>106176.52</v>
      </c>
      <c r="AE244" s="30" t="n">
        <f aca="false">MAX(AE243,AD244)</f>
        <v>106588.89</v>
      </c>
      <c r="AF244" s="30" t="n">
        <f aca="false">AE244-AD244</f>
        <v>412.369999999995</v>
      </c>
      <c r="AG244" s="29" t="n">
        <f aca="false">IFERROR(AF244/AE244,0)</f>
        <v>0.00386878970219125</v>
      </c>
    </row>
    <row r="245" customFormat="false" ht="15" hidden="false" customHeight="false" outlineLevel="0" collapsed="false">
      <c r="A245" s="28" t="n">
        <v>244</v>
      </c>
      <c r="B245" s="43" t="n">
        <v>45364.4194444444</v>
      </c>
      <c r="C245" s="43" t="n">
        <v>45364.4206828704</v>
      </c>
      <c r="D245" s="42" t="n">
        <f aca="false">INT(C245)</f>
        <v>45364</v>
      </c>
      <c r="E245" s="42" t="n">
        <f aca="false">D245-WEEKDAY(D245,3)</f>
        <v>45362</v>
      </c>
      <c r="F245" s="28" t="s">
        <v>154</v>
      </c>
      <c r="G245" s="28" t="n">
        <v>2024</v>
      </c>
      <c r="H245" s="28" t="s">
        <v>235</v>
      </c>
      <c r="I245" s="28" t="n">
        <v>10</v>
      </c>
      <c r="J245" s="28" t="s">
        <v>233</v>
      </c>
      <c r="K245" s="28" t="s">
        <v>234</v>
      </c>
      <c r="L245" s="28" t="n">
        <v>0.26</v>
      </c>
      <c r="M245" s="31" t="n">
        <v>18235.28</v>
      </c>
      <c r="N245" s="31" t="n">
        <v>18227.02</v>
      </c>
      <c r="O245" s="31" t="n">
        <v>18251.8</v>
      </c>
      <c r="P245" s="44" t="n">
        <f aca="false">ABS(M245-N245)</f>
        <v>8.2599999999984</v>
      </c>
      <c r="Q245" s="44" t="n">
        <f aca="false">IF(O245="","",ABS(O245-M245))</f>
        <v>16.5200000000004</v>
      </c>
      <c r="R245" s="30" t="n">
        <f aca="false">P245*L245*Summary!$C$6</f>
        <v>42.9519999999917</v>
      </c>
      <c r="S245" s="31" t="n">
        <v>18226.76</v>
      </c>
      <c r="T245" s="28" t="s">
        <v>241</v>
      </c>
      <c r="U245" s="44" t="n">
        <f aca="false">IF(J245="BUY",S245-M245,M245-S245)</f>
        <v>-8.52000000000044</v>
      </c>
      <c r="V245" s="45" t="n">
        <v>0</v>
      </c>
      <c r="W245" s="45" t="n">
        <v>0</v>
      </c>
      <c r="X245" s="45" t="n">
        <v>-44.3</v>
      </c>
      <c r="Y245" s="32" t="n">
        <f aca="false">IFERROR(X245/R245,0)</f>
        <v>-1.03138387036712</v>
      </c>
      <c r="Z245" s="28" t="str">
        <f aca="false">IF(X245&gt;0,"Win",IF(X245&lt;0,"Loss","Flat"))</f>
        <v>Loss</v>
      </c>
      <c r="AA245" s="28" t="n">
        <f aca="false">ROUND((C245-B245)*1440,1)</f>
        <v>1.8</v>
      </c>
      <c r="AB245" s="28" t="str">
        <f aca="false">IF(AA245&lt;1,"a) &lt;1 min",IF(AA245&lt;10,"b) 1-10 min",IF(AA245&lt;60,"c) 10-60 min",IF(AA245&lt;240,"d) 1-4 h","e) 4 h+"))))</f>
        <v>b) 1-10 min</v>
      </c>
      <c r="AC245" s="28" t="str">
        <f aca="false">IF(P245&lt;10,"a) &lt;10",IF(P245&lt;20,"b) 10-20",IF(P245&lt;40,"c) 20-40",IF(P245&lt;80,"d) 40-80","e) 80+"))))</f>
        <v>a) &lt;10</v>
      </c>
      <c r="AD245" s="30" t="n">
        <f aca="false">Summary!$C$5+SUM(X$2:X245)</f>
        <v>106132.22</v>
      </c>
      <c r="AE245" s="30" t="n">
        <f aca="false">MAX(AE244,AD245)</f>
        <v>106588.89</v>
      </c>
      <c r="AF245" s="30" t="n">
        <f aca="false">AE245-AD245</f>
        <v>456.669999999998</v>
      </c>
      <c r="AG245" s="29" t="n">
        <f aca="false">IFERROR(AF245/AE245,0)</f>
        <v>0.00428440525086619</v>
      </c>
    </row>
    <row r="246" customFormat="false" ht="15" hidden="false" customHeight="false" outlineLevel="0" collapsed="false">
      <c r="A246" s="28" t="n">
        <v>245</v>
      </c>
      <c r="B246" s="43" t="n">
        <v>45365.7013888889</v>
      </c>
      <c r="C246" s="43" t="n">
        <v>45365.7161458333</v>
      </c>
      <c r="D246" s="42" t="n">
        <f aca="false">INT(C246)</f>
        <v>45365</v>
      </c>
      <c r="E246" s="42" t="n">
        <f aca="false">D246-WEEKDAY(D246,3)</f>
        <v>45362</v>
      </c>
      <c r="F246" s="28" t="s">
        <v>154</v>
      </c>
      <c r="G246" s="28" t="n">
        <v>2024</v>
      </c>
      <c r="H246" s="28" t="s">
        <v>239</v>
      </c>
      <c r="I246" s="28" t="n">
        <v>16</v>
      </c>
      <c r="J246" s="28" t="s">
        <v>236</v>
      </c>
      <c r="K246" s="28" t="s">
        <v>237</v>
      </c>
      <c r="L246" s="28" t="n">
        <v>0.26</v>
      </c>
      <c r="M246" s="31" t="n">
        <v>18021.75</v>
      </c>
      <c r="N246" s="31" t="n">
        <v>18065.32</v>
      </c>
      <c r="O246" s="31" t="n">
        <v>17934.61</v>
      </c>
      <c r="P246" s="44" t="n">
        <f aca="false">ABS(M246-N246)</f>
        <v>43.5699999999997</v>
      </c>
      <c r="Q246" s="44" t="n">
        <f aca="false">IF(O246="","",ABS(O246-M246))</f>
        <v>87.1399999999994</v>
      </c>
      <c r="R246" s="30" t="n">
        <f aca="false">P246*L246*Summary!$C$6</f>
        <v>226.563999999999</v>
      </c>
      <c r="S246" s="31" t="n">
        <v>18022.64</v>
      </c>
      <c r="T246" s="28" t="s">
        <v>238</v>
      </c>
      <c r="U246" s="44" t="n">
        <f aca="false">IF(J246="BUY",S246-M246,M246-S246)</f>
        <v>-0.889999999999418</v>
      </c>
      <c r="V246" s="45" t="n">
        <v>0</v>
      </c>
      <c r="W246" s="45" t="n">
        <v>0</v>
      </c>
      <c r="X246" s="45" t="n">
        <v>-4.63</v>
      </c>
      <c r="Y246" s="32" t="n">
        <f aca="false">IFERROR(X246/R246,0)</f>
        <v>-0.0204357267703608</v>
      </c>
      <c r="Z246" s="28" t="str">
        <f aca="false">IF(X246&gt;0,"Win",IF(X246&lt;0,"Loss","Flat"))</f>
        <v>Loss</v>
      </c>
      <c r="AA246" s="28" t="n">
        <f aca="false">ROUND((C246-B246)*1440,1)</f>
        <v>21.3</v>
      </c>
      <c r="AB246" s="28" t="str">
        <f aca="false">IF(AA246&lt;1,"a) &lt;1 min",IF(AA246&lt;10,"b) 1-10 min",IF(AA246&lt;60,"c) 10-60 min",IF(AA246&lt;240,"d) 1-4 h","e) 4 h+"))))</f>
        <v>c) 10-60 min</v>
      </c>
      <c r="AC246" s="28" t="str">
        <f aca="false">IF(P246&lt;10,"a) &lt;10",IF(P246&lt;20,"b) 10-20",IF(P246&lt;40,"c) 20-40",IF(P246&lt;80,"d) 40-80","e) 80+"))))</f>
        <v>d) 40-80</v>
      </c>
      <c r="AD246" s="30" t="n">
        <f aca="false">Summary!$C$5+SUM(X$2:X246)</f>
        <v>106127.59</v>
      </c>
      <c r="AE246" s="30" t="n">
        <f aca="false">MAX(AE245,AD246)</f>
        <v>106588.89</v>
      </c>
      <c r="AF246" s="30" t="n">
        <f aca="false">AE246-AD246</f>
        <v>461.300000000003</v>
      </c>
      <c r="AG246" s="29" t="n">
        <f aca="false">IFERROR(AF246/AE246,0)</f>
        <v>0.0043278431738993</v>
      </c>
    </row>
    <row r="247" customFormat="false" ht="15" hidden="false" customHeight="false" outlineLevel="0" collapsed="false">
      <c r="A247" s="28" t="n">
        <v>246</v>
      </c>
      <c r="B247" s="43" t="n">
        <v>45366.6868055556</v>
      </c>
      <c r="C247" s="43" t="n">
        <v>45366.6876388889</v>
      </c>
      <c r="D247" s="42" t="n">
        <f aca="false">INT(C247)</f>
        <v>45366</v>
      </c>
      <c r="E247" s="42" t="n">
        <f aca="false">D247-WEEKDAY(D247,3)</f>
        <v>45362</v>
      </c>
      <c r="F247" s="28" t="s">
        <v>154</v>
      </c>
      <c r="G247" s="28" t="n">
        <v>2024</v>
      </c>
      <c r="H247" s="28" t="s">
        <v>242</v>
      </c>
      <c r="I247" s="28" t="n">
        <v>16</v>
      </c>
      <c r="J247" s="28" t="s">
        <v>236</v>
      </c>
      <c r="K247" s="28" t="s">
        <v>237</v>
      </c>
      <c r="L247" s="28" t="n">
        <v>0.26</v>
      </c>
      <c r="M247" s="31" t="n">
        <v>17890.7</v>
      </c>
      <c r="N247" s="31" t="n">
        <v>17920.07</v>
      </c>
      <c r="O247" s="31" t="n">
        <v>17831.96</v>
      </c>
      <c r="P247" s="44" t="n">
        <f aca="false">ABS(M247-N247)</f>
        <v>29.369999999999</v>
      </c>
      <c r="Q247" s="44" t="n">
        <f aca="false">IF(O247="","",ABS(O247-M247))</f>
        <v>58.7400000000016</v>
      </c>
      <c r="R247" s="30" t="n">
        <f aca="false">P247*L247*Summary!$C$6</f>
        <v>152.723999999995</v>
      </c>
      <c r="S247" s="31" t="n">
        <v>17920.67</v>
      </c>
      <c r="T247" s="28" t="s">
        <v>241</v>
      </c>
      <c r="U247" s="44" t="n">
        <f aca="false">IF(J247="BUY",S247-M247,M247-S247)</f>
        <v>-29.9699999999975</v>
      </c>
      <c r="V247" s="45" t="n">
        <v>0</v>
      </c>
      <c r="W247" s="45" t="n">
        <v>0</v>
      </c>
      <c r="X247" s="45" t="n">
        <v>-155.84</v>
      </c>
      <c r="Y247" s="32" t="n">
        <f aca="false">IFERROR(X247/R247,0)</f>
        <v>-1.02040281815566</v>
      </c>
      <c r="Z247" s="28" t="str">
        <f aca="false">IF(X247&gt;0,"Win",IF(X247&lt;0,"Loss","Flat"))</f>
        <v>Loss</v>
      </c>
      <c r="AA247" s="28" t="n">
        <f aca="false">ROUND((C247-B247)*1440,1)</f>
        <v>1.2</v>
      </c>
      <c r="AB247" s="28" t="str">
        <f aca="false">IF(AA247&lt;1,"a) &lt;1 min",IF(AA247&lt;10,"b) 1-10 min",IF(AA247&lt;60,"c) 10-60 min",IF(AA247&lt;240,"d) 1-4 h","e) 4 h+"))))</f>
        <v>b) 1-10 min</v>
      </c>
      <c r="AC247" s="28" t="str">
        <f aca="false">IF(P247&lt;10,"a) &lt;10",IF(P247&lt;20,"b) 10-20",IF(P247&lt;40,"c) 20-40",IF(P247&lt;80,"d) 40-80","e) 80+"))))</f>
        <v>c) 20-40</v>
      </c>
      <c r="AD247" s="30" t="n">
        <f aca="false">Summary!$C$5+SUM(X$2:X247)</f>
        <v>105971.75</v>
      </c>
      <c r="AE247" s="30" t="n">
        <f aca="false">MAX(AE246,AD247)</f>
        <v>106588.89</v>
      </c>
      <c r="AF247" s="30" t="n">
        <f aca="false">AE247-AD247</f>
        <v>617.139999999999</v>
      </c>
      <c r="AG247" s="29" t="n">
        <f aca="false">IFERROR(AF247/AE247,0)</f>
        <v>0.00578990924851548</v>
      </c>
    </row>
    <row r="248" customFormat="false" ht="15" hidden="false" customHeight="false" outlineLevel="0" collapsed="false">
      <c r="A248" s="28" t="n">
        <v>247</v>
      </c>
      <c r="B248" s="43" t="n">
        <v>45369.6916666667</v>
      </c>
      <c r="C248" s="43" t="n">
        <v>45369.7064467593</v>
      </c>
      <c r="D248" s="42" t="n">
        <f aca="false">INT(C248)</f>
        <v>45369</v>
      </c>
      <c r="E248" s="42" t="n">
        <f aca="false">D248-WEEKDAY(D248,3)</f>
        <v>45369</v>
      </c>
      <c r="F248" s="28" t="s">
        <v>154</v>
      </c>
      <c r="G248" s="28" t="n">
        <v>2024</v>
      </c>
      <c r="H248" s="28" t="s">
        <v>240</v>
      </c>
      <c r="I248" s="28" t="n">
        <v>16</v>
      </c>
      <c r="J248" s="28" t="s">
        <v>233</v>
      </c>
      <c r="K248" s="28" t="s">
        <v>234</v>
      </c>
      <c r="L248" s="28" t="n">
        <v>0.26</v>
      </c>
      <c r="M248" s="31" t="n">
        <v>18089.9</v>
      </c>
      <c r="N248" s="31" t="n">
        <v>18057.67</v>
      </c>
      <c r="O248" s="31" t="n">
        <v>18154.37</v>
      </c>
      <c r="P248" s="44" t="n">
        <f aca="false">ABS(M248-N248)</f>
        <v>32.2300000000032</v>
      </c>
      <c r="Q248" s="44" t="n">
        <f aca="false">IF(O248="","",ABS(O248-M248))</f>
        <v>64.4699999999975</v>
      </c>
      <c r="R248" s="30" t="n">
        <f aca="false">P248*L248*Summary!$C$6</f>
        <v>167.596000000017</v>
      </c>
      <c r="S248" s="31" t="n">
        <v>18057.41</v>
      </c>
      <c r="T248" s="28" t="s">
        <v>241</v>
      </c>
      <c r="U248" s="44" t="n">
        <f aca="false">IF(J248="BUY",S248-M248,M248-S248)</f>
        <v>-32.4900000000016</v>
      </c>
      <c r="V248" s="45" t="n">
        <v>0</v>
      </c>
      <c r="W248" s="45" t="n">
        <v>0</v>
      </c>
      <c r="X248" s="45" t="n">
        <v>-168.95</v>
      </c>
      <c r="Y248" s="32" t="n">
        <f aca="false">IFERROR(X248/R248,0)</f>
        <v>-1.00807895176486</v>
      </c>
      <c r="Z248" s="28" t="str">
        <f aca="false">IF(X248&gt;0,"Win",IF(X248&lt;0,"Loss","Flat"))</f>
        <v>Loss</v>
      </c>
      <c r="AA248" s="28" t="n">
        <f aca="false">ROUND((C248-B248)*1440,1)</f>
        <v>21.3</v>
      </c>
      <c r="AB248" s="28" t="str">
        <f aca="false">IF(AA248&lt;1,"a) &lt;1 min",IF(AA248&lt;10,"b) 1-10 min",IF(AA248&lt;60,"c) 10-60 min",IF(AA248&lt;240,"d) 1-4 h","e) 4 h+"))))</f>
        <v>c) 10-60 min</v>
      </c>
      <c r="AC248" s="28" t="str">
        <f aca="false">IF(P248&lt;10,"a) &lt;10",IF(P248&lt;20,"b) 10-20",IF(P248&lt;40,"c) 20-40",IF(P248&lt;80,"d) 40-80","e) 80+"))))</f>
        <v>c) 20-40</v>
      </c>
      <c r="AD248" s="30" t="n">
        <f aca="false">Summary!$C$5+SUM(X$2:X248)</f>
        <v>105802.8</v>
      </c>
      <c r="AE248" s="30" t="n">
        <f aca="false">MAX(AE247,AD248)</f>
        <v>106588.89</v>
      </c>
      <c r="AF248" s="30" t="n">
        <f aca="false">AE248-AD248</f>
        <v>786.089999999997</v>
      </c>
      <c r="AG248" s="29" t="n">
        <f aca="false">IFERROR(AF248/AE248,0)</f>
        <v>0.00737497125638513</v>
      </c>
    </row>
    <row r="249" customFormat="false" ht="15" hidden="false" customHeight="false" outlineLevel="0" collapsed="false">
      <c r="A249" s="28" t="n">
        <v>248</v>
      </c>
      <c r="B249" s="43" t="n">
        <v>45370.6972222222</v>
      </c>
      <c r="C249" s="43" t="n">
        <v>45370.7025925926</v>
      </c>
      <c r="D249" s="42" t="n">
        <f aca="false">INT(C249)</f>
        <v>45370</v>
      </c>
      <c r="E249" s="42" t="n">
        <f aca="false">D249-WEEKDAY(D249,3)</f>
        <v>45369</v>
      </c>
      <c r="F249" s="28" t="s">
        <v>154</v>
      </c>
      <c r="G249" s="28" t="n">
        <v>2024</v>
      </c>
      <c r="H249" s="28" t="s">
        <v>232</v>
      </c>
      <c r="I249" s="28" t="n">
        <v>16</v>
      </c>
      <c r="J249" s="28" t="s">
        <v>236</v>
      </c>
      <c r="K249" s="28" t="s">
        <v>237</v>
      </c>
      <c r="L249" s="28" t="n">
        <v>0.26</v>
      </c>
      <c r="M249" s="31" t="n">
        <v>17807.28</v>
      </c>
      <c r="N249" s="31" t="n">
        <v>17839.09</v>
      </c>
      <c r="O249" s="31" t="n">
        <v>17745.52</v>
      </c>
      <c r="P249" s="44" t="n">
        <f aca="false">ABS(M249-N249)</f>
        <v>31.8100000000013</v>
      </c>
      <c r="Q249" s="44" t="n">
        <f aca="false">IF(O249="","",ABS(O249-M249))</f>
        <v>61.7599999999984</v>
      </c>
      <c r="R249" s="30" t="n">
        <f aca="false">P249*L249*Summary!$C$6</f>
        <v>165.412000000007</v>
      </c>
      <c r="S249" s="31" t="n">
        <v>17839.88</v>
      </c>
      <c r="T249" s="28" t="s">
        <v>241</v>
      </c>
      <c r="U249" s="44" t="n">
        <f aca="false">IF(J249="BUY",S249-M249,M249-S249)</f>
        <v>-32.6000000000022</v>
      </c>
      <c r="V249" s="45" t="n">
        <v>0</v>
      </c>
      <c r="W249" s="45" t="n">
        <v>0</v>
      </c>
      <c r="X249" s="45" t="n">
        <v>-169.52</v>
      </c>
      <c r="Y249" s="32" t="n">
        <f aca="false">IFERROR(X249/R249,0)</f>
        <v>-1.02483495756047</v>
      </c>
      <c r="Z249" s="28" t="str">
        <f aca="false">IF(X249&gt;0,"Win",IF(X249&lt;0,"Loss","Flat"))</f>
        <v>Loss</v>
      </c>
      <c r="AA249" s="28" t="n">
        <f aca="false">ROUND((C249-B249)*1440,1)</f>
        <v>7.7</v>
      </c>
      <c r="AB249" s="28" t="str">
        <f aca="false">IF(AA249&lt;1,"a) &lt;1 min",IF(AA249&lt;10,"b) 1-10 min",IF(AA249&lt;60,"c) 10-60 min",IF(AA249&lt;240,"d) 1-4 h","e) 4 h+"))))</f>
        <v>b) 1-10 min</v>
      </c>
      <c r="AC249" s="28" t="str">
        <f aca="false">IF(P249&lt;10,"a) &lt;10",IF(P249&lt;20,"b) 10-20",IF(P249&lt;40,"c) 20-40",IF(P249&lt;80,"d) 40-80","e) 80+"))))</f>
        <v>c) 20-40</v>
      </c>
      <c r="AD249" s="30" t="n">
        <f aca="false">Summary!$C$5+SUM(X$2:X249)</f>
        <v>105633.28</v>
      </c>
      <c r="AE249" s="30" t="n">
        <f aca="false">MAX(AE248,AD249)</f>
        <v>106588.89</v>
      </c>
      <c r="AF249" s="30" t="n">
        <f aca="false">AE249-AD249</f>
        <v>955.610000000001</v>
      </c>
      <c r="AG249" s="29" t="n">
        <f aca="false">IFERROR(AF249/AE249,0)</f>
        <v>0.00896538091352673</v>
      </c>
    </row>
    <row r="250" customFormat="false" ht="15" hidden="false" customHeight="false" outlineLevel="0" collapsed="false">
      <c r="A250" s="28" t="n">
        <v>249</v>
      </c>
      <c r="B250" s="43" t="n">
        <v>45371.5840277778</v>
      </c>
      <c r="C250" s="43" t="n">
        <v>45371.5891203704</v>
      </c>
      <c r="D250" s="42" t="n">
        <f aca="false">INT(C250)</f>
        <v>45371</v>
      </c>
      <c r="E250" s="42" t="n">
        <f aca="false">D250-WEEKDAY(D250,3)</f>
        <v>45369</v>
      </c>
      <c r="F250" s="28" t="s">
        <v>154</v>
      </c>
      <c r="G250" s="28" t="n">
        <v>2024</v>
      </c>
      <c r="H250" s="28" t="s">
        <v>235</v>
      </c>
      <c r="I250" s="28" t="n">
        <v>14</v>
      </c>
      <c r="J250" s="28" t="s">
        <v>233</v>
      </c>
      <c r="K250" s="28" t="s">
        <v>234</v>
      </c>
      <c r="L250" s="28" t="n">
        <v>0.26</v>
      </c>
      <c r="M250" s="31" t="n">
        <v>18040.03</v>
      </c>
      <c r="N250" s="31" t="n">
        <v>18032.18</v>
      </c>
      <c r="O250" s="31" t="n">
        <v>18055.73</v>
      </c>
      <c r="P250" s="44" t="n">
        <f aca="false">ABS(M250-N250)</f>
        <v>7.84999999999855</v>
      </c>
      <c r="Q250" s="44" t="n">
        <f aca="false">IF(O250="","",ABS(O250-M250))</f>
        <v>15.7000000000007</v>
      </c>
      <c r="R250" s="30" t="n">
        <f aca="false">P250*L250*Summary!$C$6</f>
        <v>40.8199999999924</v>
      </c>
      <c r="S250" s="31" t="n">
        <v>18055.81</v>
      </c>
      <c r="T250" s="28" t="s">
        <v>214</v>
      </c>
      <c r="U250" s="44" t="n">
        <f aca="false">IF(J250="BUY",S250-M250,M250-S250)</f>
        <v>15.7800000000025</v>
      </c>
      <c r="V250" s="45" t="n">
        <v>0</v>
      </c>
      <c r="W250" s="45" t="n">
        <v>0</v>
      </c>
      <c r="X250" s="45" t="n">
        <v>82.06</v>
      </c>
      <c r="Y250" s="32" t="n">
        <f aca="false">IFERROR(X250/R250,0)</f>
        <v>2.01028907398371</v>
      </c>
      <c r="Z250" s="28" t="str">
        <f aca="false">IF(X250&gt;0,"Win",IF(X250&lt;0,"Loss","Flat"))</f>
        <v>Win</v>
      </c>
      <c r="AA250" s="28" t="n">
        <f aca="false">ROUND((C250-B250)*1440,1)</f>
        <v>7.3</v>
      </c>
      <c r="AB250" s="28" t="str">
        <f aca="false">IF(AA250&lt;1,"a) &lt;1 min",IF(AA250&lt;10,"b) 1-10 min",IF(AA250&lt;60,"c) 10-60 min",IF(AA250&lt;240,"d) 1-4 h","e) 4 h+"))))</f>
        <v>b) 1-10 min</v>
      </c>
      <c r="AC250" s="28" t="str">
        <f aca="false">IF(P250&lt;10,"a) &lt;10",IF(P250&lt;20,"b) 10-20",IF(P250&lt;40,"c) 20-40",IF(P250&lt;80,"d) 40-80","e) 80+"))))</f>
        <v>a) &lt;10</v>
      </c>
      <c r="AD250" s="30" t="n">
        <f aca="false">Summary!$C$5+SUM(X$2:X250)</f>
        <v>105715.34</v>
      </c>
      <c r="AE250" s="30" t="n">
        <f aca="false">MAX(AE249,AD250)</f>
        <v>106588.89</v>
      </c>
      <c r="AF250" s="30" t="n">
        <f aca="false">AE250-AD250</f>
        <v>873.550000000003</v>
      </c>
      <c r="AG250" s="29" t="n">
        <f aca="false">IFERROR(AF250/AE250,0)</f>
        <v>0.00819550705519124</v>
      </c>
    </row>
    <row r="251" customFormat="false" ht="15" hidden="false" customHeight="false" outlineLevel="0" collapsed="false">
      <c r="A251" s="28" t="n">
        <v>250</v>
      </c>
      <c r="B251" s="43" t="n">
        <v>45372.0479166667</v>
      </c>
      <c r="C251" s="43" t="n">
        <v>45372.0555787037</v>
      </c>
      <c r="D251" s="42" t="n">
        <f aca="false">INT(C251)</f>
        <v>45372</v>
      </c>
      <c r="E251" s="42" t="n">
        <f aca="false">D251-WEEKDAY(D251,3)</f>
        <v>45369</v>
      </c>
      <c r="F251" s="28" t="s">
        <v>154</v>
      </c>
      <c r="G251" s="28" t="n">
        <v>2024</v>
      </c>
      <c r="H251" s="28" t="s">
        <v>239</v>
      </c>
      <c r="I251" s="28" t="n">
        <v>1</v>
      </c>
      <c r="J251" s="28" t="s">
        <v>233</v>
      </c>
      <c r="K251" s="28" t="s">
        <v>234</v>
      </c>
      <c r="L251" s="28" t="n">
        <v>0.25</v>
      </c>
      <c r="M251" s="31" t="n">
        <v>18299.41</v>
      </c>
      <c r="N251" s="31" t="n">
        <v>18285.99</v>
      </c>
      <c r="O251" s="31" t="n">
        <v>18326.26</v>
      </c>
      <c r="P251" s="44" t="n">
        <f aca="false">ABS(M251-N251)</f>
        <v>13.4199999999983</v>
      </c>
      <c r="Q251" s="44" t="n">
        <f aca="false">IF(O251="","",ABS(O251-M251))</f>
        <v>26.8499999999985</v>
      </c>
      <c r="R251" s="30" t="n">
        <f aca="false">P251*L251*Summary!$C$6</f>
        <v>67.0999999999913</v>
      </c>
      <c r="S251" s="31" t="n">
        <v>18298.52</v>
      </c>
      <c r="T251" s="28" t="s">
        <v>238</v>
      </c>
      <c r="U251" s="44" t="n">
        <f aca="false">IF(J251="BUY",S251-M251,M251-S251)</f>
        <v>-0.889999999999418</v>
      </c>
      <c r="V251" s="45" t="n">
        <v>0</v>
      </c>
      <c r="W251" s="45" t="n">
        <v>0</v>
      </c>
      <c r="X251" s="45" t="n">
        <v>-4.45</v>
      </c>
      <c r="Y251" s="32" t="n">
        <f aca="false">IFERROR(X251/R251,0)</f>
        <v>-0.0663189269746733</v>
      </c>
      <c r="Z251" s="28" t="str">
        <f aca="false">IF(X251&gt;0,"Win",IF(X251&lt;0,"Loss","Flat"))</f>
        <v>Loss</v>
      </c>
      <c r="AA251" s="28" t="n">
        <f aca="false">ROUND((C251-B251)*1440,1)</f>
        <v>11</v>
      </c>
      <c r="AB251" s="28" t="str">
        <f aca="false">IF(AA251&lt;1,"a) &lt;1 min",IF(AA251&lt;10,"b) 1-10 min",IF(AA251&lt;60,"c) 10-60 min",IF(AA251&lt;240,"d) 1-4 h","e) 4 h+"))))</f>
        <v>c) 10-60 min</v>
      </c>
      <c r="AC251" s="28" t="str">
        <f aca="false">IF(P251&lt;10,"a) &lt;10",IF(P251&lt;20,"b) 10-20",IF(P251&lt;40,"c) 20-40",IF(P251&lt;80,"d) 40-80","e) 80+"))))</f>
        <v>b) 10-20</v>
      </c>
      <c r="AD251" s="30" t="n">
        <f aca="false">Summary!$C$5+SUM(X$2:X251)</f>
        <v>105710.89</v>
      </c>
      <c r="AE251" s="30" t="n">
        <f aca="false">MAX(AE250,AD251)</f>
        <v>106588.89</v>
      </c>
      <c r="AF251" s="30" t="n">
        <f aca="false">AE251-AD251</f>
        <v>878</v>
      </c>
      <c r="AG251" s="29" t="n">
        <f aca="false">IFERROR(AF251/AE251,0)</f>
        <v>0.00823725624687526</v>
      </c>
    </row>
    <row r="252" customFormat="false" ht="15" hidden="false" customHeight="false" outlineLevel="0" collapsed="false">
      <c r="A252" s="28" t="n">
        <v>251</v>
      </c>
      <c r="B252" s="43" t="n">
        <v>45373.6159722222</v>
      </c>
      <c r="C252" s="43" t="n">
        <v>45373.6266087963</v>
      </c>
      <c r="D252" s="42" t="n">
        <f aca="false">INT(C252)</f>
        <v>45373</v>
      </c>
      <c r="E252" s="42" t="n">
        <f aca="false">D252-WEEKDAY(D252,3)</f>
        <v>45369</v>
      </c>
      <c r="F252" s="28" t="s">
        <v>154</v>
      </c>
      <c r="G252" s="28" t="n">
        <v>2024</v>
      </c>
      <c r="H252" s="28" t="s">
        <v>242</v>
      </c>
      <c r="I252" s="28" t="n">
        <v>14</v>
      </c>
      <c r="J252" s="28" t="s">
        <v>236</v>
      </c>
      <c r="K252" s="28" t="s">
        <v>237</v>
      </c>
      <c r="L252" s="28" t="n">
        <v>0.26</v>
      </c>
      <c r="M252" s="31" t="n">
        <v>18286.84</v>
      </c>
      <c r="N252" s="31" t="n">
        <v>18298.67</v>
      </c>
      <c r="O252" s="31" t="n">
        <v>18263.17</v>
      </c>
      <c r="P252" s="44" t="n">
        <f aca="false">ABS(M252-N252)</f>
        <v>11.8299999999981</v>
      </c>
      <c r="Q252" s="44" t="n">
        <f aca="false">IF(O252="","",ABS(O252-M252))</f>
        <v>23.6700000000019</v>
      </c>
      <c r="R252" s="30" t="n">
        <f aca="false">P252*L252*Summary!$C$6</f>
        <v>61.5159999999902</v>
      </c>
      <c r="S252" s="31" t="n">
        <v>18262.52</v>
      </c>
      <c r="T252" s="28" t="s">
        <v>214</v>
      </c>
      <c r="U252" s="44" t="n">
        <f aca="false">IF(J252="BUY",S252-M252,M252-S252)</f>
        <v>24.3199999999997</v>
      </c>
      <c r="V252" s="45" t="n">
        <v>0</v>
      </c>
      <c r="W252" s="45" t="n">
        <v>0</v>
      </c>
      <c r="X252" s="45" t="n">
        <v>126.46</v>
      </c>
      <c r="Y252" s="32" t="n">
        <f aca="false">IFERROR(X252/R252,0)</f>
        <v>2.05572533974934</v>
      </c>
      <c r="Z252" s="28" t="str">
        <f aca="false">IF(X252&gt;0,"Win",IF(X252&lt;0,"Loss","Flat"))</f>
        <v>Win</v>
      </c>
      <c r="AA252" s="28" t="n">
        <f aca="false">ROUND((C252-B252)*1440,1)</f>
        <v>15.3</v>
      </c>
      <c r="AB252" s="28" t="str">
        <f aca="false">IF(AA252&lt;1,"a) &lt;1 min",IF(AA252&lt;10,"b) 1-10 min",IF(AA252&lt;60,"c) 10-60 min",IF(AA252&lt;240,"d) 1-4 h","e) 4 h+"))))</f>
        <v>c) 10-60 min</v>
      </c>
      <c r="AC252" s="28" t="str">
        <f aca="false">IF(P252&lt;10,"a) &lt;10",IF(P252&lt;20,"b) 10-20",IF(P252&lt;40,"c) 20-40",IF(P252&lt;80,"d) 40-80","e) 80+"))))</f>
        <v>b) 10-20</v>
      </c>
      <c r="AD252" s="30" t="n">
        <f aca="false">Summary!$C$5+SUM(X$2:X252)</f>
        <v>105837.35</v>
      </c>
      <c r="AE252" s="30" t="n">
        <f aca="false">MAX(AE251,AD252)</f>
        <v>106588.89</v>
      </c>
      <c r="AF252" s="30" t="n">
        <f aca="false">AE252-AD252</f>
        <v>751.539999999994</v>
      </c>
      <c r="AG252" s="29" t="n">
        <f aca="false">IFERROR(AF252/AE252,0)</f>
        <v>0.00705082865578198</v>
      </c>
    </row>
    <row r="253" customFormat="false" ht="15" hidden="false" customHeight="false" outlineLevel="0" collapsed="false">
      <c r="A253" s="28" t="n">
        <v>252</v>
      </c>
      <c r="B253" s="43" t="n">
        <v>45376.5840277778</v>
      </c>
      <c r="C253" s="43" t="n">
        <v>45376.5904050926</v>
      </c>
      <c r="D253" s="42" t="n">
        <f aca="false">INT(C253)</f>
        <v>45376</v>
      </c>
      <c r="E253" s="42" t="n">
        <f aca="false">D253-WEEKDAY(D253,3)</f>
        <v>45376</v>
      </c>
      <c r="F253" s="28" t="s">
        <v>154</v>
      </c>
      <c r="G253" s="28" t="n">
        <v>2024</v>
      </c>
      <c r="H253" s="28" t="s">
        <v>240</v>
      </c>
      <c r="I253" s="28" t="n">
        <v>14</v>
      </c>
      <c r="J253" s="28" t="s">
        <v>236</v>
      </c>
      <c r="K253" s="28" t="s">
        <v>237</v>
      </c>
      <c r="L253" s="28" t="n">
        <v>0.26</v>
      </c>
      <c r="M253" s="31" t="n">
        <v>18249.52</v>
      </c>
      <c r="N253" s="31" t="n">
        <v>18258.77</v>
      </c>
      <c r="O253" s="31" t="n">
        <v>18231.02</v>
      </c>
      <c r="P253" s="44" t="n">
        <f aca="false">ABS(M253-N253)</f>
        <v>9.25</v>
      </c>
      <c r="Q253" s="44" t="n">
        <f aca="false">IF(O253="","",ABS(O253-M253))</f>
        <v>18.5</v>
      </c>
      <c r="R253" s="30" t="n">
        <f aca="false">P253*L253*Summary!$C$6</f>
        <v>48.1</v>
      </c>
      <c r="S253" s="31" t="n">
        <v>18230.86</v>
      </c>
      <c r="T253" s="28" t="s">
        <v>214</v>
      </c>
      <c r="U253" s="44" t="n">
        <f aca="false">IF(J253="BUY",S253-M253,M253-S253)</f>
        <v>18.6599999999999</v>
      </c>
      <c r="V253" s="45" t="n">
        <v>0</v>
      </c>
      <c r="W253" s="45" t="n">
        <v>0</v>
      </c>
      <c r="X253" s="45" t="n">
        <v>97.03</v>
      </c>
      <c r="Y253" s="32" t="n">
        <f aca="false">IFERROR(X253/R253,0)</f>
        <v>2.01725571725572</v>
      </c>
      <c r="Z253" s="28" t="str">
        <f aca="false">IF(X253&gt;0,"Win",IF(X253&lt;0,"Loss","Flat"))</f>
        <v>Win</v>
      </c>
      <c r="AA253" s="28" t="n">
        <f aca="false">ROUND((C253-B253)*1440,1)</f>
        <v>9.2</v>
      </c>
      <c r="AB253" s="28" t="str">
        <f aca="false">IF(AA253&lt;1,"a) &lt;1 min",IF(AA253&lt;10,"b) 1-10 min",IF(AA253&lt;60,"c) 10-60 min",IF(AA253&lt;240,"d) 1-4 h","e) 4 h+"))))</f>
        <v>b) 1-10 min</v>
      </c>
      <c r="AC253" s="28" t="str">
        <f aca="false">IF(P253&lt;10,"a) &lt;10",IF(P253&lt;20,"b) 10-20",IF(P253&lt;40,"c) 20-40",IF(P253&lt;80,"d) 40-80","e) 80+"))))</f>
        <v>a) &lt;10</v>
      </c>
      <c r="AD253" s="30" t="n">
        <f aca="false">Summary!$C$5+SUM(X$2:X253)</f>
        <v>105934.38</v>
      </c>
      <c r="AE253" s="30" t="n">
        <f aca="false">MAX(AE252,AD253)</f>
        <v>106588.89</v>
      </c>
      <c r="AF253" s="30" t="n">
        <f aca="false">AE253-AD253</f>
        <v>654.509999999995</v>
      </c>
      <c r="AG253" s="29" t="n">
        <f aca="false">IFERROR(AF253/AE253,0)</f>
        <v>0.00614050864025317</v>
      </c>
    </row>
    <row r="254" customFormat="false" ht="15" hidden="false" customHeight="false" outlineLevel="0" collapsed="false">
      <c r="A254" s="28" t="n">
        <v>253</v>
      </c>
      <c r="B254" s="43" t="n">
        <v>45377.4194444444</v>
      </c>
      <c r="C254" s="43" t="n">
        <v>45377.448900463</v>
      </c>
      <c r="D254" s="42" t="n">
        <f aca="false">INT(C254)</f>
        <v>45377</v>
      </c>
      <c r="E254" s="42" t="n">
        <f aca="false">D254-WEEKDAY(D254,3)</f>
        <v>45376</v>
      </c>
      <c r="F254" s="28" t="s">
        <v>154</v>
      </c>
      <c r="G254" s="28" t="n">
        <v>2024</v>
      </c>
      <c r="H254" s="28" t="s">
        <v>232</v>
      </c>
      <c r="I254" s="28" t="n">
        <v>10</v>
      </c>
      <c r="J254" s="28" t="s">
        <v>233</v>
      </c>
      <c r="K254" s="28" t="s">
        <v>234</v>
      </c>
      <c r="L254" s="28" t="n">
        <v>0.25</v>
      </c>
      <c r="M254" s="31" t="n">
        <v>18366.99</v>
      </c>
      <c r="N254" s="31" t="n">
        <v>18355.7</v>
      </c>
      <c r="O254" s="31" t="n">
        <v>18389.57</v>
      </c>
      <c r="P254" s="44" t="n">
        <f aca="false">ABS(M254-N254)</f>
        <v>11.2900000000009</v>
      </c>
      <c r="Q254" s="44" t="n">
        <f aca="false">IF(O254="","",ABS(O254-M254))</f>
        <v>22.5799999999981</v>
      </c>
      <c r="R254" s="30" t="n">
        <f aca="false">P254*L254*Summary!$C$6</f>
        <v>56.4500000000044</v>
      </c>
      <c r="S254" s="31" t="n">
        <v>18355.61</v>
      </c>
      <c r="T254" s="28" t="s">
        <v>241</v>
      </c>
      <c r="U254" s="44" t="n">
        <f aca="false">IF(J254="BUY",S254-M254,M254-S254)</f>
        <v>-11.380000000001</v>
      </c>
      <c r="V254" s="45" t="n">
        <v>0</v>
      </c>
      <c r="W254" s="45" t="n">
        <v>0</v>
      </c>
      <c r="X254" s="45" t="n">
        <v>-56.9</v>
      </c>
      <c r="Y254" s="32" t="n">
        <f aca="false">IFERROR(X254/R254,0)</f>
        <v>-1.00797165633296</v>
      </c>
      <c r="Z254" s="28" t="str">
        <f aca="false">IF(X254&gt;0,"Win",IF(X254&lt;0,"Loss","Flat"))</f>
        <v>Loss</v>
      </c>
      <c r="AA254" s="28" t="n">
        <f aca="false">ROUND((C254-B254)*1440,1)</f>
        <v>42.4</v>
      </c>
      <c r="AB254" s="28" t="str">
        <f aca="false">IF(AA254&lt;1,"a) &lt;1 min",IF(AA254&lt;10,"b) 1-10 min",IF(AA254&lt;60,"c) 10-60 min",IF(AA254&lt;240,"d) 1-4 h","e) 4 h+"))))</f>
        <v>c) 10-60 min</v>
      </c>
      <c r="AC254" s="28" t="str">
        <f aca="false">IF(P254&lt;10,"a) &lt;10",IF(P254&lt;20,"b) 10-20",IF(P254&lt;40,"c) 20-40",IF(P254&lt;80,"d) 40-80","e) 80+"))))</f>
        <v>b) 10-20</v>
      </c>
      <c r="AD254" s="30" t="n">
        <f aca="false">Summary!$C$5+SUM(X$2:X254)</f>
        <v>105877.48</v>
      </c>
      <c r="AE254" s="30" t="n">
        <f aca="false">MAX(AE253,AD254)</f>
        <v>106588.89</v>
      </c>
      <c r="AF254" s="30" t="n">
        <f aca="false">AE254-AD254</f>
        <v>711.410000000004</v>
      </c>
      <c r="AG254" s="29" t="n">
        <f aca="false">IFERROR(AF254/AE254,0)</f>
        <v>0.00667433538335941</v>
      </c>
    </row>
    <row r="255" customFormat="false" ht="15" hidden="false" customHeight="false" outlineLevel="0" collapsed="false">
      <c r="A255" s="28" t="n">
        <v>254</v>
      </c>
      <c r="B255" s="43" t="n">
        <v>45378.7097222222</v>
      </c>
      <c r="C255" s="43" t="n">
        <v>45378.7193287037</v>
      </c>
      <c r="D255" s="42" t="n">
        <f aca="false">INT(C255)</f>
        <v>45378</v>
      </c>
      <c r="E255" s="42" t="n">
        <f aca="false">D255-WEEKDAY(D255,3)</f>
        <v>45376</v>
      </c>
      <c r="F255" s="28" t="s">
        <v>154</v>
      </c>
      <c r="G255" s="28" t="n">
        <v>2024</v>
      </c>
      <c r="H255" s="28" t="s">
        <v>235</v>
      </c>
      <c r="I255" s="28" t="n">
        <v>17</v>
      </c>
      <c r="J255" s="28" t="s">
        <v>236</v>
      </c>
      <c r="K255" s="28" t="s">
        <v>237</v>
      </c>
      <c r="L255" s="28" t="n">
        <v>0.26</v>
      </c>
      <c r="M255" s="31" t="n">
        <v>18202.82</v>
      </c>
      <c r="N255" s="31" t="n">
        <v>18236.61</v>
      </c>
      <c r="O255" s="31" t="n">
        <v>18135.25</v>
      </c>
      <c r="P255" s="44" t="n">
        <f aca="false">ABS(M255-N255)</f>
        <v>33.7900000000009</v>
      </c>
      <c r="Q255" s="44" t="n">
        <f aca="false">IF(O255="","",ABS(O255-M255))</f>
        <v>67.5699999999997</v>
      </c>
      <c r="R255" s="30" t="n">
        <f aca="false">P255*L255*Summary!$C$6</f>
        <v>175.708000000005</v>
      </c>
      <c r="S255" s="31" t="n">
        <v>18202.86</v>
      </c>
      <c r="T255" s="28" t="s">
        <v>238</v>
      </c>
      <c r="U255" s="44" t="n">
        <f aca="false">IF(J255="BUY",S255-M255,M255-S255)</f>
        <v>-0.0400000000008731</v>
      </c>
      <c r="V255" s="45" t="n">
        <v>0</v>
      </c>
      <c r="W255" s="45" t="n">
        <v>0</v>
      </c>
      <c r="X255" s="45" t="n">
        <v>-0.21</v>
      </c>
      <c r="Y255" s="32" t="n">
        <f aca="false">IFERROR(X255/R255,0)</f>
        <v>-0.00119516470507885</v>
      </c>
      <c r="Z255" s="28" t="str">
        <f aca="false">IF(X255&gt;0,"Win",IF(X255&lt;0,"Loss","Flat"))</f>
        <v>Loss</v>
      </c>
      <c r="AA255" s="28" t="n">
        <f aca="false">ROUND((C255-B255)*1440,1)</f>
        <v>13.8</v>
      </c>
      <c r="AB255" s="28" t="str">
        <f aca="false">IF(AA255&lt;1,"a) &lt;1 min",IF(AA255&lt;10,"b) 1-10 min",IF(AA255&lt;60,"c) 10-60 min",IF(AA255&lt;240,"d) 1-4 h","e) 4 h+"))))</f>
        <v>c) 10-60 min</v>
      </c>
      <c r="AC255" s="28" t="str">
        <f aca="false">IF(P255&lt;10,"a) &lt;10",IF(P255&lt;20,"b) 10-20",IF(P255&lt;40,"c) 20-40",IF(P255&lt;80,"d) 40-80","e) 80+"))))</f>
        <v>c) 20-40</v>
      </c>
      <c r="AD255" s="30" t="n">
        <f aca="false">Summary!$C$5+SUM(X$2:X255)</f>
        <v>105877.27</v>
      </c>
      <c r="AE255" s="30" t="n">
        <f aca="false">MAX(AE254,AD255)</f>
        <v>106588.89</v>
      </c>
      <c r="AF255" s="30" t="n">
        <f aca="false">AE255-AD255</f>
        <v>711.619999999995</v>
      </c>
      <c r="AG255" s="29" t="n">
        <f aca="false">IFERROR(AF255/AE255,0)</f>
        <v>0.00667630556993318</v>
      </c>
    </row>
    <row r="256" customFormat="false" ht="15" hidden="false" customHeight="false" outlineLevel="0" collapsed="false">
      <c r="A256" s="28" t="n">
        <v>255</v>
      </c>
      <c r="B256" s="43" t="n">
        <v>45383.0444444444</v>
      </c>
      <c r="C256" s="43" t="n">
        <v>45383.0480787037</v>
      </c>
      <c r="D256" s="42" t="n">
        <f aca="false">INT(C256)</f>
        <v>45383</v>
      </c>
      <c r="E256" s="42" t="n">
        <f aca="false">D256-WEEKDAY(D256,3)</f>
        <v>45383</v>
      </c>
      <c r="F256" s="28" t="s">
        <v>155</v>
      </c>
      <c r="G256" s="28" t="n">
        <v>2024</v>
      </c>
      <c r="H256" s="28" t="s">
        <v>240</v>
      </c>
      <c r="I256" s="28" t="n">
        <v>1</v>
      </c>
      <c r="J256" s="28" t="s">
        <v>233</v>
      </c>
      <c r="K256" s="28" t="s">
        <v>234</v>
      </c>
      <c r="L256" s="28" t="n">
        <v>0.26</v>
      </c>
      <c r="M256" s="31" t="n">
        <v>18319.66</v>
      </c>
      <c r="N256" s="31" t="n">
        <v>18298.91</v>
      </c>
      <c r="O256" s="31" t="n">
        <v>18361.16</v>
      </c>
      <c r="P256" s="44" t="n">
        <f aca="false">ABS(M256-N256)</f>
        <v>20.75</v>
      </c>
      <c r="Q256" s="44" t="n">
        <f aca="false">IF(O256="","",ABS(O256-M256))</f>
        <v>41.5</v>
      </c>
      <c r="R256" s="30" t="n">
        <f aca="false">P256*L256*Summary!$C$6</f>
        <v>107.9</v>
      </c>
      <c r="S256" s="31" t="n">
        <v>18361.68</v>
      </c>
      <c r="T256" s="28" t="s">
        <v>214</v>
      </c>
      <c r="U256" s="44" t="n">
        <f aca="false">IF(J256="BUY",S256-M256,M256-S256)</f>
        <v>42.0200000000004</v>
      </c>
      <c r="V256" s="45" t="n">
        <v>0</v>
      </c>
      <c r="W256" s="45" t="n">
        <v>0</v>
      </c>
      <c r="X256" s="45" t="n">
        <v>218.5</v>
      </c>
      <c r="Y256" s="32" t="n">
        <f aca="false">IFERROR(X256/R256,0)</f>
        <v>2.02502316960148</v>
      </c>
      <c r="Z256" s="28" t="str">
        <f aca="false">IF(X256&gt;0,"Win",IF(X256&lt;0,"Loss","Flat"))</f>
        <v>Win</v>
      </c>
      <c r="AA256" s="28" t="n">
        <f aca="false">ROUND((C256-B256)*1440,1)</f>
        <v>5.2</v>
      </c>
      <c r="AB256" s="28" t="str">
        <f aca="false">IF(AA256&lt;1,"a) &lt;1 min",IF(AA256&lt;10,"b) 1-10 min",IF(AA256&lt;60,"c) 10-60 min",IF(AA256&lt;240,"d) 1-4 h","e) 4 h+"))))</f>
        <v>b) 1-10 min</v>
      </c>
      <c r="AC256" s="28" t="str">
        <f aca="false">IF(P256&lt;10,"a) &lt;10",IF(P256&lt;20,"b) 10-20",IF(P256&lt;40,"c) 20-40",IF(P256&lt;80,"d) 40-80","e) 80+"))))</f>
        <v>c) 20-40</v>
      </c>
      <c r="AD256" s="30" t="n">
        <f aca="false">Summary!$C$5+SUM(X$2:X256)</f>
        <v>106095.77</v>
      </c>
      <c r="AE256" s="30" t="n">
        <f aca="false">MAX(AE255,AD256)</f>
        <v>106588.89</v>
      </c>
      <c r="AF256" s="30" t="n">
        <f aca="false">AE256-AD256</f>
        <v>493.119999999995</v>
      </c>
      <c r="AG256" s="29" t="n">
        <f aca="false">IFERROR(AF256/AE256,0)</f>
        <v>0.00462637334904224</v>
      </c>
    </row>
    <row r="257" customFormat="false" ht="15" hidden="false" customHeight="false" outlineLevel="0" collapsed="false">
      <c r="A257" s="28" t="n">
        <v>256</v>
      </c>
      <c r="B257" s="43" t="n">
        <v>45383.7618055556</v>
      </c>
      <c r="C257" s="43" t="n">
        <v>45383.7689699074</v>
      </c>
      <c r="D257" s="42" t="n">
        <f aca="false">INT(C257)</f>
        <v>45383</v>
      </c>
      <c r="E257" s="42" t="n">
        <f aca="false">D257-WEEKDAY(D257,3)</f>
        <v>45383</v>
      </c>
      <c r="F257" s="28" t="s">
        <v>155</v>
      </c>
      <c r="G257" s="28" t="n">
        <v>2024</v>
      </c>
      <c r="H257" s="28" t="s">
        <v>240</v>
      </c>
      <c r="I257" s="28" t="n">
        <v>18</v>
      </c>
      <c r="J257" s="28" t="s">
        <v>236</v>
      </c>
      <c r="K257" s="28" t="s">
        <v>237</v>
      </c>
      <c r="L257" s="28" t="n">
        <v>0.26</v>
      </c>
      <c r="M257" s="31" t="n">
        <v>18224.2</v>
      </c>
      <c r="N257" s="31" t="n">
        <v>18247.83</v>
      </c>
      <c r="O257" s="31" t="n">
        <v>18176.94</v>
      </c>
      <c r="P257" s="44" t="n">
        <f aca="false">ABS(M257-N257)</f>
        <v>23.630000000001</v>
      </c>
      <c r="Q257" s="44" t="n">
        <f aca="false">IF(O257="","",ABS(O257-M257))</f>
        <v>47.260000000002</v>
      </c>
      <c r="R257" s="30" t="n">
        <f aca="false">P257*L257*Summary!$C$6</f>
        <v>122.876000000005</v>
      </c>
      <c r="S257" s="31" t="n">
        <v>18247.9</v>
      </c>
      <c r="T257" s="28" t="s">
        <v>241</v>
      </c>
      <c r="U257" s="44" t="n">
        <f aca="false">IF(J257="BUY",S257-M257,M257-S257)</f>
        <v>-23.7000000000007</v>
      </c>
      <c r="V257" s="45" t="n">
        <v>0</v>
      </c>
      <c r="W257" s="45" t="n">
        <v>0</v>
      </c>
      <c r="X257" s="45" t="n">
        <v>-123.24</v>
      </c>
      <c r="Y257" s="32" t="n">
        <f aca="false">IFERROR(X257/R257,0)</f>
        <v>-1.0029623360135</v>
      </c>
      <c r="Z257" s="28" t="str">
        <f aca="false">IF(X257&gt;0,"Win",IF(X257&lt;0,"Loss","Flat"))</f>
        <v>Loss</v>
      </c>
      <c r="AA257" s="28" t="n">
        <f aca="false">ROUND((C257-B257)*1440,1)</f>
        <v>10.3</v>
      </c>
      <c r="AB257" s="28" t="str">
        <f aca="false">IF(AA257&lt;1,"a) &lt;1 min",IF(AA257&lt;10,"b) 1-10 min",IF(AA257&lt;60,"c) 10-60 min",IF(AA257&lt;240,"d) 1-4 h","e) 4 h+"))))</f>
        <v>c) 10-60 min</v>
      </c>
      <c r="AC257" s="28" t="str">
        <f aca="false">IF(P257&lt;10,"a) &lt;10",IF(P257&lt;20,"b) 10-20",IF(P257&lt;40,"c) 20-40",IF(P257&lt;80,"d) 40-80","e) 80+"))))</f>
        <v>c) 20-40</v>
      </c>
      <c r="AD257" s="30" t="n">
        <f aca="false">Summary!$C$5+SUM(X$2:X257)</f>
        <v>105972.53</v>
      </c>
      <c r="AE257" s="30" t="n">
        <f aca="false">MAX(AE256,AD257)</f>
        <v>106588.89</v>
      </c>
      <c r="AF257" s="30" t="n">
        <f aca="false">AE257-AD257</f>
        <v>616.360000000001</v>
      </c>
      <c r="AG257" s="29" t="n">
        <f aca="false">IFERROR(AF257/AE257,0)</f>
        <v>0.00578259141266975</v>
      </c>
    </row>
    <row r="258" customFormat="false" ht="15" hidden="false" customHeight="false" outlineLevel="0" collapsed="false">
      <c r="A258" s="28" t="n">
        <v>257</v>
      </c>
      <c r="B258" s="43" t="n">
        <v>45384.6</v>
      </c>
      <c r="C258" s="43" t="n">
        <v>45384.6042824074</v>
      </c>
      <c r="D258" s="42" t="n">
        <f aca="false">INT(C258)</f>
        <v>45384</v>
      </c>
      <c r="E258" s="42" t="n">
        <f aca="false">D258-WEEKDAY(D258,3)</f>
        <v>45383</v>
      </c>
      <c r="F258" s="28" t="s">
        <v>155</v>
      </c>
      <c r="G258" s="28" t="n">
        <v>2024</v>
      </c>
      <c r="H258" s="28" t="s">
        <v>232</v>
      </c>
      <c r="I258" s="28" t="n">
        <v>14</v>
      </c>
      <c r="J258" s="28" t="s">
        <v>236</v>
      </c>
      <c r="K258" s="28" t="s">
        <v>237</v>
      </c>
      <c r="L258" s="28" t="n">
        <v>0.26</v>
      </c>
      <c r="M258" s="31" t="n">
        <v>18200.3</v>
      </c>
      <c r="N258" s="31" t="n">
        <v>18212.56</v>
      </c>
      <c r="O258" s="31" t="n">
        <v>18175.79</v>
      </c>
      <c r="P258" s="44" t="n">
        <f aca="false">ABS(M258-N258)</f>
        <v>12.260000000002</v>
      </c>
      <c r="Q258" s="44" t="n">
        <f aca="false">IF(O258="","",ABS(O258-M258))</f>
        <v>24.5099999999984</v>
      </c>
      <c r="R258" s="30" t="n">
        <f aca="false">P258*L258*Summary!$C$6</f>
        <v>63.7520000000106</v>
      </c>
      <c r="S258" s="31" t="n">
        <v>18212.63</v>
      </c>
      <c r="T258" s="28" t="s">
        <v>241</v>
      </c>
      <c r="U258" s="44" t="n">
        <f aca="false">IF(J258="BUY",S258-M258,M258-S258)</f>
        <v>-12.3300000000017</v>
      </c>
      <c r="V258" s="45" t="n">
        <v>0</v>
      </c>
      <c r="W258" s="45" t="n">
        <v>0</v>
      </c>
      <c r="X258" s="45" t="n">
        <v>-64.12</v>
      </c>
      <c r="Y258" s="32" t="n">
        <f aca="false">IFERROR(X258/R258,0)</f>
        <v>-1.00577236792555</v>
      </c>
      <c r="Z258" s="28" t="str">
        <f aca="false">IF(X258&gt;0,"Win",IF(X258&lt;0,"Loss","Flat"))</f>
        <v>Loss</v>
      </c>
      <c r="AA258" s="28" t="n">
        <f aca="false">ROUND((C258-B258)*1440,1)</f>
        <v>6.2</v>
      </c>
      <c r="AB258" s="28" t="str">
        <f aca="false">IF(AA258&lt;1,"a) &lt;1 min",IF(AA258&lt;10,"b) 1-10 min",IF(AA258&lt;60,"c) 10-60 min",IF(AA258&lt;240,"d) 1-4 h","e) 4 h+"))))</f>
        <v>b) 1-10 min</v>
      </c>
      <c r="AC258" s="28" t="str">
        <f aca="false">IF(P258&lt;10,"a) &lt;10",IF(P258&lt;20,"b) 10-20",IF(P258&lt;40,"c) 20-40",IF(P258&lt;80,"d) 40-80","e) 80+"))))</f>
        <v>b) 10-20</v>
      </c>
      <c r="AD258" s="30" t="n">
        <f aca="false">Summary!$C$5+SUM(X$2:X258)</f>
        <v>105908.41</v>
      </c>
      <c r="AE258" s="30" t="n">
        <f aca="false">MAX(AE257,AD258)</f>
        <v>106588.89</v>
      </c>
      <c r="AF258" s="30" t="n">
        <f aca="false">AE258-AD258</f>
        <v>680.479999999996</v>
      </c>
      <c r="AG258" s="29" t="n">
        <f aca="false">IFERROR(AF258/AE258,0)</f>
        <v>0.00638415504655313</v>
      </c>
    </row>
    <row r="259" customFormat="false" ht="15" hidden="false" customHeight="false" outlineLevel="0" collapsed="false">
      <c r="A259" s="28" t="n">
        <v>258</v>
      </c>
      <c r="B259" s="43" t="n">
        <v>45386.1055555556</v>
      </c>
      <c r="C259" s="43" t="n">
        <v>45386.1076041667</v>
      </c>
      <c r="D259" s="42" t="n">
        <f aca="false">INT(C259)</f>
        <v>45386</v>
      </c>
      <c r="E259" s="42" t="n">
        <f aca="false">D259-WEEKDAY(D259,3)</f>
        <v>45383</v>
      </c>
      <c r="F259" s="28" t="s">
        <v>155</v>
      </c>
      <c r="G259" s="28" t="n">
        <v>2024</v>
      </c>
      <c r="H259" s="28" t="s">
        <v>239</v>
      </c>
      <c r="I259" s="28" t="n">
        <v>2</v>
      </c>
      <c r="J259" s="28" t="s">
        <v>233</v>
      </c>
      <c r="K259" s="28" t="s">
        <v>234</v>
      </c>
      <c r="L259" s="28" t="n">
        <v>0.26</v>
      </c>
      <c r="M259" s="31" t="n">
        <v>18260.89</v>
      </c>
      <c r="N259" s="31" t="n">
        <v>18242.32</v>
      </c>
      <c r="O259" s="31" t="n">
        <v>18298.03</v>
      </c>
      <c r="P259" s="44" t="n">
        <f aca="false">ABS(M259-N259)</f>
        <v>18.5699999999997</v>
      </c>
      <c r="Q259" s="44" t="n">
        <f aca="false">IF(O259="","",ABS(O259-M259))</f>
        <v>37.1399999999994</v>
      </c>
      <c r="R259" s="30" t="n">
        <f aca="false">P259*L259*Summary!$C$6</f>
        <v>96.5639999999985</v>
      </c>
      <c r="S259" s="31" t="n">
        <v>18242.22</v>
      </c>
      <c r="T259" s="28" t="s">
        <v>241</v>
      </c>
      <c r="U259" s="44" t="n">
        <f aca="false">IF(J259="BUY",S259-M259,M259-S259)</f>
        <v>-18.6699999999983</v>
      </c>
      <c r="V259" s="45" t="n">
        <v>0</v>
      </c>
      <c r="W259" s="45" t="n">
        <v>0</v>
      </c>
      <c r="X259" s="45" t="n">
        <v>-97.08</v>
      </c>
      <c r="Y259" s="32" t="n">
        <f aca="false">IFERROR(X259/R259,0)</f>
        <v>-1.00534360631293</v>
      </c>
      <c r="Z259" s="28" t="str">
        <f aca="false">IF(X259&gt;0,"Win",IF(X259&lt;0,"Loss","Flat"))</f>
        <v>Loss</v>
      </c>
      <c r="AA259" s="28" t="n">
        <f aca="false">ROUND((C259-B259)*1440,1)</f>
        <v>3</v>
      </c>
      <c r="AB259" s="28" t="str">
        <f aca="false">IF(AA259&lt;1,"a) &lt;1 min",IF(AA259&lt;10,"b) 1-10 min",IF(AA259&lt;60,"c) 10-60 min",IF(AA259&lt;240,"d) 1-4 h","e) 4 h+"))))</f>
        <v>b) 1-10 min</v>
      </c>
      <c r="AC259" s="28" t="str">
        <f aca="false">IF(P259&lt;10,"a) &lt;10",IF(P259&lt;20,"b) 10-20",IF(P259&lt;40,"c) 20-40",IF(P259&lt;80,"d) 40-80","e) 80+"))))</f>
        <v>b) 10-20</v>
      </c>
      <c r="AD259" s="30" t="n">
        <f aca="false">Summary!$C$5+SUM(X$2:X259)</f>
        <v>105811.33</v>
      </c>
      <c r="AE259" s="30" t="n">
        <f aca="false">MAX(AE258,AD259)</f>
        <v>106588.89</v>
      </c>
      <c r="AF259" s="30" t="n">
        <f aca="false">AE259-AD259</f>
        <v>777.559999999998</v>
      </c>
      <c r="AG259" s="29" t="n">
        <f aca="false">IFERROR(AF259/AE259,0)</f>
        <v>0.00729494415412336</v>
      </c>
    </row>
    <row r="260" customFormat="false" ht="15" hidden="false" customHeight="false" outlineLevel="0" collapsed="false">
      <c r="A260" s="28" t="n">
        <v>259</v>
      </c>
      <c r="B260" s="43" t="n">
        <v>45386.9138888889</v>
      </c>
      <c r="C260" s="43" t="n">
        <v>45386.9348148148</v>
      </c>
      <c r="D260" s="42" t="n">
        <f aca="false">INT(C260)</f>
        <v>45386</v>
      </c>
      <c r="E260" s="42" t="n">
        <f aca="false">D260-WEEKDAY(D260,3)</f>
        <v>45383</v>
      </c>
      <c r="F260" s="28" t="s">
        <v>155</v>
      </c>
      <c r="G260" s="28" t="n">
        <v>2024</v>
      </c>
      <c r="H260" s="28" t="s">
        <v>239</v>
      </c>
      <c r="I260" s="28" t="n">
        <v>21</v>
      </c>
      <c r="J260" s="28" t="s">
        <v>236</v>
      </c>
      <c r="K260" s="28" t="s">
        <v>237</v>
      </c>
      <c r="L260" s="28" t="n">
        <v>0.26</v>
      </c>
      <c r="M260" s="31" t="n">
        <v>18013.68</v>
      </c>
      <c r="N260" s="31" t="n">
        <v>18051.7</v>
      </c>
      <c r="O260" s="31" t="n">
        <v>17935.84</v>
      </c>
      <c r="P260" s="44" t="n">
        <f aca="false">ABS(M260-N260)</f>
        <v>38.0200000000004</v>
      </c>
      <c r="Q260" s="44" t="n">
        <f aca="false">IF(O260="","",ABS(O260-M260))</f>
        <v>77.8400000000002</v>
      </c>
      <c r="R260" s="30" t="n">
        <f aca="false">P260*L260*Summary!$C$6</f>
        <v>197.704000000002</v>
      </c>
      <c r="S260" s="31" t="n">
        <v>17935.72</v>
      </c>
      <c r="T260" s="28" t="s">
        <v>214</v>
      </c>
      <c r="U260" s="44" t="n">
        <f aca="false">IF(J260="BUY",S260-M260,M260-S260)</f>
        <v>77.9599999999991</v>
      </c>
      <c r="V260" s="45" t="n">
        <v>0</v>
      </c>
      <c r="W260" s="45" t="n">
        <v>0</v>
      </c>
      <c r="X260" s="45" t="n">
        <v>405.39</v>
      </c>
      <c r="Y260" s="32" t="n">
        <f aca="false">IFERROR(X260/R260,0)</f>
        <v>2.0504896208473</v>
      </c>
      <c r="Z260" s="28" t="str">
        <f aca="false">IF(X260&gt;0,"Win",IF(X260&lt;0,"Loss","Flat"))</f>
        <v>Win</v>
      </c>
      <c r="AA260" s="28" t="n">
        <f aca="false">ROUND((C260-B260)*1440,1)</f>
        <v>30.1</v>
      </c>
      <c r="AB260" s="28" t="str">
        <f aca="false">IF(AA260&lt;1,"a) &lt;1 min",IF(AA260&lt;10,"b) 1-10 min",IF(AA260&lt;60,"c) 10-60 min",IF(AA260&lt;240,"d) 1-4 h","e) 4 h+"))))</f>
        <v>c) 10-60 min</v>
      </c>
      <c r="AC260" s="28" t="str">
        <f aca="false">IF(P260&lt;10,"a) &lt;10",IF(P260&lt;20,"b) 10-20",IF(P260&lt;40,"c) 20-40",IF(P260&lt;80,"d) 40-80","e) 80+"))))</f>
        <v>c) 20-40</v>
      </c>
      <c r="AD260" s="30" t="n">
        <f aca="false">Summary!$C$5+SUM(X$2:X260)</f>
        <v>106216.72</v>
      </c>
      <c r="AE260" s="30" t="n">
        <f aca="false">MAX(AE259,AD260)</f>
        <v>106588.89</v>
      </c>
      <c r="AF260" s="30" t="n">
        <f aca="false">AE260-AD260</f>
        <v>372.169999999998</v>
      </c>
      <c r="AG260" s="29" t="n">
        <f aca="false">IFERROR(AF260/AE260,0)</f>
        <v>0.00349163970091065</v>
      </c>
    </row>
    <row r="261" customFormat="false" ht="15" hidden="false" customHeight="false" outlineLevel="0" collapsed="false">
      <c r="A261" s="28" t="n">
        <v>260</v>
      </c>
      <c r="B261" s="43" t="n">
        <v>45387.1513888889</v>
      </c>
      <c r="C261" s="43" t="n">
        <v>45387.1520717593</v>
      </c>
      <c r="D261" s="42" t="n">
        <f aca="false">INT(C261)</f>
        <v>45387</v>
      </c>
      <c r="E261" s="42" t="n">
        <f aca="false">D261-WEEKDAY(D261,3)</f>
        <v>45383</v>
      </c>
      <c r="F261" s="28" t="s">
        <v>155</v>
      </c>
      <c r="G261" s="28" t="n">
        <v>2024</v>
      </c>
      <c r="H261" s="28" t="s">
        <v>242</v>
      </c>
      <c r="I261" s="28" t="n">
        <v>3</v>
      </c>
      <c r="J261" s="28" t="s">
        <v>236</v>
      </c>
      <c r="K261" s="28" t="s">
        <v>237</v>
      </c>
      <c r="L261" s="28" t="n">
        <v>0.26</v>
      </c>
      <c r="M261" s="31" t="n">
        <v>17865.62</v>
      </c>
      <c r="N261" s="31" t="n">
        <v>17879.8</v>
      </c>
      <c r="O261" s="31" t="n">
        <v>17837.25</v>
      </c>
      <c r="P261" s="44" t="n">
        <f aca="false">ABS(M261-N261)</f>
        <v>14.1800000000003</v>
      </c>
      <c r="Q261" s="44" t="n">
        <f aca="false">IF(O261="","",ABS(O261-M261))</f>
        <v>28.369999999999</v>
      </c>
      <c r="R261" s="30" t="n">
        <f aca="false">P261*L261*Summary!$C$6</f>
        <v>73.7360000000015</v>
      </c>
      <c r="S261" s="31" t="n">
        <v>17880.18</v>
      </c>
      <c r="T261" s="28" t="s">
        <v>241</v>
      </c>
      <c r="U261" s="44" t="n">
        <f aca="false">IF(J261="BUY",S261-M261,M261-S261)</f>
        <v>-14.5600000000013</v>
      </c>
      <c r="V261" s="45" t="n">
        <v>0</v>
      </c>
      <c r="W261" s="45" t="n">
        <v>0</v>
      </c>
      <c r="X261" s="45" t="n">
        <v>-75.71</v>
      </c>
      <c r="Y261" s="32" t="n">
        <f aca="false">IFERROR(X261/R261,0)</f>
        <v>-1.02677118368231</v>
      </c>
      <c r="Z261" s="28" t="str">
        <f aca="false">IF(X261&gt;0,"Win",IF(X261&lt;0,"Loss","Flat"))</f>
        <v>Loss</v>
      </c>
      <c r="AA261" s="28" t="n">
        <f aca="false">ROUND((C261-B261)*1440,1)</f>
        <v>1</v>
      </c>
      <c r="AB261" s="28" t="str">
        <f aca="false">IF(AA261&lt;1,"a) &lt;1 min",IF(AA261&lt;10,"b) 1-10 min",IF(AA261&lt;60,"c) 10-60 min",IF(AA261&lt;240,"d) 1-4 h","e) 4 h+"))))</f>
        <v>b) 1-10 min</v>
      </c>
      <c r="AC261" s="28" t="str">
        <f aca="false">IF(P261&lt;10,"a) &lt;10",IF(P261&lt;20,"b) 10-20",IF(P261&lt;40,"c) 20-40",IF(P261&lt;80,"d) 40-80","e) 80+"))))</f>
        <v>b) 10-20</v>
      </c>
      <c r="AD261" s="30" t="n">
        <f aca="false">Summary!$C$5+SUM(X$2:X261)</f>
        <v>106141.01</v>
      </c>
      <c r="AE261" s="30" t="n">
        <f aca="false">MAX(AE260,AD261)</f>
        <v>106588.89</v>
      </c>
      <c r="AF261" s="30" t="n">
        <f aca="false">AE261-AD261</f>
        <v>447.880000000005</v>
      </c>
      <c r="AG261" s="29" t="n">
        <f aca="false">IFERROR(AF261/AE261,0)</f>
        <v>0.00420193886998921</v>
      </c>
    </row>
    <row r="262" customFormat="false" ht="15" hidden="false" customHeight="false" outlineLevel="0" collapsed="false">
      <c r="A262" s="28" t="n">
        <v>261</v>
      </c>
      <c r="B262" s="43" t="n">
        <v>45391.6791666667</v>
      </c>
      <c r="C262" s="43" t="n">
        <v>45391.687650463</v>
      </c>
      <c r="D262" s="42" t="n">
        <f aca="false">INT(C262)</f>
        <v>45391</v>
      </c>
      <c r="E262" s="42" t="n">
        <f aca="false">D262-WEEKDAY(D262,3)</f>
        <v>45390</v>
      </c>
      <c r="F262" s="28" t="s">
        <v>155</v>
      </c>
      <c r="G262" s="28" t="n">
        <v>2024</v>
      </c>
      <c r="H262" s="28" t="s">
        <v>232</v>
      </c>
      <c r="I262" s="28" t="n">
        <v>16</v>
      </c>
      <c r="J262" s="28" t="s">
        <v>233</v>
      </c>
      <c r="K262" s="28" t="s">
        <v>234</v>
      </c>
      <c r="L262" s="28" t="n">
        <v>0.26</v>
      </c>
      <c r="M262" s="31" t="n">
        <v>18195.99</v>
      </c>
      <c r="N262" s="31" t="n">
        <v>18183.84</v>
      </c>
      <c r="O262" s="31" t="n">
        <v>18220.29</v>
      </c>
      <c r="P262" s="44" t="n">
        <f aca="false">ABS(M262-N262)</f>
        <v>12.1500000000015</v>
      </c>
      <c r="Q262" s="44" t="n">
        <f aca="false">IF(O262="","",ABS(O262-M262))</f>
        <v>24.2999999999993</v>
      </c>
      <c r="R262" s="30" t="n">
        <f aca="false">P262*L262*Summary!$C$6</f>
        <v>63.1800000000076</v>
      </c>
      <c r="S262" s="31" t="n">
        <v>18195.81</v>
      </c>
      <c r="T262" s="28" t="s">
        <v>238</v>
      </c>
      <c r="U262" s="44" t="n">
        <f aca="false">IF(J262="BUY",S262-M262,M262-S262)</f>
        <v>-0.180000000000291</v>
      </c>
      <c r="V262" s="45" t="n">
        <v>0</v>
      </c>
      <c r="W262" s="45" t="n">
        <v>0</v>
      </c>
      <c r="X262" s="45" t="n">
        <v>-0.94</v>
      </c>
      <c r="Y262" s="32" t="n">
        <f aca="false">IFERROR(X262/R262,0)</f>
        <v>-0.0148781259892353</v>
      </c>
      <c r="Z262" s="28" t="str">
        <f aca="false">IF(X262&gt;0,"Win",IF(X262&lt;0,"Loss","Flat"))</f>
        <v>Loss</v>
      </c>
      <c r="AA262" s="28" t="n">
        <f aca="false">ROUND((C262-B262)*1440,1)</f>
        <v>12.2</v>
      </c>
      <c r="AB262" s="28" t="str">
        <f aca="false">IF(AA262&lt;1,"a) &lt;1 min",IF(AA262&lt;10,"b) 1-10 min",IF(AA262&lt;60,"c) 10-60 min",IF(AA262&lt;240,"d) 1-4 h","e) 4 h+"))))</f>
        <v>c) 10-60 min</v>
      </c>
      <c r="AC262" s="28" t="str">
        <f aca="false">IF(P262&lt;10,"a) &lt;10",IF(P262&lt;20,"b) 10-20",IF(P262&lt;40,"c) 20-40",IF(P262&lt;80,"d) 40-80","e) 80+"))))</f>
        <v>b) 10-20</v>
      </c>
      <c r="AD262" s="30" t="n">
        <f aca="false">Summary!$C$5+SUM(X$2:X262)</f>
        <v>106140.07</v>
      </c>
      <c r="AE262" s="30" t="n">
        <f aca="false">MAX(AE261,AD262)</f>
        <v>106588.89</v>
      </c>
      <c r="AF262" s="30" t="n">
        <f aca="false">AE262-AD262</f>
        <v>448.819999999992</v>
      </c>
      <c r="AG262" s="29" t="n">
        <f aca="false">IFERROR(AF262/AE262,0)</f>
        <v>0.0042107578003673</v>
      </c>
    </row>
    <row r="263" customFormat="false" ht="15" hidden="false" customHeight="false" outlineLevel="0" collapsed="false">
      <c r="A263" s="28" t="n">
        <v>262</v>
      </c>
      <c r="B263" s="43" t="n">
        <v>45391.7340277778</v>
      </c>
      <c r="C263" s="43" t="n">
        <v>45391.7498032407</v>
      </c>
      <c r="D263" s="42" t="n">
        <f aca="false">INT(C263)</f>
        <v>45391</v>
      </c>
      <c r="E263" s="42" t="n">
        <f aca="false">D263-WEEKDAY(D263,3)</f>
        <v>45390</v>
      </c>
      <c r="F263" s="28" t="s">
        <v>155</v>
      </c>
      <c r="G263" s="28" t="n">
        <v>2024</v>
      </c>
      <c r="H263" s="28" t="s">
        <v>232</v>
      </c>
      <c r="I263" s="28" t="n">
        <v>17</v>
      </c>
      <c r="J263" s="28" t="s">
        <v>236</v>
      </c>
      <c r="K263" s="28" t="s">
        <v>237</v>
      </c>
      <c r="L263" s="28" t="n">
        <v>0.26</v>
      </c>
      <c r="M263" s="31" t="n">
        <v>18026.81</v>
      </c>
      <c r="N263" s="31" t="n">
        <v>18075.23</v>
      </c>
      <c r="O263" s="31" t="n">
        <v>17929.98</v>
      </c>
      <c r="P263" s="44" t="n">
        <f aca="false">ABS(M263-N263)</f>
        <v>48.4199999999983</v>
      </c>
      <c r="Q263" s="44" t="n">
        <f aca="false">IF(O263="","",ABS(O263-M263))</f>
        <v>96.8300000000018</v>
      </c>
      <c r="R263" s="30" t="n">
        <f aca="false">P263*L263*Summary!$C$6</f>
        <v>251.783999999991</v>
      </c>
      <c r="S263" s="31" t="n">
        <v>18027.1</v>
      </c>
      <c r="T263" s="28" t="s">
        <v>238</v>
      </c>
      <c r="U263" s="44" t="n">
        <f aca="false">IF(J263="BUY",S263-M263,M263-S263)</f>
        <v>-0.289999999997235</v>
      </c>
      <c r="V263" s="45" t="n">
        <v>0</v>
      </c>
      <c r="W263" s="45" t="n">
        <v>0</v>
      </c>
      <c r="X263" s="45" t="n">
        <v>-1.51</v>
      </c>
      <c r="Y263" s="32" t="n">
        <f aca="false">IFERROR(X263/R263,0)</f>
        <v>-0.0059972039525945</v>
      </c>
      <c r="Z263" s="28" t="str">
        <f aca="false">IF(X263&gt;0,"Win",IF(X263&lt;0,"Loss","Flat"))</f>
        <v>Loss</v>
      </c>
      <c r="AA263" s="28" t="n">
        <f aca="false">ROUND((C263-B263)*1440,1)</f>
        <v>22.7</v>
      </c>
      <c r="AB263" s="28" t="str">
        <f aca="false">IF(AA263&lt;1,"a) &lt;1 min",IF(AA263&lt;10,"b) 1-10 min",IF(AA263&lt;60,"c) 10-60 min",IF(AA263&lt;240,"d) 1-4 h","e) 4 h+"))))</f>
        <v>c) 10-60 min</v>
      </c>
      <c r="AC263" s="28" t="str">
        <f aca="false">IF(P263&lt;10,"a) &lt;10",IF(P263&lt;20,"b) 10-20",IF(P263&lt;40,"c) 20-40",IF(P263&lt;80,"d) 40-80","e) 80+"))))</f>
        <v>d) 40-80</v>
      </c>
      <c r="AD263" s="30" t="n">
        <f aca="false">Summary!$C$5+SUM(X$2:X263)</f>
        <v>106138.56</v>
      </c>
      <c r="AE263" s="30" t="n">
        <f aca="false">MAX(AE262,AD263)</f>
        <v>106588.89</v>
      </c>
      <c r="AF263" s="30" t="n">
        <f aca="false">AE263-AD263</f>
        <v>450.330000000002</v>
      </c>
      <c r="AG263" s="29" t="n">
        <f aca="false">IFERROR(AF263/AE263,0)</f>
        <v>0.00422492438001748</v>
      </c>
    </row>
    <row r="264" customFormat="false" ht="15" hidden="false" customHeight="false" outlineLevel="0" collapsed="false">
      <c r="A264" s="28" t="n">
        <v>263</v>
      </c>
      <c r="B264" s="43" t="n">
        <v>45392.4979166667</v>
      </c>
      <c r="C264" s="43" t="n">
        <v>45392.5029282407</v>
      </c>
      <c r="D264" s="42" t="n">
        <f aca="false">INT(C264)</f>
        <v>45392</v>
      </c>
      <c r="E264" s="42" t="n">
        <f aca="false">D264-WEEKDAY(D264,3)</f>
        <v>45390</v>
      </c>
      <c r="F264" s="28" t="s">
        <v>155</v>
      </c>
      <c r="G264" s="28" t="n">
        <v>2024</v>
      </c>
      <c r="H264" s="28" t="s">
        <v>235</v>
      </c>
      <c r="I264" s="28" t="n">
        <v>11</v>
      </c>
      <c r="J264" s="28" t="s">
        <v>233</v>
      </c>
      <c r="K264" s="28" t="s">
        <v>234</v>
      </c>
      <c r="L264" s="28" t="n">
        <v>0.26</v>
      </c>
      <c r="M264" s="31" t="n">
        <v>18216.6</v>
      </c>
      <c r="N264" s="31" t="n">
        <v>18209.02</v>
      </c>
      <c r="O264" s="31" t="n">
        <v>18231.75</v>
      </c>
      <c r="P264" s="44" t="n">
        <f aca="false">ABS(M264-N264)</f>
        <v>7.57999999999811</v>
      </c>
      <c r="Q264" s="44" t="n">
        <f aca="false">IF(O264="","",ABS(O264-M264))</f>
        <v>15.1500000000015</v>
      </c>
      <c r="R264" s="30" t="n">
        <f aca="false">P264*L264*Summary!$C$6</f>
        <v>39.4159999999902</v>
      </c>
      <c r="S264" s="31" t="n">
        <v>18208.84</v>
      </c>
      <c r="T264" s="28" t="s">
        <v>241</v>
      </c>
      <c r="U264" s="44" t="n">
        <f aca="false">IF(J264="BUY",S264-M264,M264-S264)</f>
        <v>-7.7599999999984</v>
      </c>
      <c r="V264" s="45" t="n">
        <v>0</v>
      </c>
      <c r="W264" s="45" t="n">
        <v>0</v>
      </c>
      <c r="X264" s="45" t="n">
        <v>-40.35</v>
      </c>
      <c r="Y264" s="32" t="n">
        <f aca="false">IFERROR(X264/R264,0)</f>
        <v>-1.02369596103131</v>
      </c>
      <c r="Z264" s="28" t="str">
        <f aca="false">IF(X264&gt;0,"Win",IF(X264&lt;0,"Loss","Flat"))</f>
        <v>Loss</v>
      </c>
      <c r="AA264" s="28" t="n">
        <f aca="false">ROUND((C264-B264)*1440,1)</f>
        <v>7.2</v>
      </c>
      <c r="AB264" s="28" t="str">
        <f aca="false">IF(AA264&lt;1,"a) &lt;1 min",IF(AA264&lt;10,"b) 1-10 min",IF(AA264&lt;60,"c) 10-60 min",IF(AA264&lt;240,"d) 1-4 h","e) 4 h+"))))</f>
        <v>b) 1-10 min</v>
      </c>
      <c r="AC264" s="28" t="str">
        <f aca="false">IF(P264&lt;10,"a) &lt;10",IF(P264&lt;20,"b) 10-20",IF(P264&lt;40,"c) 20-40",IF(P264&lt;80,"d) 40-80","e) 80+"))))</f>
        <v>a) &lt;10</v>
      </c>
      <c r="AD264" s="30" t="n">
        <f aca="false">Summary!$C$5+SUM(X$2:X264)</f>
        <v>106098.21</v>
      </c>
      <c r="AE264" s="30" t="n">
        <f aca="false">MAX(AE263,AD264)</f>
        <v>106588.89</v>
      </c>
      <c r="AF264" s="30" t="n">
        <f aca="false">AE264-AD264</f>
        <v>490.679999999993</v>
      </c>
      <c r="AG264" s="29" t="n">
        <f aca="false">IFERROR(AF264/AE264,0)</f>
        <v>0.0046034816574222</v>
      </c>
    </row>
    <row r="265" customFormat="false" ht="15" hidden="false" customHeight="false" outlineLevel="0" collapsed="false">
      <c r="A265" s="28" t="n">
        <v>264</v>
      </c>
      <c r="B265" s="43" t="n">
        <v>45392.6472222222</v>
      </c>
      <c r="C265" s="43" t="n">
        <v>45392.7047106482</v>
      </c>
      <c r="D265" s="42" t="n">
        <f aca="false">INT(C265)</f>
        <v>45392</v>
      </c>
      <c r="E265" s="42" t="n">
        <f aca="false">D265-WEEKDAY(D265,3)</f>
        <v>45390</v>
      </c>
      <c r="F265" s="28" t="s">
        <v>155</v>
      </c>
      <c r="G265" s="28" t="n">
        <v>2024</v>
      </c>
      <c r="H265" s="28" t="s">
        <v>235</v>
      </c>
      <c r="I265" s="28" t="n">
        <v>15</v>
      </c>
      <c r="J265" s="28" t="s">
        <v>236</v>
      </c>
      <c r="K265" s="28" t="s">
        <v>237</v>
      </c>
      <c r="L265" s="28" t="n">
        <v>0.26</v>
      </c>
      <c r="M265" s="31" t="n">
        <v>17926.58</v>
      </c>
      <c r="N265" s="31" t="n">
        <v>18013.77</v>
      </c>
      <c r="O265" s="31" t="n">
        <v>17758.11</v>
      </c>
      <c r="P265" s="44" t="n">
        <f aca="false">ABS(M265-N265)</f>
        <v>87.1899999999987</v>
      </c>
      <c r="Q265" s="44" t="n">
        <f aca="false">IF(O265="","",ABS(O265-M265))</f>
        <v>168.470000000001</v>
      </c>
      <c r="R265" s="30" t="n">
        <f aca="false">P265*L265*Summary!$C$6</f>
        <v>453.387999999993</v>
      </c>
      <c r="S265" s="31" t="n">
        <v>18014.25</v>
      </c>
      <c r="T265" s="28" t="s">
        <v>241</v>
      </c>
      <c r="U265" s="44" t="n">
        <f aca="false">IF(J265="BUY",S265-M265,M265-S265)</f>
        <v>-87.6699999999983</v>
      </c>
      <c r="V265" s="45" t="n">
        <v>0</v>
      </c>
      <c r="W265" s="45" t="n">
        <v>0</v>
      </c>
      <c r="X265" s="45" t="n">
        <v>-455.88</v>
      </c>
      <c r="Y265" s="32" t="n">
        <f aca="false">IFERROR(X265/R265,0)</f>
        <v>-1.00549639602285</v>
      </c>
      <c r="Z265" s="28" t="str">
        <f aca="false">IF(X265&gt;0,"Win",IF(X265&lt;0,"Loss","Flat"))</f>
        <v>Loss</v>
      </c>
      <c r="AA265" s="28" t="n">
        <f aca="false">ROUND((C265-B265)*1440,1)</f>
        <v>82.8</v>
      </c>
      <c r="AB265" s="28" t="str">
        <f aca="false">IF(AA265&lt;1,"a) &lt;1 min",IF(AA265&lt;10,"b) 1-10 min",IF(AA265&lt;60,"c) 10-60 min",IF(AA265&lt;240,"d) 1-4 h","e) 4 h+"))))</f>
        <v>d) 1-4 h</v>
      </c>
      <c r="AC265" s="28" t="str">
        <f aca="false">IF(P265&lt;10,"a) &lt;10",IF(P265&lt;20,"b) 10-20",IF(P265&lt;40,"c) 20-40",IF(P265&lt;80,"d) 40-80","e) 80+"))))</f>
        <v>e) 80+</v>
      </c>
      <c r="AD265" s="30" t="n">
        <f aca="false">Summary!$C$5+SUM(X$2:X265)</f>
        <v>105642.33</v>
      </c>
      <c r="AE265" s="30" t="n">
        <f aca="false">MAX(AE264,AD265)</f>
        <v>106588.89</v>
      </c>
      <c r="AF265" s="30" t="n">
        <f aca="false">AE265-AD265</f>
        <v>946.559999999998</v>
      </c>
      <c r="AG265" s="29" t="n">
        <f aca="false">IFERROR(AF265/AE265,0)</f>
        <v>0.00888047525403443</v>
      </c>
    </row>
    <row r="266" customFormat="false" ht="15" hidden="false" customHeight="false" outlineLevel="0" collapsed="false">
      <c r="A266" s="28" t="n">
        <v>265</v>
      </c>
      <c r="B266" s="43" t="n">
        <v>45393.8805555556</v>
      </c>
      <c r="C266" s="43" t="n">
        <v>45393.9002199074</v>
      </c>
      <c r="D266" s="42" t="n">
        <f aca="false">INT(C266)</f>
        <v>45393</v>
      </c>
      <c r="E266" s="42" t="n">
        <f aca="false">D266-WEEKDAY(D266,3)</f>
        <v>45390</v>
      </c>
      <c r="F266" s="28" t="s">
        <v>155</v>
      </c>
      <c r="G266" s="28" t="n">
        <v>2024</v>
      </c>
      <c r="H266" s="28" t="s">
        <v>239</v>
      </c>
      <c r="I266" s="28" t="n">
        <v>21</v>
      </c>
      <c r="J266" s="28" t="s">
        <v>233</v>
      </c>
      <c r="K266" s="28" t="s">
        <v>234</v>
      </c>
      <c r="L266" s="28" t="n">
        <v>0.25</v>
      </c>
      <c r="M266" s="31" t="n">
        <v>18286.97</v>
      </c>
      <c r="N266" s="31" t="n">
        <v>18268.2</v>
      </c>
      <c r="O266" s="31" t="n">
        <v>18324.51</v>
      </c>
      <c r="P266" s="44" t="n">
        <f aca="false">ABS(M266-N266)</f>
        <v>18.7700000000004</v>
      </c>
      <c r="Q266" s="44" t="n">
        <f aca="false">IF(O266="","",ABS(O266-M266))</f>
        <v>37.5399999999972</v>
      </c>
      <c r="R266" s="30" t="n">
        <f aca="false">P266*L266*Summary!$C$6</f>
        <v>93.8500000000022</v>
      </c>
      <c r="S266" s="31" t="n">
        <v>18325.02</v>
      </c>
      <c r="T266" s="28" t="s">
        <v>214</v>
      </c>
      <c r="U266" s="44" t="n">
        <f aca="false">IF(J266="BUY",S266-M266,M266-S266)</f>
        <v>38.0499999999993</v>
      </c>
      <c r="V266" s="45" t="n">
        <v>0</v>
      </c>
      <c r="W266" s="45" t="n">
        <v>0</v>
      </c>
      <c r="X266" s="45" t="n">
        <v>190.25</v>
      </c>
      <c r="Y266" s="32" t="n">
        <f aca="false">IFERROR(X266/R266,0)</f>
        <v>2.0271710175812</v>
      </c>
      <c r="Z266" s="28" t="str">
        <f aca="false">IF(X266&gt;0,"Win",IF(X266&lt;0,"Loss","Flat"))</f>
        <v>Win</v>
      </c>
      <c r="AA266" s="28" t="n">
        <f aca="false">ROUND((C266-B266)*1440,1)</f>
        <v>28.3</v>
      </c>
      <c r="AB266" s="28" t="str">
        <f aca="false">IF(AA266&lt;1,"a) &lt;1 min",IF(AA266&lt;10,"b) 1-10 min",IF(AA266&lt;60,"c) 10-60 min",IF(AA266&lt;240,"d) 1-4 h","e) 4 h+"))))</f>
        <v>c) 10-60 min</v>
      </c>
      <c r="AC266" s="28" t="str">
        <f aca="false">IF(P266&lt;10,"a) &lt;10",IF(P266&lt;20,"b) 10-20",IF(P266&lt;40,"c) 20-40",IF(P266&lt;80,"d) 40-80","e) 80+"))))</f>
        <v>b) 10-20</v>
      </c>
      <c r="AD266" s="30" t="n">
        <f aca="false">Summary!$C$5+SUM(X$2:X266)</f>
        <v>105832.58</v>
      </c>
      <c r="AE266" s="30" t="n">
        <f aca="false">MAX(AE265,AD266)</f>
        <v>106588.89</v>
      </c>
      <c r="AF266" s="30" t="n">
        <f aca="false">AE266-AD266</f>
        <v>756.309999999998</v>
      </c>
      <c r="AG266" s="29" t="n">
        <f aca="false">IFERROR(AF266/AE266,0)</f>
        <v>0.00709558003653099</v>
      </c>
    </row>
    <row r="267" customFormat="false" ht="15" hidden="false" customHeight="false" outlineLevel="0" collapsed="false">
      <c r="A267" s="28" t="n">
        <v>266</v>
      </c>
      <c r="B267" s="43" t="n">
        <v>45397.8131944445</v>
      </c>
      <c r="C267" s="43" t="n">
        <v>45397.8469675926</v>
      </c>
      <c r="D267" s="42" t="n">
        <f aca="false">INT(C267)</f>
        <v>45397</v>
      </c>
      <c r="E267" s="42" t="n">
        <f aca="false">D267-WEEKDAY(D267,3)</f>
        <v>45397</v>
      </c>
      <c r="F267" s="28" t="s">
        <v>155</v>
      </c>
      <c r="G267" s="28" t="n">
        <v>2024</v>
      </c>
      <c r="H267" s="28" t="s">
        <v>240</v>
      </c>
      <c r="I267" s="28" t="n">
        <v>19</v>
      </c>
      <c r="J267" s="28" t="s">
        <v>236</v>
      </c>
      <c r="K267" s="28" t="s">
        <v>237</v>
      </c>
      <c r="L267" s="28" t="n">
        <v>0.26</v>
      </c>
      <c r="M267" s="31" t="n">
        <v>17939.75</v>
      </c>
      <c r="N267" s="31" t="n">
        <v>17968.85</v>
      </c>
      <c r="O267" s="31" t="n">
        <v>17884.36</v>
      </c>
      <c r="P267" s="44" t="n">
        <f aca="false">ABS(M267-N267)</f>
        <v>29.0999999999985</v>
      </c>
      <c r="Q267" s="44" t="n">
        <f aca="false">IF(O267="","",ABS(O267-M267))</f>
        <v>55.3899999999994</v>
      </c>
      <c r="R267" s="30" t="n">
        <f aca="false">P267*L267*Summary!$C$6</f>
        <v>151.319999999992</v>
      </c>
      <c r="S267" s="31" t="n">
        <v>17884</v>
      </c>
      <c r="T267" s="28" t="s">
        <v>214</v>
      </c>
      <c r="U267" s="44" t="n">
        <f aca="false">IF(J267="BUY",S267-M267,M267-S267)</f>
        <v>55.75</v>
      </c>
      <c r="V267" s="45" t="n">
        <v>0</v>
      </c>
      <c r="W267" s="45" t="n">
        <v>0</v>
      </c>
      <c r="X267" s="45" t="n">
        <v>289.9</v>
      </c>
      <c r="Y267" s="32" t="n">
        <f aca="false">IFERROR(X267/R267,0)</f>
        <v>1.91580756013755</v>
      </c>
      <c r="Z267" s="28" t="str">
        <f aca="false">IF(X267&gt;0,"Win",IF(X267&lt;0,"Loss","Flat"))</f>
        <v>Win</v>
      </c>
      <c r="AA267" s="28" t="n">
        <f aca="false">ROUND((C267-B267)*1440,1)</f>
        <v>48.6</v>
      </c>
      <c r="AB267" s="28" t="str">
        <f aca="false">IF(AA267&lt;1,"a) &lt;1 min",IF(AA267&lt;10,"b) 1-10 min",IF(AA267&lt;60,"c) 10-60 min",IF(AA267&lt;240,"d) 1-4 h","e) 4 h+"))))</f>
        <v>c) 10-60 min</v>
      </c>
      <c r="AC267" s="28" t="str">
        <f aca="false">IF(P267&lt;10,"a) &lt;10",IF(P267&lt;20,"b) 10-20",IF(P267&lt;40,"c) 20-40",IF(P267&lt;80,"d) 40-80","e) 80+"))))</f>
        <v>c) 20-40</v>
      </c>
      <c r="AD267" s="30" t="n">
        <f aca="false">Summary!$C$5+SUM(X$2:X267)</f>
        <v>106122.48</v>
      </c>
      <c r="AE267" s="30" t="n">
        <f aca="false">MAX(AE266,AD267)</f>
        <v>106588.89</v>
      </c>
      <c r="AF267" s="30" t="n">
        <f aca="false">AE267-AD267</f>
        <v>466.410000000004</v>
      </c>
      <c r="AG267" s="29" t="n">
        <f aca="false">IFERROR(AF267/AE267,0)</f>
        <v>0.00437578438052975</v>
      </c>
    </row>
    <row r="268" customFormat="false" ht="15" hidden="false" customHeight="false" outlineLevel="0" collapsed="false">
      <c r="A268" s="28" t="n">
        <v>267</v>
      </c>
      <c r="B268" s="43" t="n">
        <v>45398.2291666667</v>
      </c>
      <c r="C268" s="43" t="n">
        <v>45398.2317361111</v>
      </c>
      <c r="D268" s="42" t="n">
        <f aca="false">INT(C268)</f>
        <v>45398</v>
      </c>
      <c r="E268" s="42" t="n">
        <f aca="false">D268-WEEKDAY(D268,3)</f>
        <v>45397</v>
      </c>
      <c r="F268" s="28" t="s">
        <v>155</v>
      </c>
      <c r="G268" s="28" t="n">
        <v>2024</v>
      </c>
      <c r="H268" s="28" t="s">
        <v>232</v>
      </c>
      <c r="I268" s="28" t="n">
        <v>5</v>
      </c>
      <c r="J268" s="28" t="s">
        <v>236</v>
      </c>
      <c r="K268" s="28" t="s">
        <v>237</v>
      </c>
      <c r="L268" s="28" t="n">
        <v>0.27</v>
      </c>
      <c r="M268" s="31" t="n">
        <v>17649.25</v>
      </c>
      <c r="N268" s="31" t="n">
        <v>17667.22</v>
      </c>
      <c r="O268" s="31" t="n">
        <v>17617.48</v>
      </c>
      <c r="P268" s="44" t="n">
        <f aca="false">ABS(M268-N268)</f>
        <v>17.9700000000012</v>
      </c>
      <c r="Q268" s="44" t="n">
        <f aca="false">IF(O268="","",ABS(O268-M268))</f>
        <v>31.7700000000004</v>
      </c>
      <c r="R268" s="30" t="n">
        <f aca="false">P268*L268*Summary!$C$6</f>
        <v>97.0380000000063</v>
      </c>
      <c r="S268" s="31" t="n">
        <v>17667.23</v>
      </c>
      <c r="T268" s="28" t="s">
        <v>241</v>
      </c>
      <c r="U268" s="44" t="n">
        <f aca="false">IF(J268="BUY",S268-M268,M268-S268)</f>
        <v>-17.9799999999996</v>
      </c>
      <c r="V268" s="45" t="n">
        <v>0</v>
      </c>
      <c r="W268" s="45" t="n">
        <v>0</v>
      </c>
      <c r="X268" s="45" t="n">
        <v>-97.09</v>
      </c>
      <c r="Y268" s="32" t="n">
        <f aca="false">IFERROR(X268/R268,0)</f>
        <v>-1.00053587254471</v>
      </c>
      <c r="Z268" s="28" t="str">
        <f aca="false">IF(X268&gt;0,"Win",IF(X268&lt;0,"Loss","Flat"))</f>
        <v>Loss</v>
      </c>
      <c r="AA268" s="28" t="n">
        <f aca="false">ROUND((C268-B268)*1440,1)</f>
        <v>3.7</v>
      </c>
      <c r="AB268" s="28" t="str">
        <f aca="false">IF(AA268&lt;1,"a) &lt;1 min",IF(AA268&lt;10,"b) 1-10 min",IF(AA268&lt;60,"c) 10-60 min",IF(AA268&lt;240,"d) 1-4 h","e) 4 h+"))))</f>
        <v>b) 1-10 min</v>
      </c>
      <c r="AC268" s="28" t="str">
        <f aca="false">IF(P268&lt;10,"a) &lt;10",IF(P268&lt;20,"b) 10-20",IF(P268&lt;40,"c) 20-40",IF(P268&lt;80,"d) 40-80","e) 80+"))))</f>
        <v>b) 10-20</v>
      </c>
      <c r="AD268" s="30" t="n">
        <f aca="false">Summary!$C$5+SUM(X$2:X268)</f>
        <v>106025.39</v>
      </c>
      <c r="AE268" s="30" t="n">
        <f aca="false">MAX(AE267,AD268)</f>
        <v>106588.89</v>
      </c>
      <c r="AF268" s="30" t="n">
        <f aca="false">AE268-AD268</f>
        <v>563.5</v>
      </c>
      <c r="AG268" s="29" t="n">
        <f aca="false">IFERROR(AF268/AE268,0)</f>
        <v>0.00528666730650821</v>
      </c>
    </row>
    <row r="269" customFormat="false" ht="15" hidden="false" customHeight="false" outlineLevel="0" collapsed="false">
      <c r="A269" s="28" t="n">
        <v>268</v>
      </c>
      <c r="B269" s="43" t="n">
        <v>45399.7458333333</v>
      </c>
      <c r="C269" s="43" t="n">
        <v>45399.7504282407</v>
      </c>
      <c r="D269" s="42" t="n">
        <f aca="false">INT(C269)</f>
        <v>45399</v>
      </c>
      <c r="E269" s="42" t="n">
        <f aca="false">D269-WEEKDAY(D269,3)</f>
        <v>45397</v>
      </c>
      <c r="F269" s="28" t="s">
        <v>155</v>
      </c>
      <c r="G269" s="28" t="n">
        <v>2024</v>
      </c>
      <c r="H269" s="28" t="s">
        <v>235</v>
      </c>
      <c r="I269" s="28" t="n">
        <v>17</v>
      </c>
      <c r="J269" s="28" t="s">
        <v>236</v>
      </c>
      <c r="K269" s="28" t="s">
        <v>237</v>
      </c>
      <c r="L269" s="28" t="n">
        <v>0.27</v>
      </c>
      <c r="M269" s="31" t="n">
        <v>17615.98</v>
      </c>
      <c r="N269" s="31" t="n">
        <v>17649.5</v>
      </c>
      <c r="O269" s="31" t="n">
        <v>17548.94</v>
      </c>
      <c r="P269" s="44" t="n">
        <f aca="false">ABS(M269-N269)</f>
        <v>33.5200000000004</v>
      </c>
      <c r="Q269" s="44" t="n">
        <f aca="false">IF(O269="","",ABS(O269-M269))</f>
        <v>67.0400000000009</v>
      </c>
      <c r="R269" s="30" t="n">
        <f aca="false">P269*L269*Summary!$C$6</f>
        <v>181.008000000002</v>
      </c>
      <c r="S269" s="31" t="n">
        <v>17649.7</v>
      </c>
      <c r="T269" s="28" t="s">
        <v>241</v>
      </c>
      <c r="U269" s="44" t="n">
        <f aca="false">IF(J269="BUY",S269-M269,M269-S269)</f>
        <v>-33.7200000000012</v>
      </c>
      <c r="V269" s="45" t="n">
        <v>0</v>
      </c>
      <c r="W269" s="45" t="n">
        <v>0</v>
      </c>
      <c r="X269" s="45" t="n">
        <v>-182.09</v>
      </c>
      <c r="Y269" s="32" t="n">
        <f aca="false">IFERROR(X269/R269,0)</f>
        <v>-1.00597763634755</v>
      </c>
      <c r="Z269" s="28" t="str">
        <f aca="false">IF(X269&gt;0,"Win",IF(X269&lt;0,"Loss","Flat"))</f>
        <v>Loss</v>
      </c>
      <c r="AA269" s="28" t="n">
        <f aca="false">ROUND((C269-B269)*1440,1)</f>
        <v>6.6</v>
      </c>
      <c r="AB269" s="28" t="str">
        <f aca="false">IF(AA269&lt;1,"a) &lt;1 min",IF(AA269&lt;10,"b) 1-10 min",IF(AA269&lt;60,"c) 10-60 min",IF(AA269&lt;240,"d) 1-4 h","e) 4 h+"))))</f>
        <v>b) 1-10 min</v>
      </c>
      <c r="AC269" s="28" t="str">
        <f aca="false">IF(P269&lt;10,"a) &lt;10",IF(P269&lt;20,"b) 10-20",IF(P269&lt;40,"c) 20-40",IF(P269&lt;80,"d) 40-80","e) 80+"))))</f>
        <v>c) 20-40</v>
      </c>
      <c r="AD269" s="30" t="n">
        <f aca="false">Summary!$C$5+SUM(X$2:X269)</f>
        <v>105843.3</v>
      </c>
      <c r="AE269" s="30" t="n">
        <f aca="false">MAX(AE268,AD269)</f>
        <v>106588.89</v>
      </c>
      <c r="AF269" s="30" t="n">
        <f aca="false">AE269-AD269</f>
        <v>745.589999999997</v>
      </c>
      <c r="AG269" s="29" t="n">
        <f aca="false">IFERROR(AF269/AE269,0)</f>
        <v>0.00699500670285615</v>
      </c>
    </row>
    <row r="270" customFormat="false" ht="15" hidden="false" customHeight="false" outlineLevel="0" collapsed="false">
      <c r="A270" s="28" t="n">
        <v>269</v>
      </c>
      <c r="B270" s="43" t="n">
        <v>45400.6916666667</v>
      </c>
      <c r="C270" s="43" t="n">
        <v>45400.6992476852</v>
      </c>
      <c r="D270" s="42" t="n">
        <f aca="false">INT(C270)</f>
        <v>45400</v>
      </c>
      <c r="E270" s="42" t="n">
        <f aca="false">D270-WEEKDAY(D270,3)</f>
        <v>45397</v>
      </c>
      <c r="F270" s="28" t="s">
        <v>155</v>
      </c>
      <c r="G270" s="28" t="n">
        <v>2024</v>
      </c>
      <c r="H270" s="28" t="s">
        <v>239</v>
      </c>
      <c r="I270" s="28" t="n">
        <v>16</v>
      </c>
      <c r="J270" s="28" t="s">
        <v>236</v>
      </c>
      <c r="K270" s="28" t="s">
        <v>237</v>
      </c>
      <c r="L270" s="28" t="n">
        <v>0.27</v>
      </c>
      <c r="M270" s="31" t="n">
        <v>17454.2</v>
      </c>
      <c r="N270" s="31" t="n">
        <v>17485.52</v>
      </c>
      <c r="O270" s="31" t="n">
        <v>17391.55</v>
      </c>
      <c r="P270" s="44" t="n">
        <f aca="false">ABS(M270-N270)</f>
        <v>31.3199999999997</v>
      </c>
      <c r="Q270" s="44" t="n">
        <f aca="false">IF(O270="","",ABS(O270-M270))</f>
        <v>62.6500000000015</v>
      </c>
      <c r="R270" s="30" t="n">
        <f aca="false">P270*L270*Summary!$C$6</f>
        <v>169.127999999998</v>
      </c>
      <c r="S270" s="31" t="n">
        <v>17454.6</v>
      </c>
      <c r="T270" s="28" t="s">
        <v>238</v>
      </c>
      <c r="U270" s="44" t="n">
        <f aca="false">IF(J270="BUY",S270-M270,M270-S270)</f>
        <v>-0.399999999997817</v>
      </c>
      <c r="V270" s="45" t="n">
        <v>0</v>
      </c>
      <c r="W270" s="45" t="n">
        <v>0</v>
      </c>
      <c r="X270" s="45" t="n">
        <v>-2.16</v>
      </c>
      <c r="Y270" s="32" t="n">
        <f aca="false">IFERROR(X270/R270,0)</f>
        <v>-0.012771392081737</v>
      </c>
      <c r="Z270" s="28" t="str">
        <f aca="false">IF(X270&gt;0,"Win",IF(X270&lt;0,"Loss","Flat"))</f>
        <v>Loss</v>
      </c>
      <c r="AA270" s="28" t="n">
        <f aca="false">ROUND((C270-B270)*1440,1)</f>
        <v>10.9</v>
      </c>
      <c r="AB270" s="28" t="str">
        <f aca="false">IF(AA270&lt;1,"a) &lt;1 min",IF(AA270&lt;10,"b) 1-10 min",IF(AA270&lt;60,"c) 10-60 min",IF(AA270&lt;240,"d) 1-4 h","e) 4 h+"))))</f>
        <v>c) 10-60 min</v>
      </c>
      <c r="AC270" s="28" t="str">
        <f aca="false">IF(P270&lt;10,"a) &lt;10",IF(P270&lt;20,"b) 10-20",IF(P270&lt;40,"c) 20-40",IF(P270&lt;80,"d) 40-80","e) 80+"))))</f>
        <v>c) 20-40</v>
      </c>
      <c r="AD270" s="30" t="n">
        <f aca="false">Summary!$C$5+SUM(X$2:X270)</f>
        <v>105841.14</v>
      </c>
      <c r="AE270" s="30" t="n">
        <f aca="false">MAX(AE269,AD270)</f>
        <v>106588.89</v>
      </c>
      <c r="AF270" s="30" t="n">
        <f aca="false">AE270-AD270</f>
        <v>747.75</v>
      </c>
      <c r="AG270" s="29" t="n">
        <f aca="false">IFERROR(AF270/AE270,0)</f>
        <v>0.00701527147904439</v>
      </c>
    </row>
    <row r="271" customFormat="false" ht="15" hidden="false" customHeight="false" outlineLevel="0" collapsed="false">
      <c r="A271" s="28" t="n">
        <v>270</v>
      </c>
      <c r="B271" s="43" t="n">
        <v>45401.1201388889</v>
      </c>
      <c r="C271" s="43" t="n">
        <v>45401.1206134259</v>
      </c>
      <c r="D271" s="42" t="n">
        <f aca="false">INT(C271)</f>
        <v>45401</v>
      </c>
      <c r="E271" s="42" t="n">
        <f aca="false">D271-WEEKDAY(D271,3)</f>
        <v>45397</v>
      </c>
      <c r="F271" s="28" t="s">
        <v>155</v>
      </c>
      <c r="G271" s="28" t="n">
        <v>2024</v>
      </c>
      <c r="H271" s="28" t="s">
        <v>242</v>
      </c>
      <c r="I271" s="28" t="n">
        <v>2</v>
      </c>
      <c r="J271" s="28" t="s">
        <v>236</v>
      </c>
      <c r="K271" s="28" t="s">
        <v>237</v>
      </c>
      <c r="L271" s="28" t="n">
        <v>0.27</v>
      </c>
      <c r="M271" s="31" t="n">
        <v>17341.24</v>
      </c>
      <c r="N271" s="31" t="n">
        <v>17348.98</v>
      </c>
      <c r="O271" s="31" t="n">
        <v>17325.76</v>
      </c>
      <c r="P271" s="44" t="n">
        <f aca="false">ABS(M271-N271)</f>
        <v>7.73999999999796</v>
      </c>
      <c r="Q271" s="44" t="n">
        <f aca="false">IF(O271="","",ABS(O271-M271))</f>
        <v>15.4800000000032</v>
      </c>
      <c r="R271" s="30" t="n">
        <f aca="false">P271*L271*Summary!$C$6</f>
        <v>41.795999999989</v>
      </c>
      <c r="S271" s="31" t="n">
        <v>17341.39</v>
      </c>
      <c r="T271" s="28" t="s">
        <v>238</v>
      </c>
      <c r="U271" s="44" t="n">
        <f aca="false">IF(J271="BUY",S271-M271,M271-S271)</f>
        <v>-0.149999999997817</v>
      </c>
      <c r="V271" s="45" t="n">
        <v>0</v>
      </c>
      <c r="W271" s="45" t="n">
        <v>0</v>
      </c>
      <c r="X271" s="45" t="n">
        <v>-0.81</v>
      </c>
      <c r="Y271" s="32" t="n">
        <f aca="false">IFERROR(X271/R271,0)</f>
        <v>-0.0193798449612454</v>
      </c>
      <c r="Z271" s="28" t="str">
        <f aca="false">IF(X271&gt;0,"Win",IF(X271&lt;0,"Loss","Flat"))</f>
        <v>Loss</v>
      </c>
      <c r="AA271" s="28" t="n">
        <f aca="false">ROUND((C271-B271)*1440,1)</f>
        <v>0.7</v>
      </c>
      <c r="AB271" s="28" t="str">
        <f aca="false">IF(AA271&lt;1,"a) &lt;1 min",IF(AA271&lt;10,"b) 1-10 min",IF(AA271&lt;60,"c) 10-60 min",IF(AA271&lt;240,"d) 1-4 h","e) 4 h+"))))</f>
        <v>a) &lt;1 min</v>
      </c>
      <c r="AC271" s="28" t="str">
        <f aca="false">IF(P271&lt;10,"a) &lt;10",IF(P271&lt;20,"b) 10-20",IF(P271&lt;40,"c) 20-40",IF(P271&lt;80,"d) 40-80","e) 80+"))))</f>
        <v>a) &lt;10</v>
      </c>
      <c r="AD271" s="30" t="n">
        <f aca="false">Summary!$C$5+SUM(X$2:X271)</f>
        <v>105840.33</v>
      </c>
      <c r="AE271" s="30" t="n">
        <f aca="false">MAX(AE270,AD271)</f>
        <v>106588.89</v>
      </c>
      <c r="AF271" s="30" t="n">
        <f aca="false">AE271-AD271</f>
        <v>748.559999999998</v>
      </c>
      <c r="AG271" s="29" t="n">
        <f aca="false">IFERROR(AF271/AE271,0)</f>
        <v>0.00702287077011495</v>
      </c>
    </row>
    <row r="272" customFormat="false" ht="15" hidden="false" customHeight="false" outlineLevel="0" collapsed="false">
      <c r="A272" s="28" t="n">
        <v>271</v>
      </c>
      <c r="B272" s="43" t="n">
        <v>45405.6888888889</v>
      </c>
      <c r="C272" s="43" t="n">
        <v>45405.6905208333</v>
      </c>
      <c r="D272" s="42" t="n">
        <f aca="false">INT(C272)</f>
        <v>45405</v>
      </c>
      <c r="E272" s="42" t="n">
        <f aca="false">D272-WEEKDAY(D272,3)</f>
        <v>45404</v>
      </c>
      <c r="F272" s="28" t="s">
        <v>155</v>
      </c>
      <c r="G272" s="28" t="n">
        <v>2024</v>
      </c>
      <c r="H272" s="28" t="s">
        <v>232</v>
      </c>
      <c r="I272" s="28" t="n">
        <v>16</v>
      </c>
      <c r="J272" s="28" t="s">
        <v>233</v>
      </c>
      <c r="K272" s="28" t="s">
        <v>234</v>
      </c>
      <c r="L272" s="28" t="n">
        <v>0.27</v>
      </c>
      <c r="M272" s="31" t="n">
        <v>17310.71</v>
      </c>
      <c r="N272" s="31" t="n">
        <v>17287.02</v>
      </c>
      <c r="O272" s="31" t="n">
        <v>17358.08</v>
      </c>
      <c r="P272" s="44" t="n">
        <f aca="false">ABS(M272-N272)</f>
        <v>23.6899999999987</v>
      </c>
      <c r="Q272" s="44" t="n">
        <f aca="false">IF(O272="","",ABS(O272-M272))</f>
        <v>47.3700000000026</v>
      </c>
      <c r="R272" s="30" t="n">
        <f aca="false">P272*L272*Summary!$C$6</f>
        <v>127.925999999993</v>
      </c>
      <c r="S272" s="31" t="n">
        <v>17286.7</v>
      </c>
      <c r="T272" s="28" t="s">
        <v>241</v>
      </c>
      <c r="U272" s="44" t="n">
        <f aca="false">IF(J272="BUY",S272-M272,M272-S272)</f>
        <v>-24.0099999999984</v>
      </c>
      <c r="V272" s="45" t="n">
        <v>0</v>
      </c>
      <c r="W272" s="45" t="n">
        <v>0</v>
      </c>
      <c r="X272" s="45" t="n">
        <v>-129.65</v>
      </c>
      <c r="Y272" s="32" t="n">
        <f aca="false">IFERROR(X272/R272,0)</f>
        <v>-1.01347654112539</v>
      </c>
      <c r="Z272" s="28" t="str">
        <f aca="false">IF(X272&gt;0,"Win",IF(X272&lt;0,"Loss","Flat"))</f>
        <v>Loss</v>
      </c>
      <c r="AA272" s="28" t="n">
        <f aca="false">ROUND((C272-B272)*1440,1)</f>
        <v>2.4</v>
      </c>
      <c r="AB272" s="28" t="str">
        <f aca="false">IF(AA272&lt;1,"a) &lt;1 min",IF(AA272&lt;10,"b) 1-10 min",IF(AA272&lt;60,"c) 10-60 min",IF(AA272&lt;240,"d) 1-4 h","e) 4 h+"))))</f>
        <v>b) 1-10 min</v>
      </c>
      <c r="AC272" s="28" t="str">
        <f aca="false">IF(P272&lt;10,"a) &lt;10",IF(P272&lt;20,"b) 10-20",IF(P272&lt;40,"c) 20-40",IF(P272&lt;80,"d) 40-80","e) 80+"))))</f>
        <v>c) 20-40</v>
      </c>
      <c r="AD272" s="30" t="n">
        <f aca="false">Summary!$C$5+SUM(X$2:X272)</f>
        <v>105710.68</v>
      </c>
      <c r="AE272" s="30" t="n">
        <f aca="false">MAX(AE271,AD272)</f>
        <v>106588.89</v>
      </c>
      <c r="AF272" s="30" t="n">
        <f aca="false">AE272-AD272</f>
        <v>878.210000000006</v>
      </c>
      <c r="AG272" s="29" t="n">
        <f aca="false">IFERROR(AF272/AE272,0)</f>
        <v>0.00823922643344918</v>
      </c>
    </row>
    <row r="273" customFormat="false" ht="15" hidden="false" customHeight="false" outlineLevel="0" collapsed="false">
      <c r="A273" s="28" t="n">
        <v>272</v>
      </c>
      <c r="B273" s="43" t="n">
        <v>45406.0472453704</v>
      </c>
      <c r="C273" s="43" t="n">
        <v>45406.1986921296</v>
      </c>
      <c r="D273" s="42" t="n">
        <f aca="false">INT(C273)</f>
        <v>45406</v>
      </c>
      <c r="E273" s="42" t="n">
        <f aca="false">D273-WEEKDAY(D273,3)</f>
        <v>45404</v>
      </c>
      <c r="F273" s="28" t="s">
        <v>155</v>
      </c>
      <c r="G273" s="28" t="n">
        <v>2024</v>
      </c>
      <c r="H273" s="28" t="s">
        <v>235</v>
      </c>
      <c r="I273" s="28" t="n">
        <v>1</v>
      </c>
      <c r="J273" s="28" t="s">
        <v>233</v>
      </c>
      <c r="K273" s="28" t="s">
        <v>234</v>
      </c>
      <c r="L273" s="28" t="n">
        <v>0.27</v>
      </c>
      <c r="M273" s="31" t="n">
        <v>17537.08</v>
      </c>
      <c r="N273" s="31" t="n">
        <v>17512.08</v>
      </c>
      <c r="O273" s="31" t="n">
        <v>17587.07</v>
      </c>
      <c r="P273" s="44" t="n">
        <f aca="false">ABS(M273-N273)</f>
        <v>25</v>
      </c>
      <c r="Q273" s="44" t="n">
        <f aca="false">IF(O273="","",ABS(O273-M273))</f>
        <v>49.989999999998</v>
      </c>
      <c r="R273" s="30" t="n">
        <f aca="false">P273*L273*Summary!$C$6</f>
        <v>135</v>
      </c>
      <c r="S273" s="31" t="n">
        <v>17587.41</v>
      </c>
      <c r="T273" s="28" t="s">
        <v>214</v>
      </c>
      <c r="U273" s="44" t="n">
        <f aca="false">IF(J273="BUY",S273-M273,M273-S273)</f>
        <v>50.3299999999981</v>
      </c>
      <c r="V273" s="45" t="n">
        <v>0</v>
      </c>
      <c r="W273" s="45" t="n">
        <v>0</v>
      </c>
      <c r="X273" s="45" t="n">
        <v>271.78</v>
      </c>
      <c r="Y273" s="32" t="n">
        <f aca="false">IFERROR(X273/R273,0)</f>
        <v>2.01318518518519</v>
      </c>
      <c r="Z273" s="28" t="str">
        <f aca="false">IF(X273&gt;0,"Win",IF(X273&lt;0,"Loss","Flat"))</f>
        <v>Win</v>
      </c>
      <c r="AA273" s="28" t="n">
        <f aca="false">ROUND((C273-B273)*1440,1)</f>
        <v>218.1</v>
      </c>
      <c r="AB273" s="28" t="str">
        <f aca="false">IF(AA273&lt;1,"a) &lt;1 min",IF(AA273&lt;10,"b) 1-10 min",IF(AA273&lt;60,"c) 10-60 min",IF(AA273&lt;240,"d) 1-4 h","e) 4 h+"))))</f>
        <v>d) 1-4 h</v>
      </c>
      <c r="AC273" s="28" t="str">
        <f aca="false">IF(P273&lt;10,"a) &lt;10",IF(P273&lt;20,"b) 10-20",IF(P273&lt;40,"c) 20-40",IF(P273&lt;80,"d) 40-80","e) 80+"))))</f>
        <v>c) 20-40</v>
      </c>
      <c r="AD273" s="30" t="n">
        <f aca="false">Summary!$C$5+SUM(X$2:X273)</f>
        <v>105982.46</v>
      </c>
      <c r="AE273" s="30" t="n">
        <f aca="false">MAX(AE272,AD273)</f>
        <v>106588.89</v>
      </c>
      <c r="AF273" s="30" t="n">
        <f aca="false">AE273-AD273</f>
        <v>606.429999999993</v>
      </c>
      <c r="AG273" s="29" t="n">
        <f aca="false">IFERROR(AF273/AE273,0)</f>
        <v>0.00568942973324887</v>
      </c>
    </row>
    <row r="274" customFormat="false" ht="15" hidden="false" customHeight="false" outlineLevel="0" collapsed="false">
      <c r="A274" s="28" t="n">
        <v>273</v>
      </c>
      <c r="B274" s="43" t="n">
        <v>45407.0472222222</v>
      </c>
      <c r="C274" s="43" t="n">
        <v>45407.4606712963</v>
      </c>
      <c r="D274" s="42" t="n">
        <f aca="false">INT(C274)</f>
        <v>45407</v>
      </c>
      <c r="E274" s="42" t="n">
        <f aca="false">D274-WEEKDAY(D274,3)</f>
        <v>45404</v>
      </c>
      <c r="F274" s="28" t="s">
        <v>155</v>
      </c>
      <c r="G274" s="28" t="n">
        <v>2024</v>
      </c>
      <c r="H274" s="28" t="s">
        <v>239</v>
      </c>
      <c r="I274" s="28" t="n">
        <v>1</v>
      </c>
      <c r="J274" s="28" t="s">
        <v>236</v>
      </c>
      <c r="K274" s="28" t="s">
        <v>237</v>
      </c>
      <c r="L274" s="28" t="n">
        <v>0.27</v>
      </c>
      <c r="M274" s="31" t="n">
        <v>17338.96</v>
      </c>
      <c r="N274" s="31" t="n">
        <v>17398.98</v>
      </c>
      <c r="O274" s="31" t="n">
        <v>17218.91</v>
      </c>
      <c r="P274" s="44" t="n">
        <f aca="false">ABS(M274-N274)</f>
        <v>60.0200000000004</v>
      </c>
      <c r="Q274" s="44" t="n">
        <f aca="false">IF(O274="","",ABS(O274-M274))</f>
        <v>120.049999999999</v>
      </c>
      <c r="R274" s="30" t="n">
        <f aca="false">P274*L274*Summary!$C$6</f>
        <v>324.108000000002</v>
      </c>
      <c r="S274" s="31" t="n">
        <v>17338.98</v>
      </c>
      <c r="T274" s="28" t="s">
        <v>238</v>
      </c>
      <c r="U274" s="44" t="n">
        <f aca="false">IF(J274="BUY",S274-M274,M274-S274)</f>
        <v>-0.0200000000004366</v>
      </c>
      <c r="V274" s="45" t="n">
        <v>0</v>
      </c>
      <c r="W274" s="45" t="n">
        <v>0</v>
      </c>
      <c r="X274" s="45" t="n">
        <v>-0.11</v>
      </c>
      <c r="Y274" s="32" t="n">
        <f aca="false">IFERROR(X274/R274,0)</f>
        <v>-0.000339393041825562</v>
      </c>
      <c r="Z274" s="28" t="str">
        <f aca="false">IF(X274&gt;0,"Win",IF(X274&lt;0,"Loss","Flat"))</f>
        <v>Loss</v>
      </c>
      <c r="AA274" s="28" t="n">
        <f aca="false">ROUND((C274-B274)*1440,1)</f>
        <v>595.4</v>
      </c>
      <c r="AB274" s="28" t="str">
        <f aca="false">IF(AA274&lt;1,"a) &lt;1 min",IF(AA274&lt;10,"b) 1-10 min",IF(AA274&lt;60,"c) 10-60 min",IF(AA274&lt;240,"d) 1-4 h","e) 4 h+"))))</f>
        <v>e) 4 h+</v>
      </c>
      <c r="AC274" s="28" t="str">
        <f aca="false">IF(P274&lt;10,"a) &lt;10",IF(P274&lt;20,"b) 10-20",IF(P274&lt;40,"c) 20-40",IF(P274&lt;80,"d) 40-80","e) 80+"))))</f>
        <v>d) 40-80</v>
      </c>
      <c r="AD274" s="30" t="n">
        <f aca="false">Summary!$C$5+SUM(X$2:X274)</f>
        <v>105982.35</v>
      </c>
      <c r="AE274" s="30" t="n">
        <f aca="false">MAX(AE273,AD274)</f>
        <v>106588.89</v>
      </c>
      <c r="AF274" s="30" t="n">
        <f aca="false">AE274-AD274</f>
        <v>606.539999999994</v>
      </c>
      <c r="AG274" s="29" t="n">
        <f aca="false">IFERROR(AF274/AE274,0)</f>
        <v>0.00569046173573994</v>
      </c>
    </row>
    <row r="275" customFormat="false" ht="15" hidden="false" customHeight="false" outlineLevel="0" collapsed="false">
      <c r="A275" s="28" t="n">
        <v>274</v>
      </c>
      <c r="B275" s="43" t="n">
        <v>45407.9625</v>
      </c>
      <c r="C275" s="43" t="n">
        <v>45408.5083912037</v>
      </c>
      <c r="D275" s="42" t="n">
        <f aca="false">INT(C275)</f>
        <v>45408</v>
      </c>
      <c r="E275" s="42" t="n">
        <f aca="false">D275-WEEKDAY(D275,3)</f>
        <v>45404</v>
      </c>
      <c r="F275" s="28" t="s">
        <v>155</v>
      </c>
      <c r="G275" s="28" t="n">
        <v>2024</v>
      </c>
      <c r="H275" s="28" t="s">
        <v>239</v>
      </c>
      <c r="I275" s="28" t="n">
        <v>23</v>
      </c>
      <c r="J275" s="28" t="s">
        <v>233</v>
      </c>
      <c r="K275" s="28" t="s">
        <v>234</v>
      </c>
      <c r="L275" s="28" t="n">
        <v>0.26</v>
      </c>
      <c r="M275" s="31" t="n">
        <v>17670.02</v>
      </c>
      <c r="N275" s="31" t="n">
        <v>17594.02</v>
      </c>
      <c r="O275" s="31" t="n">
        <v>17822.01</v>
      </c>
      <c r="P275" s="44" t="n">
        <f aca="false">ABS(M275-N275)</f>
        <v>76</v>
      </c>
      <c r="Q275" s="44" t="n">
        <f aca="false">IF(O275="","",ABS(O275-M275))</f>
        <v>151.989999999998</v>
      </c>
      <c r="R275" s="30" t="n">
        <f aca="false">P275*L275*Summary!$C$6</f>
        <v>395.2</v>
      </c>
      <c r="S275" s="31" t="n">
        <v>17592.91</v>
      </c>
      <c r="T275" s="28" t="s">
        <v>241</v>
      </c>
      <c r="U275" s="44" t="n">
        <f aca="false">IF(J275="BUY",S275-M275,M275-S275)</f>
        <v>-77.1100000000006</v>
      </c>
      <c r="V275" s="45" t="n">
        <v>0</v>
      </c>
      <c r="W275" s="45" t="n">
        <v>-18.69</v>
      </c>
      <c r="X275" s="45" t="n">
        <v>-419.66</v>
      </c>
      <c r="Y275" s="32" t="n">
        <f aca="false">IFERROR(X275/R275,0)</f>
        <v>-1.06189271255061</v>
      </c>
      <c r="Z275" s="28" t="str">
        <f aca="false">IF(X275&gt;0,"Win",IF(X275&lt;0,"Loss","Flat"))</f>
        <v>Loss</v>
      </c>
      <c r="AA275" s="28" t="n">
        <f aca="false">ROUND((C275-B275)*1440,1)</f>
        <v>786.1</v>
      </c>
      <c r="AB275" s="28" t="str">
        <f aca="false">IF(AA275&lt;1,"a) &lt;1 min",IF(AA275&lt;10,"b) 1-10 min",IF(AA275&lt;60,"c) 10-60 min",IF(AA275&lt;240,"d) 1-4 h","e) 4 h+"))))</f>
        <v>e) 4 h+</v>
      </c>
      <c r="AC275" s="28" t="str">
        <f aca="false">IF(P275&lt;10,"a) &lt;10",IF(P275&lt;20,"b) 10-20",IF(P275&lt;40,"c) 20-40",IF(P275&lt;80,"d) 40-80","e) 80+"))))</f>
        <v>d) 40-80</v>
      </c>
      <c r="AD275" s="30" t="n">
        <f aca="false">Summary!$C$5+SUM(X$2:X275)</f>
        <v>105562.69</v>
      </c>
      <c r="AE275" s="30" t="n">
        <f aca="false">MAX(AE274,AD275)</f>
        <v>106588.89</v>
      </c>
      <c r="AF275" s="30" t="n">
        <f aca="false">AE275-AD275</f>
        <v>1026.2</v>
      </c>
      <c r="AG275" s="29" t="n">
        <f aca="false">IFERROR(AF275/AE275,0)</f>
        <v>0.00962764505756648</v>
      </c>
    </row>
    <row r="276" customFormat="false" ht="15" hidden="false" customHeight="false" outlineLevel="0" collapsed="false">
      <c r="A276" s="28" t="n">
        <v>275</v>
      </c>
      <c r="B276" s="43" t="n">
        <v>45408.7166666667</v>
      </c>
      <c r="C276" s="43" t="n">
        <v>45408.7296643519</v>
      </c>
      <c r="D276" s="42" t="n">
        <f aca="false">INT(C276)</f>
        <v>45408</v>
      </c>
      <c r="E276" s="42" t="n">
        <f aca="false">D276-WEEKDAY(D276,3)</f>
        <v>45404</v>
      </c>
      <c r="F276" s="28" t="s">
        <v>155</v>
      </c>
      <c r="G276" s="28" t="n">
        <v>2024</v>
      </c>
      <c r="H276" s="28" t="s">
        <v>242</v>
      </c>
      <c r="I276" s="28" t="n">
        <v>17</v>
      </c>
      <c r="J276" s="28" t="s">
        <v>233</v>
      </c>
      <c r="K276" s="28" t="s">
        <v>234</v>
      </c>
      <c r="L276" s="28" t="n">
        <v>0.26</v>
      </c>
      <c r="M276" s="31" t="n">
        <v>17691.3</v>
      </c>
      <c r="N276" s="31" t="n">
        <v>17655.84</v>
      </c>
      <c r="O276" s="31" t="n">
        <v>17762.22</v>
      </c>
      <c r="P276" s="44" t="n">
        <f aca="false">ABS(M276-N276)</f>
        <v>35.4599999999991</v>
      </c>
      <c r="Q276" s="44" t="n">
        <f aca="false">IF(O276="","",ABS(O276-M276))</f>
        <v>70.9200000000019</v>
      </c>
      <c r="R276" s="30" t="n">
        <f aca="false">P276*L276*Summary!$C$6</f>
        <v>184.391999999995</v>
      </c>
      <c r="S276" s="31" t="n">
        <v>17655.59</v>
      </c>
      <c r="T276" s="28" t="s">
        <v>241</v>
      </c>
      <c r="U276" s="44" t="n">
        <f aca="false">IF(J276="BUY",S276-M276,M276-S276)</f>
        <v>-35.7099999999991</v>
      </c>
      <c r="V276" s="45" t="n">
        <v>0</v>
      </c>
      <c r="W276" s="45" t="n">
        <v>0</v>
      </c>
      <c r="X276" s="45" t="n">
        <v>-185.69</v>
      </c>
      <c r="Y276" s="32" t="n">
        <f aca="false">IFERROR(X276/R276,0)</f>
        <v>-1.00703935094801</v>
      </c>
      <c r="Z276" s="28" t="str">
        <f aca="false">IF(X276&gt;0,"Win",IF(X276&lt;0,"Loss","Flat"))</f>
        <v>Loss</v>
      </c>
      <c r="AA276" s="28" t="n">
        <f aca="false">ROUND((C276-B276)*1440,1)</f>
        <v>18.7</v>
      </c>
      <c r="AB276" s="28" t="str">
        <f aca="false">IF(AA276&lt;1,"a) &lt;1 min",IF(AA276&lt;10,"b) 1-10 min",IF(AA276&lt;60,"c) 10-60 min",IF(AA276&lt;240,"d) 1-4 h","e) 4 h+"))))</f>
        <v>c) 10-60 min</v>
      </c>
      <c r="AC276" s="28" t="str">
        <f aca="false">IF(P276&lt;10,"a) &lt;10",IF(P276&lt;20,"b) 10-20",IF(P276&lt;40,"c) 20-40",IF(P276&lt;80,"d) 40-80","e) 80+"))))</f>
        <v>c) 20-40</v>
      </c>
      <c r="AD276" s="30" t="n">
        <f aca="false">Summary!$C$5+SUM(X$2:X276)</f>
        <v>105377</v>
      </c>
      <c r="AE276" s="30" t="n">
        <f aca="false">MAX(AE275,AD276)</f>
        <v>106588.89</v>
      </c>
      <c r="AF276" s="30" t="n">
        <f aca="false">AE276-AD276</f>
        <v>1211.89</v>
      </c>
      <c r="AG276" s="29" t="n">
        <f aca="false">IFERROR(AF276/AE276,0)</f>
        <v>0.0113697590808948</v>
      </c>
    </row>
    <row r="277" customFormat="false" ht="15" hidden="false" customHeight="false" outlineLevel="0" collapsed="false">
      <c r="A277" s="28" t="n">
        <v>276</v>
      </c>
      <c r="B277" s="43" t="n">
        <v>45411.2076388889</v>
      </c>
      <c r="C277" s="43" t="n">
        <v>45411.2090277778</v>
      </c>
      <c r="D277" s="42" t="n">
        <f aca="false">INT(C277)</f>
        <v>45411</v>
      </c>
      <c r="E277" s="42" t="n">
        <f aca="false">D277-WEEKDAY(D277,3)</f>
        <v>45411</v>
      </c>
      <c r="F277" s="28" t="s">
        <v>155</v>
      </c>
      <c r="G277" s="28" t="n">
        <v>2024</v>
      </c>
      <c r="H277" s="28" t="s">
        <v>240</v>
      </c>
      <c r="I277" s="28" t="n">
        <v>4</v>
      </c>
      <c r="J277" s="28" t="s">
        <v>233</v>
      </c>
      <c r="K277" s="28" t="s">
        <v>234</v>
      </c>
      <c r="L277" s="28" t="n">
        <v>0.26</v>
      </c>
      <c r="M277" s="31" t="n">
        <v>17779.04</v>
      </c>
      <c r="N277" s="31" t="n">
        <v>17771.77</v>
      </c>
      <c r="O277" s="31" t="n">
        <v>17793.58</v>
      </c>
      <c r="P277" s="44" t="n">
        <f aca="false">ABS(M277-N277)</f>
        <v>7.27000000000044</v>
      </c>
      <c r="Q277" s="44" t="n">
        <f aca="false">IF(O277="","",ABS(O277-M277))</f>
        <v>14.5400000000009</v>
      </c>
      <c r="R277" s="30" t="n">
        <f aca="false">P277*L277*Summary!$C$6</f>
        <v>37.8040000000023</v>
      </c>
      <c r="S277" s="31" t="n">
        <v>17771.62</v>
      </c>
      <c r="T277" s="28" t="s">
        <v>241</v>
      </c>
      <c r="U277" s="44" t="n">
        <f aca="false">IF(J277="BUY",S277-M277,M277-S277)</f>
        <v>-7.42000000000189</v>
      </c>
      <c r="V277" s="45" t="n">
        <v>0</v>
      </c>
      <c r="W277" s="45" t="n">
        <v>0</v>
      </c>
      <c r="X277" s="45" t="n">
        <v>-38.58</v>
      </c>
      <c r="Y277" s="32" t="n">
        <f aca="false">IFERROR(X277/R277,0)</f>
        <v>-1.02052692836731</v>
      </c>
      <c r="Z277" s="28" t="str">
        <f aca="false">IF(X277&gt;0,"Win",IF(X277&lt;0,"Loss","Flat"))</f>
        <v>Loss</v>
      </c>
      <c r="AA277" s="28" t="n">
        <f aca="false">ROUND((C277-B277)*1440,1)</f>
        <v>2</v>
      </c>
      <c r="AB277" s="28" t="str">
        <f aca="false">IF(AA277&lt;1,"a) &lt;1 min",IF(AA277&lt;10,"b) 1-10 min",IF(AA277&lt;60,"c) 10-60 min",IF(AA277&lt;240,"d) 1-4 h","e) 4 h+"))))</f>
        <v>b) 1-10 min</v>
      </c>
      <c r="AC277" s="28" t="str">
        <f aca="false">IF(P277&lt;10,"a) &lt;10",IF(P277&lt;20,"b) 10-20",IF(P277&lt;40,"c) 20-40",IF(P277&lt;80,"d) 40-80","e) 80+"))))</f>
        <v>a) &lt;10</v>
      </c>
      <c r="AD277" s="30" t="n">
        <f aca="false">Summary!$C$5+SUM(X$2:X277)</f>
        <v>105338.42</v>
      </c>
      <c r="AE277" s="30" t="n">
        <f aca="false">MAX(AE276,AD277)</f>
        <v>106588.89</v>
      </c>
      <c r="AF277" s="30" t="n">
        <f aca="false">AE277-AD277</f>
        <v>1250.47</v>
      </c>
      <c r="AG277" s="29" t="n">
        <f aca="false">IFERROR(AF277/AE277,0)</f>
        <v>0.0117317105000343</v>
      </c>
    </row>
    <row r="278" customFormat="false" ht="15" hidden="false" customHeight="false" outlineLevel="0" collapsed="false">
      <c r="A278" s="28" t="n">
        <v>277</v>
      </c>
      <c r="B278" s="43" t="n">
        <v>45412.7583333333</v>
      </c>
      <c r="C278" s="43" t="n">
        <v>45412.7629166667</v>
      </c>
      <c r="D278" s="42" t="n">
        <f aca="false">INT(C278)</f>
        <v>45412</v>
      </c>
      <c r="E278" s="42" t="n">
        <f aca="false">D278-WEEKDAY(D278,3)</f>
        <v>45411</v>
      </c>
      <c r="F278" s="28" t="s">
        <v>155</v>
      </c>
      <c r="G278" s="28" t="n">
        <v>2024</v>
      </c>
      <c r="H278" s="28" t="s">
        <v>232</v>
      </c>
      <c r="I278" s="28" t="n">
        <v>18</v>
      </c>
      <c r="J278" s="28" t="s">
        <v>236</v>
      </c>
      <c r="K278" s="28" t="s">
        <v>237</v>
      </c>
      <c r="L278" s="28" t="n">
        <v>0.26</v>
      </c>
      <c r="M278" s="31" t="n">
        <v>17657.18</v>
      </c>
      <c r="N278" s="31" t="n">
        <v>17682.62</v>
      </c>
      <c r="O278" s="31" t="n">
        <v>17606.3</v>
      </c>
      <c r="P278" s="44" t="n">
        <f aca="false">ABS(M278-N278)</f>
        <v>25.4399999999987</v>
      </c>
      <c r="Q278" s="44" t="n">
        <f aca="false">IF(O278="","",ABS(O278-M278))</f>
        <v>50.880000000001</v>
      </c>
      <c r="R278" s="30" t="n">
        <f aca="false">P278*L278*Summary!$C$6</f>
        <v>132.287999999993</v>
      </c>
      <c r="S278" s="31" t="n">
        <v>17657.52</v>
      </c>
      <c r="T278" s="28" t="s">
        <v>238</v>
      </c>
      <c r="U278" s="44" t="n">
        <f aca="false">IF(J278="BUY",S278-M278,M278-S278)</f>
        <v>-0.340000000000146</v>
      </c>
      <c r="V278" s="45" t="n">
        <v>0</v>
      </c>
      <c r="W278" s="45" t="n">
        <v>0</v>
      </c>
      <c r="X278" s="45" t="n">
        <v>-1.77</v>
      </c>
      <c r="Y278" s="32" t="n">
        <f aca="false">IFERROR(X278/R278,0)</f>
        <v>-0.013379898403484</v>
      </c>
      <c r="Z278" s="28" t="str">
        <f aca="false">IF(X278&gt;0,"Win",IF(X278&lt;0,"Loss","Flat"))</f>
        <v>Loss</v>
      </c>
      <c r="AA278" s="28" t="n">
        <f aca="false">ROUND((C278-B278)*1440,1)</f>
        <v>6.6</v>
      </c>
      <c r="AB278" s="28" t="str">
        <f aca="false">IF(AA278&lt;1,"a) &lt;1 min",IF(AA278&lt;10,"b) 1-10 min",IF(AA278&lt;60,"c) 10-60 min",IF(AA278&lt;240,"d) 1-4 h","e) 4 h+"))))</f>
        <v>b) 1-10 min</v>
      </c>
      <c r="AC278" s="28" t="str">
        <f aca="false">IF(P278&lt;10,"a) &lt;10",IF(P278&lt;20,"b) 10-20",IF(P278&lt;40,"c) 20-40",IF(P278&lt;80,"d) 40-80","e) 80+"))))</f>
        <v>c) 20-40</v>
      </c>
      <c r="AD278" s="30" t="n">
        <f aca="false">Summary!$C$5+SUM(X$2:X278)</f>
        <v>105336.65</v>
      </c>
      <c r="AE278" s="30" t="n">
        <f aca="false">MAX(AE277,AD278)</f>
        <v>106588.89</v>
      </c>
      <c r="AF278" s="30" t="n">
        <f aca="false">AE278-AD278</f>
        <v>1252.24000000001</v>
      </c>
      <c r="AG278" s="29" t="n">
        <f aca="false">IFERROR(AF278/AE278,0)</f>
        <v>0.0117483163582997</v>
      </c>
    </row>
    <row r="279" customFormat="false" ht="15" hidden="false" customHeight="false" outlineLevel="0" collapsed="false">
      <c r="A279" s="28" t="n">
        <v>278</v>
      </c>
      <c r="B279" s="43" t="n">
        <v>45413.0465277778</v>
      </c>
      <c r="C279" s="43" t="n">
        <v>45413.6458680556</v>
      </c>
      <c r="D279" s="42" t="n">
        <f aca="false">INT(C279)</f>
        <v>45413</v>
      </c>
      <c r="E279" s="42" t="n">
        <f aca="false">D279-WEEKDAY(D279,3)</f>
        <v>45411</v>
      </c>
      <c r="F279" s="28" t="s">
        <v>156</v>
      </c>
      <c r="G279" s="28" t="n">
        <v>2024</v>
      </c>
      <c r="H279" s="28" t="s">
        <v>235</v>
      </c>
      <c r="I279" s="28" t="n">
        <v>1</v>
      </c>
      <c r="J279" s="28" t="s">
        <v>236</v>
      </c>
      <c r="K279" s="28" t="s">
        <v>237</v>
      </c>
      <c r="L279" s="28" t="n">
        <v>0.27</v>
      </c>
      <c r="M279" s="31" t="n">
        <v>17368.11</v>
      </c>
      <c r="N279" s="31" t="n">
        <v>17420.03</v>
      </c>
      <c r="O279" s="31" t="n">
        <v>17264.28</v>
      </c>
      <c r="P279" s="44" t="n">
        <f aca="false">ABS(M279-N279)</f>
        <v>51.9199999999983</v>
      </c>
      <c r="Q279" s="44" t="n">
        <f aca="false">IF(O279="","",ABS(O279-M279))</f>
        <v>103.830000000002</v>
      </c>
      <c r="R279" s="30" t="n">
        <f aca="false">P279*L279*Summary!$C$6</f>
        <v>280.367999999991</v>
      </c>
      <c r="S279" s="31" t="n">
        <v>17371.29</v>
      </c>
      <c r="T279" s="28" t="s">
        <v>238</v>
      </c>
      <c r="U279" s="44" t="n">
        <f aca="false">IF(J279="BUY",S279-M279,M279-S279)</f>
        <v>-3.18000000000029</v>
      </c>
      <c r="V279" s="45" t="n">
        <v>0</v>
      </c>
      <c r="W279" s="45" t="n">
        <v>0</v>
      </c>
      <c r="X279" s="45" t="n">
        <v>-17.17</v>
      </c>
      <c r="Y279" s="32" t="n">
        <f aca="false">IFERROR(X279/R279,0)</f>
        <v>-0.0612409404782307</v>
      </c>
      <c r="Z279" s="28" t="str">
        <f aca="false">IF(X279&gt;0,"Win",IF(X279&lt;0,"Loss","Flat"))</f>
        <v>Loss</v>
      </c>
      <c r="AA279" s="28" t="n">
        <f aca="false">ROUND((C279-B279)*1440,1)</f>
        <v>863.1</v>
      </c>
      <c r="AB279" s="28" t="str">
        <f aca="false">IF(AA279&lt;1,"a) &lt;1 min",IF(AA279&lt;10,"b) 1-10 min",IF(AA279&lt;60,"c) 10-60 min",IF(AA279&lt;240,"d) 1-4 h","e) 4 h+"))))</f>
        <v>e) 4 h+</v>
      </c>
      <c r="AC279" s="28" t="str">
        <f aca="false">IF(P279&lt;10,"a) &lt;10",IF(P279&lt;20,"b) 10-20",IF(P279&lt;40,"c) 20-40",IF(P279&lt;80,"d) 40-80","e) 80+"))))</f>
        <v>d) 40-80</v>
      </c>
      <c r="AD279" s="30" t="n">
        <f aca="false">Summary!$C$5+SUM(X$2:X279)</f>
        <v>105319.48</v>
      </c>
      <c r="AE279" s="30" t="n">
        <f aca="false">MAX(AE278,AD279)</f>
        <v>106588.89</v>
      </c>
      <c r="AF279" s="30" t="n">
        <f aca="false">AE279-AD279</f>
        <v>1269.41</v>
      </c>
      <c r="AG279" s="29" t="n">
        <f aca="false">IFERROR(AF279/AE279,0)</f>
        <v>0.0119094025653143</v>
      </c>
    </row>
    <row r="280" customFormat="false" ht="15" hidden="false" customHeight="false" outlineLevel="0" collapsed="false">
      <c r="A280" s="28" t="n">
        <v>279</v>
      </c>
      <c r="B280" s="43" t="n">
        <v>45415.0472222222</v>
      </c>
      <c r="C280" s="43" t="n">
        <v>45415.0528472222</v>
      </c>
      <c r="D280" s="42" t="n">
        <f aca="false">INT(C280)</f>
        <v>45415</v>
      </c>
      <c r="E280" s="42" t="n">
        <f aca="false">D280-WEEKDAY(D280,3)</f>
        <v>45411</v>
      </c>
      <c r="F280" s="28" t="s">
        <v>156</v>
      </c>
      <c r="G280" s="28" t="n">
        <v>2024</v>
      </c>
      <c r="H280" s="28" t="s">
        <v>242</v>
      </c>
      <c r="I280" s="28" t="n">
        <v>1</v>
      </c>
      <c r="J280" s="28" t="s">
        <v>233</v>
      </c>
      <c r="K280" s="28" t="s">
        <v>234</v>
      </c>
      <c r="L280" s="28" t="n">
        <v>0.26</v>
      </c>
      <c r="M280" s="31" t="n">
        <v>17620.22</v>
      </c>
      <c r="N280" s="31" t="n">
        <v>17593.99</v>
      </c>
      <c r="O280" s="31" t="n">
        <v>17672.69</v>
      </c>
      <c r="P280" s="44" t="n">
        <f aca="false">ABS(M280-N280)</f>
        <v>26.2299999999996</v>
      </c>
      <c r="Q280" s="44" t="n">
        <f aca="false">IF(O280="","",ABS(O280-M280))</f>
        <v>52.4699999999975</v>
      </c>
      <c r="R280" s="30" t="n">
        <f aca="false">P280*L280*Summary!$C$6</f>
        <v>136.395999999998</v>
      </c>
      <c r="S280" s="31" t="n">
        <v>17672.91</v>
      </c>
      <c r="T280" s="28" t="s">
        <v>214</v>
      </c>
      <c r="U280" s="44" t="n">
        <f aca="false">IF(J280="BUY",S280-M280,M280-S280)</f>
        <v>52.6899999999987</v>
      </c>
      <c r="V280" s="45" t="n">
        <v>0</v>
      </c>
      <c r="W280" s="45" t="n">
        <v>0</v>
      </c>
      <c r="X280" s="45" t="n">
        <v>273.99</v>
      </c>
      <c r="Y280" s="32" t="n">
        <f aca="false">IFERROR(X280/R280,0)</f>
        <v>2.00878324877566</v>
      </c>
      <c r="Z280" s="28" t="str">
        <f aca="false">IF(X280&gt;0,"Win",IF(X280&lt;0,"Loss","Flat"))</f>
        <v>Win</v>
      </c>
      <c r="AA280" s="28" t="n">
        <f aca="false">ROUND((C280-B280)*1440,1)</f>
        <v>8.1</v>
      </c>
      <c r="AB280" s="28" t="str">
        <f aca="false">IF(AA280&lt;1,"a) &lt;1 min",IF(AA280&lt;10,"b) 1-10 min",IF(AA280&lt;60,"c) 10-60 min",IF(AA280&lt;240,"d) 1-4 h","e) 4 h+"))))</f>
        <v>b) 1-10 min</v>
      </c>
      <c r="AC280" s="28" t="str">
        <f aca="false">IF(P280&lt;10,"a) &lt;10",IF(P280&lt;20,"b) 10-20",IF(P280&lt;40,"c) 20-40",IF(P280&lt;80,"d) 40-80","e) 80+"))))</f>
        <v>c) 20-40</v>
      </c>
      <c r="AD280" s="30" t="n">
        <f aca="false">Summary!$C$5+SUM(X$2:X280)</f>
        <v>105593.47</v>
      </c>
      <c r="AE280" s="30" t="n">
        <f aca="false">MAX(AE279,AD280)</f>
        <v>106588.89</v>
      </c>
      <c r="AF280" s="30" t="n">
        <f aca="false">AE280-AD280</f>
        <v>995.419999999998</v>
      </c>
      <c r="AG280" s="29" t="n">
        <f aca="false">IFERROR(AF280/AE280,0)</f>
        <v>0.00933887199688446</v>
      </c>
    </row>
    <row r="281" customFormat="false" ht="15" hidden="false" customHeight="false" outlineLevel="0" collapsed="false">
      <c r="A281" s="28" t="n">
        <v>280</v>
      </c>
      <c r="B281" s="43" t="n">
        <v>45418.5604166667</v>
      </c>
      <c r="C281" s="43" t="n">
        <v>45418.564837963</v>
      </c>
      <c r="D281" s="42" t="n">
        <f aca="false">INT(C281)</f>
        <v>45418</v>
      </c>
      <c r="E281" s="42" t="n">
        <f aca="false">D281-WEEKDAY(D281,3)</f>
        <v>45418</v>
      </c>
      <c r="F281" s="28" t="s">
        <v>156</v>
      </c>
      <c r="G281" s="28" t="n">
        <v>2024</v>
      </c>
      <c r="H281" s="28" t="s">
        <v>240</v>
      </c>
      <c r="I281" s="28" t="n">
        <v>13</v>
      </c>
      <c r="J281" s="28" t="s">
        <v>233</v>
      </c>
      <c r="K281" s="28" t="s">
        <v>234</v>
      </c>
      <c r="L281" s="28" t="n">
        <v>0.26</v>
      </c>
      <c r="M281" s="31" t="n">
        <v>17942.51</v>
      </c>
      <c r="N281" s="31" t="n">
        <v>17937.45</v>
      </c>
      <c r="O281" s="31" t="n">
        <v>17952.63</v>
      </c>
      <c r="P281" s="44" t="n">
        <f aca="false">ABS(M281-N281)</f>
        <v>5.05999999999767</v>
      </c>
      <c r="Q281" s="44" t="n">
        <f aca="false">IF(O281="","",ABS(O281-M281))</f>
        <v>10.1200000000026</v>
      </c>
      <c r="R281" s="30" t="n">
        <f aca="false">P281*L281*Summary!$C$6</f>
        <v>26.3119999999879</v>
      </c>
      <c r="S281" s="31" t="n">
        <v>17942.46</v>
      </c>
      <c r="T281" s="28" t="s">
        <v>238</v>
      </c>
      <c r="U281" s="44" t="n">
        <f aca="false">IF(J281="BUY",S281-M281,M281-S281)</f>
        <v>-0.0499999999992724</v>
      </c>
      <c r="V281" s="45" t="n">
        <v>0</v>
      </c>
      <c r="W281" s="45" t="n">
        <v>0</v>
      </c>
      <c r="X281" s="45" t="n">
        <v>-0.26</v>
      </c>
      <c r="Y281" s="32" t="n">
        <f aca="false">IFERROR(X281/R281,0)</f>
        <v>-0.00988142292490573</v>
      </c>
      <c r="Z281" s="28" t="str">
        <f aca="false">IF(X281&gt;0,"Win",IF(X281&lt;0,"Loss","Flat"))</f>
        <v>Loss</v>
      </c>
      <c r="AA281" s="28" t="n">
        <f aca="false">ROUND((C281-B281)*1440,1)</f>
        <v>6.4</v>
      </c>
      <c r="AB281" s="28" t="str">
        <f aca="false">IF(AA281&lt;1,"a) &lt;1 min",IF(AA281&lt;10,"b) 1-10 min",IF(AA281&lt;60,"c) 10-60 min",IF(AA281&lt;240,"d) 1-4 h","e) 4 h+"))))</f>
        <v>b) 1-10 min</v>
      </c>
      <c r="AC281" s="28" t="str">
        <f aca="false">IF(P281&lt;10,"a) &lt;10",IF(P281&lt;20,"b) 10-20",IF(P281&lt;40,"c) 20-40",IF(P281&lt;80,"d) 40-80","e) 80+"))))</f>
        <v>a) &lt;10</v>
      </c>
      <c r="AD281" s="30" t="n">
        <f aca="false">Summary!$C$5+SUM(X$2:X281)</f>
        <v>105593.21</v>
      </c>
      <c r="AE281" s="30" t="n">
        <f aca="false">MAX(AE280,AD281)</f>
        <v>106588.89</v>
      </c>
      <c r="AF281" s="30" t="n">
        <f aca="false">AE281-AD281</f>
        <v>995.679999999993</v>
      </c>
      <c r="AG281" s="29" t="n">
        <f aca="false">IFERROR(AF281/AE281,0)</f>
        <v>0.00934131127549966</v>
      </c>
    </row>
    <row r="282" customFormat="false" ht="15" hidden="false" customHeight="false" outlineLevel="0" collapsed="false">
      <c r="A282" s="28" t="n">
        <v>281</v>
      </c>
      <c r="B282" s="43" t="n">
        <v>45419.6736111111</v>
      </c>
      <c r="C282" s="43" t="n">
        <v>45419.6771875</v>
      </c>
      <c r="D282" s="42" t="n">
        <f aca="false">INT(C282)</f>
        <v>45419</v>
      </c>
      <c r="E282" s="42" t="n">
        <f aca="false">D282-WEEKDAY(D282,3)</f>
        <v>45418</v>
      </c>
      <c r="F282" s="28" t="s">
        <v>156</v>
      </c>
      <c r="G282" s="28" t="n">
        <v>2024</v>
      </c>
      <c r="H282" s="28" t="s">
        <v>232</v>
      </c>
      <c r="I282" s="28" t="n">
        <v>16</v>
      </c>
      <c r="J282" s="28" t="s">
        <v>233</v>
      </c>
      <c r="K282" s="28" t="s">
        <v>234</v>
      </c>
      <c r="L282" s="28" t="n">
        <v>0.26</v>
      </c>
      <c r="M282" s="31" t="n">
        <v>18096.1</v>
      </c>
      <c r="N282" s="31" t="n">
        <v>18085.89</v>
      </c>
      <c r="O282" s="31" t="n">
        <v>18116.52</v>
      </c>
      <c r="P282" s="44" t="n">
        <f aca="false">ABS(M282-N282)</f>
        <v>10.2099999999991</v>
      </c>
      <c r="Q282" s="44" t="n">
        <f aca="false">IF(O282="","",ABS(O282-M282))</f>
        <v>20.4200000000019</v>
      </c>
      <c r="R282" s="30" t="n">
        <f aca="false">P282*L282*Summary!$C$6</f>
        <v>53.0919999999955</v>
      </c>
      <c r="S282" s="31" t="n">
        <v>18085.71</v>
      </c>
      <c r="T282" s="28" t="s">
        <v>241</v>
      </c>
      <c r="U282" s="44" t="n">
        <f aca="false">IF(J282="BUY",S282-M282,M282-S282)</f>
        <v>-10.3899999999994</v>
      </c>
      <c r="V282" s="45" t="n">
        <v>0</v>
      </c>
      <c r="W282" s="45" t="n">
        <v>0</v>
      </c>
      <c r="X282" s="45" t="n">
        <v>-54.03</v>
      </c>
      <c r="Y282" s="32" t="n">
        <f aca="false">IFERROR(X282/R282,0)</f>
        <v>-1.01766744518957</v>
      </c>
      <c r="Z282" s="28" t="str">
        <f aca="false">IF(X282&gt;0,"Win",IF(X282&lt;0,"Loss","Flat"))</f>
        <v>Loss</v>
      </c>
      <c r="AA282" s="28" t="n">
        <f aca="false">ROUND((C282-B282)*1440,1)</f>
        <v>5.2</v>
      </c>
      <c r="AB282" s="28" t="str">
        <f aca="false">IF(AA282&lt;1,"a) &lt;1 min",IF(AA282&lt;10,"b) 1-10 min",IF(AA282&lt;60,"c) 10-60 min",IF(AA282&lt;240,"d) 1-4 h","e) 4 h+"))))</f>
        <v>b) 1-10 min</v>
      </c>
      <c r="AC282" s="28" t="str">
        <f aca="false">IF(P282&lt;10,"a) &lt;10",IF(P282&lt;20,"b) 10-20",IF(P282&lt;40,"c) 20-40",IF(P282&lt;80,"d) 40-80","e) 80+"))))</f>
        <v>b) 10-20</v>
      </c>
      <c r="AD282" s="30" t="n">
        <f aca="false">Summary!$C$5+SUM(X$2:X282)</f>
        <v>105539.18</v>
      </c>
      <c r="AE282" s="30" t="n">
        <f aca="false">MAX(AE281,AD282)</f>
        <v>106588.89</v>
      </c>
      <c r="AF282" s="30" t="n">
        <f aca="false">AE282-AD282</f>
        <v>1049.71000000001</v>
      </c>
      <c r="AG282" s="29" t="n">
        <f aca="false">IFERROR(AF282/AE282,0)</f>
        <v>0.00984821213542994</v>
      </c>
    </row>
    <row r="283" customFormat="false" ht="15" hidden="false" customHeight="false" outlineLevel="0" collapsed="false">
      <c r="A283" s="28" t="n">
        <v>282</v>
      </c>
      <c r="B283" s="43" t="n">
        <v>45420.6104166667</v>
      </c>
      <c r="C283" s="43" t="n">
        <v>45420.6136574074</v>
      </c>
      <c r="D283" s="42" t="n">
        <f aca="false">INT(C283)</f>
        <v>45420</v>
      </c>
      <c r="E283" s="42" t="n">
        <f aca="false">D283-WEEKDAY(D283,3)</f>
        <v>45418</v>
      </c>
      <c r="F283" s="28" t="s">
        <v>156</v>
      </c>
      <c r="G283" s="28" t="n">
        <v>2024</v>
      </c>
      <c r="H283" s="28" t="s">
        <v>235</v>
      </c>
      <c r="I283" s="28" t="n">
        <v>14</v>
      </c>
      <c r="J283" s="28" t="s">
        <v>236</v>
      </c>
      <c r="K283" s="28" t="s">
        <v>237</v>
      </c>
      <c r="L283" s="28" t="n">
        <v>0.26</v>
      </c>
      <c r="M283" s="31" t="n">
        <v>18041.63</v>
      </c>
      <c r="N283" s="31" t="n">
        <v>18050.6</v>
      </c>
      <c r="O283" s="31" t="n">
        <v>18023.69</v>
      </c>
      <c r="P283" s="44" t="n">
        <f aca="false">ABS(M283-N283)</f>
        <v>8.96999999999753</v>
      </c>
      <c r="Q283" s="44" t="n">
        <f aca="false">IF(O283="","",ABS(O283-M283))</f>
        <v>17.9400000000023</v>
      </c>
      <c r="R283" s="30" t="n">
        <f aca="false">P283*L283*Summary!$C$6</f>
        <v>46.6439999999871</v>
      </c>
      <c r="S283" s="31" t="n">
        <v>18050.64</v>
      </c>
      <c r="T283" s="28" t="s">
        <v>241</v>
      </c>
      <c r="U283" s="44" t="n">
        <f aca="false">IF(J283="BUY",S283-M283,M283-S283)</f>
        <v>-9.0099999999984</v>
      </c>
      <c r="V283" s="45" t="n">
        <v>0</v>
      </c>
      <c r="W283" s="45" t="n">
        <v>0</v>
      </c>
      <c r="X283" s="45" t="n">
        <v>-46.85</v>
      </c>
      <c r="Y283" s="32" t="n">
        <f aca="false">IFERROR(X283/R283,0)</f>
        <v>-1.00441643083811</v>
      </c>
      <c r="Z283" s="28" t="str">
        <f aca="false">IF(X283&gt;0,"Win",IF(X283&lt;0,"Loss","Flat"))</f>
        <v>Loss</v>
      </c>
      <c r="AA283" s="28" t="n">
        <f aca="false">ROUND((C283-B283)*1440,1)</f>
        <v>4.7</v>
      </c>
      <c r="AB283" s="28" t="str">
        <f aca="false">IF(AA283&lt;1,"a) &lt;1 min",IF(AA283&lt;10,"b) 1-10 min",IF(AA283&lt;60,"c) 10-60 min",IF(AA283&lt;240,"d) 1-4 h","e) 4 h+"))))</f>
        <v>b) 1-10 min</v>
      </c>
      <c r="AC283" s="28" t="str">
        <f aca="false">IF(P283&lt;10,"a) &lt;10",IF(P283&lt;20,"b) 10-20",IF(P283&lt;40,"c) 20-40",IF(P283&lt;80,"d) 40-80","e) 80+"))))</f>
        <v>a) &lt;10</v>
      </c>
      <c r="AD283" s="30" t="n">
        <f aca="false">Summary!$C$5+SUM(X$2:X283)</f>
        <v>105492.33</v>
      </c>
      <c r="AE283" s="30" t="n">
        <f aca="false">MAX(AE282,AD283)</f>
        <v>106588.89</v>
      </c>
      <c r="AF283" s="30" t="n">
        <f aca="false">AE283-AD283</f>
        <v>1096.56</v>
      </c>
      <c r="AG283" s="29" t="n">
        <f aca="false">IFERROR(AF283/AE283,0)</f>
        <v>0.0102877513782159</v>
      </c>
    </row>
    <row r="284" customFormat="false" ht="15" hidden="false" customHeight="false" outlineLevel="0" collapsed="false">
      <c r="A284" s="28" t="n">
        <v>283</v>
      </c>
      <c r="B284" s="43" t="n">
        <v>45422.4118171296</v>
      </c>
      <c r="C284" s="43" t="n">
        <v>45422.4134490741</v>
      </c>
      <c r="D284" s="42" t="n">
        <f aca="false">INT(C284)</f>
        <v>45422</v>
      </c>
      <c r="E284" s="42" t="n">
        <f aca="false">D284-WEEKDAY(D284,3)</f>
        <v>45418</v>
      </c>
      <c r="F284" s="28" t="s">
        <v>156</v>
      </c>
      <c r="G284" s="28" t="n">
        <v>2024</v>
      </c>
      <c r="H284" s="28" t="s">
        <v>242</v>
      </c>
      <c r="I284" s="28" t="n">
        <v>9</v>
      </c>
      <c r="J284" s="28" t="s">
        <v>233</v>
      </c>
      <c r="K284" s="28" t="s">
        <v>234</v>
      </c>
      <c r="L284" s="28" t="n">
        <v>0.26</v>
      </c>
      <c r="M284" s="31" t="n">
        <v>18142.21</v>
      </c>
      <c r="N284" s="31" t="n">
        <v>18138.79</v>
      </c>
      <c r="O284" s="31" t="n">
        <v>18149.05</v>
      </c>
      <c r="P284" s="44" t="n">
        <f aca="false">ABS(M284-N284)</f>
        <v>3.41999999999825</v>
      </c>
      <c r="Q284" s="44" t="n">
        <f aca="false">IF(O284="","",ABS(O284-M284))</f>
        <v>6.84000000000015</v>
      </c>
      <c r="R284" s="30" t="n">
        <f aca="false">P284*L284*Summary!$C$6</f>
        <v>17.7839999999909</v>
      </c>
      <c r="S284" s="31" t="n">
        <v>18149.24</v>
      </c>
      <c r="T284" s="28" t="s">
        <v>214</v>
      </c>
      <c r="U284" s="44" t="n">
        <f aca="false">IF(J284="BUY",S284-M284,M284-S284)</f>
        <v>7.03000000000247</v>
      </c>
      <c r="V284" s="45" t="n">
        <v>0</v>
      </c>
      <c r="W284" s="45" t="n">
        <v>0</v>
      </c>
      <c r="X284" s="45" t="n">
        <v>36.56</v>
      </c>
      <c r="Y284" s="32" t="n">
        <f aca="false">IFERROR(X284/R284,0)</f>
        <v>2.05578047683416</v>
      </c>
      <c r="Z284" s="28" t="str">
        <f aca="false">IF(X284&gt;0,"Win",IF(X284&lt;0,"Loss","Flat"))</f>
        <v>Win</v>
      </c>
      <c r="AA284" s="28" t="n">
        <f aca="false">ROUND((C284-B284)*1440,1)</f>
        <v>2.4</v>
      </c>
      <c r="AB284" s="28" t="str">
        <f aca="false">IF(AA284&lt;1,"a) &lt;1 min",IF(AA284&lt;10,"b) 1-10 min",IF(AA284&lt;60,"c) 10-60 min",IF(AA284&lt;240,"d) 1-4 h","e) 4 h+"))))</f>
        <v>b) 1-10 min</v>
      </c>
      <c r="AC284" s="28" t="str">
        <f aca="false">IF(P284&lt;10,"a) &lt;10",IF(P284&lt;20,"b) 10-20",IF(P284&lt;40,"c) 20-40",IF(P284&lt;80,"d) 40-80","e) 80+"))))</f>
        <v>a) &lt;10</v>
      </c>
      <c r="AD284" s="30" t="n">
        <f aca="false">Summary!$C$5+SUM(X$2:X284)</f>
        <v>105528.89</v>
      </c>
      <c r="AE284" s="30" t="n">
        <f aca="false">MAX(AE283,AD284)</f>
        <v>106588.89</v>
      </c>
      <c r="AF284" s="30" t="n">
        <f aca="false">AE284-AD284</f>
        <v>1060</v>
      </c>
      <c r="AG284" s="29" t="n">
        <f aca="false">IFERROR(AF284/AE284,0)</f>
        <v>0.00994475127754872</v>
      </c>
    </row>
    <row r="285" customFormat="false" ht="15" hidden="false" customHeight="false" outlineLevel="0" collapsed="false">
      <c r="A285" s="28" t="n">
        <v>284</v>
      </c>
      <c r="B285" s="43" t="n">
        <v>45426.6465277778</v>
      </c>
      <c r="C285" s="43" t="n">
        <v>45426.6508912037</v>
      </c>
      <c r="D285" s="42" t="n">
        <f aca="false">INT(C285)</f>
        <v>45426</v>
      </c>
      <c r="E285" s="42" t="n">
        <f aca="false">D285-WEEKDAY(D285,3)</f>
        <v>45425</v>
      </c>
      <c r="F285" s="28" t="s">
        <v>156</v>
      </c>
      <c r="G285" s="28" t="n">
        <v>2024</v>
      </c>
      <c r="H285" s="28" t="s">
        <v>232</v>
      </c>
      <c r="I285" s="28" t="n">
        <v>15</v>
      </c>
      <c r="J285" s="28" t="s">
        <v>236</v>
      </c>
      <c r="K285" s="28" t="s">
        <v>237</v>
      </c>
      <c r="L285" s="28" t="n">
        <v>0.26</v>
      </c>
      <c r="M285" s="31" t="n">
        <v>18126.35</v>
      </c>
      <c r="N285" s="31" t="n">
        <v>18157.89</v>
      </c>
      <c r="O285" s="31" t="n">
        <v>18067.08</v>
      </c>
      <c r="P285" s="44" t="n">
        <f aca="false">ABS(M285-N285)</f>
        <v>31.5400000000009</v>
      </c>
      <c r="Q285" s="44" t="n">
        <f aca="false">IF(O285="","",ABS(O285-M285))</f>
        <v>59.2699999999968</v>
      </c>
      <c r="R285" s="30" t="n">
        <f aca="false">P285*L285*Summary!$C$6</f>
        <v>164.008000000005</v>
      </c>
      <c r="S285" s="31" t="n">
        <v>18157.89</v>
      </c>
      <c r="T285" s="28" t="s">
        <v>241</v>
      </c>
      <c r="U285" s="44" t="n">
        <f aca="false">IF(J285="BUY",S285-M285,M285-S285)</f>
        <v>-31.5400000000009</v>
      </c>
      <c r="V285" s="45" t="n">
        <v>0</v>
      </c>
      <c r="W285" s="45" t="n">
        <v>0</v>
      </c>
      <c r="X285" s="45" t="n">
        <v>-164.01</v>
      </c>
      <c r="Y285" s="32" t="n">
        <f aca="false">IFERROR(X285/R285,0)</f>
        <v>-1.00001219452707</v>
      </c>
      <c r="Z285" s="28" t="str">
        <f aca="false">IF(X285&gt;0,"Win",IF(X285&lt;0,"Loss","Flat"))</f>
        <v>Loss</v>
      </c>
      <c r="AA285" s="28" t="n">
        <f aca="false">ROUND((C285-B285)*1440,1)</f>
        <v>6.3</v>
      </c>
      <c r="AB285" s="28" t="str">
        <f aca="false">IF(AA285&lt;1,"a) &lt;1 min",IF(AA285&lt;10,"b) 1-10 min",IF(AA285&lt;60,"c) 10-60 min",IF(AA285&lt;240,"d) 1-4 h","e) 4 h+"))))</f>
        <v>b) 1-10 min</v>
      </c>
      <c r="AC285" s="28" t="str">
        <f aca="false">IF(P285&lt;10,"a) &lt;10",IF(P285&lt;20,"b) 10-20",IF(P285&lt;40,"c) 20-40",IF(P285&lt;80,"d) 40-80","e) 80+"))))</f>
        <v>c) 20-40</v>
      </c>
      <c r="AD285" s="30" t="n">
        <f aca="false">Summary!$C$5+SUM(X$2:X285)</f>
        <v>105364.88</v>
      </c>
      <c r="AE285" s="30" t="n">
        <f aca="false">MAX(AE284,AD285)</f>
        <v>106588.89</v>
      </c>
      <c r="AF285" s="30" t="n">
        <f aca="false">AE285-AD285</f>
        <v>1224.00999999999</v>
      </c>
      <c r="AG285" s="29" t="n">
        <f aca="false">IFERROR(AF285/AE285,0)</f>
        <v>0.0114834669917286</v>
      </c>
    </row>
    <row r="286" customFormat="false" ht="15" hidden="false" customHeight="false" outlineLevel="0" collapsed="false">
      <c r="A286" s="28" t="n">
        <v>285</v>
      </c>
      <c r="B286" s="43" t="n">
        <v>45426.7256944445</v>
      </c>
      <c r="C286" s="43" t="n">
        <v>45426.7339351852</v>
      </c>
      <c r="D286" s="42" t="n">
        <f aca="false">INT(C286)</f>
        <v>45426</v>
      </c>
      <c r="E286" s="42" t="n">
        <f aca="false">D286-WEEKDAY(D286,3)</f>
        <v>45425</v>
      </c>
      <c r="F286" s="28" t="s">
        <v>156</v>
      </c>
      <c r="G286" s="28" t="n">
        <v>2024</v>
      </c>
      <c r="H286" s="28" t="s">
        <v>232</v>
      </c>
      <c r="I286" s="28" t="n">
        <v>17</v>
      </c>
      <c r="J286" s="28" t="s">
        <v>233</v>
      </c>
      <c r="K286" s="28" t="s">
        <v>234</v>
      </c>
      <c r="L286" s="28" t="n">
        <v>0.25</v>
      </c>
      <c r="M286" s="31" t="n">
        <v>18250.67</v>
      </c>
      <c r="N286" s="31" t="n">
        <v>18223</v>
      </c>
      <c r="O286" s="31" t="n">
        <v>18306.01</v>
      </c>
      <c r="P286" s="44" t="n">
        <f aca="false">ABS(M286-N286)</f>
        <v>27.6699999999983</v>
      </c>
      <c r="Q286" s="44" t="n">
        <f aca="false">IF(O286="","",ABS(O286-M286))</f>
        <v>55.3400000000001</v>
      </c>
      <c r="R286" s="30" t="n">
        <f aca="false">P286*L286*Summary!$C$6</f>
        <v>138.349999999991</v>
      </c>
      <c r="S286" s="31" t="n">
        <v>18222.81</v>
      </c>
      <c r="T286" s="28" t="s">
        <v>241</v>
      </c>
      <c r="U286" s="44" t="n">
        <f aca="false">IF(J286="BUY",S286-M286,M286-S286)</f>
        <v>-27.8599999999969</v>
      </c>
      <c r="V286" s="45" t="n">
        <v>0</v>
      </c>
      <c r="W286" s="45" t="n">
        <v>0</v>
      </c>
      <c r="X286" s="45" t="n">
        <v>-139.3</v>
      </c>
      <c r="Y286" s="32" t="n">
        <f aca="false">IFERROR(X286/R286,0)</f>
        <v>-1.00686664257325</v>
      </c>
      <c r="Z286" s="28" t="str">
        <f aca="false">IF(X286&gt;0,"Win",IF(X286&lt;0,"Loss","Flat"))</f>
        <v>Loss</v>
      </c>
      <c r="AA286" s="28" t="n">
        <f aca="false">ROUND((C286-B286)*1440,1)</f>
        <v>11.9</v>
      </c>
      <c r="AB286" s="28" t="str">
        <f aca="false">IF(AA286&lt;1,"a) &lt;1 min",IF(AA286&lt;10,"b) 1-10 min",IF(AA286&lt;60,"c) 10-60 min",IF(AA286&lt;240,"d) 1-4 h","e) 4 h+"))))</f>
        <v>c) 10-60 min</v>
      </c>
      <c r="AC286" s="28" t="str">
        <f aca="false">IF(P286&lt;10,"a) &lt;10",IF(P286&lt;20,"b) 10-20",IF(P286&lt;40,"c) 20-40",IF(P286&lt;80,"d) 40-80","e) 80+"))))</f>
        <v>c) 20-40</v>
      </c>
      <c r="AD286" s="30" t="n">
        <f aca="false">Summary!$C$5+SUM(X$2:X286)</f>
        <v>105225.58</v>
      </c>
      <c r="AE286" s="30" t="n">
        <f aca="false">MAX(AE285,AD286)</f>
        <v>106588.89</v>
      </c>
      <c r="AF286" s="30" t="n">
        <f aca="false">AE286-AD286</f>
        <v>1363.31</v>
      </c>
      <c r="AG286" s="29" t="n">
        <f aca="false">IFERROR(AF286/AE286,0)</f>
        <v>0.0127903574190518</v>
      </c>
    </row>
    <row r="287" customFormat="false" ht="15" hidden="false" customHeight="false" outlineLevel="0" collapsed="false">
      <c r="A287" s="28" t="n">
        <v>286</v>
      </c>
      <c r="B287" s="43" t="n">
        <v>45427.2381944444</v>
      </c>
      <c r="C287" s="43" t="n">
        <v>45427.2404050926</v>
      </c>
      <c r="D287" s="42" t="n">
        <f aca="false">INT(C287)</f>
        <v>45427</v>
      </c>
      <c r="E287" s="42" t="n">
        <f aca="false">D287-WEEKDAY(D287,3)</f>
        <v>45425</v>
      </c>
      <c r="F287" s="28" t="s">
        <v>156</v>
      </c>
      <c r="G287" s="28" t="n">
        <v>2024</v>
      </c>
      <c r="H287" s="28" t="s">
        <v>235</v>
      </c>
      <c r="I287" s="28" t="n">
        <v>5</v>
      </c>
      <c r="J287" s="28" t="s">
        <v>233</v>
      </c>
      <c r="K287" s="28" t="s">
        <v>234</v>
      </c>
      <c r="L287" s="28" t="n">
        <v>0.25</v>
      </c>
      <c r="M287" s="31" t="n">
        <v>18336.79</v>
      </c>
      <c r="N287" s="31" t="n">
        <v>18331.18</v>
      </c>
      <c r="O287" s="31" t="n">
        <v>18348.02</v>
      </c>
      <c r="P287" s="44" t="n">
        <f aca="false">ABS(M287-N287)</f>
        <v>5.61000000000058</v>
      </c>
      <c r="Q287" s="44" t="n">
        <f aca="false">IF(O287="","",ABS(O287-M287))</f>
        <v>11.2299999999996</v>
      </c>
      <c r="R287" s="30" t="n">
        <f aca="false">P287*L287*Summary!$C$6</f>
        <v>28.0500000000029</v>
      </c>
      <c r="S287" s="31" t="n">
        <v>18331.01</v>
      </c>
      <c r="T287" s="28" t="s">
        <v>241</v>
      </c>
      <c r="U287" s="44" t="n">
        <f aca="false">IF(J287="BUY",S287-M287,M287-S287)</f>
        <v>-5.78000000000247</v>
      </c>
      <c r="V287" s="45" t="n">
        <v>0</v>
      </c>
      <c r="W287" s="45" t="n">
        <v>0</v>
      </c>
      <c r="X287" s="45" t="n">
        <v>-28.9</v>
      </c>
      <c r="Y287" s="32" t="n">
        <f aca="false">IFERROR(X287/R287,0)</f>
        <v>-1.03030303030292</v>
      </c>
      <c r="Z287" s="28" t="str">
        <f aca="false">IF(X287&gt;0,"Win",IF(X287&lt;0,"Loss","Flat"))</f>
        <v>Loss</v>
      </c>
      <c r="AA287" s="28" t="n">
        <f aca="false">ROUND((C287-B287)*1440,1)</f>
        <v>3.2</v>
      </c>
      <c r="AB287" s="28" t="str">
        <f aca="false">IF(AA287&lt;1,"a) &lt;1 min",IF(AA287&lt;10,"b) 1-10 min",IF(AA287&lt;60,"c) 10-60 min",IF(AA287&lt;240,"d) 1-4 h","e) 4 h+"))))</f>
        <v>b) 1-10 min</v>
      </c>
      <c r="AC287" s="28" t="str">
        <f aca="false">IF(P287&lt;10,"a) &lt;10",IF(P287&lt;20,"b) 10-20",IF(P287&lt;40,"c) 20-40",IF(P287&lt;80,"d) 40-80","e) 80+"))))</f>
        <v>a) &lt;10</v>
      </c>
      <c r="AD287" s="30" t="n">
        <f aca="false">Summary!$C$5+SUM(X$2:X287)</f>
        <v>105196.68</v>
      </c>
      <c r="AE287" s="30" t="n">
        <f aca="false">MAX(AE286,AD287)</f>
        <v>106588.89</v>
      </c>
      <c r="AF287" s="30" t="n">
        <f aca="false">AE287-AD287</f>
        <v>1392.21000000001</v>
      </c>
      <c r="AG287" s="29" t="n">
        <f aca="false">IFERROR(AF287/AE287,0)</f>
        <v>0.0130614926189775</v>
      </c>
    </row>
    <row r="288" customFormat="false" ht="15" hidden="false" customHeight="false" outlineLevel="0" collapsed="false">
      <c r="A288" s="28" t="n">
        <v>287</v>
      </c>
      <c r="B288" s="43" t="n">
        <v>45428.0638888889</v>
      </c>
      <c r="C288" s="43" t="n">
        <v>45428.0806712963</v>
      </c>
      <c r="D288" s="42" t="n">
        <f aca="false">INT(C288)</f>
        <v>45428</v>
      </c>
      <c r="E288" s="42" t="n">
        <f aca="false">D288-WEEKDAY(D288,3)</f>
        <v>45425</v>
      </c>
      <c r="F288" s="28" t="s">
        <v>156</v>
      </c>
      <c r="G288" s="28" t="n">
        <v>2024</v>
      </c>
      <c r="H288" s="28" t="s">
        <v>239</v>
      </c>
      <c r="I288" s="28" t="n">
        <v>1</v>
      </c>
      <c r="J288" s="28" t="s">
        <v>233</v>
      </c>
      <c r="K288" s="28" t="s">
        <v>234</v>
      </c>
      <c r="L288" s="28" t="n">
        <v>0.25</v>
      </c>
      <c r="M288" s="31" t="n">
        <v>18608.07</v>
      </c>
      <c r="N288" s="31" t="n">
        <v>18604.59</v>
      </c>
      <c r="O288" s="31" t="n">
        <v>18615.03</v>
      </c>
      <c r="P288" s="44" t="n">
        <f aca="false">ABS(M288-N288)</f>
        <v>3.47999999999956</v>
      </c>
      <c r="Q288" s="44" t="n">
        <f aca="false">IF(O288="","",ABS(O288-M288))</f>
        <v>6.95999999999913</v>
      </c>
      <c r="R288" s="30" t="n">
        <f aca="false">P288*L288*Summary!$C$6</f>
        <v>17.3999999999978</v>
      </c>
      <c r="S288" s="31" t="n">
        <v>18615.92</v>
      </c>
      <c r="T288" s="28" t="s">
        <v>214</v>
      </c>
      <c r="U288" s="44" t="n">
        <f aca="false">IF(J288="BUY",S288-M288,M288-S288)</f>
        <v>7.84999999999855</v>
      </c>
      <c r="V288" s="45" t="n">
        <v>0</v>
      </c>
      <c r="W288" s="45" t="n">
        <v>0</v>
      </c>
      <c r="X288" s="45" t="n">
        <v>39.25</v>
      </c>
      <c r="Y288" s="32" t="n">
        <f aca="false">IFERROR(X288/R288,0)</f>
        <v>2.25574712643706</v>
      </c>
      <c r="Z288" s="28" t="str">
        <f aca="false">IF(X288&gt;0,"Win",IF(X288&lt;0,"Loss","Flat"))</f>
        <v>Win</v>
      </c>
      <c r="AA288" s="28" t="n">
        <f aca="false">ROUND((C288-B288)*1440,1)</f>
        <v>24.2</v>
      </c>
      <c r="AB288" s="28" t="str">
        <f aca="false">IF(AA288&lt;1,"a) &lt;1 min",IF(AA288&lt;10,"b) 1-10 min",IF(AA288&lt;60,"c) 10-60 min",IF(AA288&lt;240,"d) 1-4 h","e) 4 h+"))))</f>
        <v>c) 10-60 min</v>
      </c>
      <c r="AC288" s="28" t="str">
        <f aca="false">IF(P288&lt;10,"a) &lt;10",IF(P288&lt;20,"b) 10-20",IF(P288&lt;40,"c) 20-40",IF(P288&lt;80,"d) 40-80","e) 80+"))))</f>
        <v>a) &lt;10</v>
      </c>
      <c r="AD288" s="30" t="n">
        <f aca="false">Summary!$C$5+SUM(X$2:X288)</f>
        <v>105235.93</v>
      </c>
      <c r="AE288" s="30" t="n">
        <f aca="false">MAX(AE287,AD288)</f>
        <v>106588.89</v>
      </c>
      <c r="AF288" s="30" t="n">
        <f aca="false">AE288-AD288</f>
        <v>1352.96000000001</v>
      </c>
      <c r="AG288" s="29" t="n">
        <f aca="false">IFERROR(AF288/AE288,0)</f>
        <v>0.0126932553664834</v>
      </c>
    </row>
    <row r="289" customFormat="false" ht="15" hidden="false" customHeight="false" outlineLevel="0" collapsed="false">
      <c r="A289" s="28" t="n">
        <v>288</v>
      </c>
      <c r="B289" s="43" t="n">
        <v>45429.4645833333</v>
      </c>
      <c r="C289" s="43" t="n">
        <v>45429.4953356482</v>
      </c>
      <c r="D289" s="42" t="n">
        <f aca="false">INT(C289)</f>
        <v>45429</v>
      </c>
      <c r="E289" s="42" t="n">
        <f aca="false">D289-WEEKDAY(D289,3)</f>
        <v>45425</v>
      </c>
      <c r="F289" s="28" t="s">
        <v>156</v>
      </c>
      <c r="G289" s="28" t="n">
        <v>2024</v>
      </c>
      <c r="H289" s="28" t="s">
        <v>242</v>
      </c>
      <c r="I289" s="28" t="n">
        <v>11</v>
      </c>
      <c r="J289" s="28" t="s">
        <v>236</v>
      </c>
      <c r="K289" s="28" t="s">
        <v>237</v>
      </c>
      <c r="L289" s="28" t="n">
        <v>0.25</v>
      </c>
      <c r="M289" s="31" t="n">
        <v>18539.72</v>
      </c>
      <c r="N289" s="31" t="n">
        <v>18548.4</v>
      </c>
      <c r="O289" s="31" t="n">
        <v>18522.63</v>
      </c>
      <c r="P289" s="44" t="n">
        <f aca="false">ABS(M289-N289)</f>
        <v>8.68000000000029</v>
      </c>
      <c r="Q289" s="44" t="n">
        <f aca="false">IF(O289="","",ABS(O289-M289))</f>
        <v>17.0900000000001</v>
      </c>
      <c r="R289" s="30" t="n">
        <f aca="false">P289*L289*Summary!$C$6</f>
        <v>43.4000000000015</v>
      </c>
      <c r="S289" s="31" t="n">
        <v>18539.75</v>
      </c>
      <c r="T289" s="28" t="s">
        <v>238</v>
      </c>
      <c r="U289" s="44" t="n">
        <f aca="false">IF(J289="BUY",S289-M289,M289-S289)</f>
        <v>-0.0299999999988358</v>
      </c>
      <c r="V289" s="45" t="n">
        <v>0</v>
      </c>
      <c r="W289" s="45" t="n">
        <v>0</v>
      </c>
      <c r="X289" s="45" t="n">
        <v>-0.15</v>
      </c>
      <c r="Y289" s="32" t="n">
        <f aca="false">IFERROR(X289/R289,0)</f>
        <v>-0.00345622119815657</v>
      </c>
      <c r="Z289" s="28" t="str">
        <f aca="false">IF(X289&gt;0,"Win",IF(X289&lt;0,"Loss","Flat"))</f>
        <v>Loss</v>
      </c>
      <c r="AA289" s="28" t="n">
        <f aca="false">ROUND((C289-B289)*1440,1)</f>
        <v>44.3</v>
      </c>
      <c r="AB289" s="28" t="str">
        <f aca="false">IF(AA289&lt;1,"a) &lt;1 min",IF(AA289&lt;10,"b) 1-10 min",IF(AA289&lt;60,"c) 10-60 min",IF(AA289&lt;240,"d) 1-4 h","e) 4 h+"))))</f>
        <v>c) 10-60 min</v>
      </c>
      <c r="AC289" s="28" t="str">
        <f aca="false">IF(P289&lt;10,"a) &lt;10",IF(P289&lt;20,"b) 10-20",IF(P289&lt;40,"c) 20-40",IF(P289&lt;80,"d) 40-80","e) 80+"))))</f>
        <v>a) &lt;10</v>
      </c>
      <c r="AD289" s="30" t="n">
        <f aca="false">Summary!$C$5+SUM(X$2:X289)</f>
        <v>105235.78</v>
      </c>
      <c r="AE289" s="30" t="n">
        <f aca="false">MAX(AE288,AD289)</f>
        <v>106588.89</v>
      </c>
      <c r="AF289" s="30" t="n">
        <f aca="false">AE289-AD289</f>
        <v>1353.11</v>
      </c>
      <c r="AG289" s="29" t="n">
        <f aca="false">IFERROR(AF289/AE289,0)</f>
        <v>0.0126946626426075</v>
      </c>
    </row>
    <row r="290" customFormat="false" ht="15" hidden="false" customHeight="false" outlineLevel="0" collapsed="false">
      <c r="A290" s="28" t="n">
        <v>289</v>
      </c>
      <c r="B290" s="43" t="n">
        <v>45432.5854166667</v>
      </c>
      <c r="C290" s="43" t="n">
        <v>45432.5883564815</v>
      </c>
      <c r="D290" s="42" t="n">
        <f aca="false">INT(C290)</f>
        <v>45432</v>
      </c>
      <c r="E290" s="42" t="n">
        <f aca="false">D290-WEEKDAY(D290,3)</f>
        <v>45432</v>
      </c>
      <c r="F290" s="28" t="s">
        <v>156</v>
      </c>
      <c r="G290" s="28" t="n">
        <v>2024</v>
      </c>
      <c r="H290" s="28" t="s">
        <v>240</v>
      </c>
      <c r="I290" s="28" t="n">
        <v>14</v>
      </c>
      <c r="J290" s="28" t="s">
        <v>233</v>
      </c>
      <c r="K290" s="28" t="s">
        <v>234</v>
      </c>
      <c r="L290" s="28" t="n">
        <v>0.25</v>
      </c>
      <c r="M290" s="31" t="n">
        <v>18593.4</v>
      </c>
      <c r="N290" s="31" t="n">
        <v>18588.79</v>
      </c>
      <c r="O290" s="31" t="n">
        <v>18602.61</v>
      </c>
      <c r="P290" s="44" t="n">
        <f aca="false">ABS(M290-N290)</f>
        <v>4.61000000000058</v>
      </c>
      <c r="Q290" s="44" t="n">
        <f aca="false">IF(O290="","",ABS(O290-M290))</f>
        <v>9.20999999999913</v>
      </c>
      <c r="R290" s="30" t="n">
        <f aca="false">P290*L290*Summary!$C$6</f>
        <v>23.0500000000029</v>
      </c>
      <c r="S290" s="31" t="n">
        <v>18588.52</v>
      </c>
      <c r="T290" s="28" t="s">
        <v>241</v>
      </c>
      <c r="U290" s="44" t="n">
        <f aca="false">IF(J290="BUY",S290-M290,M290-S290)</f>
        <v>-4.88000000000102</v>
      </c>
      <c r="V290" s="45" t="n">
        <v>0</v>
      </c>
      <c r="W290" s="45" t="n">
        <v>0</v>
      </c>
      <c r="X290" s="45" t="n">
        <v>-24.4</v>
      </c>
      <c r="Y290" s="32" t="n">
        <f aca="false">IFERROR(X290/R290,0)</f>
        <v>-1.05856832971787</v>
      </c>
      <c r="Z290" s="28" t="str">
        <f aca="false">IF(X290&gt;0,"Win",IF(X290&lt;0,"Loss","Flat"))</f>
        <v>Loss</v>
      </c>
      <c r="AA290" s="28" t="n">
        <f aca="false">ROUND((C290-B290)*1440,1)</f>
        <v>4.2</v>
      </c>
      <c r="AB290" s="28" t="str">
        <f aca="false">IF(AA290&lt;1,"a) &lt;1 min",IF(AA290&lt;10,"b) 1-10 min",IF(AA290&lt;60,"c) 10-60 min",IF(AA290&lt;240,"d) 1-4 h","e) 4 h+"))))</f>
        <v>b) 1-10 min</v>
      </c>
      <c r="AC290" s="28" t="str">
        <f aca="false">IF(P290&lt;10,"a) &lt;10",IF(P290&lt;20,"b) 10-20",IF(P290&lt;40,"c) 20-40",IF(P290&lt;80,"d) 40-80","e) 80+"))))</f>
        <v>a) &lt;10</v>
      </c>
      <c r="AD290" s="30" t="n">
        <f aca="false">Summary!$C$5+SUM(X$2:X290)</f>
        <v>105211.38</v>
      </c>
      <c r="AE290" s="30" t="n">
        <f aca="false">MAX(AE289,AD290)</f>
        <v>106588.89</v>
      </c>
      <c r="AF290" s="30" t="n">
        <f aca="false">AE290-AD290</f>
        <v>1377.50999999999</v>
      </c>
      <c r="AG290" s="29" t="n">
        <f aca="false">IFERROR(AF290/AE290,0)</f>
        <v>0.0129235795588076</v>
      </c>
    </row>
    <row r="291" customFormat="false" ht="15" hidden="false" customHeight="false" outlineLevel="0" collapsed="false">
      <c r="A291" s="28" t="n">
        <v>290</v>
      </c>
      <c r="B291" s="43" t="n">
        <v>45433.9548611111</v>
      </c>
      <c r="C291" s="43" t="n">
        <v>45433.9581481482</v>
      </c>
      <c r="D291" s="42" t="n">
        <f aca="false">INT(C291)</f>
        <v>45433</v>
      </c>
      <c r="E291" s="42" t="n">
        <f aca="false">D291-WEEKDAY(D291,3)</f>
        <v>45432</v>
      </c>
      <c r="F291" s="28" t="s">
        <v>156</v>
      </c>
      <c r="G291" s="28" t="n">
        <v>2024</v>
      </c>
      <c r="H291" s="28" t="s">
        <v>232</v>
      </c>
      <c r="I291" s="28" t="n">
        <v>22</v>
      </c>
      <c r="J291" s="28" t="s">
        <v>233</v>
      </c>
      <c r="K291" s="28" t="s">
        <v>234</v>
      </c>
      <c r="L291" s="28" t="n">
        <v>0.25</v>
      </c>
      <c r="M291" s="31" t="n">
        <v>18711.29</v>
      </c>
      <c r="N291" s="31" t="n">
        <v>18702.39</v>
      </c>
      <c r="O291" s="31" t="n">
        <v>18733.71</v>
      </c>
      <c r="P291" s="44" t="n">
        <f aca="false">ABS(M291-N291)</f>
        <v>8.90000000000146</v>
      </c>
      <c r="Q291" s="44" t="n">
        <f aca="false">IF(O291="","",ABS(O291-M291))</f>
        <v>22.4199999999983</v>
      </c>
      <c r="R291" s="30" t="n">
        <f aca="false">P291*L291*Summary!$C$6</f>
        <v>44.5000000000073</v>
      </c>
      <c r="S291" s="31" t="n">
        <v>18711.12</v>
      </c>
      <c r="T291" s="28" t="s">
        <v>238</v>
      </c>
      <c r="U291" s="44" t="n">
        <f aca="false">IF(J291="BUY",S291-M291,M291-S291)</f>
        <v>-0.170000000001892</v>
      </c>
      <c r="V291" s="45" t="n">
        <v>0</v>
      </c>
      <c r="W291" s="45" t="n">
        <v>0</v>
      </c>
      <c r="X291" s="45" t="n">
        <v>-0.85</v>
      </c>
      <c r="Y291" s="32" t="n">
        <f aca="false">IFERROR(X291/R291,0)</f>
        <v>-0.0191011235955025</v>
      </c>
      <c r="Z291" s="28" t="str">
        <f aca="false">IF(X291&gt;0,"Win",IF(X291&lt;0,"Loss","Flat"))</f>
        <v>Loss</v>
      </c>
      <c r="AA291" s="28" t="n">
        <f aca="false">ROUND((C291-B291)*1440,1)</f>
        <v>4.7</v>
      </c>
      <c r="AB291" s="28" t="str">
        <f aca="false">IF(AA291&lt;1,"a) &lt;1 min",IF(AA291&lt;10,"b) 1-10 min",IF(AA291&lt;60,"c) 10-60 min",IF(AA291&lt;240,"d) 1-4 h","e) 4 h+"))))</f>
        <v>b) 1-10 min</v>
      </c>
      <c r="AC291" s="28" t="str">
        <f aca="false">IF(P291&lt;10,"a) &lt;10",IF(P291&lt;20,"b) 10-20",IF(P291&lt;40,"c) 20-40",IF(P291&lt;80,"d) 40-80","e) 80+"))))</f>
        <v>a) &lt;10</v>
      </c>
      <c r="AD291" s="30" t="n">
        <f aca="false">Summary!$C$5+SUM(X$2:X291)</f>
        <v>105210.53</v>
      </c>
      <c r="AE291" s="30" t="n">
        <f aca="false">MAX(AE290,AD291)</f>
        <v>106588.89</v>
      </c>
      <c r="AF291" s="30" t="n">
        <f aca="false">AE291-AD291</f>
        <v>1378.36</v>
      </c>
      <c r="AG291" s="29" t="n">
        <f aca="false">IFERROR(AF291/AE291,0)</f>
        <v>0.0129315541235114</v>
      </c>
    </row>
    <row r="292" customFormat="false" ht="15" hidden="false" customHeight="false" outlineLevel="0" collapsed="false">
      <c r="A292" s="28" t="n">
        <v>291</v>
      </c>
      <c r="B292" s="43" t="n">
        <v>45434.0708333333</v>
      </c>
      <c r="C292" s="43" t="n">
        <v>45434.0732291667</v>
      </c>
      <c r="D292" s="42" t="n">
        <f aca="false">INT(C292)</f>
        <v>45434</v>
      </c>
      <c r="E292" s="42" t="n">
        <f aca="false">D292-WEEKDAY(D292,3)</f>
        <v>45432</v>
      </c>
      <c r="F292" s="28" t="s">
        <v>156</v>
      </c>
      <c r="G292" s="28" t="n">
        <v>2024</v>
      </c>
      <c r="H292" s="28" t="s">
        <v>235</v>
      </c>
      <c r="I292" s="28" t="n">
        <v>1</v>
      </c>
      <c r="J292" s="28" t="s">
        <v>233</v>
      </c>
      <c r="K292" s="28" t="s">
        <v>234</v>
      </c>
      <c r="L292" s="28" t="n">
        <v>0.25</v>
      </c>
      <c r="M292" s="31" t="n">
        <v>18724.9</v>
      </c>
      <c r="N292" s="31" t="n">
        <v>18721.99</v>
      </c>
      <c r="O292" s="31" t="n">
        <v>18730.72</v>
      </c>
      <c r="P292" s="44" t="n">
        <f aca="false">ABS(M292-N292)</f>
        <v>2.90999999999985</v>
      </c>
      <c r="Q292" s="44" t="n">
        <f aca="false">IF(O292="","",ABS(O292-M292))</f>
        <v>5.81999999999971</v>
      </c>
      <c r="R292" s="30" t="n">
        <f aca="false">P292*L292*Summary!$C$6</f>
        <v>14.5499999999993</v>
      </c>
      <c r="S292" s="31" t="n">
        <v>18720.9</v>
      </c>
      <c r="T292" s="28" t="s">
        <v>241</v>
      </c>
      <c r="U292" s="44" t="n">
        <f aca="false">IF(J292="BUY",S292-M292,M292-S292)</f>
        <v>-4</v>
      </c>
      <c r="V292" s="45" t="n">
        <v>0</v>
      </c>
      <c r="W292" s="45" t="n">
        <v>0</v>
      </c>
      <c r="X292" s="45" t="n">
        <v>-20</v>
      </c>
      <c r="Y292" s="32" t="n">
        <f aca="false">IFERROR(X292/R292,0)</f>
        <v>-1.37457044673546</v>
      </c>
      <c r="Z292" s="28" t="str">
        <f aca="false">IF(X292&gt;0,"Win",IF(X292&lt;0,"Loss","Flat"))</f>
        <v>Loss</v>
      </c>
      <c r="AA292" s="28" t="n">
        <f aca="false">ROUND((C292-B292)*1440,1)</f>
        <v>3.5</v>
      </c>
      <c r="AB292" s="28" t="str">
        <f aca="false">IF(AA292&lt;1,"a) &lt;1 min",IF(AA292&lt;10,"b) 1-10 min",IF(AA292&lt;60,"c) 10-60 min",IF(AA292&lt;240,"d) 1-4 h","e) 4 h+"))))</f>
        <v>b) 1-10 min</v>
      </c>
      <c r="AC292" s="28" t="str">
        <f aca="false">IF(P292&lt;10,"a) &lt;10",IF(P292&lt;20,"b) 10-20",IF(P292&lt;40,"c) 20-40",IF(P292&lt;80,"d) 40-80","e) 80+"))))</f>
        <v>a) &lt;10</v>
      </c>
      <c r="AD292" s="30" t="n">
        <f aca="false">Summary!$C$5+SUM(X$2:X292)</f>
        <v>105190.53</v>
      </c>
      <c r="AE292" s="30" t="n">
        <f aca="false">MAX(AE291,AD292)</f>
        <v>106588.89</v>
      </c>
      <c r="AF292" s="30" t="n">
        <f aca="false">AE292-AD292</f>
        <v>1398.36</v>
      </c>
      <c r="AG292" s="29" t="n">
        <f aca="false">IFERROR(AF292/AE292,0)</f>
        <v>0.0131191909400689</v>
      </c>
    </row>
    <row r="293" customFormat="false" ht="15" hidden="false" customHeight="false" outlineLevel="0" collapsed="false">
      <c r="A293" s="28" t="n">
        <v>292</v>
      </c>
      <c r="B293" s="43" t="n">
        <v>45435.0472337963</v>
      </c>
      <c r="C293" s="43" t="n">
        <v>45435.2389814815</v>
      </c>
      <c r="D293" s="42" t="n">
        <f aca="false">INT(C293)</f>
        <v>45435</v>
      </c>
      <c r="E293" s="42" t="n">
        <f aca="false">D293-WEEKDAY(D293,3)</f>
        <v>45432</v>
      </c>
      <c r="F293" s="28" t="s">
        <v>156</v>
      </c>
      <c r="G293" s="28" t="n">
        <v>2024</v>
      </c>
      <c r="H293" s="28" t="s">
        <v>239</v>
      </c>
      <c r="I293" s="28" t="n">
        <v>1</v>
      </c>
      <c r="J293" s="28" t="s">
        <v>233</v>
      </c>
      <c r="K293" s="28" t="s">
        <v>234</v>
      </c>
      <c r="L293" s="28" t="n">
        <v>0.25</v>
      </c>
      <c r="M293" s="31" t="n">
        <v>18777.57</v>
      </c>
      <c r="N293" s="31" t="n">
        <v>18750.85</v>
      </c>
      <c r="O293" s="31" t="n">
        <v>18831</v>
      </c>
      <c r="P293" s="44" t="n">
        <f aca="false">ABS(M293-N293)</f>
        <v>26.7200000000012</v>
      </c>
      <c r="Q293" s="44" t="n">
        <f aca="false">IF(O293="","",ABS(O293-M293))</f>
        <v>53.4300000000003</v>
      </c>
      <c r="R293" s="30" t="n">
        <f aca="false">P293*L293*Summary!$C$6</f>
        <v>133.600000000006</v>
      </c>
      <c r="S293" s="31" t="n">
        <v>18831.12</v>
      </c>
      <c r="T293" s="28" t="s">
        <v>214</v>
      </c>
      <c r="U293" s="44" t="n">
        <f aca="false">IF(J293="BUY",S293-M293,M293-S293)</f>
        <v>53.5499999999993</v>
      </c>
      <c r="V293" s="45" t="n">
        <v>0</v>
      </c>
      <c r="W293" s="45" t="n">
        <v>0</v>
      </c>
      <c r="X293" s="45" t="n">
        <v>267.75</v>
      </c>
      <c r="Y293" s="32" t="n">
        <f aca="false">IFERROR(X293/R293,0)</f>
        <v>2.00411676646698</v>
      </c>
      <c r="Z293" s="28" t="str">
        <f aca="false">IF(X293&gt;0,"Win",IF(X293&lt;0,"Loss","Flat"))</f>
        <v>Win</v>
      </c>
      <c r="AA293" s="28" t="n">
        <f aca="false">ROUND((C293-B293)*1440,1)</f>
        <v>276.1</v>
      </c>
      <c r="AB293" s="28" t="str">
        <f aca="false">IF(AA293&lt;1,"a) &lt;1 min",IF(AA293&lt;10,"b) 1-10 min",IF(AA293&lt;60,"c) 10-60 min",IF(AA293&lt;240,"d) 1-4 h","e) 4 h+"))))</f>
        <v>e) 4 h+</v>
      </c>
      <c r="AC293" s="28" t="str">
        <f aca="false">IF(P293&lt;10,"a) &lt;10",IF(P293&lt;20,"b) 10-20",IF(P293&lt;40,"c) 20-40",IF(P293&lt;80,"d) 40-80","e) 80+"))))</f>
        <v>c) 20-40</v>
      </c>
      <c r="AD293" s="30" t="n">
        <f aca="false">Summary!$C$5+SUM(X$2:X293)</f>
        <v>105458.28</v>
      </c>
      <c r="AE293" s="30" t="n">
        <f aca="false">MAX(AE292,AD293)</f>
        <v>106588.89</v>
      </c>
      <c r="AF293" s="30" t="n">
        <f aca="false">AE293-AD293</f>
        <v>1130.61</v>
      </c>
      <c r="AG293" s="29" t="n">
        <f aca="false">IFERROR(AF293/AE293,0)</f>
        <v>0.0106072030584051</v>
      </c>
    </row>
    <row r="294" customFormat="false" ht="15" hidden="false" customHeight="false" outlineLevel="0" collapsed="false">
      <c r="A294" s="28" t="n">
        <v>293</v>
      </c>
      <c r="B294" s="43" t="n">
        <v>45435.8888888889</v>
      </c>
      <c r="C294" s="43" t="n">
        <v>45435.9394328704</v>
      </c>
      <c r="D294" s="42" t="n">
        <f aca="false">INT(C294)</f>
        <v>45435</v>
      </c>
      <c r="E294" s="42" t="n">
        <f aca="false">D294-WEEKDAY(D294,3)</f>
        <v>45432</v>
      </c>
      <c r="F294" s="28" t="s">
        <v>156</v>
      </c>
      <c r="G294" s="28" t="n">
        <v>2024</v>
      </c>
      <c r="H294" s="28" t="s">
        <v>239</v>
      </c>
      <c r="I294" s="28" t="n">
        <v>21</v>
      </c>
      <c r="J294" s="28" t="s">
        <v>236</v>
      </c>
      <c r="K294" s="28" t="s">
        <v>237</v>
      </c>
      <c r="L294" s="28" t="n">
        <v>0.25</v>
      </c>
      <c r="M294" s="31" t="n">
        <v>18600.88</v>
      </c>
      <c r="N294" s="31" t="n">
        <v>18632.04</v>
      </c>
      <c r="O294" s="31" t="n">
        <v>18538.57</v>
      </c>
      <c r="P294" s="44" t="n">
        <f aca="false">ABS(M294-N294)</f>
        <v>31.1599999999999</v>
      </c>
      <c r="Q294" s="44" t="n">
        <f aca="false">IF(O294="","",ABS(O294-M294))</f>
        <v>62.3100000000013</v>
      </c>
      <c r="R294" s="30" t="n">
        <f aca="false">P294*L294*Summary!$C$6</f>
        <v>155.799999999999</v>
      </c>
      <c r="S294" s="31" t="n">
        <v>18600.91</v>
      </c>
      <c r="T294" s="28" t="s">
        <v>238</v>
      </c>
      <c r="U294" s="44" t="n">
        <f aca="false">IF(J294="BUY",S294-M294,M294-S294)</f>
        <v>-0.0299999999988358</v>
      </c>
      <c r="V294" s="45" t="n">
        <v>0</v>
      </c>
      <c r="W294" s="45" t="n">
        <v>0</v>
      </c>
      <c r="X294" s="45" t="n">
        <v>-0.15</v>
      </c>
      <c r="Y294" s="32" t="n">
        <f aca="false">IFERROR(X294/R294,0)</f>
        <v>-0.000962772785622598</v>
      </c>
      <c r="Z294" s="28" t="str">
        <f aca="false">IF(X294&gt;0,"Win",IF(X294&lt;0,"Loss","Flat"))</f>
        <v>Loss</v>
      </c>
      <c r="AA294" s="28" t="n">
        <f aca="false">ROUND((C294-B294)*1440,1)</f>
        <v>72.8</v>
      </c>
      <c r="AB294" s="28" t="str">
        <f aca="false">IF(AA294&lt;1,"a) &lt;1 min",IF(AA294&lt;10,"b) 1-10 min",IF(AA294&lt;60,"c) 10-60 min",IF(AA294&lt;240,"d) 1-4 h","e) 4 h+"))))</f>
        <v>d) 1-4 h</v>
      </c>
      <c r="AC294" s="28" t="str">
        <f aca="false">IF(P294&lt;10,"a) &lt;10",IF(P294&lt;20,"b) 10-20",IF(P294&lt;40,"c) 20-40",IF(P294&lt;80,"d) 40-80","e) 80+"))))</f>
        <v>c) 20-40</v>
      </c>
      <c r="AD294" s="30" t="n">
        <f aca="false">Summary!$C$5+SUM(X$2:X294)</f>
        <v>105458.13</v>
      </c>
      <c r="AE294" s="30" t="n">
        <f aca="false">MAX(AE293,AD294)</f>
        <v>106588.89</v>
      </c>
      <c r="AF294" s="30" t="n">
        <f aca="false">AE294-AD294</f>
        <v>1130.75999999999</v>
      </c>
      <c r="AG294" s="29" t="n">
        <f aca="false">IFERROR(AF294/AE294,0)</f>
        <v>0.0106086103345292</v>
      </c>
    </row>
    <row r="295" customFormat="false" ht="15" hidden="false" customHeight="false" outlineLevel="0" collapsed="false">
      <c r="A295" s="28" t="n">
        <v>294</v>
      </c>
      <c r="B295" s="43" t="n">
        <v>45439.7659722222</v>
      </c>
      <c r="C295" s="43" t="n">
        <v>45439.7834606482</v>
      </c>
      <c r="D295" s="42" t="n">
        <f aca="false">INT(C295)</f>
        <v>45439</v>
      </c>
      <c r="E295" s="42" t="n">
        <f aca="false">D295-WEEKDAY(D295,3)</f>
        <v>45439</v>
      </c>
      <c r="F295" s="28" t="s">
        <v>156</v>
      </c>
      <c r="G295" s="28" t="n">
        <v>2024</v>
      </c>
      <c r="H295" s="28" t="s">
        <v>240</v>
      </c>
      <c r="I295" s="28" t="n">
        <v>18</v>
      </c>
      <c r="J295" s="28" t="s">
        <v>233</v>
      </c>
      <c r="K295" s="28" t="s">
        <v>234</v>
      </c>
      <c r="L295" s="28" t="n">
        <v>0.25</v>
      </c>
      <c r="M295" s="31" t="n">
        <v>18854.12</v>
      </c>
      <c r="N295" s="31" t="n">
        <v>18848.78</v>
      </c>
      <c r="O295" s="31" t="n">
        <v>18864.81</v>
      </c>
      <c r="P295" s="44" t="n">
        <f aca="false">ABS(M295-N295)</f>
        <v>5.34000000000015</v>
      </c>
      <c r="Q295" s="44" t="n">
        <f aca="false">IF(O295="","",ABS(O295-M295))</f>
        <v>10.6900000000023</v>
      </c>
      <c r="R295" s="30" t="n">
        <f aca="false">P295*L295*Summary!$C$6</f>
        <v>26.7000000000007</v>
      </c>
      <c r="S295" s="31" t="n">
        <v>18864.85</v>
      </c>
      <c r="T295" s="28" t="s">
        <v>214</v>
      </c>
      <c r="U295" s="44" t="n">
        <f aca="false">IF(J295="BUY",S295-M295,M295-S295)</f>
        <v>10.7299999999996</v>
      </c>
      <c r="V295" s="45" t="n">
        <v>0</v>
      </c>
      <c r="W295" s="45" t="n">
        <v>0</v>
      </c>
      <c r="X295" s="45" t="n">
        <v>53.65</v>
      </c>
      <c r="Y295" s="32" t="n">
        <f aca="false">IFERROR(X295/R295,0)</f>
        <v>2.0093632958801</v>
      </c>
      <c r="Z295" s="28" t="str">
        <f aca="false">IF(X295&gt;0,"Win",IF(X295&lt;0,"Loss","Flat"))</f>
        <v>Win</v>
      </c>
      <c r="AA295" s="28" t="n">
        <f aca="false">ROUND((C295-B295)*1440,1)</f>
        <v>25.2</v>
      </c>
      <c r="AB295" s="28" t="str">
        <f aca="false">IF(AA295&lt;1,"a) &lt;1 min",IF(AA295&lt;10,"b) 1-10 min",IF(AA295&lt;60,"c) 10-60 min",IF(AA295&lt;240,"d) 1-4 h","e) 4 h+"))))</f>
        <v>c) 10-60 min</v>
      </c>
      <c r="AC295" s="28" t="str">
        <f aca="false">IF(P295&lt;10,"a) &lt;10",IF(P295&lt;20,"b) 10-20",IF(P295&lt;40,"c) 20-40",IF(P295&lt;80,"d) 40-80","e) 80+"))))</f>
        <v>a) &lt;10</v>
      </c>
      <c r="AD295" s="30" t="n">
        <f aca="false">Summary!$C$5+SUM(X$2:X295)</f>
        <v>105511.78</v>
      </c>
      <c r="AE295" s="30" t="n">
        <f aca="false">MAX(AE294,AD295)</f>
        <v>106588.89</v>
      </c>
      <c r="AF295" s="30" t="n">
        <f aca="false">AE295-AD295</f>
        <v>1077.11</v>
      </c>
      <c r="AG295" s="29" t="n">
        <f aca="false">IFERROR(AF295/AE295,0)</f>
        <v>0.0101052745741137</v>
      </c>
    </row>
    <row r="296" customFormat="false" ht="15" hidden="false" customHeight="false" outlineLevel="0" collapsed="false">
      <c r="A296" s="28" t="n">
        <v>295</v>
      </c>
      <c r="B296" s="43" t="n">
        <v>45440.46875</v>
      </c>
      <c r="C296" s="43" t="n">
        <v>45440.5510763889</v>
      </c>
      <c r="D296" s="42" t="n">
        <f aca="false">INT(C296)</f>
        <v>45440</v>
      </c>
      <c r="E296" s="42" t="n">
        <f aca="false">D296-WEEKDAY(D296,3)</f>
        <v>45439</v>
      </c>
      <c r="F296" s="28" t="s">
        <v>156</v>
      </c>
      <c r="G296" s="28" t="n">
        <v>2024</v>
      </c>
      <c r="H296" s="28" t="s">
        <v>232</v>
      </c>
      <c r="I296" s="28" t="n">
        <v>11</v>
      </c>
      <c r="J296" s="28" t="s">
        <v>233</v>
      </c>
      <c r="K296" s="28" t="s">
        <v>234</v>
      </c>
      <c r="L296" s="28" t="n">
        <v>0.25</v>
      </c>
      <c r="M296" s="31" t="n">
        <v>18891.04</v>
      </c>
      <c r="N296" s="31" t="n">
        <v>18880.82</v>
      </c>
      <c r="O296" s="31" t="n">
        <v>18911.48</v>
      </c>
      <c r="P296" s="44" t="n">
        <f aca="false">ABS(M296-N296)</f>
        <v>10.2200000000012</v>
      </c>
      <c r="Q296" s="44" t="n">
        <f aca="false">IF(O296="","",ABS(O296-M296))</f>
        <v>20.4399999999987</v>
      </c>
      <c r="R296" s="30" t="n">
        <f aca="false">P296*L296*Summary!$C$6</f>
        <v>51.1000000000058</v>
      </c>
      <c r="S296" s="31" t="n">
        <v>18890.9</v>
      </c>
      <c r="T296" s="28" t="s">
        <v>238</v>
      </c>
      <c r="U296" s="44" t="n">
        <f aca="false">IF(J296="BUY",S296-M296,M296-S296)</f>
        <v>-0.139999999999418</v>
      </c>
      <c r="V296" s="45" t="n">
        <v>0</v>
      </c>
      <c r="W296" s="45" t="n">
        <v>0</v>
      </c>
      <c r="X296" s="45" t="n">
        <v>-0.7</v>
      </c>
      <c r="Y296" s="32" t="n">
        <f aca="false">IFERROR(X296/R296,0)</f>
        <v>-0.0136986301369847</v>
      </c>
      <c r="Z296" s="28" t="str">
        <f aca="false">IF(X296&gt;0,"Win",IF(X296&lt;0,"Loss","Flat"))</f>
        <v>Loss</v>
      </c>
      <c r="AA296" s="28" t="n">
        <f aca="false">ROUND((C296-B296)*1440,1)</f>
        <v>118.6</v>
      </c>
      <c r="AB296" s="28" t="str">
        <f aca="false">IF(AA296&lt;1,"a) &lt;1 min",IF(AA296&lt;10,"b) 1-10 min",IF(AA296&lt;60,"c) 10-60 min",IF(AA296&lt;240,"d) 1-4 h","e) 4 h+"))))</f>
        <v>d) 1-4 h</v>
      </c>
      <c r="AC296" s="28" t="str">
        <f aca="false">IF(P296&lt;10,"a) &lt;10",IF(P296&lt;20,"b) 10-20",IF(P296&lt;40,"c) 20-40",IF(P296&lt;80,"d) 40-80","e) 80+"))))</f>
        <v>b) 10-20</v>
      </c>
      <c r="AD296" s="30" t="n">
        <f aca="false">Summary!$C$5+SUM(X$2:X296)</f>
        <v>105511.08</v>
      </c>
      <c r="AE296" s="30" t="n">
        <f aca="false">MAX(AE295,AD296)</f>
        <v>106588.89</v>
      </c>
      <c r="AF296" s="30" t="n">
        <f aca="false">AE296-AD296</f>
        <v>1077.81</v>
      </c>
      <c r="AG296" s="29" t="n">
        <f aca="false">IFERROR(AF296/AE296,0)</f>
        <v>0.0101118418626932</v>
      </c>
    </row>
    <row r="297" customFormat="false" ht="15" hidden="false" customHeight="false" outlineLevel="0" collapsed="false">
      <c r="A297" s="28" t="n">
        <v>296</v>
      </c>
      <c r="B297" s="43" t="n">
        <v>45440.9013888889</v>
      </c>
      <c r="C297" s="43" t="n">
        <v>45440.9134953704</v>
      </c>
      <c r="D297" s="42" t="n">
        <f aca="false">INT(C297)</f>
        <v>45440</v>
      </c>
      <c r="E297" s="42" t="n">
        <f aca="false">D297-WEEKDAY(D297,3)</f>
        <v>45439</v>
      </c>
      <c r="F297" s="28" t="s">
        <v>156</v>
      </c>
      <c r="G297" s="28" t="n">
        <v>2024</v>
      </c>
      <c r="H297" s="28" t="s">
        <v>232</v>
      </c>
      <c r="I297" s="28" t="n">
        <v>21</v>
      </c>
      <c r="J297" s="28" t="s">
        <v>236</v>
      </c>
      <c r="K297" s="28" t="s">
        <v>237</v>
      </c>
      <c r="L297" s="28" t="n">
        <v>0.25</v>
      </c>
      <c r="M297" s="31" t="n">
        <v>18759.86</v>
      </c>
      <c r="N297" s="31" t="n">
        <v>18784.81</v>
      </c>
      <c r="O297" s="31" t="n">
        <v>18709.97</v>
      </c>
      <c r="P297" s="44" t="n">
        <f aca="false">ABS(M297-N297)</f>
        <v>24.9500000000007</v>
      </c>
      <c r="Q297" s="44" t="n">
        <f aca="false">IF(O297="","",ABS(O297-M297))</f>
        <v>49.8899999999994</v>
      </c>
      <c r="R297" s="30" t="n">
        <f aca="false">P297*L297*Summary!$C$6</f>
        <v>124.750000000004</v>
      </c>
      <c r="S297" s="31" t="n">
        <v>18785.45</v>
      </c>
      <c r="T297" s="28" t="s">
        <v>241</v>
      </c>
      <c r="U297" s="44" t="n">
        <f aca="false">IF(J297="BUY",S297-M297,M297-S297)</f>
        <v>-25.5900000000001</v>
      </c>
      <c r="V297" s="45" t="n">
        <v>0</v>
      </c>
      <c r="W297" s="45" t="n">
        <v>0</v>
      </c>
      <c r="X297" s="45" t="n">
        <v>-127.95</v>
      </c>
      <c r="Y297" s="32" t="n">
        <f aca="false">IFERROR(X297/R297,0)</f>
        <v>-1.02565130260518</v>
      </c>
      <c r="Z297" s="28" t="str">
        <f aca="false">IF(X297&gt;0,"Win",IF(X297&lt;0,"Loss","Flat"))</f>
        <v>Loss</v>
      </c>
      <c r="AA297" s="28" t="n">
        <f aca="false">ROUND((C297-B297)*1440,1)</f>
        <v>17.4</v>
      </c>
      <c r="AB297" s="28" t="str">
        <f aca="false">IF(AA297&lt;1,"a) &lt;1 min",IF(AA297&lt;10,"b) 1-10 min",IF(AA297&lt;60,"c) 10-60 min",IF(AA297&lt;240,"d) 1-4 h","e) 4 h+"))))</f>
        <v>c) 10-60 min</v>
      </c>
      <c r="AC297" s="28" t="str">
        <f aca="false">IF(P297&lt;10,"a) &lt;10",IF(P297&lt;20,"b) 10-20",IF(P297&lt;40,"c) 20-40",IF(P297&lt;80,"d) 40-80","e) 80+"))))</f>
        <v>c) 20-40</v>
      </c>
      <c r="AD297" s="30" t="n">
        <f aca="false">Summary!$C$5+SUM(X$2:X297)</f>
        <v>105383.13</v>
      </c>
      <c r="AE297" s="30" t="n">
        <f aca="false">MAX(AE296,AD297)</f>
        <v>106588.89</v>
      </c>
      <c r="AF297" s="30" t="n">
        <f aca="false">AE297-AD297</f>
        <v>1205.75999999999</v>
      </c>
      <c r="AG297" s="29" t="n">
        <f aca="false">IFERROR(AF297/AE297,0)</f>
        <v>0.0113122483966199</v>
      </c>
    </row>
    <row r="298" customFormat="false" ht="15" hidden="false" customHeight="false" outlineLevel="0" collapsed="false">
      <c r="A298" s="28" t="n">
        <v>297</v>
      </c>
      <c r="B298" s="43" t="n">
        <v>45441.4819444444</v>
      </c>
      <c r="C298" s="43" t="n">
        <v>45441.4965625</v>
      </c>
      <c r="D298" s="42" t="n">
        <f aca="false">INT(C298)</f>
        <v>45441</v>
      </c>
      <c r="E298" s="42" t="n">
        <f aca="false">D298-WEEKDAY(D298,3)</f>
        <v>45439</v>
      </c>
      <c r="F298" s="28" t="s">
        <v>156</v>
      </c>
      <c r="G298" s="28" t="n">
        <v>2024</v>
      </c>
      <c r="H298" s="28" t="s">
        <v>235</v>
      </c>
      <c r="I298" s="28" t="n">
        <v>11</v>
      </c>
      <c r="J298" s="28" t="s">
        <v>236</v>
      </c>
      <c r="K298" s="28" t="s">
        <v>237</v>
      </c>
      <c r="L298" s="28" t="n">
        <v>0.25</v>
      </c>
      <c r="M298" s="31" t="n">
        <v>18746.5</v>
      </c>
      <c r="N298" s="31" t="n">
        <v>18758.63</v>
      </c>
      <c r="O298" s="31" t="n">
        <v>18722.24</v>
      </c>
      <c r="P298" s="44" t="n">
        <f aca="false">ABS(M298-N298)</f>
        <v>12.130000000001</v>
      </c>
      <c r="Q298" s="44" t="n">
        <f aca="false">IF(O298="","",ABS(O298-M298))</f>
        <v>24.2599999999984</v>
      </c>
      <c r="R298" s="30" t="n">
        <f aca="false">P298*L298*Summary!$C$6</f>
        <v>60.6500000000051</v>
      </c>
      <c r="S298" s="31" t="n">
        <v>18758.63</v>
      </c>
      <c r="T298" s="28" t="s">
        <v>241</v>
      </c>
      <c r="U298" s="44" t="n">
        <f aca="false">IF(J298="BUY",S298-M298,M298-S298)</f>
        <v>-12.130000000001</v>
      </c>
      <c r="V298" s="45" t="n">
        <v>0</v>
      </c>
      <c r="W298" s="45" t="n">
        <v>0</v>
      </c>
      <c r="X298" s="45" t="n">
        <v>-60.65</v>
      </c>
      <c r="Y298" s="32" t="n">
        <f aca="false">IFERROR(X298/R298,0)</f>
        <v>-0.999999999999916</v>
      </c>
      <c r="Z298" s="28" t="str">
        <f aca="false">IF(X298&gt;0,"Win",IF(X298&lt;0,"Loss","Flat"))</f>
        <v>Loss</v>
      </c>
      <c r="AA298" s="28" t="n">
        <f aca="false">ROUND((C298-B298)*1440,1)</f>
        <v>21.1</v>
      </c>
      <c r="AB298" s="28" t="str">
        <f aca="false">IF(AA298&lt;1,"a) &lt;1 min",IF(AA298&lt;10,"b) 1-10 min",IF(AA298&lt;60,"c) 10-60 min",IF(AA298&lt;240,"d) 1-4 h","e) 4 h+"))))</f>
        <v>c) 10-60 min</v>
      </c>
      <c r="AC298" s="28" t="str">
        <f aca="false">IF(P298&lt;10,"a) &lt;10",IF(P298&lt;20,"b) 10-20",IF(P298&lt;40,"c) 20-40",IF(P298&lt;80,"d) 40-80","e) 80+"))))</f>
        <v>b) 10-20</v>
      </c>
      <c r="AD298" s="30" t="n">
        <f aca="false">Summary!$C$5+SUM(X$2:X298)</f>
        <v>105322.48</v>
      </c>
      <c r="AE298" s="30" t="n">
        <f aca="false">MAX(AE297,AD298)</f>
        <v>106588.89</v>
      </c>
      <c r="AF298" s="30" t="n">
        <f aca="false">AE298-AD298</f>
        <v>1266.41</v>
      </c>
      <c r="AG298" s="29" t="n">
        <f aca="false">IFERROR(AF298/AE298,0)</f>
        <v>0.0118812570428307</v>
      </c>
    </row>
    <row r="299" customFormat="false" ht="15" hidden="false" customHeight="false" outlineLevel="0" collapsed="false">
      <c r="A299" s="28" t="n">
        <v>298</v>
      </c>
      <c r="B299" s="43" t="n">
        <v>45442.0479166667</v>
      </c>
      <c r="C299" s="43" t="n">
        <v>45442.103125</v>
      </c>
      <c r="D299" s="42" t="n">
        <f aca="false">INT(C299)</f>
        <v>45442</v>
      </c>
      <c r="E299" s="42" t="n">
        <f aca="false">D299-WEEKDAY(D299,3)</f>
        <v>45439</v>
      </c>
      <c r="F299" s="28" t="s">
        <v>156</v>
      </c>
      <c r="G299" s="28" t="n">
        <v>2024</v>
      </c>
      <c r="H299" s="28" t="s">
        <v>239</v>
      </c>
      <c r="I299" s="28" t="n">
        <v>1</v>
      </c>
      <c r="J299" s="28" t="s">
        <v>236</v>
      </c>
      <c r="K299" s="28" t="s">
        <v>237</v>
      </c>
      <c r="L299" s="28" t="n">
        <v>0.25</v>
      </c>
      <c r="M299" s="31" t="n">
        <v>18687</v>
      </c>
      <c r="N299" s="31" t="n">
        <v>18704.97</v>
      </c>
      <c r="O299" s="31" t="n">
        <v>18651.06</v>
      </c>
      <c r="P299" s="44" t="n">
        <f aca="false">ABS(M299-N299)</f>
        <v>17.9700000000012</v>
      </c>
      <c r="Q299" s="44" t="n">
        <f aca="false">IF(O299="","",ABS(O299-M299))</f>
        <v>35.9399999999987</v>
      </c>
      <c r="R299" s="30" t="n">
        <f aca="false">P299*L299*Summary!$C$6</f>
        <v>89.8500000000058</v>
      </c>
      <c r="S299" s="31" t="n">
        <v>18648.88</v>
      </c>
      <c r="T299" s="28" t="s">
        <v>214</v>
      </c>
      <c r="U299" s="44" t="n">
        <f aca="false">IF(J299="BUY",S299-M299,M299-S299)</f>
        <v>38.119999999999</v>
      </c>
      <c r="V299" s="45" t="n">
        <v>0</v>
      </c>
      <c r="W299" s="45" t="n">
        <v>0</v>
      </c>
      <c r="X299" s="45" t="n">
        <v>190.6</v>
      </c>
      <c r="Y299" s="32" t="n">
        <f aca="false">IFERROR(X299/R299,0)</f>
        <v>2.12131329994421</v>
      </c>
      <c r="Z299" s="28" t="str">
        <f aca="false">IF(X299&gt;0,"Win",IF(X299&lt;0,"Loss","Flat"))</f>
        <v>Win</v>
      </c>
      <c r="AA299" s="28" t="n">
        <f aca="false">ROUND((C299-B299)*1440,1)</f>
        <v>79.5</v>
      </c>
      <c r="AB299" s="28" t="str">
        <f aca="false">IF(AA299&lt;1,"a) &lt;1 min",IF(AA299&lt;10,"b) 1-10 min",IF(AA299&lt;60,"c) 10-60 min",IF(AA299&lt;240,"d) 1-4 h","e) 4 h+"))))</f>
        <v>d) 1-4 h</v>
      </c>
      <c r="AC299" s="28" t="str">
        <f aca="false">IF(P299&lt;10,"a) &lt;10",IF(P299&lt;20,"b) 10-20",IF(P299&lt;40,"c) 20-40",IF(P299&lt;80,"d) 40-80","e) 80+"))))</f>
        <v>b) 10-20</v>
      </c>
      <c r="AD299" s="30" t="n">
        <f aca="false">Summary!$C$5+SUM(X$2:X299)</f>
        <v>105513.08</v>
      </c>
      <c r="AE299" s="30" t="n">
        <f aca="false">MAX(AE298,AD299)</f>
        <v>106588.89</v>
      </c>
      <c r="AF299" s="30" t="n">
        <f aca="false">AE299-AD299</f>
        <v>1075.81</v>
      </c>
      <c r="AG299" s="29" t="n">
        <f aca="false">IFERROR(AF299/AE299,0)</f>
        <v>0.0100930781810374</v>
      </c>
    </row>
    <row r="300" customFormat="false" ht="15" hidden="false" customHeight="false" outlineLevel="0" collapsed="false">
      <c r="A300" s="28" t="n">
        <v>299</v>
      </c>
      <c r="B300" s="43" t="n">
        <v>45443.1340277778</v>
      </c>
      <c r="C300" s="43" t="n">
        <v>45443.1492939815</v>
      </c>
      <c r="D300" s="42" t="n">
        <f aca="false">INT(C300)</f>
        <v>45443</v>
      </c>
      <c r="E300" s="42" t="n">
        <f aca="false">D300-WEEKDAY(D300,3)</f>
        <v>45439</v>
      </c>
      <c r="F300" s="28" t="s">
        <v>156</v>
      </c>
      <c r="G300" s="28" t="n">
        <v>2024</v>
      </c>
      <c r="H300" s="28" t="s">
        <v>242</v>
      </c>
      <c r="I300" s="28" t="n">
        <v>3</v>
      </c>
      <c r="J300" s="28" t="s">
        <v>236</v>
      </c>
      <c r="K300" s="28" t="s">
        <v>237</v>
      </c>
      <c r="L300" s="28" t="n">
        <v>0.25</v>
      </c>
      <c r="M300" s="31" t="n">
        <v>18473.32</v>
      </c>
      <c r="N300" s="31" t="n">
        <v>18485.54</v>
      </c>
      <c r="O300" s="31" t="n">
        <v>18448.88</v>
      </c>
      <c r="P300" s="44" t="n">
        <f aca="false">ABS(M300-N300)</f>
        <v>12.2200000000012</v>
      </c>
      <c r="Q300" s="44" t="n">
        <f aca="false">IF(O300="","",ABS(O300-M300))</f>
        <v>24.4399999999987</v>
      </c>
      <c r="R300" s="30" t="n">
        <f aca="false">P300*L300*Summary!$C$6</f>
        <v>61.1000000000058</v>
      </c>
      <c r="S300" s="31" t="n">
        <v>18448.85</v>
      </c>
      <c r="T300" s="28" t="s">
        <v>214</v>
      </c>
      <c r="U300" s="44" t="n">
        <f aca="false">IF(J300="BUY",S300-M300,M300-S300)</f>
        <v>24.4700000000012</v>
      </c>
      <c r="V300" s="45" t="n">
        <v>0</v>
      </c>
      <c r="W300" s="45" t="n">
        <v>0</v>
      </c>
      <c r="X300" s="45" t="n">
        <v>122.35</v>
      </c>
      <c r="Y300" s="32" t="n">
        <f aca="false">IFERROR(X300/R300,0)</f>
        <v>2.0024549918165</v>
      </c>
      <c r="Z300" s="28" t="str">
        <f aca="false">IF(X300&gt;0,"Win",IF(X300&lt;0,"Loss","Flat"))</f>
        <v>Win</v>
      </c>
      <c r="AA300" s="28" t="n">
        <f aca="false">ROUND((C300-B300)*1440,1)</f>
        <v>22</v>
      </c>
      <c r="AB300" s="28" t="str">
        <f aca="false">IF(AA300&lt;1,"a) &lt;1 min",IF(AA300&lt;10,"b) 1-10 min",IF(AA300&lt;60,"c) 10-60 min",IF(AA300&lt;240,"d) 1-4 h","e) 4 h+"))))</f>
        <v>c) 10-60 min</v>
      </c>
      <c r="AC300" s="28" t="str">
        <f aca="false">IF(P300&lt;10,"a) &lt;10",IF(P300&lt;20,"b) 10-20",IF(P300&lt;40,"c) 20-40",IF(P300&lt;80,"d) 40-80","e) 80+"))))</f>
        <v>b) 10-20</v>
      </c>
      <c r="AD300" s="30" t="n">
        <f aca="false">Summary!$C$5+SUM(X$2:X300)</f>
        <v>105635.43</v>
      </c>
      <c r="AE300" s="30" t="n">
        <f aca="false">MAX(AE299,AD300)</f>
        <v>106588.89</v>
      </c>
      <c r="AF300" s="30" t="n">
        <f aca="false">AE300-AD300</f>
        <v>953.460000000006</v>
      </c>
      <c r="AG300" s="29" t="n">
        <f aca="false">IFERROR(AF300/AE300,0)</f>
        <v>0.00894520995574686</v>
      </c>
    </row>
    <row r="301" customFormat="false" ht="15" hidden="false" customHeight="false" outlineLevel="0" collapsed="false">
      <c r="A301" s="28" t="n">
        <v>300</v>
      </c>
      <c r="B301" s="43" t="n">
        <v>45446.4</v>
      </c>
      <c r="C301" s="43" t="n">
        <v>45446.4056712963</v>
      </c>
      <c r="D301" s="42" t="n">
        <f aca="false">INT(C301)</f>
        <v>45446</v>
      </c>
      <c r="E301" s="42" t="n">
        <f aca="false">D301-WEEKDAY(D301,3)</f>
        <v>45446</v>
      </c>
      <c r="F301" s="28" t="s">
        <v>157</v>
      </c>
      <c r="G301" s="28" t="n">
        <v>2024</v>
      </c>
      <c r="H301" s="28" t="s">
        <v>240</v>
      </c>
      <c r="I301" s="28" t="n">
        <v>9</v>
      </c>
      <c r="J301" s="28" t="s">
        <v>233</v>
      </c>
      <c r="K301" s="28" t="s">
        <v>234</v>
      </c>
      <c r="L301" s="28" t="n">
        <v>0.25</v>
      </c>
      <c r="M301" s="31" t="n">
        <v>18609.22</v>
      </c>
      <c r="N301" s="31" t="n">
        <v>18602.48</v>
      </c>
      <c r="O301" s="31" t="n">
        <v>18622.71</v>
      </c>
      <c r="P301" s="44" t="n">
        <f aca="false">ABS(M301-N301)</f>
        <v>6.7400000000016</v>
      </c>
      <c r="Q301" s="44" t="n">
        <f aca="false">IF(O301="","",ABS(O301-M301))</f>
        <v>13.489999999998</v>
      </c>
      <c r="R301" s="30" t="n">
        <f aca="false">P301*L301*Summary!$C$6</f>
        <v>33.700000000008</v>
      </c>
      <c r="S301" s="31" t="n">
        <v>18608.23</v>
      </c>
      <c r="T301" s="28" t="s">
        <v>238</v>
      </c>
      <c r="U301" s="44" t="n">
        <f aca="false">IF(J301="BUY",S301-M301,M301-S301)</f>
        <v>-0.990000000001601</v>
      </c>
      <c r="V301" s="45" t="n">
        <v>0</v>
      </c>
      <c r="W301" s="45" t="n">
        <v>0</v>
      </c>
      <c r="X301" s="45" t="n">
        <v>-4.95</v>
      </c>
      <c r="Y301" s="32" t="n">
        <f aca="false">IFERROR(X301/R301,0)</f>
        <v>-0.146884272996998</v>
      </c>
      <c r="Z301" s="28" t="str">
        <f aca="false">IF(X301&gt;0,"Win",IF(X301&lt;0,"Loss","Flat"))</f>
        <v>Loss</v>
      </c>
      <c r="AA301" s="28" t="n">
        <f aca="false">ROUND((C301-B301)*1440,1)</f>
        <v>8.2</v>
      </c>
      <c r="AB301" s="28" t="str">
        <f aca="false">IF(AA301&lt;1,"a) &lt;1 min",IF(AA301&lt;10,"b) 1-10 min",IF(AA301&lt;60,"c) 10-60 min",IF(AA301&lt;240,"d) 1-4 h","e) 4 h+"))))</f>
        <v>b) 1-10 min</v>
      </c>
      <c r="AC301" s="28" t="str">
        <f aca="false">IF(P301&lt;10,"a) &lt;10",IF(P301&lt;20,"b) 10-20",IF(P301&lt;40,"c) 20-40",IF(P301&lt;80,"d) 40-80","e) 80+"))))</f>
        <v>a) &lt;10</v>
      </c>
      <c r="AD301" s="30" t="n">
        <f aca="false">Summary!$C$5+SUM(X$2:X301)</f>
        <v>105630.48</v>
      </c>
      <c r="AE301" s="30" t="n">
        <f aca="false">MAX(AE300,AD301)</f>
        <v>106588.89</v>
      </c>
      <c r="AF301" s="30" t="n">
        <f aca="false">AE301-AD301</f>
        <v>958.410000000004</v>
      </c>
      <c r="AG301" s="29" t="n">
        <f aca="false">IFERROR(AF301/AE301,0)</f>
        <v>0.00899165006784482</v>
      </c>
    </row>
    <row r="302" customFormat="false" ht="15" hidden="false" customHeight="false" outlineLevel="0" collapsed="false">
      <c r="A302" s="28" t="n">
        <v>301</v>
      </c>
      <c r="B302" s="43" t="n">
        <v>45448.2131944444</v>
      </c>
      <c r="C302" s="43" t="n">
        <v>45448.2460069444</v>
      </c>
      <c r="D302" s="42" t="n">
        <f aca="false">INT(C302)</f>
        <v>45448</v>
      </c>
      <c r="E302" s="42" t="n">
        <f aca="false">D302-WEEKDAY(D302,3)</f>
        <v>45446</v>
      </c>
      <c r="F302" s="28" t="s">
        <v>157</v>
      </c>
      <c r="G302" s="28" t="n">
        <v>2024</v>
      </c>
      <c r="H302" s="28" t="s">
        <v>235</v>
      </c>
      <c r="I302" s="28" t="n">
        <v>5</v>
      </c>
      <c r="J302" s="28" t="s">
        <v>233</v>
      </c>
      <c r="K302" s="28" t="s">
        <v>234</v>
      </c>
      <c r="L302" s="28" t="n">
        <v>0.25</v>
      </c>
      <c r="M302" s="31" t="n">
        <v>18705.42</v>
      </c>
      <c r="N302" s="31" t="n">
        <v>18698.65</v>
      </c>
      <c r="O302" s="31" t="n">
        <v>18718.95</v>
      </c>
      <c r="P302" s="44" t="n">
        <f aca="false">ABS(M302-N302)</f>
        <v>6.7699999999968</v>
      </c>
      <c r="Q302" s="44" t="n">
        <f aca="false">IF(O302="","",ABS(O302-M302))</f>
        <v>13.5300000000025</v>
      </c>
      <c r="R302" s="30" t="n">
        <f aca="false">P302*L302*Summary!$C$6</f>
        <v>33.849999999984</v>
      </c>
      <c r="S302" s="31" t="n">
        <v>18705.42</v>
      </c>
      <c r="T302" s="28" t="s">
        <v>238</v>
      </c>
      <c r="U302" s="44" t="n">
        <f aca="false">IF(J302="BUY",S302-M302,M302-S302)</f>
        <v>0</v>
      </c>
      <c r="V302" s="45" t="n">
        <v>0</v>
      </c>
      <c r="W302" s="45" t="n">
        <v>0</v>
      </c>
      <c r="X302" s="45" t="n">
        <v>0</v>
      </c>
      <c r="Y302" s="32" t="n">
        <f aca="false">IFERROR(X302/R302,0)</f>
        <v>0</v>
      </c>
      <c r="Z302" s="28" t="str">
        <f aca="false">IF(X302&gt;0,"Win",IF(X302&lt;0,"Loss","Flat"))</f>
        <v>Flat</v>
      </c>
      <c r="AA302" s="28" t="n">
        <f aca="false">ROUND((C302-B302)*1440,1)</f>
        <v>47.3</v>
      </c>
      <c r="AB302" s="28" t="str">
        <f aca="false">IF(AA302&lt;1,"a) &lt;1 min",IF(AA302&lt;10,"b) 1-10 min",IF(AA302&lt;60,"c) 10-60 min",IF(AA302&lt;240,"d) 1-4 h","e) 4 h+"))))</f>
        <v>c) 10-60 min</v>
      </c>
      <c r="AC302" s="28" t="str">
        <f aca="false">IF(P302&lt;10,"a) &lt;10",IF(P302&lt;20,"b) 10-20",IF(P302&lt;40,"c) 20-40",IF(P302&lt;80,"d) 40-80","e) 80+"))))</f>
        <v>a) &lt;10</v>
      </c>
      <c r="AD302" s="30" t="n">
        <f aca="false">Summary!$C$5+SUM(X$2:X302)</f>
        <v>105630.48</v>
      </c>
      <c r="AE302" s="30" t="n">
        <f aca="false">MAX(AE301,AD302)</f>
        <v>106588.89</v>
      </c>
      <c r="AF302" s="30" t="n">
        <f aca="false">AE302-AD302</f>
        <v>958.410000000004</v>
      </c>
      <c r="AG302" s="29" t="n">
        <f aca="false">IFERROR(AF302/AE302,0)</f>
        <v>0.00899165006784482</v>
      </c>
    </row>
    <row r="303" customFormat="false" ht="15" hidden="false" customHeight="false" outlineLevel="0" collapsed="false">
      <c r="A303" s="28" t="n">
        <v>302</v>
      </c>
      <c r="B303" s="43" t="n">
        <v>45449.0465856482</v>
      </c>
      <c r="C303" s="43" t="n">
        <v>45449.0868518519</v>
      </c>
      <c r="D303" s="42" t="n">
        <f aca="false">INT(C303)</f>
        <v>45449</v>
      </c>
      <c r="E303" s="42" t="n">
        <f aca="false">D303-WEEKDAY(D303,3)</f>
        <v>45446</v>
      </c>
      <c r="F303" s="28" t="s">
        <v>157</v>
      </c>
      <c r="G303" s="28" t="n">
        <v>2024</v>
      </c>
      <c r="H303" s="28" t="s">
        <v>239</v>
      </c>
      <c r="I303" s="28" t="n">
        <v>1</v>
      </c>
      <c r="J303" s="28" t="s">
        <v>233</v>
      </c>
      <c r="K303" s="28" t="s">
        <v>234</v>
      </c>
      <c r="L303" s="28" t="n">
        <v>0.24</v>
      </c>
      <c r="M303" s="31" t="n">
        <v>19036.71</v>
      </c>
      <c r="N303" s="31" t="n">
        <v>19025.92</v>
      </c>
      <c r="O303" s="31" t="n">
        <v>19058.29</v>
      </c>
      <c r="P303" s="44" t="n">
        <f aca="false">ABS(M303-N303)</f>
        <v>10.7900000000009</v>
      </c>
      <c r="Q303" s="44" t="n">
        <f aca="false">IF(O303="","",ABS(O303-M303))</f>
        <v>21.5800000000017</v>
      </c>
      <c r="R303" s="30" t="n">
        <f aca="false">P303*L303*Summary!$C$6</f>
        <v>51.7920000000042</v>
      </c>
      <c r="S303" s="31" t="n">
        <v>19058.36</v>
      </c>
      <c r="T303" s="28" t="s">
        <v>214</v>
      </c>
      <c r="U303" s="44" t="n">
        <f aca="false">IF(J303="BUY",S303-M303,M303-S303)</f>
        <v>21.6500000000015</v>
      </c>
      <c r="V303" s="45" t="n">
        <v>0</v>
      </c>
      <c r="W303" s="45" t="n">
        <v>0</v>
      </c>
      <c r="X303" s="45" t="n">
        <v>103.92</v>
      </c>
      <c r="Y303" s="32" t="n">
        <f aca="false">IFERROR(X303/R303,0)</f>
        <v>2.00648748841504</v>
      </c>
      <c r="Z303" s="28" t="str">
        <f aca="false">IF(X303&gt;0,"Win",IF(X303&lt;0,"Loss","Flat"))</f>
        <v>Win</v>
      </c>
      <c r="AA303" s="28" t="n">
        <f aca="false">ROUND((C303-B303)*1440,1)</f>
        <v>58</v>
      </c>
      <c r="AB303" s="28" t="str">
        <f aca="false">IF(AA303&lt;1,"a) &lt;1 min",IF(AA303&lt;10,"b) 1-10 min",IF(AA303&lt;60,"c) 10-60 min",IF(AA303&lt;240,"d) 1-4 h","e) 4 h+"))))</f>
        <v>c) 10-60 min</v>
      </c>
      <c r="AC303" s="28" t="str">
        <f aca="false">IF(P303&lt;10,"a) &lt;10",IF(P303&lt;20,"b) 10-20",IF(P303&lt;40,"c) 20-40",IF(P303&lt;80,"d) 40-80","e) 80+"))))</f>
        <v>b) 10-20</v>
      </c>
      <c r="AD303" s="30" t="n">
        <f aca="false">Summary!$C$5+SUM(X$2:X303)</f>
        <v>105734.4</v>
      </c>
      <c r="AE303" s="30" t="n">
        <f aca="false">MAX(AE302,AD303)</f>
        <v>106588.89</v>
      </c>
      <c r="AF303" s="30" t="n">
        <f aca="false">AE303-AD303</f>
        <v>854.490000000005</v>
      </c>
      <c r="AG303" s="29" t="n">
        <f aca="false">IFERROR(AF303/AE303,0)</f>
        <v>0.00801668916901194</v>
      </c>
    </row>
    <row r="304" customFormat="false" ht="15" hidden="false" customHeight="false" outlineLevel="0" collapsed="false">
      <c r="A304" s="28" t="n">
        <v>303</v>
      </c>
      <c r="B304" s="43" t="n">
        <v>45450.6465277778</v>
      </c>
      <c r="C304" s="43" t="n">
        <v>45450.6702546296</v>
      </c>
      <c r="D304" s="42" t="n">
        <f aca="false">INT(C304)</f>
        <v>45450</v>
      </c>
      <c r="E304" s="42" t="n">
        <f aca="false">D304-WEEKDAY(D304,3)</f>
        <v>45446</v>
      </c>
      <c r="F304" s="28" t="s">
        <v>157</v>
      </c>
      <c r="G304" s="28" t="n">
        <v>2024</v>
      </c>
      <c r="H304" s="28" t="s">
        <v>242</v>
      </c>
      <c r="I304" s="28" t="n">
        <v>15</v>
      </c>
      <c r="J304" s="28" t="s">
        <v>236</v>
      </c>
      <c r="K304" s="28" t="s">
        <v>237</v>
      </c>
      <c r="L304" s="28" t="n">
        <v>0.25</v>
      </c>
      <c r="M304" s="31" t="n">
        <v>18969.7</v>
      </c>
      <c r="N304" s="31" t="n">
        <v>19005.77</v>
      </c>
      <c r="O304" s="31" t="n">
        <v>18897.56</v>
      </c>
      <c r="P304" s="44" t="n">
        <f aca="false">ABS(M304-N304)</f>
        <v>36.0699999999997</v>
      </c>
      <c r="Q304" s="44" t="n">
        <f aca="false">IF(O304="","",ABS(O304-M304))</f>
        <v>72.1399999999994</v>
      </c>
      <c r="R304" s="30" t="n">
        <f aca="false">P304*L304*Summary!$C$6</f>
        <v>180.349999999999</v>
      </c>
      <c r="S304" s="31" t="n">
        <v>18970.62</v>
      </c>
      <c r="T304" s="28" t="s">
        <v>238</v>
      </c>
      <c r="U304" s="44" t="n">
        <f aca="false">IF(J304="BUY",S304-M304,M304-S304)</f>
        <v>-0.919999999998254</v>
      </c>
      <c r="V304" s="45" t="n">
        <v>0</v>
      </c>
      <c r="W304" s="45" t="n">
        <v>0</v>
      </c>
      <c r="X304" s="45" t="n">
        <v>-4.6</v>
      </c>
      <c r="Y304" s="32" t="n">
        <f aca="false">IFERROR(X304/R304,0)</f>
        <v>-0.0255059606321044</v>
      </c>
      <c r="Z304" s="28" t="str">
        <f aca="false">IF(X304&gt;0,"Win",IF(X304&lt;0,"Loss","Flat"))</f>
        <v>Loss</v>
      </c>
      <c r="AA304" s="28" t="n">
        <f aca="false">ROUND((C304-B304)*1440,1)</f>
        <v>34.2</v>
      </c>
      <c r="AB304" s="28" t="str">
        <f aca="false">IF(AA304&lt;1,"a) &lt;1 min",IF(AA304&lt;10,"b) 1-10 min",IF(AA304&lt;60,"c) 10-60 min",IF(AA304&lt;240,"d) 1-4 h","e) 4 h+"))))</f>
        <v>c) 10-60 min</v>
      </c>
      <c r="AC304" s="28" t="str">
        <f aca="false">IF(P304&lt;10,"a) &lt;10",IF(P304&lt;20,"b) 10-20",IF(P304&lt;40,"c) 20-40",IF(P304&lt;80,"d) 40-80","e) 80+"))))</f>
        <v>c) 20-40</v>
      </c>
      <c r="AD304" s="30" t="n">
        <f aca="false">Summary!$C$5+SUM(X$2:X304)</f>
        <v>105729.8</v>
      </c>
      <c r="AE304" s="30" t="n">
        <f aca="false">MAX(AE303,AD304)</f>
        <v>106588.89</v>
      </c>
      <c r="AF304" s="30" t="n">
        <f aca="false">AE304-AD304</f>
        <v>859.089999999997</v>
      </c>
      <c r="AG304" s="29" t="n">
        <f aca="false">IFERROR(AF304/AE304,0)</f>
        <v>0.00805984563682009</v>
      </c>
    </row>
    <row r="305" customFormat="false" ht="15" hidden="false" customHeight="false" outlineLevel="0" collapsed="false">
      <c r="A305" s="28" t="n">
        <v>304</v>
      </c>
      <c r="B305" s="43" t="n">
        <v>45450.8131944445</v>
      </c>
      <c r="C305" s="43" t="n">
        <v>45450.8154166667</v>
      </c>
      <c r="D305" s="42" t="n">
        <f aca="false">INT(C305)</f>
        <v>45450</v>
      </c>
      <c r="E305" s="42" t="n">
        <f aca="false">D305-WEEKDAY(D305,3)</f>
        <v>45446</v>
      </c>
      <c r="F305" s="28" t="s">
        <v>157</v>
      </c>
      <c r="G305" s="28" t="n">
        <v>2024</v>
      </c>
      <c r="H305" s="28" t="s">
        <v>242</v>
      </c>
      <c r="I305" s="28" t="n">
        <v>19</v>
      </c>
      <c r="J305" s="28" t="s">
        <v>233</v>
      </c>
      <c r="K305" s="28" t="s">
        <v>234</v>
      </c>
      <c r="L305" s="28" t="n">
        <v>0.24</v>
      </c>
      <c r="M305" s="31" t="n">
        <v>19087.27</v>
      </c>
      <c r="N305" s="31" t="n">
        <v>19072.32</v>
      </c>
      <c r="O305" s="31" t="n">
        <v>19114.59</v>
      </c>
      <c r="P305" s="44" t="n">
        <f aca="false">ABS(M305-N305)</f>
        <v>14.9500000000007</v>
      </c>
      <c r="Q305" s="44" t="n">
        <f aca="false">IF(O305="","",ABS(O305-M305))</f>
        <v>27.3199999999997</v>
      </c>
      <c r="R305" s="30" t="n">
        <f aca="false">P305*L305*Summary!$C$6</f>
        <v>71.7600000000035</v>
      </c>
      <c r="S305" s="31" t="n">
        <v>19071.8</v>
      </c>
      <c r="T305" s="28" t="s">
        <v>241</v>
      </c>
      <c r="U305" s="44" t="n">
        <f aca="false">IF(J305="BUY",S305-M305,M305-S305)</f>
        <v>-15.4700000000012</v>
      </c>
      <c r="V305" s="45" t="n">
        <v>0</v>
      </c>
      <c r="W305" s="45" t="n">
        <v>0</v>
      </c>
      <c r="X305" s="45" t="n">
        <v>-74.26</v>
      </c>
      <c r="Y305" s="32" t="n">
        <f aca="false">IFERROR(X305/R305,0)</f>
        <v>-1.03483835005569</v>
      </c>
      <c r="Z305" s="28" t="str">
        <f aca="false">IF(X305&gt;0,"Win",IF(X305&lt;0,"Loss","Flat"))</f>
        <v>Loss</v>
      </c>
      <c r="AA305" s="28" t="n">
        <f aca="false">ROUND((C305-B305)*1440,1)</f>
        <v>3.2</v>
      </c>
      <c r="AB305" s="28" t="str">
        <f aca="false">IF(AA305&lt;1,"a) &lt;1 min",IF(AA305&lt;10,"b) 1-10 min",IF(AA305&lt;60,"c) 10-60 min",IF(AA305&lt;240,"d) 1-4 h","e) 4 h+"))))</f>
        <v>b) 1-10 min</v>
      </c>
      <c r="AC305" s="28" t="str">
        <f aca="false">IF(P305&lt;10,"a) &lt;10",IF(P305&lt;20,"b) 10-20",IF(P305&lt;40,"c) 20-40",IF(P305&lt;80,"d) 40-80","e) 80+"))))</f>
        <v>b) 10-20</v>
      </c>
      <c r="AD305" s="30" t="n">
        <f aca="false">Summary!$C$5+SUM(X$2:X305)</f>
        <v>105655.54</v>
      </c>
      <c r="AE305" s="30" t="n">
        <f aca="false">MAX(AE304,AD305)</f>
        <v>106588.89</v>
      </c>
      <c r="AF305" s="30" t="n">
        <f aca="false">AE305-AD305</f>
        <v>933.350000000006</v>
      </c>
      <c r="AG305" s="29" t="n">
        <f aca="false">IFERROR(AF305/AE305,0)</f>
        <v>0.00875654113669826</v>
      </c>
    </row>
    <row r="306" customFormat="false" ht="15" hidden="false" customHeight="false" outlineLevel="0" collapsed="false">
      <c r="A306" s="28" t="n">
        <v>305</v>
      </c>
      <c r="B306" s="43" t="n">
        <v>45454.7451388889</v>
      </c>
      <c r="C306" s="43" t="n">
        <v>45454.7557291667</v>
      </c>
      <c r="D306" s="42" t="n">
        <f aca="false">INT(C306)</f>
        <v>45454</v>
      </c>
      <c r="E306" s="42" t="n">
        <f aca="false">D306-WEEKDAY(D306,3)</f>
        <v>45453</v>
      </c>
      <c r="F306" s="28" t="s">
        <v>157</v>
      </c>
      <c r="G306" s="28" t="n">
        <v>2024</v>
      </c>
      <c r="H306" s="28" t="s">
        <v>232</v>
      </c>
      <c r="I306" s="28" t="n">
        <v>17</v>
      </c>
      <c r="J306" s="28" t="s">
        <v>233</v>
      </c>
      <c r="K306" s="28" t="s">
        <v>234</v>
      </c>
      <c r="L306" s="28" t="n">
        <v>0.24</v>
      </c>
      <c r="M306" s="31" t="n">
        <v>19095.02</v>
      </c>
      <c r="N306" s="31" t="n">
        <v>19078.71</v>
      </c>
      <c r="O306" s="31" t="n">
        <v>19127.65</v>
      </c>
      <c r="P306" s="44" t="n">
        <f aca="false">ABS(M306-N306)</f>
        <v>16.3100000000013</v>
      </c>
      <c r="Q306" s="44" t="n">
        <f aca="false">IF(O306="","",ABS(O306-M306))</f>
        <v>32.630000000001</v>
      </c>
      <c r="R306" s="30" t="n">
        <f aca="false">P306*L306*Summary!$C$6</f>
        <v>78.2880000000063</v>
      </c>
      <c r="S306" s="31" t="n">
        <v>19078.71</v>
      </c>
      <c r="T306" s="28" t="s">
        <v>241</v>
      </c>
      <c r="U306" s="44" t="n">
        <f aca="false">IF(J306="BUY",S306-M306,M306-S306)</f>
        <v>-16.3100000000013</v>
      </c>
      <c r="V306" s="45" t="n">
        <v>0</v>
      </c>
      <c r="W306" s="45" t="n">
        <v>0</v>
      </c>
      <c r="X306" s="45" t="n">
        <v>-78.29</v>
      </c>
      <c r="Y306" s="32" t="n">
        <f aca="false">IFERROR(X306/R306,0)</f>
        <v>-1.00002554669929</v>
      </c>
      <c r="Z306" s="28" t="str">
        <f aca="false">IF(X306&gt;0,"Win",IF(X306&lt;0,"Loss","Flat"))</f>
        <v>Loss</v>
      </c>
      <c r="AA306" s="28" t="n">
        <f aca="false">ROUND((C306-B306)*1440,1)</f>
        <v>15.3</v>
      </c>
      <c r="AB306" s="28" t="str">
        <f aca="false">IF(AA306&lt;1,"a) &lt;1 min",IF(AA306&lt;10,"b) 1-10 min",IF(AA306&lt;60,"c) 10-60 min",IF(AA306&lt;240,"d) 1-4 h","e) 4 h+"))))</f>
        <v>c) 10-60 min</v>
      </c>
      <c r="AC306" s="28" t="str">
        <f aca="false">IF(P306&lt;10,"a) &lt;10",IF(P306&lt;20,"b) 10-20",IF(P306&lt;40,"c) 20-40",IF(P306&lt;80,"d) 40-80","e) 80+"))))</f>
        <v>b) 10-20</v>
      </c>
      <c r="AD306" s="30" t="n">
        <f aca="false">Summary!$C$5+SUM(X$2:X306)</f>
        <v>105577.25</v>
      </c>
      <c r="AE306" s="30" t="n">
        <f aca="false">MAX(AE305,AD306)</f>
        <v>106588.89</v>
      </c>
      <c r="AF306" s="30" t="n">
        <f aca="false">AE306-AD306</f>
        <v>1011.64</v>
      </c>
      <c r="AG306" s="29" t="n">
        <f aca="false">IFERROR(AF306/AE306,0)</f>
        <v>0.00949104545511263</v>
      </c>
    </row>
    <row r="307" customFormat="false" ht="15" hidden="false" customHeight="false" outlineLevel="0" collapsed="false">
      <c r="A307" s="28" t="n">
        <v>306</v>
      </c>
      <c r="B307" s="43" t="n">
        <v>45455.0819444444</v>
      </c>
      <c r="C307" s="43" t="n">
        <v>45455.0865393519</v>
      </c>
      <c r="D307" s="42" t="n">
        <f aca="false">INT(C307)</f>
        <v>45455</v>
      </c>
      <c r="E307" s="42" t="n">
        <f aca="false">D307-WEEKDAY(D307,3)</f>
        <v>45453</v>
      </c>
      <c r="F307" s="28" t="s">
        <v>157</v>
      </c>
      <c r="G307" s="28" t="n">
        <v>2024</v>
      </c>
      <c r="H307" s="28" t="s">
        <v>235</v>
      </c>
      <c r="I307" s="28" t="n">
        <v>1</v>
      </c>
      <c r="J307" s="28" t="s">
        <v>233</v>
      </c>
      <c r="K307" s="28" t="s">
        <v>234</v>
      </c>
      <c r="L307" s="28" t="n">
        <v>0.24</v>
      </c>
      <c r="M307" s="31" t="n">
        <v>19226.6</v>
      </c>
      <c r="N307" s="31" t="n">
        <v>19222.88</v>
      </c>
      <c r="O307" s="31" t="n">
        <v>19234.04</v>
      </c>
      <c r="P307" s="44" t="n">
        <f aca="false">ABS(M307-N307)</f>
        <v>3.71999999999753</v>
      </c>
      <c r="Q307" s="44" t="n">
        <f aca="false">IF(O307="","",ABS(O307-M307))</f>
        <v>7.44000000000233</v>
      </c>
      <c r="R307" s="30" t="n">
        <f aca="false">P307*L307*Summary!$C$6</f>
        <v>17.8559999999881</v>
      </c>
      <c r="S307" s="31" t="n">
        <v>19234.41</v>
      </c>
      <c r="T307" s="28" t="s">
        <v>214</v>
      </c>
      <c r="U307" s="44" t="n">
        <f aca="false">IF(J307="BUY",S307-M307,M307-S307)</f>
        <v>7.81000000000131</v>
      </c>
      <c r="V307" s="45" t="n">
        <v>0</v>
      </c>
      <c r="W307" s="45" t="n">
        <v>0</v>
      </c>
      <c r="X307" s="45" t="n">
        <v>37.49</v>
      </c>
      <c r="Y307" s="32" t="n">
        <f aca="false">IFERROR(X307/R307,0)</f>
        <v>2.09957437276125</v>
      </c>
      <c r="Z307" s="28" t="str">
        <f aca="false">IF(X307&gt;0,"Win",IF(X307&lt;0,"Loss","Flat"))</f>
        <v>Win</v>
      </c>
      <c r="AA307" s="28" t="n">
        <f aca="false">ROUND((C307-B307)*1440,1)</f>
        <v>6.6</v>
      </c>
      <c r="AB307" s="28" t="str">
        <f aca="false">IF(AA307&lt;1,"a) &lt;1 min",IF(AA307&lt;10,"b) 1-10 min",IF(AA307&lt;60,"c) 10-60 min",IF(AA307&lt;240,"d) 1-4 h","e) 4 h+"))))</f>
        <v>b) 1-10 min</v>
      </c>
      <c r="AC307" s="28" t="str">
        <f aca="false">IF(P307&lt;10,"a) &lt;10",IF(P307&lt;20,"b) 10-20",IF(P307&lt;40,"c) 20-40",IF(P307&lt;80,"d) 40-80","e) 80+"))))</f>
        <v>a) &lt;10</v>
      </c>
      <c r="AD307" s="30" t="n">
        <f aca="false">Summary!$C$5+SUM(X$2:X307)</f>
        <v>105614.74</v>
      </c>
      <c r="AE307" s="30" t="n">
        <f aca="false">MAX(AE306,AD307)</f>
        <v>106588.89</v>
      </c>
      <c r="AF307" s="30" t="n">
        <f aca="false">AE307-AD307</f>
        <v>974.149999999994</v>
      </c>
      <c r="AG307" s="29" t="n">
        <f aca="false">IFERROR(AF307/AE307,0)</f>
        <v>0.0091393202424755</v>
      </c>
    </row>
    <row r="308" customFormat="false" ht="15" hidden="false" customHeight="false" outlineLevel="0" collapsed="false">
      <c r="A308" s="28" t="n">
        <v>307</v>
      </c>
      <c r="B308" s="43" t="n">
        <v>45456.0479398148</v>
      </c>
      <c r="C308" s="43" t="n">
        <v>45456.4269444444</v>
      </c>
      <c r="D308" s="42" t="n">
        <f aca="false">INT(C308)</f>
        <v>45456</v>
      </c>
      <c r="E308" s="42" t="n">
        <f aca="false">D308-WEEKDAY(D308,3)</f>
        <v>45453</v>
      </c>
      <c r="F308" s="28" t="s">
        <v>157</v>
      </c>
      <c r="G308" s="28" t="n">
        <v>2024</v>
      </c>
      <c r="H308" s="28" t="s">
        <v>239</v>
      </c>
      <c r="I308" s="28" t="n">
        <v>1</v>
      </c>
      <c r="J308" s="28" t="s">
        <v>233</v>
      </c>
      <c r="K308" s="28" t="s">
        <v>234</v>
      </c>
      <c r="L308" s="28" t="n">
        <v>0.24</v>
      </c>
      <c r="M308" s="31" t="n">
        <v>19565.26</v>
      </c>
      <c r="N308" s="31" t="n">
        <v>19530.74</v>
      </c>
      <c r="O308" s="31" t="n">
        <v>19634.3</v>
      </c>
      <c r="P308" s="44" t="n">
        <f aca="false">ABS(M308-N308)</f>
        <v>34.5199999999968</v>
      </c>
      <c r="Q308" s="44" t="n">
        <f aca="false">IF(O308="","",ABS(O308-M308))</f>
        <v>69.0400000000009</v>
      </c>
      <c r="R308" s="30" t="n">
        <f aca="false">P308*L308*Summary!$C$6</f>
        <v>165.695999999985</v>
      </c>
      <c r="S308" s="31" t="n">
        <v>19634.68</v>
      </c>
      <c r="T308" s="28" t="s">
        <v>214</v>
      </c>
      <c r="U308" s="44" t="n">
        <f aca="false">IF(J308="BUY",S308-M308,M308-S308)</f>
        <v>69.4200000000019</v>
      </c>
      <c r="V308" s="45" t="n">
        <v>0</v>
      </c>
      <c r="W308" s="45" t="n">
        <v>0</v>
      </c>
      <c r="X308" s="45" t="n">
        <v>333.22</v>
      </c>
      <c r="Y308" s="32" t="n">
        <f aca="false">IFERROR(X308/R308,0)</f>
        <v>2.01103225183487</v>
      </c>
      <c r="Z308" s="28" t="str">
        <f aca="false">IF(X308&gt;0,"Win",IF(X308&lt;0,"Loss","Flat"))</f>
        <v>Win</v>
      </c>
      <c r="AA308" s="28" t="n">
        <f aca="false">ROUND((C308-B308)*1440,1)</f>
        <v>545.8</v>
      </c>
      <c r="AB308" s="28" t="str">
        <f aca="false">IF(AA308&lt;1,"a) &lt;1 min",IF(AA308&lt;10,"b) 1-10 min",IF(AA308&lt;60,"c) 10-60 min",IF(AA308&lt;240,"d) 1-4 h","e) 4 h+"))))</f>
        <v>e) 4 h+</v>
      </c>
      <c r="AC308" s="28" t="str">
        <f aca="false">IF(P308&lt;10,"a) &lt;10",IF(P308&lt;20,"b) 10-20",IF(P308&lt;40,"c) 20-40",IF(P308&lt;80,"d) 40-80","e) 80+"))))</f>
        <v>c) 20-40</v>
      </c>
      <c r="AD308" s="30" t="n">
        <f aca="false">Summary!$C$5+SUM(X$2:X308)</f>
        <v>105947.96</v>
      </c>
      <c r="AE308" s="30" t="n">
        <f aca="false">MAX(AE307,AD308)</f>
        <v>106588.89</v>
      </c>
      <c r="AF308" s="30" t="n">
        <f aca="false">AE308-AD308</f>
        <v>640.929999999993</v>
      </c>
      <c r="AG308" s="29" t="n">
        <f aca="false">IFERROR(AF308/AE308,0)</f>
        <v>0.0060131032418106</v>
      </c>
    </row>
    <row r="309" customFormat="false" ht="15" hidden="false" customHeight="false" outlineLevel="0" collapsed="false">
      <c r="A309" s="28" t="n">
        <v>308</v>
      </c>
      <c r="B309" s="43" t="n">
        <v>45457.9583333333</v>
      </c>
      <c r="C309" s="43" t="n">
        <v>45460.0650694444</v>
      </c>
      <c r="D309" s="42" t="n">
        <f aca="false">INT(C309)</f>
        <v>45460</v>
      </c>
      <c r="E309" s="42" t="n">
        <f aca="false">D309-WEEKDAY(D309,3)</f>
        <v>45460</v>
      </c>
      <c r="F309" s="28" t="s">
        <v>157</v>
      </c>
      <c r="G309" s="28" t="n">
        <v>2024</v>
      </c>
      <c r="H309" s="28" t="s">
        <v>242</v>
      </c>
      <c r="I309" s="28" t="n">
        <v>23</v>
      </c>
      <c r="J309" s="28" t="s">
        <v>233</v>
      </c>
      <c r="K309" s="28" t="s">
        <v>234</v>
      </c>
      <c r="L309" s="28" t="n">
        <v>0.24</v>
      </c>
      <c r="M309" s="31" t="n">
        <v>19666.9</v>
      </c>
      <c r="N309" s="31" t="n">
        <v>19651.7</v>
      </c>
      <c r="O309" s="31" t="n">
        <v>19697.29</v>
      </c>
      <c r="P309" s="44" t="n">
        <f aca="false">ABS(M309-N309)</f>
        <v>15.2000000000007</v>
      </c>
      <c r="Q309" s="44" t="n">
        <f aca="false">IF(O309="","",ABS(O309-M309))</f>
        <v>30.3899999999994</v>
      </c>
      <c r="R309" s="30" t="n">
        <f aca="false">P309*L309*Summary!$C$6</f>
        <v>72.9600000000035</v>
      </c>
      <c r="S309" s="31" t="n">
        <v>19699.1</v>
      </c>
      <c r="T309" s="28" t="s">
        <v>214</v>
      </c>
      <c r="U309" s="44" t="n">
        <f aca="false">IF(J309="BUY",S309-M309,M309-S309)</f>
        <v>32.1999999999971</v>
      </c>
      <c r="V309" s="45" t="n">
        <v>0</v>
      </c>
      <c r="W309" s="45" t="n">
        <v>-57.66</v>
      </c>
      <c r="X309" s="45" t="n">
        <v>96.9</v>
      </c>
      <c r="Y309" s="32" t="n">
        <f aca="false">IFERROR(X309/R309,0)</f>
        <v>1.32812499999994</v>
      </c>
      <c r="Z309" s="28" t="str">
        <f aca="false">IF(X309&gt;0,"Win",IF(X309&lt;0,"Loss","Flat"))</f>
        <v>Win</v>
      </c>
      <c r="AA309" s="28" t="n">
        <f aca="false">ROUND((C309-B309)*1440,1)</f>
        <v>3033.7</v>
      </c>
      <c r="AB309" s="28" t="str">
        <f aca="false">IF(AA309&lt;1,"a) &lt;1 min",IF(AA309&lt;10,"b) 1-10 min",IF(AA309&lt;60,"c) 10-60 min",IF(AA309&lt;240,"d) 1-4 h","e) 4 h+"))))</f>
        <v>e) 4 h+</v>
      </c>
      <c r="AC309" s="28" t="str">
        <f aca="false">IF(P309&lt;10,"a) &lt;10",IF(P309&lt;20,"b) 10-20",IF(P309&lt;40,"c) 20-40",IF(P309&lt;80,"d) 40-80","e) 80+"))))</f>
        <v>b) 10-20</v>
      </c>
      <c r="AD309" s="30" t="n">
        <f aca="false">Summary!$C$5+SUM(X$2:X309)</f>
        <v>106044.86</v>
      </c>
      <c r="AE309" s="30" t="n">
        <f aca="false">MAX(AE308,AD309)</f>
        <v>106588.89</v>
      </c>
      <c r="AF309" s="30" t="n">
        <f aca="false">AE309-AD309</f>
        <v>544.029999999999</v>
      </c>
      <c r="AG309" s="29" t="n">
        <f aca="false">IFERROR(AF309/AE309,0)</f>
        <v>0.00510400286558945</v>
      </c>
    </row>
    <row r="310" customFormat="false" ht="15" hidden="false" customHeight="false" outlineLevel="0" collapsed="false">
      <c r="A310" s="28" t="n">
        <v>309</v>
      </c>
      <c r="B310" s="43" t="n">
        <v>45463.1597222222</v>
      </c>
      <c r="C310" s="43" t="n">
        <v>45463.165787037</v>
      </c>
      <c r="D310" s="42" t="n">
        <f aca="false">INT(C310)</f>
        <v>45463</v>
      </c>
      <c r="E310" s="42" t="n">
        <f aca="false">D310-WEEKDAY(D310,3)</f>
        <v>45460</v>
      </c>
      <c r="F310" s="28" t="s">
        <v>157</v>
      </c>
      <c r="G310" s="28" t="n">
        <v>2024</v>
      </c>
      <c r="H310" s="28" t="s">
        <v>239</v>
      </c>
      <c r="I310" s="28" t="n">
        <v>3</v>
      </c>
      <c r="J310" s="28" t="s">
        <v>233</v>
      </c>
      <c r="K310" s="28" t="s">
        <v>234</v>
      </c>
      <c r="L310" s="28" t="n">
        <v>0.23</v>
      </c>
      <c r="M310" s="31" t="n">
        <v>19964.02</v>
      </c>
      <c r="N310" s="31" t="n">
        <v>19960.96</v>
      </c>
      <c r="O310" s="31" t="n">
        <v>19970.14</v>
      </c>
      <c r="P310" s="44" t="n">
        <f aca="false">ABS(M310-N310)</f>
        <v>3.06000000000131</v>
      </c>
      <c r="Q310" s="44" t="n">
        <f aca="false">IF(O310="","",ABS(O310-M310))</f>
        <v>6.11999999999898</v>
      </c>
      <c r="R310" s="30" t="n">
        <f aca="false">P310*L310*Summary!$C$6</f>
        <v>14.076000000006</v>
      </c>
      <c r="S310" s="31" t="n">
        <v>19963.52</v>
      </c>
      <c r="T310" s="28" t="s">
        <v>238</v>
      </c>
      <c r="U310" s="44" t="n">
        <f aca="false">IF(J310="BUY",S310-M310,M310-S310)</f>
        <v>-0.5</v>
      </c>
      <c r="V310" s="45" t="n">
        <v>0</v>
      </c>
      <c r="W310" s="45" t="n">
        <v>0</v>
      </c>
      <c r="X310" s="45" t="n">
        <v>-2.3</v>
      </c>
      <c r="Y310" s="32" t="n">
        <f aca="false">IFERROR(X310/R310,0)</f>
        <v>-0.163398692810388</v>
      </c>
      <c r="Z310" s="28" t="str">
        <f aca="false">IF(X310&gt;0,"Win",IF(X310&lt;0,"Loss","Flat"))</f>
        <v>Loss</v>
      </c>
      <c r="AA310" s="28" t="n">
        <f aca="false">ROUND((C310-B310)*1440,1)</f>
        <v>8.7</v>
      </c>
      <c r="AB310" s="28" t="str">
        <f aca="false">IF(AA310&lt;1,"a) &lt;1 min",IF(AA310&lt;10,"b) 1-10 min",IF(AA310&lt;60,"c) 10-60 min",IF(AA310&lt;240,"d) 1-4 h","e) 4 h+"))))</f>
        <v>b) 1-10 min</v>
      </c>
      <c r="AC310" s="28" t="str">
        <f aca="false">IF(P310&lt;10,"a) &lt;10",IF(P310&lt;20,"b) 10-20",IF(P310&lt;40,"c) 20-40",IF(P310&lt;80,"d) 40-80","e) 80+"))))</f>
        <v>a) &lt;10</v>
      </c>
      <c r="AD310" s="30" t="n">
        <f aca="false">Summary!$C$5+SUM(X$2:X310)</f>
        <v>106042.56</v>
      </c>
      <c r="AE310" s="30" t="n">
        <f aca="false">MAX(AE309,AD310)</f>
        <v>106588.89</v>
      </c>
      <c r="AF310" s="30" t="n">
        <f aca="false">AE310-AD310</f>
        <v>546.330000000002</v>
      </c>
      <c r="AG310" s="29" t="n">
        <f aca="false">IFERROR(AF310/AE310,0)</f>
        <v>0.00512558109949359</v>
      </c>
    </row>
    <row r="311" customFormat="false" ht="15" hidden="false" customHeight="false" outlineLevel="0" collapsed="false">
      <c r="A311" s="28" t="n">
        <v>310</v>
      </c>
      <c r="B311" s="43" t="n">
        <v>45463.6909722222</v>
      </c>
      <c r="C311" s="43" t="n">
        <v>45463.6933564815</v>
      </c>
      <c r="D311" s="42" t="n">
        <f aca="false">INT(C311)</f>
        <v>45463</v>
      </c>
      <c r="E311" s="42" t="n">
        <f aca="false">D311-WEEKDAY(D311,3)</f>
        <v>45460</v>
      </c>
      <c r="F311" s="28" t="s">
        <v>157</v>
      </c>
      <c r="G311" s="28" t="n">
        <v>2024</v>
      </c>
      <c r="H311" s="28" t="s">
        <v>239</v>
      </c>
      <c r="I311" s="28" t="n">
        <v>16</v>
      </c>
      <c r="J311" s="28" t="s">
        <v>236</v>
      </c>
      <c r="K311" s="28" t="s">
        <v>237</v>
      </c>
      <c r="L311" s="28" t="n">
        <v>0.23</v>
      </c>
      <c r="M311" s="31" t="n">
        <v>19916.4</v>
      </c>
      <c r="N311" s="31" t="n">
        <v>19941.03</v>
      </c>
      <c r="O311" s="31" t="n">
        <v>19868.77</v>
      </c>
      <c r="P311" s="44" t="n">
        <f aca="false">ABS(M311-N311)</f>
        <v>24.6299999999974</v>
      </c>
      <c r="Q311" s="44" t="n">
        <f aca="false">IF(O311="","",ABS(O311-M311))</f>
        <v>47.630000000001</v>
      </c>
      <c r="R311" s="30" t="n">
        <f aca="false">P311*L311*Summary!$C$6</f>
        <v>113.297999999988</v>
      </c>
      <c r="S311" s="31" t="n">
        <v>19941.52</v>
      </c>
      <c r="T311" s="28" t="s">
        <v>241</v>
      </c>
      <c r="U311" s="44" t="n">
        <f aca="false">IF(J311="BUY",S311-M311,M311-S311)</f>
        <v>-25.119999999999</v>
      </c>
      <c r="V311" s="45" t="n">
        <v>0</v>
      </c>
      <c r="W311" s="45" t="n">
        <v>0</v>
      </c>
      <c r="X311" s="45" t="n">
        <v>-115.55</v>
      </c>
      <c r="Y311" s="32" t="n">
        <f aca="false">IFERROR(X311/R311,0)</f>
        <v>-1.01987678511547</v>
      </c>
      <c r="Z311" s="28" t="str">
        <f aca="false">IF(X311&gt;0,"Win",IF(X311&lt;0,"Loss","Flat"))</f>
        <v>Loss</v>
      </c>
      <c r="AA311" s="28" t="n">
        <f aca="false">ROUND((C311-B311)*1440,1)</f>
        <v>3.4</v>
      </c>
      <c r="AB311" s="28" t="str">
        <f aca="false">IF(AA311&lt;1,"a) &lt;1 min",IF(AA311&lt;10,"b) 1-10 min",IF(AA311&lt;60,"c) 10-60 min",IF(AA311&lt;240,"d) 1-4 h","e) 4 h+"))))</f>
        <v>b) 1-10 min</v>
      </c>
      <c r="AC311" s="28" t="str">
        <f aca="false">IF(P311&lt;10,"a) &lt;10",IF(P311&lt;20,"b) 10-20",IF(P311&lt;40,"c) 20-40",IF(P311&lt;80,"d) 40-80","e) 80+"))))</f>
        <v>c) 20-40</v>
      </c>
      <c r="AD311" s="30" t="n">
        <f aca="false">Summary!$C$5+SUM(X$2:X311)</f>
        <v>105927.01</v>
      </c>
      <c r="AE311" s="30" t="n">
        <f aca="false">MAX(AE310,AD311)</f>
        <v>106588.89</v>
      </c>
      <c r="AF311" s="30" t="n">
        <f aca="false">AE311-AD311</f>
        <v>661.880000000005</v>
      </c>
      <c r="AG311" s="29" t="n">
        <f aca="false">IFERROR(AF311/AE311,0)</f>
        <v>0.00620965280715471</v>
      </c>
    </row>
    <row r="312" customFormat="false" ht="15" hidden="false" customHeight="false" outlineLevel="0" collapsed="false">
      <c r="A312" s="28" t="n">
        <v>311</v>
      </c>
      <c r="B312" s="43" t="n">
        <v>45464.4868055556</v>
      </c>
      <c r="C312" s="43" t="n">
        <v>45464.4881134259</v>
      </c>
      <c r="D312" s="42" t="n">
        <f aca="false">INT(C312)</f>
        <v>45464</v>
      </c>
      <c r="E312" s="42" t="n">
        <f aca="false">D312-WEEKDAY(D312,3)</f>
        <v>45460</v>
      </c>
      <c r="F312" s="28" t="s">
        <v>157</v>
      </c>
      <c r="G312" s="28" t="n">
        <v>2024</v>
      </c>
      <c r="H312" s="28" t="s">
        <v>242</v>
      </c>
      <c r="I312" s="28" t="n">
        <v>11</v>
      </c>
      <c r="J312" s="28" t="s">
        <v>236</v>
      </c>
      <c r="K312" s="28" t="s">
        <v>237</v>
      </c>
      <c r="L312" s="28" t="n">
        <v>0.24</v>
      </c>
      <c r="M312" s="31" t="n">
        <v>19676.64</v>
      </c>
      <c r="N312" s="31" t="n">
        <v>19691.08</v>
      </c>
      <c r="O312" s="31" t="n">
        <v>19647.76</v>
      </c>
      <c r="P312" s="44" t="n">
        <f aca="false">ABS(M312-N312)</f>
        <v>14.4400000000023</v>
      </c>
      <c r="Q312" s="44" t="n">
        <f aca="false">IF(O312="","",ABS(O312-M312))</f>
        <v>28.880000000001</v>
      </c>
      <c r="R312" s="30" t="n">
        <f aca="false">P312*L312*Summary!$C$6</f>
        <v>69.3120000000112</v>
      </c>
      <c r="S312" s="31" t="n">
        <v>19691.19</v>
      </c>
      <c r="T312" s="28" t="s">
        <v>241</v>
      </c>
      <c r="U312" s="44" t="n">
        <f aca="false">IF(J312="BUY",S312-M312,M312-S312)</f>
        <v>-14.5499999999993</v>
      </c>
      <c r="V312" s="45" t="n">
        <v>0</v>
      </c>
      <c r="W312" s="45" t="n">
        <v>0</v>
      </c>
      <c r="X312" s="45" t="n">
        <v>-69.84</v>
      </c>
      <c r="Y312" s="32" t="n">
        <f aca="false">IFERROR(X312/R312,0)</f>
        <v>-1.00761772853169</v>
      </c>
      <c r="Z312" s="28" t="str">
        <f aca="false">IF(X312&gt;0,"Win",IF(X312&lt;0,"Loss","Flat"))</f>
        <v>Loss</v>
      </c>
      <c r="AA312" s="28" t="n">
        <f aca="false">ROUND((C312-B312)*1440,1)</f>
        <v>1.9</v>
      </c>
      <c r="AB312" s="28" t="str">
        <f aca="false">IF(AA312&lt;1,"a) &lt;1 min",IF(AA312&lt;10,"b) 1-10 min",IF(AA312&lt;60,"c) 10-60 min",IF(AA312&lt;240,"d) 1-4 h","e) 4 h+"))))</f>
        <v>b) 1-10 min</v>
      </c>
      <c r="AC312" s="28" t="str">
        <f aca="false">IF(P312&lt;10,"a) &lt;10",IF(P312&lt;20,"b) 10-20",IF(P312&lt;40,"c) 20-40",IF(P312&lt;80,"d) 40-80","e) 80+"))))</f>
        <v>b) 10-20</v>
      </c>
      <c r="AD312" s="30" t="n">
        <f aca="false">Summary!$C$5+SUM(X$2:X312)</f>
        <v>105857.17</v>
      </c>
      <c r="AE312" s="30" t="n">
        <f aca="false">MAX(AE311,AD312)</f>
        <v>106588.89</v>
      </c>
      <c r="AF312" s="30" t="n">
        <f aca="false">AE312-AD312</f>
        <v>731.720000000001</v>
      </c>
      <c r="AG312" s="29" t="n">
        <f aca="false">IFERROR(AF312/AE312,0)</f>
        <v>0.00686488057057355</v>
      </c>
    </row>
    <row r="313" customFormat="false" ht="15" hidden="false" customHeight="false" outlineLevel="0" collapsed="false">
      <c r="A313" s="28" t="n">
        <v>312</v>
      </c>
      <c r="B313" s="43" t="n">
        <v>45467.6736111111</v>
      </c>
      <c r="C313" s="43" t="n">
        <v>45467.6809490741</v>
      </c>
      <c r="D313" s="42" t="n">
        <f aca="false">INT(C313)</f>
        <v>45467</v>
      </c>
      <c r="E313" s="42" t="n">
        <f aca="false">D313-WEEKDAY(D313,3)</f>
        <v>45467</v>
      </c>
      <c r="F313" s="28" t="s">
        <v>157</v>
      </c>
      <c r="G313" s="28" t="n">
        <v>2024</v>
      </c>
      <c r="H313" s="28" t="s">
        <v>240</v>
      </c>
      <c r="I313" s="28" t="n">
        <v>16</v>
      </c>
      <c r="J313" s="28" t="s">
        <v>236</v>
      </c>
      <c r="K313" s="28" t="s">
        <v>237</v>
      </c>
      <c r="L313" s="28" t="n">
        <v>0.24</v>
      </c>
      <c r="M313" s="31" t="n">
        <v>19640.53</v>
      </c>
      <c r="N313" s="31" t="n">
        <v>19654.41</v>
      </c>
      <c r="O313" s="31" t="n">
        <v>19612.77</v>
      </c>
      <c r="P313" s="44" t="n">
        <f aca="false">ABS(M313-N313)</f>
        <v>13.880000000001</v>
      </c>
      <c r="Q313" s="44" t="n">
        <f aca="false">IF(O313="","",ABS(O313-M313))</f>
        <v>27.7599999999984</v>
      </c>
      <c r="R313" s="30" t="n">
        <f aca="false">P313*L313*Summary!$C$6</f>
        <v>66.6240000000049</v>
      </c>
      <c r="S313" s="31" t="n">
        <v>19640.55</v>
      </c>
      <c r="T313" s="28" t="s">
        <v>238</v>
      </c>
      <c r="U313" s="44" t="n">
        <f aca="false">IF(J313="BUY",S313-M313,M313-S313)</f>
        <v>-0.0200000000004366</v>
      </c>
      <c r="V313" s="45" t="n">
        <v>0</v>
      </c>
      <c r="W313" s="45" t="n">
        <v>0</v>
      </c>
      <c r="X313" s="45" t="n">
        <v>-0.1</v>
      </c>
      <c r="Y313" s="32" t="n">
        <f aca="false">IFERROR(X313/R313,0)</f>
        <v>-0.00150096061479336</v>
      </c>
      <c r="Z313" s="28" t="str">
        <f aca="false">IF(X313&gt;0,"Win",IF(X313&lt;0,"Loss","Flat"))</f>
        <v>Loss</v>
      </c>
      <c r="AA313" s="28" t="n">
        <f aca="false">ROUND((C313-B313)*1440,1)</f>
        <v>10.6</v>
      </c>
      <c r="AB313" s="28" t="str">
        <f aca="false">IF(AA313&lt;1,"a) &lt;1 min",IF(AA313&lt;10,"b) 1-10 min",IF(AA313&lt;60,"c) 10-60 min",IF(AA313&lt;240,"d) 1-4 h","e) 4 h+"))))</f>
        <v>c) 10-60 min</v>
      </c>
      <c r="AC313" s="28" t="str">
        <f aca="false">IF(P313&lt;10,"a) &lt;10",IF(P313&lt;20,"b) 10-20",IF(P313&lt;40,"c) 20-40",IF(P313&lt;80,"d) 40-80","e) 80+"))))</f>
        <v>b) 10-20</v>
      </c>
      <c r="AD313" s="30" t="n">
        <f aca="false">Summary!$C$5+SUM(X$2:X313)</f>
        <v>105857.07</v>
      </c>
      <c r="AE313" s="30" t="n">
        <f aca="false">MAX(AE312,AD313)</f>
        <v>106588.89</v>
      </c>
      <c r="AF313" s="30" t="n">
        <f aca="false">AE313-AD313</f>
        <v>731.819999999992</v>
      </c>
      <c r="AG313" s="29" t="n">
        <f aca="false">IFERROR(AF313/AE313,0)</f>
        <v>0.00686581875465625</v>
      </c>
    </row>
    <row r="314" customFormat="false" ht="15" hidden="false" customHeight="false" outlineLevel="0" collapsed="false">
      <c r="A314" s="28" t="n">
        <v>313</v>
      </c>
      <c r="B314" s="43" t="n">
        <v>45469.0472453704</v>
      </c>
      <c r="C314" s="43" t="n">
        <v>45469.0658333333</v>
      </c>
      <c r="D314" s="42" t="n">
        <f aca="false">INT(C314)</f>
        <v>45469</v>
      </c>
      <c r="E314" s="42" t="n">
        <f aca="false">D314-WEEKDAY(D314,3)</f>
        <v>45467</v>
      </c>
      <c r="F314" s="28" t="s">
        <v>157</v>
      </c>
      <c r="G314" s="28" t="n">
        <v>2024</v>
      </c>
      <c r="H314" s="28" t="s">
        <v>235</v>
      </c>
      <c r="I314" s="28" t="n">
        <v>1</v>
      </c>
      <c r="J314" s="28" t="s">
        <v>233</v>
      </c>
      <c r="K314" s="28" t="s">
        <v>234</v>
      </c>
      <c r="L314" s="28" t="n">
        <v>0.24</v>
      </c>
      <c r="M314" s="31" t="n">
        <v>19716.69</v>
      </c>
      <c r="N314" s="31" t="n">
        <v>19706.98</v>
      </c>
      <c r="O314" s="31" t="n">
        <v>19736.11</v>
      </c>
      <c r="P314" s="44" t="n">
        <f aca="false">ABS(M314-N314)</f>
        <v>9.70999999999913</v>
      </c>
      <c r="Q314" s="44" t="n">
        <f aca="false">IF(O314="","",ABS(O314-M314))</f>
        <v>19.4200000000019</v>
      </c>
      <c r="R314" s="30" t="n">
        <f aca="false">P314*L314*Summary!$C$6</f>
        <v>46.6079999999958</v>
      </c>
      <c r="S314" s="31" t="n">
        <v>19706.89</v>
      </c>
      <c r="T314" s="28" t="s">
        <v>241</v>
      </c>
      <c r="U314" s="44" t="n">
        <f aca="false">IF(J314="BUY",S314-M314,M314-S314)</f>
        <v>-9.79999999999927</v>
      </c>
      <c r="V314" s="45" t="n">
        <v>0</v>
      </c>
      <c r="W314" s="45" t="n">
        <v>0</v>
      </c>
      <c r="X314" s="45" t="n">
        <v>-47.04</v>
      </c>
      <c r="Y314" s="32" t="n">
        <f aca="false">IFERROR(X314/R314,0)</f>
        <v>-1.00926879505673</v>
      </c>
      <c r="Z314" s="28" t="str">
        <f aca="false">IF(X314&gt;0,"Win",IF(X314&lt;0,"Loss","Flat"))</f>
        <v>Loss</v>
      </c>
      <c r="AA314" s="28" t="n">
        <f aca="false">ROUND((C314-B314)*1440,1)</f>
        <v>26.8</v>
      </c>
      <c r="AB314" s="28" t="str">
        <f aca="false">IF(AA314&lt;1,"a) &lt;1 min",IF(AA314&lt;10,"b) 1-10 min",IF(AA314&lt;60,"c) 10-60 min",IF(AA314&lt;240,"d) 1-4 h","e) 4 h+"))))</f>
        <v>c) 10-60 min</v>
      </c>
      <c r="AC314" s="28" t="str">
        <f aca="false">IF(P314&lt;10,"a) &lt;10",IF(P314&lt;20,"b) 10-20",IF(P314&lt;40,"c) 20-40",IF(P314&lt;80,"d) 40-80","e) 80+"))))</f>
        <v>a) &lt;10</v>
      </c>
      <c r="AD314" s="30" t="n">
        <f aca="false">Summary!$C$5+SUM(X$2:X314)</f>
        <v>105810.03</v>
      </c>
      <c r="AE314" s="30" t="n">
        <f aca="false">MAX(AE313,AD314)</f>
        <v>106588.89</v>
      </c>
      <c r="AF314" s="30" t="n">
        <f aca="false">AE314-AD314</f>
        <v>778.860000000001</v>
      </c>
      <c r="AG314" s="29" t="n">
        <f aca="false">IFERROR(AF314/AE314,0)</f>
        <v>0.00730714054719962</v>
      </c>
    </row>
    <row r="315" customFormat="false" ht="15" hidden="false" customHeight="false" outlineLevel="0" collapsed="false">
      <c r="A315" s="28" t="n">
        <v>314</v>
      </c>
      <c r="B315" s="43" t="n">
        <v>45470.1527777778</v>
      </c>
      <c r="C315" s="43" t="n">
        <v>45470.1632291667</v>
      </c>
      <c r="D315" s="42" t="n">
        <f aca="false">INT(C315)</f>
        <v>45470</v>
      </c>
      <c r="E315" s="42" t="n">
        <f aca="false">D315-WEEKDAY(D315,3)</f>
        <v>45467</v>
      </c>
      <c r="F315" s="28" t="s">
        <v>157</v>
      </c>
      <c r="G315" s="28" t="n">
        <v>2024</v>
      </c>
      <c r="H315" s="28" t="s">
        <v>239</v>
      </c>
      <c r="I315" s="28" t="n">
        <v>3</v>
      </c>
      <c r="J315" s="28" t="s">
        <v>236</v>
      </c>
      <c r="K315" s="28" t="s">
        <v>237</v>
      </c>
      <c r="L315" s="28" t="n">
        <v>0.24</v>
      </c>
      <c r="M315" s="31" t="n">
        <v>19628.05</v>
      </c>
      <c r="N315" s="31" t="n">
        <v>19636.87</v>
      </c>
      <c r="O315" s="31" t="n">
        <v>19610.41</v>
      </c>
      <c r="P315" s="44" t="n">
        <f aca="false">ABS(M315-N315)</f>
        <v>8.81999999999971</v>
      </c>
      <c r="Q315" s="44" t="n">
        <f aca="false">IF(O315="","",ABS(O315-M315))</f>
        <v>17.6399999999994</v>
      </c>
      <c r="R315" s="30" t="n">
        <f aca="false">P315*L315*Summary!$C$6</f>
        <v>42.3359999999986</v>
      </c>
      <c r="S315" s="31" t="n">
        <v>19628.1</v>
      </c>
      <c r="T315" s="28" t="s">
        <v>238</v>
      </c>
      <c r="U315" s="44" t="n">
        <f aca="false">IF(J315="BUY",S315-M315,M315-S315)</f>
        <v>-0.0499999999992724</v>
      </c>
      <c r="V315" s="45" t="n">
        <v>0</v>
      </c>
      <c r="W315" s="45" t="n">
        <v>0</v>
      </c>
      <c r="X315" s="45" t="n">
        <v>-0.24</v>
      </c>
      <c r="Y315" s="32" t="n">
        <f aca="false">IFERROR(X315/R315,0)</f>
        <v>-0.005668934240363</v>
      </c>
      <c r="Z315" s="28" t="str">
        <f aca="false">IF(X315&gt;0,"Win",IF(X315&lt;0,"Loss","Flat"))</f>
        <v>Loss</v>
      </c>
      <c r="AA315" s="28" t="n">
        <f aca="false">ROUND((C315-B315)*1440,1)</f>
        <v>15.1</v>
      </c>
      <c r="AB315" s="28" t="str">
        <f aca="false">IF(AA315&lt;1,"a) &lt;1 min",IF(AA315&lt;10,"b) 1-10 min",IF(AA315&lt;60,"c) 10-60 min",IF(AA315&lt;240,"d) 1-4 h","e) 4 h+"))))</f>
        <v>c) 10-60 min</v>
      </c>
      <c r="AC315" s="28" t="str">
        <f aca="false">IF(P315&lt;10,"a) &lt;10",IF(P315&lt;20,"b) 10-20",IF(P315&lt;40,"c) 20-40",IF(P315&lt;80,"d) 40-80","e) 80+"))))</f>
        <v>a) &lt;10</v>
      </c>
      <c r="AD315" s="30" t="n">
        <f aca="false">Summary!$C$5+SUM(X$2:X315)</f>
        <v>105809.79</v>
      </c>
      <c r="AE315" s="30" t="n">
        <f aca="false">MAX(AE314,AD315)</f>
        <v>106588.89</v>
      </c>
      <c r="AF315" s="30" t="n">
        <f aca="false">AE315-AD315</f>
        <v>779.100000000006</v>
      </c>
      <c r="AG315" s="29" t="n">
        <f aca="false">IFERROR(AF315/AE315,0)</f>
        <v>0.00730939218899836</v>
      </c>
    </row>
    <row r="316" customFormat="false" ht="15" hidden="false" customHeight="false" outlineLevel="0" collapsed="false">
      <c r="A316" s="28" t="n">
        <v>315</v>
      </c>
      <c r="B316" s="43" t="n">
        <v>45470.6923611111</v>
      </c>
      <c r="C316" s="43" t="n">
        <v>45470.7015972222</v>
      </c>
      <c r="D316" s="42" t="n">
        <f aca="false">INT(C316)</f>
        <v>45470</v>
      </c>
      <c r="E316" s="42" t="n">
        <f aca="false">D316-WEEKDAY(D316,3)</f>
        <v>45467</v>
      </c>
      <c r="F316" s="28" t="s">
        <v>157</v>
      </c>
      <c r="G316" s="28" t="n">
        <v>2024</v>
      </c>
      <c r="H316" s="28" t="s">
        <v>239</v>
      </c>
      <c r="I316" s="28" t="n">
        <v>16</v>
      </c>
      <c r="J316" s="28" t="s">
        <v>233</v>
      </c>
      <c r="K316" s="28" t="s">
        <v>234</v>
      </c>
      <c r="L316" s="28" t="n">
        <v>0.24</v>
      </c>
      <c r="M316" s="31" t="n">
        <v>19820.09</v>
      </c>
      <c r="N316" s="31" t="n">
        <v>19786.03</v>
      </c>
      <c r="O316" s="31" t="n">
        <v>19883.42</v>
      </c>
      <c r="P316" s="44" t="n">
        <f aca="false">ABS(M316-N316)</f>
        <v>34.0600000000013</v>
      </c>
      <c r="Q316" s="44" t="n">
        <f aca="false">IF(O316="","",ABS(O316-M316))</f>
        <v>63.3299999999981</v>
      </c>
      <c r="R316" s="30" t="n">
        <f aca="false">P316*L316*Summary!$C$6</f>
        <v>163.488000000006</v>
      </c>
      <c r="S316" s="31" t="n">
        <v>19785.81</v>
      </c>
      <c r="T316" s="28" t="s">
        <v>241</v>
      </c>
      <c r="U316" s="44" t="n">
        <f aca="false">IF(J316="BUY",S316-M316,M316-S316)</f>
        <v>-34.2799999999988</v>
      </c>
      <c r="V316" s="45" t="n">
        <v>0</v>
      </c>
      <c r="W316" s="45" t="n">
        <v>0</v>
      </c>
      <c r="X316" s="45" t="n">
        <v>-164.54</v>
      </c>
      <c r="Y316" s="32" t="n">
        <f aca="false">IFERROR(X316/R316,0)</f>
        <v>-1.00643472303774</v>
      </c>
      <c r="Z316" s="28" t="str">
        <f aca="false">IF(X316&gt;0,"Win",IF(X316&lt;0,"Loss","Flat"))</f>
        <v>Loss</v>
      </c>
      <c r="AA316" s="28" t="n">
        <f aca="false">ROUND((C316-B316)*1440,1)</f>
        <v>13.3</v>
      </c>
      <c r="AB316" s="28" t="str">
        <f aca="false">IF(AA316&lt;1,"a) &lt;1 min",IF(AA316&lt;10,"b) 1-10 min",IF(AA316&lt;60,"c) 10-60 min",IF(AA316&lt;240,"d) 1-4 h","e) 4 h+"))))</f>
        <v>c) 10-60 min</v>
      </c>
      <c r="AC316" s="28" t="str">
        <f aca="false">IF(P316&lt;10,"a) &lt;10",IF(P316&lt;20,"b) 10-20",IF(P316&lt;40,"c) 20-40",IF(P316&lt;80,"d) 40-80","e) 80+"))))</f>
        <v>c) 20-40</v>
      </c>
      <c r="AD316" s="30" t="n">
        <f aca="false">Summary!$C$5+SUM(X$2:X316)</f>
        <v>105645.25</v>
      </c>
      <c r="AE316" s="30" t="n">
        <f aca="false">MAX(AE315,AD316)</f>
        <v>106588.89</v>
      </c>
      <c r="AF316" s="30" t="n">
        <f aca="false">AE316-AD316</f>
        <v>943.639999999999</v>
      </c>
      <c r="AG316" s="29" t="n">
        <f aca="false">IFERROR(AF316/AE316,0)</f>
        <v>0.00885308027881705</v>
      </c>
    </row>
    <row r="317" customFormat="false" ht="15" hidden="false" customHeight="false" outlineLevel="0" collapsed="false">
      <c r="A317" s="28" t="n">
        <v>316</v>
      </c>
      <c r="B317" s="43" t="n">
        <v>45471.1930555556</v>
      </c>
      <c r="C317" s="43" t="n">
        <v>45471.1940856482</v>
      </c>
      <c r="D317" s="42" t="n">
        <f aca="false">INT(C317)</f>
        <v>45471</v>
      </c>
      <c r="E317" s="42" t="n">
        <f aca="false">D317-WEEKDAY(D317,3)</f>
        <v>45467</v>
      </c>
      <c r="F317" s="28" t="s">
        <v>157</v>
      </c>
      <c r="G317" s="28" t="n">
        <v>2024</v>
      </c>
      <c r="H317" s="28" t="s">
        <v>242</v>
      </c>
      <c r="I317" s="28" t="n">
        <v>4</v>
      </c>
      <c r="J317" s="28" t="s">
        <v>233</v>
      </c>
      <c r="K317" s="28" t="s">
        <v>234</v>
      </c>
      <c r="L317" s="28" t="n">
        <v>0.23</v>
      </c>
      <c r="M317" s="31" t="n">
        <v>19859.06</v>
      </c>
      <c r="N317" s="31" t="n">
        <v>19851.5</v>
      </c>
      <c r="O317" s="31" t="n">
        <v>19874.19</v>
      </c>
      <c r="P317" s="44" t="n">
        <f aca="false">ABS(M317-N317)</f>
        <v>7.56000000000131</v>
      </c>
      <c r="Q317" s="44" t="n">
        <f aca="false">IF(O317="","",ABS(O317-M317))</f>
        <v>15.1299999999974</v>
      </c>
      <c r="R317" s="30" t="n">
        <f aca="false">P317*L317*Summary!$C$6</f>
        <v>34.776000000006</v>
      </c>
      <c r="S317" s="31" t="n">
        <v>19874.31</v>
      </c>
      <c r="T317" s="28" t="s">
        <v>214</v>
      </c>
      <c r="U317" s="44" t="n">
        <f aca="false">IF(J317="BUY",S317-M317,M317-S317)</f>
        <v>15.25</v>
      </c>
      <c r="V317" s="45" t="n">
        <v>0</v>
      </c>
      <c r="W317" s="45" t="n">
        <v>0</v>
      </c>
      <c r="X317" s="45" t="n">
        <v>70.15</v>
      </c>
      <c r="Y317" s="32" t="n">
        <f aca="false">IFERROR(X317/R317,0)</f>
        <v>2.01719576719542</v>
      </c>
      <c r="Z317" s="28" t="str">
        <f aca="false">IF(X317&gt;0,"Win",IF(X317&lt;0,"Loss","Flat"))</f>
        <v>Win</v>
      </c>
      <c r="AA317" s="28" t="n">
        <f aca="false">ROUND((C317-B317)*1440,1)</f>
        <v>1.5</v>
      </c>
      <c r="AB317" s="28" t="str">
        <f aca="false">IF(AA317&lt;1,"a) &lt;1 min",IF(AA317&lt;10,"b) 1-10 min",IF(AA317&lt;60,"c) 10-60 min",IF(AA317&lt;240,"d) 1-4 h","e) 4 h+"))))</f>
        <v>b) 1-10 min</v>
      </c>
      <c r="AC317" s="28" t="str">
        <f aca="false">IF(P317&lt;10,"a) &lt;10",IF(P317&lt;20,"b) 10-20",IF(P317&lt;40,"c) 20-40",IF(P317&lt;80,"d) 40-80","e) 80+"))))</f>
        <v>a) &lt;10</v>
      </c>
      <c r="AD317" s="30" t="n">
        <f aca="false">Summary!$C$5+SUM(X$2:X317)</f>
        <v>105715.4</v>
      </c>
      <c r="AE317" s="30" t="n">
        <f aca="false">MAX(AE316,AD317)</f>
        <v>106588.89</v>
      </c>
      <c r="AF317" s="30" t="n">
        <f aca="false">AE317-AD317</f>
        <v>873.490000000005</v>
      </c>
      <c r="AG317" s="29" t="n">
        <f aca="false">IFERROR(AF317/AE317,0)</f>
        <v>0.00819494414474159</v>
      </c>
    </row>
    <row r="318" customFormat="false" ht="15" hidden="false" customHeight="false" outlineLevel="0" collapsed="false">
      <c r="A318" s="28" t="n">
        <v>317</v>
      </c>
      <c r="B318" s="43" t="n">
        <v>45474.6993055556</v>
      </c>
      <c r="C318" s="43" t="n">
        <v>45474.7072337963</v>
      </c>
      <c r="D318" s="42" t="n">
        <f aca="false">INT(C318)</f>
        <v>45474</v>
      </c>
      <c r="E318" s="42" t="n">
        <f aca="false">D318-WEEKDAY(D318,3)</f>
        <v>45474</v>
      </c>
      <c r="F318" s="28" t="s">
        <v>158</v>
      </c>
      <c r="G318" s="28" t="n">
        <v>2024</v>
      </c>
      <c r="H318" s="28" t="s">
        <v>240</v>
      </c>
      <c r="I318" s="28" t="n">
        <v>16</v>
      </c>
      <c r="J318" s="28" t="s">
        <v>236</v>
      </c>
      <c r="K318" s="28" t="s">
        <v>237</v>
      </c>
      <c r="L318" s="28" t="n">
        <v>0.24</v>
      </c>
      <c r="M318" s="31" t="n">
        <v>19647.58</v>
      </c>
      <c r="N318" s="31" t="n">
        <v>19691.34</v>
      </c>
      <c r="O318" s="31" t="n">
        <v>19559.91</v>
      </c>
      <c r="P318" s="44" t="n">
        <f aca="false">ABS(M318-N318)</f>
        <v>43.7599999999984</v>
      </c>
      <c r="Q318" s="44" t="n">
        <f aca="false">IF(O318="","",ABS(O318-M318))</f>
        <v>87.6700000000019</v>
      </c>
      <c r="R318" s="30" t="n">
        <f aca="false">P318*L318*Summary!$C$6</f>
        <v>210.047999999992</v>
      </c>
      <c r="S318" s="31" t="n">
        <v>19647.58</v>
      </c>
      <c r="T318" s="28" t="s">
        <v>238</v>
      </c>
      <c r="U318" s="44" t="n">
        <f aca="false">IF(J318="BUY",S318-M318,M318-S318)</f>
        <v>0</v>
      </c>
      <c r="V318" s="45" t="n">
        <v>0</v>
      </c>
      <c r="W318" s="45" t="n">
        <v>0</v>
      </c>
      <c r="X318" s="45" t="n">
        <v>0</v>
      </c>
      <c r="Y318" s="32" t="n">
        <f aca="false">IFERROR(X318/R318,0)</f>
        <v>0</v>
      </c>
      <c r="Z318" s="28" t="str">
        <f aca="false">IF(X318&gt;0,"Win",IF(X318&lt;0,"Loss","Flat"))</f>
        <v>Flat</v>
      </c>
      <c r="AA318" s="28" t="n">
        <f aca="false">ROUND((C318-B318)*1440,1)</f>
        <v>11.4</v>
      </c>
      <c r="AB318" s="28" t="str">
        <f aca="false">IF(AA318&lt;1,"a) &lt;1 min",IF(AA318&lt;10,"b) 1-10 min",IF(AA318&lt;60,"c) 10-60 min",IF(AA318&lt;240,"d) 1-4 h","e) 4 h+"))))</f>
        <v>c) 10-60 min</v>
      </c>
      <c r="AC318" s="28" t="str">
        <f aca="false">IF(P318&lt;10,"a) &lt;10",IF(P318&lt;20,"b) 10-20",IF(P318&lt;40,"c) 20-40",IF(P318&lt;80,"d) 40-80","e) 80+"))))</f>
        <v>d) 40-80</v>
      </c>
      <c r="AD318" s="30" t="n">
        <f aca="false">Summary!$C$5+SUM(X$2:X318)</f>
        <v>105715.4</v>
      </c>
      <c r="AE318" s="30" t="n">
        <f aca="false">MAX(AE317,AD318)</f>
        <v>106588.89</v>
      </c>
      <c r="AF318" s="30" t="n">
        <f aca="false">AE318-AD318</f>
        <v>873.490000000005</v>
      </c>
      <c r="AG318" s="29" t="n">
        <f aca="false">IFERROR(AF318/AE318,0)</f>
        <v>0.00819494414474159</v>
      </c>
    </row>
    <row r="319" customFormat="false" ht="15" hidden="false" customHeight="false" outlineLevel="0" collapsed="false">
      <c r="A319" s="28" t="n">
        <v>318</v>
      </c>
      <c r="B319" s="43" t="n">
        <v>45475.6965277778</v>
      </c>
      <c r="C319" s="43" t="n">
        <v>45475.7083564815</v>
      </c>
      <c r="D319" s="42" t="n">
        <f aca="false">INT(C319)</f>
        <v>45475</v>
      </c>
      <c r="E319" s="42" t="n">
        <f aca="false">D319-WEEKDAY(D319,3)</f>
        <v>45474</v>
      </c>
      <c r="F319" s="28" t="s">
        <v>158</v>
      </c>
      <c r="G319" s="28" t="n">
        <v>2024</v>
      </c>
      <c r="H319" s="28" t="s">
        <v>232</v>
      </c>
      <c r="I319" s="28" t="n">
        <v>16</v>
      </c>
      <c r="J319" s="28" t="s">
        <v>233</v>
      </c>
      <c r="K319" s="28" t="s">
        <v>234</v>
      </c>
      <c r="L319" s="28" t="n">
        <v>0.23</v>
      </c>
      <c r="M319" s="31" t="n">
        <v>19841.32</v>
      </c>
      <c r="N319" s="31" t="n">
        <v>19797.58</v>
      </c>
      <c r="O319" s="31" t="n">
        <v>19928.79</v>
      </c>
      <c r="P319" s="44" t="n">
        <f aca="false">ABS(M319-N319)</f>
        <v>43.739999999998</v>
      </c>
      <c r="Q319" s="44" t="n">
        <f aca="false">IF(O319="","",ABS(O319-M319))</f>
        <v>87.4700000000012</v>
      </c>
      <c r="R319" s="30" t="n">
        <f aca="false">P319*L319*Summary!$C$6</f>
        <v>201.203999999991</v>
      </c>
      <c r="S319" s="31" t="n">
        <v>19795.54</v>
      </c>
      <c r="T319" s="28" t="s">
        <v>241</v>
      </c>
      <c r="U319" s="44" t="n">
        <f aca="false">IF(J319="BUY",S319-M319,M319-S319)</f>
        <v>-45.7799999999988</v>
      </c>
      <c r="V319" s="45" t="n">
        <v>0</v>
      </c>
      <c r="W319" s="45" t="n">
        <v>0</v>
      </c>
      <c r="X319" s="45" t="n">
        <v>-210.59</v>
      </c>
      <c r="Y319" s="32" t="n">
        <f aca="false">IFERROR(X319/R319,0)</f>
        <v>-1.0466491719847</v>
      </c>
      <c r="Z319" s="28" t="str">
        <f aca="false">IF(X319&gt;0,"Win",IF(X319&lt;0,"Loss","Flat"))</f>
        <v>Loss</v>
      </c>
      <c r="AA319" s="28" t="n">
        <f aca="false">ROUND((C319-B319)*1440,1)</f>
        <v>17</v>
      </c>
      <c r="AB319" s="28" t="str">
        <f aca="false">IF(AA319&lt;1,"a) &lt;1 min",IF(AA319&lt;10,"b) 1-10 min",IF(AA319&lt;60,"c) 10-60 min",IF(AA319&lt;240,"d) 1-4 h","e) 4 h+"))))</f>
        <v>c) 10-60 min</v>
      </c>
      <c r="AC319" s="28" t="str">
        <f aca="false">IF(P319&lt;10,"a) &lt;10",IF(P319&lt;20,"b) 10-20",IF(P319&lt;40,"c) 20-40",IF(P319&lt;80,"d) 40-80","e) 80+"))))</f>
        <v>d) 40-80</v>
      </c>
      <c r="AD319" s="30" t="n">
        <f aca="false">Summary!$C$5+SUM(X$2:X319)</f>
        <v>105504.81</v>
      </c>
      <c r="AE319" s="30" t="n">
        <f aca="false">MAX(AE318,AD319)</f>
        <v>106588.89</v>
      </c>
      <c r="AF319" s="30" t="n">
        <f aca="false">AE319-AD319</f>
        <v>1084.08</v>
      </c>
      <c r="AG319" s="29" t="n">
        <f aca="false">IFERROR(AF319/AE319,0)</f>
        <v>0.010170666004684</v>
      </c>
    </row>
    <row r="320" customFormat="false" ht="15" hidden="false" customHeight="false" outlineLevel="0" collapsed="false">
      <c r="A320" s="28" t="n">
        <v>319</v>
      </c>
      <c r="B320" s="43" t="n">
        <v>45476.3847222222</v>
      </c>
      <c r="C320" s="43" t="n">
        <v>45476.3863657407</v>
      </c>
      <c r="D320" s="42" t="n">
        <f aca="false">INT(C320)</f>
        <v>45476</v>
      </c>
      <c r="E320" s="42" t="n">
        <f aca="false">D320-WEEKDAY(D320,3)</f>
        <v>45474</v>
      </c>
      <c r="F320" s="28" t="s">
        <v>158</v>
      </c>
      <c r="G320" s="28" t="n">
        <v>2024</v>
      </c>
      <c r="H320" s="28" t="s">
        <v>235</v>
      </c>
      <c r="I320" s="28" t="n">
        <v>9</v>
      </c>
      <c r="J320" s="28" t="s">
        <v>233</v>
      </c>
      <c r="K320" s="28" t="s">
        <v>234</v>
      </c>
      <c r="L320" s="28" t="n">
        <v>0.23</v>
      </c>
      <c r="M320" s="31" t="n">
        <v>20018.63</v>
      </c>
      <c r="N320" s="31" t="n">
        <v>20011.93</v>
      </c>
      <c r="O320" s="31" t="n">
        <v>20032.03</v>
      </c>
      <c r="P320" s="44" t="n">
        <f aca="false">ABS(M320-N320)</f>
        <v>6.70000000000073</v>
      </c>
      <c r="Q320" s="44" t="n">
        <f aca="false">IF(O320="","",ABS(O320-M320))</f>
        <v>13.3999999999978</v>
      </c>
      <c r="R320" s="30" t="n">
        <f aca="false">P320*L320*Summary!$C$6</f>
        <v>30.8200000000033</v>
      </c>
      <c r="S320" s="31" t="n">
        <v>20011.45</v>
      </c>
      <c r="T320" s="28" t="s">
        <v>241</v>
      </c>
      <c r="U320" s="44" t="n">
        <f aca="false">IF(J320="BUY",S320-M320,M320-S320)</f>
        <v>-7.18000000000029</v>
      </c>
      <c r="V320" s="45" t="n">
        <v>0</v>
      </c>
      <c r="W320" s="45" t="n">
        <v>0</v>
      </c>
      <c r="X320" s="45" t="n">
        <v>-33.03</v>
      </c>
      <c r="Y320" s="32" t="n">
        <f aca="false">IFERROR(X320/R320,0)</f>
        <v>-1.07170668397133</v>
      </c>
      <c r="Z320" s="28" t="str">
        <f aca="false">IF(X320&gt;0,"Win",IF(X320&lt;0,"Loss","Flat"))</f>
        <v>Loss</v>
      </c>
      <c r="AA320" s="28" t="n">
        <f aca="false">ROUND((C320-B320)*1440,1)</f>
        <v>2.4</v>
      </c>
      <c r="AB320" s="28" t="str">
        <f aca="false">IF(AA320&lt;1,"a) &lt;1 min",IF(AA320&lt;10,"b) 1-10 min",IF(AA320&lt;60,"c) 10-60 min",IF(AA320&lt;240,"d) 1-4 h","e) 4 h+"))))</f>
        <v>b) 1-10 min</v>
      </c>
      <c r="AC320" s="28" t="str">
        <f aca="false">IF(P320&lt;10,"a) &lt;10",IF(P320&lt;20,"b) 10-20",IF(P320&lt;40,"c) 20-40",IF(P320&lt;80,"d) 40-80","e) 80+"))))</f>
        <v>a) &lt;10</v>
      </c>
      <c r="AD320" s="30" t="n">
        <f aca="false">Summary!$C$5+SUM(X$2:X320)</f>
        <v>105471.78</v>
      </c>
      <c r="AE320" s="30" t="n">
        <f aca="false">MAX(AE319,AD320)</f>
        <v>106588.89</v>
      </c>
      <c r="AF320" s="30" t="n">
        <f aca="false">AE320-AD320</f>
        <v>1117.11</v>
      </c>
      <c r="AG320" s="29" t="n">
        <f aca="false">IFERROR(AF320/AE320,0)</f>
        <v>0.0104805482072287</v>
      </c>
    </row>
    <row r="321" customFormat="false" ht="15" hidden="false" customHeight="false" outlineLevel="0" collapsed="false">
      <c r="A321" s="28" t="n">
        <v>320</v>
      </c>
      <c r="B321" s="43" t="n">
        <v>45478.2708333333</v>
      </c>
      <c r="C321" s="43" t="n">
        <v>45478.2784606482</v>
      </c>
      <c r="D321" s="42" t="n">
        <f aca="false">INT(C321)</f>
        <v>45478</v>
      </c>
      <c r="E321" s="42" t="n">
        <f aca="false">D321-WEEKDAY(D321,3)</f>
        <v>45474</v>
      </c>
      <c r="F321" s="28" t="s">
        <v>158</v>
      </c>
      <c r="G321" s="28" t="n">
        <v>2024</v>
      </c>
      <c r="H321" s="28" t="s">
        <v>242</v>
      </c>
      <c r="I321" s="28" t="n">
        <v>6</v>
      </c>
      <c r="J321" s="28" t="s">
        <v>233</v>
      </c>
      <c r="K321" s="28" t="s">
        <v>234</v>
      </c>
      <c r="L321" s="28" t="n">
        <v>0.23</v>
      </c>
      <c r="M321" s="31" t="n">
        <v>20178.6</v>
      </c>
      <c r="N321" s="31" t="n">
        <v>20176.17</v>
      </c>
      <c r="O321" s="31" t="n">
        <v>20183.47</v>
      </c>
      <c r="P321" s="44" t="n">
        <f aca="false">ABS(M321-N321)</f>
        <v>2.43000000000029</v>
      </c>
      <c r="Q321" s="44" t="n">
        <f aca="false">IF(O321="","",ABS(O321-M321))</f>
        <v>4.87000000000262</v>
      </c>
      <c r="R321" s="30" t="n">
        <f aca="false">P321*L321*Summary!$C$6</f>
        <v>11.1780000000013</v>
      </c>
      <c r="S321" s="31" t="n">
        <v>20183.62</v>
      </c>
      <c r="T321" s="28" t="s">
        <v>214</v>
      </c>
      <c r="U321" s="44" t="n">
        <f aca="false">IF(J321="BUY",S321-M321,M321-S321)</f>
        <v>5.02000000000044</v>
      </c>
      <c r="V321" s="45" t="n">
        <v>0</v>
      </c>
      <c r="W321" s="45" t="n">
        <v>0</v>
      </c>
      <c r="X321" s="45" t="n">
        <v>23.09</v>
      </c>
      <c r="Y321" s="32" t="n">
        <f aca="false">IFERROR(X321/R321,0)</f>
        <v>2.06566469851469</v>
      </c>
      <c r="Z321" s="28" t="str">
        <f aca="false">IF(X321&gt;0,"Win",IF(X321&lt;0,"Loss","Flat"))</f>
        <v>Win</v>
      </c>
      <c r="AA321" s="28" t="n">
        <f aca="false">ROUND((C321-B321)*1440,1)</f>
        <v>11</v>
      </c>
      <c r="AB321" s="28" t="str">
        <f aca="false">IF(AA321&lt;1,"a) &lt;1 min",IF(AA321&lt;10,"b) 1-10 min",IF(AA321&lt;60,"c) 10-60 min",IF(AA321&lt;240,"d) 1-4 h","e) 4 h+"))))</f>
        <v>c) 10-60 min</v>
      </c>
      <c r="AC321" s="28" t="str">
        <f aca="false">IF(P321&lt;10,"a) &lt;10",IF(P321&lt;20,"b) 10-20",IF(P321&lt;40,"c) 20-40",IF(P321&lt;80,"d) 40-80","e) 80+"))))</f>
        <v>a) &lt;10</v>
      </c>
      <c r="AD321" s="30" t="n">
        <f aca="false">Summary!$C$5+SUM(X$2:X321)</f>
        <v>105494.87</v>
      </c>
      <c r="AE321" s="30" t="n">
        <f aca="false">MAX(AE320,AD321)</f>
        <v>106588.89</v>
      </c>
      <c r="AF321" s="30" t="n">
        <f aca="false">AE321-AD321</f>
        <v>1094.02</v>
      </c>
      <c r="AG321" s="29" t="n">
        <f aca="false">IFERROR(AF321/AE321,0)</f>
        <v>0.0102639215025131</v>
      </c>
    </row>
    <row r="322" customFormat="false" ht="15" hidden="false" customHeight="false" outlineLevel="0" collapsed="false">
      <c r="A322" s="28" t="n">
        <v>321</v>
      </c>
      <c r="B322" s="43" t="n">
        <v>45481.6798611111</v>
      </c>
      <c r="C322" s="43" t="n">
        <v>45481.6865509259</v>
      </c>
      <c r="D322" s="42" t="n">
        <f aca="false">INT(C322)</f>
        <v>45481</v>
      </c>
      <c r="E322" s="42" t="n">
        <f aca="false">D322-WEEKDAY(D322,3)</f>
        <v>45481</v>
      </c>
      <c r="F322" s="28" t="s">
        <v>158</v>
      </c>
      <c r="G322" s="28" t="n">
        <v>2024</v>
      </c>
      <c r="H322" s="28" t="s">
        <v>240</v>
      </c>
      <c r="I322" s="28" t="n">
        <v>16</v>
      </c>
      <c r="J322" s="28" t="s">
        <v>233</v>
      </c>
      <c r="K322" s="28" t="s">
        <v>234</v>
      </c>
      <c r="L322" s="28" t="n">
        <v>0.23</v>
      </c>
      <c r="M322" s="31" t="n">
        <v>20406.21</v>
      </c>
      <c r="N322" s="31" t="n">
        <v>20400.82</v>
      </c>
      <c r="O322" s="31" t="n">
        <v>20416.99</v>
      </c>
      <c r="P322" s="44" t="n">
        <f aca="false">ABS(M322-N322)</f>
        <v>5.38999999999942</v>
      </c>
      <c r="Q322" s="44" t="n">
        <f aca="false">IF(O322="","",ABS(O322-M322))</f>
        <v>10.7800000000025</v>
      </c>
      <c r="R322" s="30" t="n">
        <f aca="false">P322*L322*Summary!$C$6</f>
        <v>24.7939999999973</v>
      </c>
      <c r="S322" s="31" t="n">
        <v>20400.64</v>
      </c>
      <c r="T322" s="28" t="s">
        <v>241</v>
      </c>
      <c r="U322" s="44" t="n">
        <f aca="false">IF(J322="BUY",S322-M322,M322-S322)</f>
        <v>-5.56999999999971</v>
      </c>
      <c r="V322" s="45" t="n">
        <v>0</v>
      </c>
      <c r="W322" s="45" t="n">
        <v>0</v>
      </c>
      <c r="X322" s="45" t="n">
        <v>-25.62</v>
      </c>
      <c r="Y322" s="32" t="n">
        <f aca="false">IFERROR(X322/R322,0)</f>
        <v>-1.03331451157549</v>
      </c>
      <c r="Z322" s="28" t="str">
        <f aca="false">IF(X322&gt;0,"Win",IF(X322&lt;0,"Loss","Flat"))</f>
        <v>Loss</v>
      </c>
      <c r="AA322" s="28" t="n">
        <f aca="false">ROUND((C322-B322)*1440,1)</f>
        <v>9.6</v>
      </c>
      <c r="AB322" s="28" t="str">
        <f aca="false">IF(AA322&lt;1,"a) &lt;1 min",IF(AA322&lt;10,"b) 1-10 min",IF(AA322&lt;60,"c) 10-60 min",IF(AA322&lt;240,"d) 1-4 h","e) 4 h+"))))</f>
        <v>b) 1-10 min</v>
      </c>
      <c r="AC322" s="28" t="str">
        <f aca="false">IF(P322&lt;10,"a) &lt;10",IF(P322&lt;20,"b) 10-20",IF(P322&lt;40,"c) 20-40",IF(P322&lt;80,"d) 40-80","e) 80+"))))</f>
        <v>a) &lt;10</v>
      </c>
      <c r="AD322" s="30" t="n">
        <f aca="false">Summary!$C$5+SUM(X$2:X322)</f>
        <v>105469.25</v>
      </c>
      <c r="AE322" s="30" t="n">
        <f aca="false">MAX(AE321,AD322)</f>
        <v>106588.89</v>
      </c>
      <c r="AF322" s="30" t="n">
        <f aca="false">AE322-AD322</f>
        <v>1119.64</v>
      </c>
      <c r="AG322" s="29" t="n">
        <f aca="false">IFERROR(AF322/AE322,0)</f>
        <v>0.0105042842645232</v>
      </c>
    </row>
    <row r="323" customFormat="false" ht="15" hidden="false" customHeight="false" outlineLevel="0" collapsed="false">
      <c r="A323" s="28" t="n">
        <v>322</v>
      </c>
      <c r="B323" s="43" t="n">
        <v>45482.05</v>
      </c>
      <c r="C323" s="43" t="n">
        <v>45482.0870717593</v>
      </c>
      <c r="D323" s="42" t="n">
        <f aca="false">INT(C323)</f>
        <v>45482</v>
      </c>
      <c r="E323" s="42" t="n">
        <f aca="false">D323-WEEKDAY(D323,3)</f>
        <v>45481</v>
      </c>
      <c r="F323" s="28" t="s">
        <v>158</v>
      </c>
      <c r="G323" s="28" t="n">
        <v>2024</v>
      </c>
      <c r="H323" s="28" t="s">
        <v>232</v>
      </c>
      <c r="I323" s="28" t="n">
        <v>1</v>
      </c>
      <c r="J323" s="28" t="s">
        <v>233</v>
      </c>
      <c r="K323" s="28" t="s">
        <v>234</v>
      </c>
      <c r="L323" s="28" t="n">
        <v>0.23</v>
      </c>
      <c r="M323" s="31" t="n">
        <v>20460.75</v>
      </c>
      <c r="N323" s="31" t="n">
        <v>20453.55</v>
      </c>
      <c r="O323" s="31" t="n">
        <v>20475.15</v>
      </c>
      <c r="P323" s="44" t="n">
        <f aca="false">ABS(M323-N323)</f>
        <v>7.20000000000073</v>
      </c>
      <c r="Q323" s="44" t="n">
        <f aca="false">IF(O323="","",ABS(O323-M323))</f>
        <v>14.4000000000015</v>
      </c>
      <c r="R323" s="30" t="n">
        <f aca="false">P323*L323*Summary!$C$6</f>
        <v>33.1200000000033</v>
      </c>
      <c r="S323" s="31" t="n">
        <v>20475.91</v>
      </c>
      <c r="T323" s="28" t="s">
        <v>214</v>
      </c>
      <c r="U323" s="44" t="n">
        <f aca="false">IF(J323="BUY",S323-M323,M323-S323)</f>
        <v>15.1599999999999</v>
      </c>
      <c r="V323" s="45" t="n">
        <v>0</v>
      </c>
      <c r="W323" s="45" t="n">
        <v>0</v>
      </c>
      <c r="X323" s="45" t="n">
        <v>69.74</v>
      </c>
      <c r="Y323" s="32" t="n">
        <f aca="false">IFERROR(X323/R323,0)</f>
        <v>2.1056763285022</v>
      </c>
      <c r="Z323" s="28" t="str">
        <f aca="false">IF(X323&gt;0,"Win",IF(X323&lt;0,"Loss","Flat"))</f>
        <v>Win</v>
      </c>
      <c r="AA323" s="28" t="n">
        <f aca="false">ROUND((C323-B323)*1440,1)</f>
        <v>53.4</v>
      </c>
      <c r="AB323" s="28" t="str">
        <f aca="false">IF(AA323&lt;1,"a) &lt;1 min",IF(AA323&lt;10,"b) 1-10 min",IF(AA323&lt;60,"c) 10-60 min",IF(AA323&lt;240,"d) 1-4 h","e) 4 h+"))))</f>
        <v>c) 10-60 min</v>
      </c>
      <c r="AC323" s="28" t="str">
        <f aca="false">IF(P323&lt;10,"a) &lt;10",IF(P323&lt;20,"b) 10-20",IF(P323&lt;40,"c) 20-40",IF(P323&lt;80,"d) 40-80","e) 80+"))))</f>
        <v>a) &lt;10</v>
      </c>
      <c r="AD323" s="30" t="n">
        <f aca="false">Summary!$C$5+SUM(X$2:X323)</f>
        <v>105538.99</v>
      </c>
      <c r="AE323" s="30" t="n">
        <f aca="false">MAX(AE322,AD323)</f>
        <v>106588.89</v>
      </c>
      <c r="AF323" s="30" t="n">
        <f aca="false">AE323-AD323</f>
        <v>1049.89999999999</v>
      </c>
      <c r="AG323" s="29" t="n">
        <f aca="false">IFERROR(AF323/AE323,0)</f>
        <v>0.00984999468518712</v>
      </c>
    </row>
    <row r="324" customFormat="false" ht="15" hidden="false" customHeight="false" outlineLevel="0" collapsed="false">
      <c r="A324" s="28" t="n">
        <v>323</v>
      </c>
      <c r="B324" s="43" t="n">
        <v>45483.7013888889</v>
      </c>
      <c r="C324" s="43" t="n">
        <v>45483.7020949074</v>
      </c>
      <c r="D324" s="42" t="n">
        <f aca="false">INT(C324)</f>
        <v>45483</v>
      </c>
      <c r="E324" s="42" t="n">
        <f aca="false">D324-WEEKDAY(D324,3)</f>
        <v>45481</v>
      </c>
      <c r="F324" s="28" t="s">
        <v>158</v>
      </c>
      <c r="G324" s="28" t="n">
        <v>2024</v>
      </c>
      <c r="H324" s="28" t="s">
        <v>235</v>
      </c>
      <c r="I324" s="28" t="n">
        <v>16</v>
      </c>
      <c r="J324" s="28" t="s">
        <v>233</v>
      </c>
      <c r="K324" s="28" t="s">
        <v>234</v>
      </c>
      <c r="L324" s="28" t="n">
        <v>0.23</v>
      </c>
      <c r="M324" s="31" t="n">
        <v>20551.08</v>
      </c>
      <c r="N324" s="31" t="n">
        <v>20530.49</v>
      </c>
      <c r="O324" s="31" t="n">
        <v>20589.11</v>
      </c>
      <c r="P324" s="44" t="n">
        <f aca="false">ABS(M324-N324)</f>
        <v>20.5900000000001</v>
      </c>
      <c r="Q324" s="44" t="n">
        <f aca="false">IF(O324="","",ABS(O324-M324))</f>
        <v>38.0299999999988</v>
      </c>
      <c r="R324" s="30" t="n">
        <f aca="false">P324*L324*Summary!$C$6</f>
        <v>94.7140000000007</v>
      </c>
      <c r="S324" s="31" t="n">
        <v>20530.16</v>
      </c>
      <c r="T324" s="28" t="s">
        <v>241</v>
      </c>
      <c r="U324" s="44" t="n">
        <f aca="false">IF(J324="BUY",S324-M324,M324-S324)</f>
        <v>-20.9200000000019</v>
      </c>
      <c r="V324" s="45" t="n">
        <v>0</v>
      </c>
      <c r="W324" s="45" t="n">
        <v>0</v>
      </c>
      <c r="X324" s="45" t="n">
        <v>-96.23</v>
      </c>
      <c r="Y324" s="32" t="n">
        <f aca="false">IFERROR(X324/R324,0)</f>
        <v>-1.0160060814663</v>
      </c>
      <c r="Z324" s="28" t="str">
        <f aca="false">IF(X324&gt;0,"Win",IF(X324&lt;0,"Loss","Flat"))</f>
        <v>Loss</v>
      </c>
      <c r="AA324" s="28" t="n">
        <f aca="false">ROUND((C324-B324)*1440,1)</f>
        <v>1</v>
      </c>
      <c r="AB324" s="28" t="str">
        <f aca="false">IF(AA324&lt;1,"a) &lt;1 min",IF(AA324&lt;10,"b) 1-10 min",IF(AA324&lt;60,"c) 10-60 min",IF(AA324&lt;240,"d) 1-4 h","e) 4 h+"))))</f>
        <v>b) 1-10 min</v>
      </c>
      <c r="AC324" s="28" t="str">
        <f aca="false">IF(P324&lt;10,"a) &lt;10",IF(P324&lt;20,"b) 10-20",IF(P324&lt;40,"c) 20-40",IF(P324&lt;80,"d) 40-80","e) 80+"))))</f>
        <v>c) 20-40</v>
      </c>
      <c r="AD324" s="30" t="n">
        <f aca="false">Summary!$C$5+SUM(X$2:X324)</f>
        <v>105442.76</v>
      </c>
      <c r="AE324" s="30" t="n">
        <f aca="false">MAX(AE323,AD324)</f>
        <v>106588.89</v>
      </c>
      <c r="AF324" s="30" t="n">
        <f aca="false">AE324-AD324</f>
        <v>1146.13</v>
      </c>
      <c r="AG324" s="29" t="n">
        <f aca="false">IFERROR(AF324/AE324,0)</f>
        <v>0.0107528092280537</v>
      </c>
    </row>
    <row r="325" customFormat="false" ht="15" hidden="false" customHeight="false" outlineLevel="0" collapsed="false">
      <c r="A325" s="28" t="n">
        <v>324</v>
      </c>
      <c r="B325" s="43" t="n">
        <v>45484.6465277778</v>
      </c>
      <c r="C325" s="43" t="n">
        <v>45484.649525463</v>
      </c>
      <c r="D325" s="42" t="n">
        <f aca="false">INT(C325)</f>
        <v>45484</v>
      </c>
      <c r="E325" s="42" t="n">
        <f aca="false">D325-WEEKDAY(D325,3)</f>
        <v>45481</v>
      </c>
      <c r="F325" s="28" t="s">
        <v>158</v>
      </c>
      <c r="G325" s="28" t="n">
        <v>2024</v>
      </c>
      <c r="H325" s="28" t="s">
        <v>239</v>
      </c>
      <c r="I325" s="28" t="n">
        <v>15</v>
      </c>
      <c r="J325" s="28" t="s">
        <v>233</v>
      </c>
      <c r="K325" s="28" t="s">
        <v>234</v>
      </c>
      <c r="L325" s="28" t="n">
        <v>0.22</v>
      </c>
      <c r="M325" s="31" t="n">
        <v>20730.3</v>
      </c>
      <c r="N325" s="31" t="n">
        <v>20704.04</v>
      </c>
      <c r="O325" s="31" t="n">
        <v>20782.16</v>
      </c>
      <c r="P325" s="44" t="n">
        <f aca="false">ABS(M325-N325)</f>
        <v>26.2599999999984</v>
      </c>
      <c r="Q325" s="44" t="n">
        <f aca="false">IF(O325="","",ABS(O325-M325))</f>
        <v>51.8600000000006</v>
      </c>
      <c r="R325" s="30" t="n">
        <f aca="false">P325*L325*Summary!$C$6</f>
        <v>115.543999999993</v>
      </c>
      <c r="S325" s="31" t="n">
        <v>20728.82</v>
      </c>
      <c r="T325" s="28" t="s">
        <v>238</v>
      </c>
      <c r="U325" s="44" t="n">
        <f aca="false">IF(J325="BUY",S325-M325,M325-S325)</f>
        <v>-1.47999999999956</v>
      </c>
      <c r="V325" s="45" t="n">
        <v>0</v>
      </c>
      <c r="W325" s="45" t="n">
        <v>0</v>
      </c>
      <c r="X325" s="45" t="n">
        <v>-6.51</v>
      </c>
      <c r="Y325" s="32" t="n">
        <f aca="false">IFERROR(X325/R325,0)</f>
        <v>-0.0563421726788098</v>
      </c>
      <c r="Z325" s="28" t="str">
        <f aca="false">IF(X325&gt;0,"Win",IF(X325&lt;0,"Loss","Flat"))</f>
        <v>Loss</v>
      </c>
      <c r="AA325" s="28" t="n">
        <f aca="false">ROUND((C325-B325)*1440,1)</f>
        <v>4.3</v>
      </c>
      <c r="AB325" s="28" t="str">
        <f aca="false">IF(AA325&lt;1,"a) &lt;1 min",IF(AA325&lt;10,"b) 1-10 min",IF(AA325&lt;60,"c) 10-60 min",IF(AA325&lt;240,"d) 1-4 h","e) 4 h+"))))</f>
        <v>b) 1-10 min</v>
      </c>
      <c r="AC325" s="28" t="str">
        <f aca="false">IF(P325&lt;10,"a) &lt;10",IF(P325&lt;20,"b) 10-20",IF(P325&lt;40,"c) 20-40",IF(P325&lt;80,"d) 40-80","e) 80+"))))</f>
        <v>c) 20-40</v>
      </c>
      <c r="AD325" s="30" t="n">
        <f aca="false">Summary!$C$5+SUM(X$2:X325)</f>
        <v>105436.25</v>
      </c>
      <c r="AE325" s="30" t="n">
        <f aca="false">MAX(AE324,AD325)</f>
        <v>106588.89</v>
      </c>
      <c r="AF325" s="30" t="n">
        <f aca="false">AE325-AD325</f>
        <v>1152.64</v>
      </c>
      <c r="AG325" s="29" t="n">
        <f aca="false">IFERROR(AF325/AE325,0)</f>
        <v>0.0108138850118432</v>
      </c>
    </row>
    <row r="326" customFormat="false" ht="15" hidden="false" customHeight="false" outlineLevel="0" collapsed="false">
      <c r="A326" s="28" t="n">
        <v>325</v>
      </c>
      <c r="B326" s="43" t="n">
        <v>45484.7215277778</v>
      </c>
      <c r="C326" s="43" t="n">
        <v>45484.751400463</v>
      </c>
      <c r="D326" s="42" t="n">
        <f aca="false">INT(C326)</f>
        <v>45484</v>
      </c>
      <c r="E326" s="42" t="n">
        <f aca="false">D326-WEEKDAY(D326,3)</f>
        <v>45481</v>
      </c>
      <c r="F326" s="28" t="s">
        <v>158</v>
      </c>
      <c r="G326" s="28" t="n">
        <v>2024</v>
      </c>
      <c r="H326" s="28" t="s">
        <v>239</v>
      </c>
      <c r="I326" s="28" t="n">
        <v>17</v>
      </c>
      <c r="J326" s="28" t="s">
        <v>236</v>
      </c>
      <c r="K326" s="28" t="s">
        <v>237</v>
      </c>
      <c r="L326" s="28" t="n">
        <v>0.23</v>
      </c>
      <c r="M326" s="31" t="n">
        <v>20465.29</v>
      </c>
      <c r="N326" s="31" t="n">
        <v>20508.13</v>
      </c>
      <c r="O326" s="31" t="n">
        <v>20371.6</v>
      </c>
      <c r="P326" s="44" t="n">
        <f aca="false">ABS(M326-N326)</f>
        <v>42.8400000000001</v>
      </c>
      <c r="Q326" s="44" t="n">
        <f aca="false">IF(O326="","",ABS(O326-M326))</f>
        <v>93.6900000000023</v>
      </c>
      <c r="R326" s="30" t="n">
        <f aca="false">P326*L326*Summary!$C$6</f>
        <v>197.064000000001</v>
      </c>
      <c r="S326" s="31" t="n">
        <v>20370.73</v>
      </c>
      <c r="T326" s="28" t="s">
        <v>214</v>
      </c>
      <c r="U326" s="44" t="n">
        <f aca="false">IF(J326="BUY",S326-M326,M326-S326)</f>
        <v>94.5600000000013</v>
      </c>
      <c r="V326" s="45" t="n">
        <v>0</v>
      </c>
      <c r="W326" s="45" t="n">
        <v>0</v>
      </c>
      <c r="X326" s="45" t="n">
        <v>434.98</v>
      </c>
      <c r="Y326" s="32" t="n">
        <f aca="false">IFERROR(X326/R326,0)</f>
        <v>2.20730321113952</v>
      </c>
      <c r="Z326" s="28" t="str">
        <f aca="false">IF(X326&gt;0,"Win",IF(X326&lt;0,"Loss","Flat"))</f>
        <v>Win</v>
      </c>
      <c r="AA326" s="28" t="n">
        <f aca="false">ROUND((C326-B326)*1440,1)</f>
        <v>43</v>
      </c>
      <c r="AB326" s="28" t="str">
        <f aca="false">IF(AA326&lt;1,"a) &lt;1 min",IF(AA326&lt;10,"b) 1-10 min",IF(AA326&lt;60,"c) 10-60 min",IF(AA326&lt;240,"d) 1-4 h","e) 4 h+"))))</f>
        <v>c) 10-60 min</v>
      </c>
      <c r="AC326" s="28" t="str">
        <f aca="false">IF(P326&lt;10,"a) &lt;10",IF(P326&lt;20,"b) 10-20",IF(P326&lt;40,"c) 20-40",IF(P326&lt;80,"d) 40-80","e) 80+"))))</f>
        <v>d) 40-80</v>
      </c>
      <c r="AD326" s="30" t="n">
        <f aca="false">Summary!$C$5+SUM(X$2:X326)</f>
        <v>105871.23</v>
      </c>
      <c r="AE326" s="30" t="n">
        <f aca="false">MAX(AE325,AD326)</f>
        <v>106588.89</v>
      </c>
      <c r="AF326" s="30" t="n">
        <f aca="false">AE326-AD326</f>
        <v>717.660000000004</v>
      </c>
      <c r="AG326" s="29" t="n">
        <f aca="false">IFERROR(AF326/AE326,0)</f>
        <v>0.00673297188853363</v>
      </c>
    </row>
    <row r="327" customFormat="false" ht="15" hidden="false" customHeight="false" outlineLevel="0" collapsed="false">
      <c r="A327" s="28" t="n">
        <v>326</v>
      </c>
      <c r="B327" s="43" t="n">
        <v>45488.7472222222</v>
      </c>
      <c r="C327" s="43" t="n">
        <v>45488.7612037037</v>
      </c>
      <c r="D327" s="42" t="n">
        <f aca="false">INT(C327)</f>
        <v>45488</v>
      </c>
      <c r="E327" s="42" t="n">
        <f aca="false">D327-WEEKDAY(D327,3)</f>
        <v>45488</v>
      </c>
      <c r="F327" s="28" t="s">
        <v>158</v>
      </c>
      <c r="G327" s="28" t="n">
        <v>2024</v>
      </c>
      <c r="H327" s="28" t="s">
        <v>240</v>
      </c>
      <c r="I327" s="28" t="n">
        <v>17</v>
      </c>
      <c r="J327" s="28" t="s">
        <v>233</v>
      </c>
      <c r="K327" s="28" t="s">
        <v>234</v>
      </c>
      <c r="L327" s="28" t="n">
        <v>0.23</v>
      </c>
      <c r="M327" s="31" t="n">
        <v>20529.61</v>
      </c>
      <c r="N327" s="31" t="n">
        <v>20509.75</v>
      </c>
      <c r="O327" s="31" t="n">
        <v>20569.34</v>
      </c>
      <c r="P327" s="44" t="n">
        <f aca="false">ABS(M327-N327)</f>
        <v>19.8600000000006</v>
      </c>
      <c r="Q327" s="44" t="n">
        <f aca="false">IF(O327="","",ABS(O327-M327))</f>
        <v>39.7299999999996</v>
      </c>
      <c r="R327" s="30" t="n">
        <f aca="false">P327*L327*Summary!$C$6</f>
        <v>91.3560000000027</v>
      </c>
      <c r="S327" s="31" t="n">
        <v>20569.52</v>
      </c>
      <c r="T327" s="28" t="s">
        <v>214</v>
      </c>
      <c r="U327" s="44" t="n">
        <f aca="false">IF(J327="BUY",S327-M327,M327-S327)</f>
        <v>39.9099999999999</v>
      </c>
      <c r="V327" s="45" t="n">
        <v>0</v>
      </c>
      <c r="W327" s="45" t="n">
        <v>0</v>
      </c>
      <c r="X327" s="45" t="n">
        <v>183.59</v>
      </c>
      <c r="Y327" s="32" t="n">
        <f aca="false">IFERROR(X327/R327,0)</f>
        <v>2.00961075353556</v>
      </c>
      <c r="Z327" s="28" t="str">
        <f aca="false">IF(X327&gt;0,"Win",IF(X327&lt;0,"Loss","Flat"))</f>
        <v>Win</v>
      </c>
      <c r="AA327" s="28" t="n">
        <f aca="false">ROUND((C327-B327)*1440,1)</f>
        <v>20.1</v>
      </c>
      <c r="AB327" s="28" t="str">
        <f aca="false">IF(AA327&lt;1,"a) &lt;1 min",IF(AA327&lt;10,"b) 1-10 min",IF(AA327&lt;60,"c) 10-60 min",IF(AA327&lt;240,"d) 1-4 h","e) 4 h+"))))</f>
        <v>c) 10-60 min</v>
      </c>
      <c r="AC327" s="28" t="str">
        <f aca="false">IF(P327&lt;10,"a) &lt;10",IF(P327&lt;20,"b) 10-20",IF(P327&lt;40,"c) 20-40",IF(P327&lt;80,"d) 40-80","e) 80+"))))</f>
        <v>b) 10-20</v>
      </c>
      <c r="AD327" s="30" t="n">
        <f aca="false">Summary!$C$5+SUM(X$2:X327)</f>
        <v>106054.82</v>
      </c>
      <c r="AE327" s="30" t="n">
        <f aca="false">MAX(AE326,AD327)</f>
        <v>106588.89</v>
      </c>
      <c r="AF327" s="30" t="n">
        <f aca="false">AE327-AD327</f>
        <v>534.069999999992</v>
      </c>
      <c r="AG327" s="29" t="n">
        <f aca="false">IFERROR(AF327/AE327,0)</f>
        <v>0.00501055973094375</v>
      </c>
    </row>
    <row r="328" customFormat="false" ht="15" hidden="false" customHeight="false" outlineLevel="0" collapsed="false">
      <c r="A328" s="28" t="n">
        <v>327</v>
      </c>
      <c r="B328" s="43" t="n">
        <v>45489.7145833333</v>
      </c>
      <c r="C328" s="43" t="n">
        <v>45489.7219328704</v>
      </c>
      <c r="D328" s="42" t="n">
        <f aca="false">INT(C328)</f>
        <v>45489</v>
      </c>
      <c r="E328" s="42" t="n">
        <f aca="false">D328-WEEKDAY(D328,3)</f>
        <v>45488</v>
      </c>
      <c r="F328" s="28" t="s">
        <v>158</v>
      </c>
      <c r="G328" s="28" t="n">
        <v>2024</v>
      </c>
      <c r="H328" s="28" t="s">
        <v>232</v>
      </c>
      <c r="I328" s="28" t="n">
        <v>17</v>
      </c>
      <c r="J328" s="28" t="s">
        <v>236</v>
      </c>
      <c r="K328" s="28" t="s">
        <v>237</v>
      </c>
      <c r="L328" s="28" t="n">
        <v>0.23</v>
      </c>
      <c r="M328" s="31" t="n">
        <v>20294.19</v>
      </c>
      <c r="N328" s="31" t="n">
        <v>20332.54</v>
      </c>
      <c r="O328" s="31" t="n">
        <v>20217.49</v>
      </c>
      <c r="P328" s="44" t="n">
        <f aca="false">ABS(M328-N328)</f>
        <v>38.3500000000022</v>
      </c>
      <c r="Q328" s="44" t="n">
        <f aca="false">IF(O328="","",ABS(O328-M328))</f>
        <v>76.6999999999971</v>
      </c>
      <c r="R328" s="30" t="n">
        <f aca="false">P328*L328*Summary!$C$6</f>
        <v>176.41000000001</v>
      </c>
      <c r="S328" s="31" t="n">
        <v>20333.15</v>
      </c>
      <c r="T328" s="28" t="s">
        <v>241</v>
      </c>
      <c r="U328" s="44" t="n">
        <f aca="false">IF(J328="BUY",S328-M328,M328-S328)</f>
        <v>-38.9600000000028</v>
      </c>
      <c r="V328" s="45" t="n">
        <v>0</v>
      </c>
      <c r="W328" s="45" t="n">
        <v>0</v>
      </c>
      <c r="X328" s="45" t="n">
        <v>-179.22</v>
      </c>
      <c r="Y328" s="32" t="n">
        <f aca="false">IFERROR(X328/R328,0)</f>
        <v>-1.01592880222204</v>
      </c>
      <c r="Z328" s="28" t="str">
        <f aca="false">IF(X328&gt;0,"Win",IF(X328&lt;0,"Loss","Flat"))</f>
        <v>Loss</v>
      </c>
      <c r="AA328" s="28" t="n">
        <f aca="false">ROUND((C328-B328)*1440,1)</f>
        <v>10.6</v>
      </c>
      <c r="AB328" s="28" t="str">
        <f aca="false">IF(AA328&lt;1,"a) &lt;1 min",IF(AA328&lt;10,"b) 1-10 min",IF(AA328&lt;60,"c) 10-60 min",IF(AA328&lt;240,"d) 1-4 h","e) 4 h+"))))</f>
        <v>c) 10-60 min</v>
      </c>
      <c r="AC328" s="28" t="str">
        <f aca="false">IF(P328&lt;10,"a) &lt;10",IF(P328&lt;20,"b) 10-20",IF(P328&lt;40,"c) 20-40",IF(P328&lt;80,"d) 40-80","e) 80+"))))</f>
        <v>c) 20-40</v>
      </c>
      <c r="AD328" s="30" t="n">
        <f aca="false">Summary!$C$5+SUM(X$2:X328)</f>
        <v>105875.6</v>
      </c>
      <c r="AE328" s="30" t="n">
        <f aca="false">MAX(AE327,AD328)</f>
        <v>106588.89</v>
      </c>
      <c r="AF328" s="30" t="n">
        <f aca="false">AE328-AD328</f>
        <v>713.289999999994</v>
      </c>
      <c r="AG328" s="29" t="n">
        <f aca="false">IFERROR(AF328/AE328,0)</f>
        <v>0.00669197324411572</v>
      </c>
    </row>
    <row r="329" customFormat="false" ht="15" hidden="false" customHeight="false" outlineLevel="0" collapsed="false">
      <c r="A329" s="28" t="n">
        <v>328</v>
      </c>
      <c r="B329" s="43" t="n">
        <v>45490.3875</v>
      </c>
      <c r="C329" s="43" t="n">
        <v>45490.3912847222</v>
      </c>
      <c r="D329" s="42" t="n">
        <f aca="false">INT(C329)</f>
        <v>45490</v>
      </c>
      <c r="E329" s="42" t="n">
        <f aca="false">D329-WEEKDAY(D329,3)</f>
        <v>45488</v>
      </c>
      <c r="F329" s="28" t="s">
        <v>158</v>
      </c>
      <c r="G329" s="28" t="n">
        <v>2024</v>
      </c>
      <c r="H329" s="28" t="s">
        <v>235</v>
      </c>
      <c r="I329" s="28" t="n">
        <v>9</v>
      </c>
      <c r="J329" s="28" t="s">
        <v>236</v>
      </c>
      <c r="K329" s="28" t="s">
        <v>237</v>
      </c>
      <c r="L329" s="28" t="n">
        <v>0.23</v>
      </c>
      <c r="M329" s="31" t="n">
        <v>20257.93</v>
      </c>
      <c r="N329" s="31" t="n">
        <v>20271.55</v>
      </c>
      <c r="O329" s="31" t="n">
        <v>20230.68</v>
      </c>
      <c r="P329" s="44" t="n">
        <f aca="false">ABS(M329-N329)</f>
        <v>13.619999999999</v>
      </c>
      <c r="Q329" s="44" t="n">
        <f aca="false">IF(O329="","",ABS(O329-M329))</f>
        <v>27.25</v>
      </c>
      <c r="R329" s="30" t="n">
        <f aca="false">P329*L329*Summary!$C$6</f>
        <v>62.6519999999953</v>
      </c>
      <c r="S329" s="31" t="n">
        <v>20229.8</v>
      </c>
      <c r="T329" s="28" t="s">
        <v>214</v>
      </c>
      <c r="U329" s="44" t="n">
        <f aca="false">IF(J329="BUY",S329-M329,M329-S329)</f>
        <v>28.130000000001</v>
      </c>
      <c r="V329" s="45" t="n">
        <v>0</v>
      </c>
      <c r="W329" s="45" t="n">
        <v>0</v>
      </c>
      <c r="X329" s="45" t="n">
        <v>129.4</v>
      </c>
      <c r="Y329" s="32" t="n">
        <f aca="false">IFERROR(X329/R329,0)</f>
        <v>2.06537700312855</v>
      </c>
      <c r="Z329" s="28" t="str">
        <f aca="false">IF(X329&gt;0,"Win",IF(X329&lt;0,"Loss","Flat"))</f>
        <v>Win</v>
      </c>
      <c r="AA329" s="28" t="n">
        <f aca="false">ROUND((C329-B329)*1440,1)</f>
        <v>5.5</v>
      </c>
      <c r="AB329" s="28" t="str">
        <f aca="false">IF(AA329&lt;1,"a) &lt;1 min",IF(AA329&lt;10,"b) 1-10 min",IF(AA329&lt;60,"c) 10-60 min",IF(AA329&lt;240,"d) 1-4 h","e) 4 h+"))))</f>
        <v>b) 1-10 min</v>
      </c>
      <c r="AC329" s="28" t="str">
        <f aca="false">IF(P329&lt;10,"a) &lt;10",IF(P329&lt;20,"b) 10-20",IF(P329&lt;40,"c) 20-40",IF(P329&lt;80,"d) 40-80","e) 80+"))))</f>
        <v>b) 10-20</v>
      </c>
      <c r="AD329" s="30" t="n">
        <f aca="false">Summary!$C$5+SUM(X$2:X329)</f>
        <v>106005</v>
      </c>
      <c r="AE329" s="30" t="n">
        <f aca="false">MAX(AE328,AD329)</f>
        <v>106588.89</v>
      </c>
      <c r="AF329" s="30" t="n">
        <f aca="false">AE329-AD329</f>
        <v>583.889999999999</v>
      </c>
      <c r="AG329" s="29" t="n">
        <f aca="false">IFERROR(AF329/AE329,0)</f>
        <v>0.0054779630409886</v>
      </c>
    </row>
    <row r="330" customFormat="false" ht="15" hidden="false" customHeight="false" outlineLevel="0" collapsed="false">
      <c r="A330" s="28" t="n">
        <v>329</v>
      </c>
      <c r="B330" s="43" t="n">
        <v>45491.7326388889</v>
      </c>
      <c r="C330" s="43" t="n">
        <v>45491.7431712963</v>
      </c>
      <c r="D330" s="42" t="n">
        <f aca="false">INT(C330)</f>
        <v>45491</v>
      </c>
      <c r="E330" s="42" t="n">
        <f aca="false">D330-WEEKDAY(D330,3)</f>
        <v>45488</v>
      </c>
      <c r="F330" s="28" t="s">
        <v>158</v>
      </c>
      <c r="G330" s="28" t="n">
        <v>2024</v>
      </c>
      <c r="H330" s="28" t="s">
        <v>239</v>
      </c>
      <c r="I330" s="28" t="n">
        <v>17</v>
      </c>
      <c r="J330" s="28" t="s">
        <v>236</v>
      </c>
      <c r="K330" s="28" t="s">
        <v>237</v>
      </c>
      <c r="L330" s="28" t="n">
        <v>0.24</v>
      </c>
      <c r="M330" s="31" t="n">
        <v>19770.13</v>
      </c>
      <c r="N330" s="31" t="n">
        <v>19810.45</v>
      </c>
      <c r="O330" s="31" t="n">
        <v>19689.49</v>
      </c>
      <c r="P330" s="44" t="n">
        <f aca="false">ABS(M330-N330)</f>
        <v>40.3199999999997</v>
      </c>
      <c r="Q330" s="44" t="n">
        <f aca="false">IF(O330="","",ABS(O330-M330))</f>
        <v>80.6399999999994</v>
      </c>
      <c r="R330" s="30" t="n">
        <f aca="false">P330*L330*Summary!$C$6</f>
        <v>193.535999999999</v>
      </c>
      <c r="S330" s="31" t="n">
        <v>19770.45</v>
      </c>
      <c r="T330" s="28" t="s">
        <v>238</v>
      </c>
      <c r="U330" s="44" t="n">
        <f aca="false">IF(J330="BUY",S330-M330,M330-S330)</f>
        <v>-0.319999999999709</v>
      </c>
      <c r="V330" s="45" t="n">
        <v>0</v>
      </c>
      <c r="W330" s="45" t="n">
        <v>0</v>
      </c>
      <c r="X330" s="45" t="n">
        <v>-1.54</v>
      </c>
      <c r="Y330" s="32" t="n">
        <f aca="false">IFERROR(X330/R330,0)</f>
        <v>-0.00795717592592598</v>
      </c>
      <c r="Z330" s="28" t="str">
        <f aca="false">IF(X330&gt;0,"Win",IF(X330&lt;0,"Loss","Flat"))</f>
        <v>Loss</v>
      </c>
      <c r="AA330" s="28" t="n">
        <f aca="false">ROUND((C330-B330)*1440,1)</f>
        <v>15.2</v>
      </c>
      <c r="AB330" s="28" t="str">
        <f aca="false">IF(AA330&lt;1,"a) &lt;1 min",IF(AA330&lt;10,"b) 1-10 min",IF(AA330&lt;60,"c) 10-60 min",IF(AA330&lt;240,"d) 1-4 h","e) 4 h+"))))</f>
        <v>c) 10-60 min</v>
      </c>
      <c r="AC330" s="28" t="str">
        <f aca="false">IF(P330&lt;10,"a) &lt;10",IF(P330&lt;20,"b) 10-20",IF(P330&lt;40,"c) 20-40",IF(P330&lt;80,"d) 40-80","e) 80+"))))</f>
        <v>d) 40-80</v>
      </c>
      <c r="AD330" s="30" t="n">
        <f aca="false">Summary!$C$5+SUM(X$2:X330)</f>
        <v>106003.46</v>
      </c>
      <c r="AE330" s="30" t="n">
        <f aca="false">MAX(AE329,AD330)</f>
        <v>106588.89</v>
      </c>
      <c r="AF330" s="30" t="n">
        <f aca="false">AE330-AD330</f>
        <v>585.429999999993</v>
      </c>
      <c r="AG330" s="29" t="n">
        <f aca="false">IFERROR(AF330/AE330,0)</f>
        <v>0.00549241107586347</v>
      </c>
    </row>
    <row r="331" customFormat="false" ht="15" hidden="false" customHeight="false" outlineLevel="0" collapsed="false">
      <c r="A331" s="28" t="n">
        <v>330</v>
      </c>
      <c r="B331" s="43" t="n">
        <v>45492.7708333333</v>
      </c>
      <c r="C331" s="43" t="n">
        <v>45492.7833449074</v>
      </c>
      <c r="D331" s="42" t="n">
        <f aca="false">INT(C331)</f>
        <v>45492</v>
      </c>
      <c r="E331" s="42" t="n">
        <f aca="false">D331-WEEKDAY(D331,3)</f>
        <v>45488</v>
      </c>
      <c r="F331" s="28" t="s">
        <v>158</v>
      </c>
      <c r="G331" s="28" t="n">
        <v>2024</v>
      </c>
      <c r="H331" s="28" t="s">
        <v>242</v>
      </c>
      <c r="I331" s="28" t="n">
        <v>18</v>
      </c>
      <c r="J331" s="28" t="s">
        <v>236</v>
      </c>
      <c r="K331" s="28" t="s">
        <v>237</v>
      </c>
      <c r="L331" s="28" t="n">
        <v>0.24</v>
      </c>
      <c r="M331" s="31" t="n">
        <v>19568.8</v>
      </c>
      <c r="N331" s="31" t="n">
        <v>19601.11</v>
      </c>
      <c r="O331" s="31" t="n">
        <v>19504.19</v>
      </c>
      <c r="P331" s="44" t="n">
        <f aca="false">ABS(M331-N331)</f>
        <v>32.3100000000013</v>
      </c>
      <c r="Q331" s="44" t="n">
        <f aca="false">IF(O331="","",ABS(O331-M331))</f>
        <v>64.6100000000006</v>
      </c>
      <c r="R331" s="30" t="n">
        <f aca="false">P331*L331*Summary!$C$6</f>
        <v>155.088000000006</v>
      </c>
      <c r="S331" s="31" t="n">
        <v>19569.17</v>
      </c>
      <c r="T331" s="28" t="s">
        <v>238</v>
      </c>
      <c r="U331" s="44" t="n">
        <f aca="false">IF(J331="BUY",S331-M331,M331-S331)</f>
        <v>-0.369999999998981</v>
      </c>
      <c r="V331" s="45" t="n">
        <v>0</v>
      </c>
      <c r="W331" s="45" t="n">
        <v>0</v>
      </c>
      <c r="X331" s="45" t="n">
        <v>-1.78</v>
      </c>
      <c r="Y331" s="32" t="n">
        <f aca="false">IFERROR(X331/R331,0)</f>
        <v>-0.0114773547921176</v>
      </c>
      <c r="Z331" s="28" t="str">
        <f aca="false">IF(X331&gt;0,"Win",IF(X331&lt;0,"Loss","Flat"))</f>
        <v>Loss</v>
      </c>
      <c r="AA331" s="28" t="n">
        <f aca="false">ROUND((C331-B331)*1440,1)</f>
        <v>18</v>
      </c>
      <c r="AB331" s="28" t="str">
        <f aca="false">IF(AA331&lt;1,"a) &lt;1 min",IF(AA331&lt;10,"b) 1-10 min",IF(AA331&lt;60,"c) 10-60 min",IF(AA331&lt;240,"d) 1-4 h","e) 4 h+"))))</f>
        <v>c) 10-60 min</v>
      </c>
      <c r="AC331" s="28" t="str">
        <f aca="false">IF(P331&lt;10,"a) &lt;10",IF(P331&lt;20,"b) 10-20",IF(P331&lt;40,"c) 20-40",IF(P331&lt;80,"d) 40-80","e) 80+"))))</f>
        <v>c) 20-40</v>
      </c>
      <c r="AD331" s="30" t="n">
        <f aca="false">Summary!$C$5+SUM(X$2:X331)</f>
        <v>106001.68</v>
      </c>
      <c r="AE331" s="30" t="n">
        <f aca="false">MAX(AE330,AD331)</f>
        <v>106588.89</v>
      </c>
      <c r="AF331" s="30" t="n">
        <f aca="false">AE331-AD331</f>
        <v>587.210000000006</v>
      </c>
      <c r="AG331" s="29" t="n">
        <f aca="false">IFERROR(AF331/AE331,0)</f>
        <v>0.00550911075253722</v>
      </c>
    </row>
    <row r="332" customFormat="false" ht="15" hidden="false" customHeight="false" outlineLevel="0" collapsed="false">
      <c r="A332" s="28" t="n">
        <v>331</v>
      </c>
      <c r="B332" s="43" t="n">
        <v>45495.69375</v>
      </c>
      <c r="C332" s="43" t="n">
        <v>45495.7066319444</v>
      </c>
      <c r="D332" s="42" t="n">
        <f aca="false">INT(C332)</f>
        <v>45495</v>
      </c>
      <c r="E332" s="42" t="n">
        <f aca="false">D332-WEEKDAY(D332,3)</f>
        <v>45495</v>
      </c>
      <c r="F332" s="28" t="s">
        <v>158</v>
      </c>
      <c r="G332" s="28" t="n">
        <v>2024</v>
      </c>
      <c r="H332" s="28" t="s">
        <v>240</v>
      </c>
      <c r="I332" s="28" t="n">
        <v>16</v>
      </c>
      <c r="J332" s="28" t="s">
        <v>233</v>
      </c>
      <c r="K332" s="28" t="s">
        <v>234</v>
      </c>
      <c r="L332" s="28" t="n">
        <v>0.24</v>
      </c>
      <c r="M332" s="31" t="n">
        <v>19797.3</v>
      </c>
      <c r="N332" s="31" t="n">
        <v>19748.32</v>
      </c>
      <c r="O332" s="31" t="n">
        <v>19895.26</v>
      </c>
      <c r="P332" s="44" t="n">
        <f aca="false">ABS(M332-N332)</f>
        <v>48.9799999999996</v>
      </c>
      <c r="Q332" s="44" t="n">
        <f aca="false">IF(O332="","",ABS(O332-M332))</f>
        <v>97.9599999999991</v>
      </c>
      <c r="R332" s="30" t="n">
        <f aca="false">P332*L332*Summary!$C$6</f>
        <v>235.103999999998</v>
      </c>
      <c r="S332" s="31" t="n">
        <v>19796.8</v>
      </c>
      <c r="T332" s="28" t="s">
        <v>238</v>
      </c>
      <c r="U332" s="44" t="n">
        <f aca="false">IF(J332="BUY",S332-M332,M332-S332)</f>
        <v>-0.5</v>
      </c>
      <c r="V332" s="45" t="n">
        <v>0</v>
      </c>
      <c r="W332" s="45" t="n">
        <v>0</v>
      </c>
      <c r="X332" s="45" t="n">
        <v>-2.4</v>
      </c>
      <c r="Y332" s="32" t="n">
        <f aca="false">IFERROR(X332/R332,0)</f>
        <v>-0.0102082482645979</v>
      </c>
      <c r="Z332" s="28" t="str">
        <f aca="false">IF(X332&gt;0,"Win",IF(X332&lt;0,"Loss","Flat"))</f>
        <v>Loss</v>
      </c>
      <c r="AA332" s="28" t="n">
        <f aca="false">ROUND((C332-B332)*1440,1)</f>
        <v>18.6</v>
      </c>
      <c r="AB332" s="28" t="str">
        <f aca="false">IF(AA332&lt;1,"a) &lt;1 min",IF(AA332&lt;10,"b) 1-10 min",IF(AA332&lt;60,"c) 10-60 min",IF(AA332&lt;240,"d) 1-4 h","e) 4 h+"))))</f>
        <v>c) 10-60 min</v>
      </c>
      <c r="AC332" s="28" t="str">
        <f aca="false">IF(P332&lt;10,"a) &lt;10",IF(P332&lt;20,"b) 10-20",IF(P332&lt;40,"c) 20-40",IF(P332&lt;80,"d) 40-80","e) 80+"))))</f>
        <v>d) 40-80</v>
      </c>
      <c r="AD332" s="30" t="n">
        <f aca="false">Summary!$C$5+SUM(X$2:X332)</f>
        <v>105999.28</v>
      </c>
      <c r="AE332" s="30" t="n">
        <f aca="false">MAX(AE331,AD332)</f>
        <v>106588.89</v>
      </c>
      <c r="AF332" s="30" t="n">
        <f aca="false">AE332-AD332</f>
        <v>589.610000000001</v>
      </c>
      <c r="AG332" s="29" t="n">
        <f aca="false">IFERROR(AF332/AE332,0)</f>
        <v>0.00553162717052406</v>
      </c>
    </row>
    <row r="333" customFormat="false" ht="15" hidden="false" customHeight="false" outlineLevel="0" collapsed="false">
      <c r="A333" s="28" t="n">
        <v>332</v>
      </c>
      <c r="B333" s="43" t="n">
        <v>45496.7236111111</v>
      </c>
      <c r="C333" s="43" t="n">
        <v>45496.7295717593</v>
      </c>
      <c r="D333" s="42" t="n">
        <f aca="false">INT(C333)</f>
        <v>45496</v>
      </c>
      <c r="E333" s="42" t="n">
        <f aca="false">D333-WEEKDAY(D333,3)</f>
        <v>45495</v>
      </c>
      <c r="F333" s="28" t="s">
        <v>158</v>
      </c>
      <c r="G333" s="28" t="n">
        <v>2024</v>
      </c>
      <c r="H333" s="28" t="s">
        <v>232</v>
      </c>
      <c r="I333" s="28" t="n">
        <v>17</v>
      </c>
      <c r="J333" s="28" t="s">
        <v>233</v>
      </c>
      <c r="K333" s="28" t="s">
        <v>234</v>
      </c>
      <c r="L333" s="28" t="n">
        <v>0.24</v>
      </c>
      <c r="M333" s="31" t="n">
        <v>19867.59</v>
      </c>
      <c r="N333" s="31" t="n">
        <v>19834.08</v>
      </c>
      <c r="O333" s="31" t="n">
        <v>19934.61</v>
      </c>
      <c r="P333" s="44" t="n">
        <f aca="false">ABS(M333-N333)</f>
        <v>33.5099999999984</v>
      </c>
      <c r="Q333" s="44" t="n">
        <f aca="false">IF(O333="","",ABS(O333-M333))</f>
        <v>67.0200000000004</v>
      </c>
      <c r="R333" s="30" t="n">
        <f aca="false">P333*L333*Summary!$C$6</f>
        <v>160.847999999992</v>
      </c>
      <c r="S333" s="31" t="n">
        <v>19833.81</v>
      </c>
      <c r="T333" s="28" t="s">
        <v>241</v>
      </c>
      <c r="U333" s="44" t="n">
        <f aca="false">IF(J333="BUY",S333-M333,M333-S333)</f>
        <v>-33.7799999999988</v>
      </c>
      <c r="V333" s="45" t="n">
        <v>0</v>
      </c>
      <c r="W333" s="45" t="n">
        <v>0</v>
      </c>
      <c r="X333" s="45" t="n">
        <v>-162.14</v>
      </c>
      <c r="Y333" s="32" t="n">
        <f aca="false">IFERROR(X333/R333,0)</f>
        <v>-1.00803242813095</v>
      </c>
      <c r="Z333" s="28" t="str">
        <f aca="false">IF(X333&gt;0,"Win",IF(X333&lt;0,"Loss","Flat"))</f>
        <v>Loss</v>
      </c>
      <c r="AA333" s="28" t="n">
        <f aca="false">ROUND((C333-B333)*1440,1)</f>
        <v>8.6</v>
      </c>
      <c r="AB333" s="28" t="str">
        <f aca="false">IF(AA333&lt;1,"a) &lt;1 min",IF(AA333&lt;10,"b) 1-10 min",IF(AA333&lt;60,"c) 10-60 min",IF(AA333&lt;240,"d) 1-4 h","e) 4 h+"))))</f>
        <v>b) 1-10 min</v>
      </c>
      <c r="AC333" s="28" t="str">
        <f aca="false">IF(P333&lt;10,"a) &lt;10",IF(P333&lt;20,"b) 10-20",IF(P333&lt;40,"c) 20-40",IF(P333&lt;80,"d) 40-80","e) 80+"))))</f>
        <v>c) 20-40</v>
      </c>
      <c r="AD333" s="30" t="n">
        <f aca="false">Summary!$C$5+SUM(X$2:X333)</f>
        <v>105837.14</v>
      </c>
      <c r="AE333" s="30" t="n">
        <f aca="false">MAX(AE332,AD333)</f>
        <v>106588.89</v>
      </c>
      <c r="AF333" s="30" t="n">
        <f aca="false">AE333-AD333</f>
        <v>751.75</v>
      </c>
      <c r="AG333" s="29" t="n">
        <f aca="false">IFERROR(AF333/AE333,0)</f>
        <v>0.0070527988423559</v>
      </c>
    </row>
    <row r="334" customFormat="false" ht="15" hidden="false" customHeight="false" outlineLevel="0" collapsed="false">
      <c r="A334" s="28" t="n">
        <v>333</v>
      </c>
      <c r="B334" s="43" t="n">
        <v>45497.0465393519</v>
      </c>
      <c r="C334" s="43" t="n">
        <v>45497.3316782407</v>
      </c>
      <c r="D334" s="42" t="n">
        <f aca="false">INT(C334)</f>
        <v>45497</v>
      </c>
      <c r="E334" s="42" t="n">
        <f aca="false">D334-WEEKDAY(D334,3)</f>
        <v>45495</v>
      </c>
      <c r="F334" s="28" t="s">
        <v>158</v>
      </c>
      <c r="G334" s="28" t="n">
        <v>2024</v>
      </c>
      <c r="H334" s="28" t="s">
        <v>235</v>
      </c>
      <c r="I334" s="28" t="n">
        <v>1</v>
      </c>
      <c r="J334" s="28" t="s">
        <v>236</v>
      </c>
      <c r="K334" s="28" t="s">
        <v>237</v>
      </c>
      <c r="L334" s="28" t="n">
        <v>0.24</v>
      </c>
      <c r="M334" s="31" t="n">
        <v>19661.69</v>
      </c>
      <c r="N334" s="31" t="n">
        <v>19713.38</v>
      </c>
      <c r="O334" s="31" t="n">
        <v>19558.31</v>
      </c>
      <c r="P334" s="44" t="n">
        <f aca="false">ABS(M334-N334)</f>
        <v>51.6900000000023</v>
      </c>
      <c r="Q334" s="44" t="n">
        <f aca="false">IF(O334="","",ABS(O334-M334))</f>
        <v>103.379999999997</v>
      </c>
      <c r="R334" s="30" t="n">
        <f aca="false">P334*L334*Summary!$C$6</f>
        <v>248.112000000011</v>
      </c>
      <c r="S334" s="31" t="n">
        <v>19557.79</v>
      </c>
      <c r="T334" s="28" t="s">
        <v>214</v>
      </c>
      <c r="U334" s="44" t="n">
        <f aca="false">IF(J334="BUY",S334-M334,M334-S334)</f>
        <v>103.899999999998</v>
      </c>
      <c r="V334" s="45" t="n">
        <v>0</v>
      </c>
      <c r="W334" s="45" t="n">
        <v>0</v>
      </c>
      <c r="X334" s="45" t="n">
        <v>498.72</v>
      </c>
      <c r="Y334" s="32" t="n">
        <f aca="false">IFERROR(X334/R334,0)</f>
        <v>2.01005997291537</v>
      </c>
      <c r="Z334" s="28" t="str">
        <f aca="false">IF(X334&gt;0,"Win",IF(X334&lt;0,"Loss","Flat"))</f>
        <v>Win</v>
      </c>
      <c r="AA334" s="28" t="n">
        <f aca="false">ROUND((C334-B334)*1440,1)</f>
        <v>410.6</v>
      </c>
      <c r="AB334" s="28" t="str">
        <f aca="false">IF(AA334&lt;1,"a) &lt;1 min",IF(AA334&lt;10,"b) 1-10 min",IF(AA334&lt;60,"c) 10-60 min",IF(AA334&lt;240,"d) 1-4 h","e) 4 h+"))))</f>
        <v>e) 4 h+</v>
      </c>
      <c r="AC334" s="28" t="str">
        <f aca="false">IF(P334&lt;10,"a) &lt;10",IF(P334&lt;20,"b) 10-20",IF(P334&lt;40,"c) 20-40",IF(P334&lt;80,"d) 40-80","e) 80+"))))</f>
        <v>d) 40-80</v>
      </c>
      <c r="AD334" s="30" t="n">
        <f aca="false">Summary!$C$5+SUM(X$2:X334)</f>
        <v>106335.86</v>
      </c>
      <c r="AE334" s="30" t="n">
        <f aca="false">MAX(AE333,AD334)</f>
        <v>106588.89</v>
      </c>
      <c r="AF334" s="30" t="n">
        <f aca="false">AE334-AD334</f>
        <v>253.029999999999</v>
      </c>
      <c r="AG334" s="29" t="n">
        <f aca="false">IFERROR(AF334/AE334,0)</f>
        <v>0.00237388718467749</v>
      </c>
    </row>
    <row r="335" customFormat="false" ht="15" hidden="false" customHeight="false" outlineLevel="0" collapsed="false">
      <c r="A335" s="28" t="n">
        <v>334</v>
      </c>
      <c r="B335" s="43" t="n">
        <v>45498.3826388889</v>
      </c>
      <c r="C335" s="43" t="n">
        <v>45498.3888888889</v>
      </c>
      <c r="D335" s="42" t="n">
        <f aca="false">INT(C335)</f>
        <v>45498</v>
      </c>
      <c r="E335" s="42" t="n">
        <f aca="false">D335-WEEKDAY(D335,3)</f>
        <v>45495</v>
      </c>
      <c r="F335" s="28" t="s">
        <v>158</v>
      </c>
      <c r="G335" s="28" t="n">
        <v>2024</v>
      </c>
      <c r="H335" s="28" t="s">
        <v>239</v>
      </c>
      <c r="I335" s="28" t="n">
        <v>9</v>
      </c>
      <c r="J335" s="28" t="s">
        <v>236</v>
      </c>
      <c r="K335" s="28" t="s">
        <v>237</v>
      </c>
      <c r="L335" s="28" t="n">
        <v>0.25</v>
      </c>
      <c r="M335" s="31" t="n">
        <v>19002.31</v>
      </c>
      <c r="N335" s="31" t="n">
        <v>19037.92</v>
      </c>
      <c r="O335" s="31" t="n">
        <v>18931.09</v>
      </c>
      <c r="P335" s="44" t="n">
        <f aca="false">ABS(M335-N335)</f>
        <v>35.6099999999969</v>
      </c>
      <c r="Q335" s="44" t="n">
        <f aca="false">IF(O335="","",ABS(O335-M335))</f>
        <v>71.2200000000012</v>
      </c>
      <c r="R335" s="30" t="n">
        <f aca="false">P335*L335*Summary!$C$6</f>
        <v>178.049999999985</v>
      </c>
      <c r="S335" s="31" t="n">
        <v>19039.06</v>
      </c>
      <c r="T335" s="28" t="s">
        <v>241</v>
      </c>
      <c r="U335" s="44" t="n">
        <f aca="false">IF(J335="BUY",S335-M335,M335-S335)</f>
        <v>-36.75</v>
      </c>
      <c r="V335" s="45" t="n">
        <v>0</v>
      </c>
      <c r="W335" s="45" t="n">
        <v>0</v>
      </c>
      <c r="X335" s="45" t="n">
        <v>-183.75</v>
      </c>
      <c r="Y335" s="32" t="n">
        <f aca="false">IFERROR(X335/R335,0)</f>
        <v>-1.03201347935982</v>
      </c>
      <c r="Z335" s="28" t="str">
        <f aca="false">IF(X335&gt;0,"Win",IF(X335&lt;0,"Loss","Flat"))</f>
        <v>Loss</v>
      </c>
      <c r="AA335" s="28" t="n">
        <f aca="false">ROUND((C335-B335)*1440,1)</f>
        <v>9</v>
      </c>
      <c r="AB335" s="28" t="str">
        <f aca="false">IF(AA335&lt;1,"a) &lt;1 min",IF(AA335&lt;10,"b) 1-10 min",IF(AA335&lt;60,"c) 10-60 min",IF(AA335&lt;240,"d) 1-4 h","e) 4 h+"))))</f>
        <v>b) 1-10 min</v>
      </c>
      <c r="AC335" s="28" t="str">
        <f aca="false">IF(P335&lt;10,"a) &lt;10",IF(P335&lt;20,"b) 10-20",IF(P335&lt;40,"c) 20-40",IF(P335&lt;80,"d) 40-80","e) 80+"))))</f>
        <v>c) 20-40</v>
      </c>
      <c r="AD335" s="30" t="n">
        <f aca="false">Summary!$C$5+SUM(X$2:X335)</f>
        <v>106152.11</v>
      </c>
      <c r="AE335" s="30" t="n">
        <f aca="false">MAX(AE334,AD335)</f>
        <v>106588.89</v>
      </c>
      <c r="AF335" s="30" t="n">
        <f aca="false">AE335-AD335</f>
        <v>436.779999999999</v>
      </c>
      <c r="AG335" s="29" t="n">
        <f aca="false">IFERROR(AF335/AE335,0)</f>
        <v>0.00409780043679973</v>
      </c>
    </row>
    <row r="336" customFormat="false" ht="15" hidden="false" customHeight="false" outlineLevel="0" collapsed="false">
      <c r="A336" s="28" t="n">
        <v>335</v>
      </c>
      <c r="B336" s="43" t="n">
        <v>45502.1541666667</v>
      </c>
      <c r="C336" s="43" t="n">
        <v>45502.1616203704</v>
      </c>
      <c r="D336" s="42" t="n">
        <f aca="false">INT(C336)</f>
        <v>45502</v>
      </c>
      <c r="E336" s="42" t="n">
        <f aca="false">D336-WEEKDAY(D336,3)</f>
        <v>45502</v>
      </c>
      <c r="F336" s="28" t="s">
        <v>158</v>
      </c>
      <c r="G336" s="28" t="n">
        <v>2024</v>
      </c>
      <c r="H336" s="28" t="s">
        <v>240</v>
      </c>
      <c r="I336" s="28" t="n">
        <v>3</v>
      </c>
      <c r="J336" s="28" t="s">
        <v>233</v>
      </c>
      <c r="K336" s="28" t="s">
        <v>234</v>
      </c>
      <c r="L336" s="28" t="n">
        <v>0.24</v>
      </c>
      <c r="M336" s="31" t="n">
        <v>19147.14</v>
      </c>
      <c r="N336" s="31" t="n">
        <v>19136.78</v>
      </c>
      <c r="O336" s="31" t="n">
        <v>19167.86</v>
      </c>
      <c r="P336" s="44" t="n">
        <f aca="false">ABS(M336-N336)</f>
        <v>10.3600000000006</v>
      </c>
      <c r="Q336" s="44" t="n">
        <f aca="false">IF(O336="","",ABS(O336-M336))</f>
        <v>20.7200000000012</v>
      </c>
      <c r="R336" s="30" t="n">
        <f aca="false">P336*L336*Summary!$C$6</f>
        <v>49.7280000000028</v>
      </c>
      <c r="S336" s="31" t="n">
        <v>19168.61</v>
      </c>
      <c r="T336" s="28" t="s">
        <v>214</v>
      </c>
      <c r="U336" s="44" t="n">
        <f aca="false">IF(J336="BUY",S336-M336,M336-S336)</f>
        <v>21.4700000000012</v>
      </c>
      <c r="V336" s="45" t="n">
        <v>0</v>
      </c>
      <c r="W336" s="45" t="n">
        <v>0</v>
      </c>
      <c r="X336" s="45" t="n">
        <v>103.06</v>
      </c>
      <c r="Y336" s="32" t="n">
        <f aca="false">IFERROR(X336/R336,0)</f>
        <v>2.07247425997414</v>
      </c>
      <c r="Z336" s="28" t="str">
        <f aca="false">IF(X336&gt;0,"Win",IF(X336&lt;0,"Loss","Flat"))</f>
        <v>Win</v>
      </c>
      <c r="AA336" s="28" t="n">
        <f aca="false">ROUND((C336-B336)*1440,1)</f>
        <v>10.7</v>
      </c>
      <c r="AB336" s="28" t="str">
        <f aca="false">IF(AA336&lt;1,"a) &lt;1 min",IF(AA336&lt;10,"b) 1-10 min",IF(AA336&lt;60,"c) 10-60 min",IF(AA336&lt;240,"d) 1-4 h","e) 4 h+"))))</f>
        <v>c) 10-60 min</v>
      </c>
      <c r="AC336" s="28" t="str">
        <f aca="false">IF(P336&lt;10,"a) &lt;10",IF(P336&lt;20,"b) 10-20",IF(P336&lt;40,"c) 20-40",IF(P336&lt;80,"d) 40-80","e) 80+"))))</f>
        <v>b) 10-20</v>
      </c>
      <c r="AD336" s="30" t="n">
        <f aca="false">Summary!$C$5+SUM(X$2:X336)</f>
        <v>106255.17</v>
      </c>
      <c r="AE336" s="30" t="n">
        <f aca="false">MAX(AE335,AD336)</f>
        <v>106588.89</v>
      </c>
      <c r="AF336" s="30" t="n">
        <f aca="false">AE336-AD336</f>
        <v>333.720000000001</v>
      </c>
      <c r="AG336" s="29" t="n">
        <f aca="false">IFERROR(AF336/AE336,0)</f>
        <v>0.00313090792107884</v>
      </c>
    </row>
    <row r="337" customFormat="false" ht="15" hidden="false" customHeight="false" outlineLevel="0" collapsed="false">
      <c r="A337" s="28" t="n">
        <v>336</v>
      </c>
      <c r="B337" s="43" t="n">
        <v>45503.1923611111</v>
      </c>
      <c r="C337" s="43" t="n">
        <v>45503.2194907407</v>
      </c>
      <c r="D337" s="42" t="n">
        <f aca="false">INT(C337)</f>
        <v>45503</v>
      </c>
      <c r="E337" s="42" t="n">
        <f aca="false">D337-WEEKDAY(D337,3)</f>
        <v>45502</v>
      </c>
      <c r="F337" s="28" t="s">
        <v>158</v>
      </c>
      <c r="G337" s="28" t="n">
        <v>2024</v>
      </c>
      <c r="H337" s="28" t="s">
        <v>232</v>
      </c>
      <c r="I337" s="28" t="n">
        <v>4</v>
      </c>
      <c r="J337" s="28" t="s">
        <v>236</v>
      </c>
      <c r="K337" s="28" t="s">
        <v>237</v>
      </c>
      <c r="L337" s="28" t="n">
        <v>0.25</v>
      </c>
      <c r="M337" s="31" t="n">
        <v>18954.91</v>
      </c>
      <c r="N337" s="31" t="n">
        <v>18972.5</v>
      </c>
      <c r="O337" s="31" t="n">
        <v>18919.73</v>
      </c>
      <c r="P337" s="44" t="n">
        <f aca="false">ABS(M337-N337)</f>
        <v>17.5900000000001</v>
      </c>
      <c r="Q337" s="44" t="n">
        <f aca="false">IF(O337="","",ABS(O337-M337))</f>
        <v>35.1800000000003</v>
      </c>
      <c r="R337" s="30" t="n">
        <f aca="false">P337*L337*Summary!$C$6</f>
        <v>87.9500000000007</v>
      </c>
      <c r="S337" s="31" t="n">
        <v>18972.93</v>
      </c>
      <c r="T337" s="28" t="s">
        <v>241</v>
      </c>
      <c r="U337" s="44" t="n">
        <f aca="false">IF(J337="BUY",S337-M337,M337-S337)</f>
        <v>-18.0200000000004</v>
      </c>
      <c r="V337" s="45" t="n">
        <v>0</v>
      </c>
      <c r="W337" s="45" t="n">
        <v>0</v>
      </c>
      <c r="X337" s="45" t="n">
        <v>-90.1</v>
      </c>
      <c r="Y337" s="32" t="n">
        <f aca="false">IFERROR(X337/R337,0)</f>
        <v>-1.02444570778851</v>
      </c>
      <c r="Z337" s="28" t="str">
        <f aca="false">IF(X337&gt;0,"Win",IF(X337&lt;0,"Loss","Flat"))</f>
        <v>Loss</v>
      </c>
      <c r="AA337" s="28" t="n">
        <f aca="false">ROUND((C337-B337)*1440,1)</f>
        <v>39.1</v>
      </c>
      <c r="AB337" s="28" t="str">
        <f aca="false">IF(AA337&lt;1,"a) &lt;1 min",IF(AA337&lt;10,"b) 1-10 min",IF(AA337&lt;60,"c) 10-60 min",IF(AA337&lt;240,"d) 1-4 h","e) 4 h+"))))</f>
        <v>c) 10-60 min</v>
      </c>
      <c r="AC337" s="28" t="str">
        <f aca="false">IF(P337&lt;10,"a) &lt;10",IF(P337&lt;20,"b) 10-20",IF(P337&lt;40,"c) 20-40",IF(P337&lt;80,"d) 40-80","e) 80+"))))</f>
        <v>b) 10-20</v>
      </c>
      <c r="AD337" s="30" t="n">
        <f aca="false">Summary!$C$5+SUM(X$2:X337)</f>
        <v>106165.07</v>
      </c>
      <c r="AE337" s="30" t="n">
        <f aca="false">MAX(AE336,AD337)</f>
        <v>106588.89</v>
      </c>
      <c r="AF337" s="30" t="n">
        <f aca="false">AE337-AD337</f>
        <v>423.819999999992</v>
      </c>
      <c r="AG337" s="29" t="n">
        <f aca="false">IFERROR(AF337/AE337,0)</f>
        <v>0.0039762117796704</v>
      </c>
    </row>
    <row r="338" customFormat="false" ht="15" hidden="false" customHeight="false" outlineLevel="0" collapsed="false">
      <c r="A338" s="28" t="n">
        <v>337</v>
      </c>
      <c r="B338" s="43" t="n">
        <v>45504.6486111111</v>
      </c>
      <c r="C338" s="43" t="n">
        <v>45504.6510763889</v>
      </c>
      <c r="D338" s="42" t="n">
        <f aca="false">INT(C338)</f>
        <v>45504</v>
      </c>
      <c r="E338" s="42" t="n">
        <f aca="false">D338-WEEKDAY(D338,3)</f>
        <v>45502</v>
      </c>
      <c r="F338" s="28" t="s">
        <v>158</v>
      </c>
      <c r="G338" s="28" t="n">
        <v>2024</v>
      </c>
      <c r="H338" s="28" t="s">
        <v>235</v>
      </c>
      <c r="I338" s="28" t="n">
        <v>15</v>
      </c>
      <c r="J338" s="28" t="s">
        <v>233</v>
      </c>
      <c r="K338" s="28" t="s">
        <v>234</v>
      </c>
      <c r="L338" s="28" t="n">
        <v>0.24</v>
      </c>
      <c r="M338" s="31" t="n">
        <v>19176.24</v>
      </c>
      <c r="N338" s="31" t="n">
        <v>19154.38</v>
      </c>
      <c r="O338" s="31" t="n">
        <v>19219.96</v>
      </c>
      <c r="P338" s="44" t="n">
        <f aca="false">ABS(M338-N338)</f>
        <v>21.8600000000006</v>
      </c>
      <c r="Q338" s="44" t="n">
        <f aca="false">IF(O338="","",ABS(O338-M338))</f>
        <v>43.7199999999975</v>
      </c>
      <c r="R338" s="30" t="n">
        <f aca="false">P338*L338*Summary!$C$6</f>
        <v>104.928000000003</v>
      </c>
      <c r="S338" s="31" t="n">
        <v>19154.34</v>
      </c>
      <c r="T338" s="28" t="s">
        <v>241</v>
      </c>
      <c r="U338" s="44" t="n">
        <f aca="false">IF(J338="BUY",S338-M338,M338-S338)</f>
        <v>-21.9000000000015</v>
      </c>
      <c r="V338" s="45" t="n">
        <v>0</v>
      </c>
      <c r="W338" s="45" t="n">
        <v>0</v>
      </c>
      <c r="X338" s="45" t="n">
        <v>-105.12</v>
      </c>
      <c r="Y338" s="32" t="n">
        <f aca="false">IFERROR(X338/R338,0)</f>
        <v>-1.00182982616649</v>
      </c>
      <c r="Z338" s="28" t="str">
        <f aca="false">IF(X338&gt;0,"Win",IF(X338&lt;0,"Loss","Flat"))</f>
        <v>Loss</v>
      </c>
      <c r="AA338" s="28" t="n">
        <f aca="false">ROUND((C338-B338)*1440,1)</f>
        <v>3.6</v>
      </c>
      <c r="AB338" s="28" t="str">
        <f aca="false">IF(AA338&lt;1,"a) &lt;1 min",IF(AA338&lt;10,"b) 1-10 min",IF(AA338&lt;60,"c) 10-60 min",IF(AA338&lt;240,"d) 1-4 h","e) 4 h+"))))</f>
        <v>b) 1-10 min</v>
      </c>
      <c r="AC338" s="28" t="str">
        <f aca="false">IF(P338&lt;10,"a) &lt;10",IF(P338&lt;20,"b) 10-20",IF(P338&lt;40,"c) 20-40",IF(P338&lt;80,"d) 40-80","e) 80+"))))</f>
        <v>c) 20-40</v>
      </c>
      <c r="AD338" s="30" t="n">
        <f aca="false">Summary!$C$5+SUM(X$2:X338)</f>
        <v>106059.95</v>
      </c>
      <c r="AE338" s="30" t="n">
        <f aca="false">MAX(AE337,AD338)</f>
        <v>106588.89</v>
      </c>
      <c r="AF338" s="30" t="n">
        <f aca="false">AE338-AD338</f>
        <v>528.940000000002</v>
      </c>
      <c r="AG338" s="29" t="n">
        <f aca="false">IFERROR(AF338/AE338,0)</f>
        <v>0.00496243088749683</v>
      </c>
    </row>
    <row r="339" customFormat="false" ht="15" hidden="false" customHeight="false" outlineLevel="0" collapsed="false">
      <c r="A339" s="28" t="n">
        <v>338</v>
      </c>
      <c r="B339" s="43" t="n">
        <v>45505.0909722222</v>
      </c>
      <c r="C339" s="43" t="n">
        <v>45505.094849537</v>
      </c>
      <c r="D339" s="42" t="n">
        <f aca="false">INT(C339)</f>
        <v>45505</v>
      </c>
      <c r="E339" s="42" t="n">
        <f aca="false">D339-WEEKDAY(D339,3)</f>
        <v>45502</v>
      </c>
      <c r="F339" s="28" t="s">
        <v>159</v>
      </c>
      <c r="G339" s="28" t="n">
        <v>2024</v>
      </c>
      <c r="H339" s="28" t="s">
        <v>239</v>
      </c>
      <c r="I339" s="28" t="n">
        <v>2</v>
      </c>
      <c r="J339" s="28" t="s">
        <v>233</v>
      </c>
      <c r="K339" s="28" t="s">
        <v>234</v>
      </c>
      <c r="L339" s="28" t="n">
        <v>0.24</v>
      </c>
      <c r="M339" s="31" t="n">
        <v>19501.67</v>
      </c>
      <c r="N339" s="31" t="n">
        <v>19489.86</v>
      </c>
      <c r="O339" s="31" t="n">
        <v>19525.29</v>
      </c>
      <c r="P339" s="44" t="n">
        <f aca="false">ABS(M339-N339)</f>
        <v>11.8099999999977</v>
      </c>
      <c r="Q339" s="44" t="n">
        <f aca="false">IF(O339="","",ABS(O339-M339))</f>
        <v>23.6200000000026</v>
      </c>
      <c r="R339" s="30" t="n">
        <f aca="false">P339*L339*Summary!$C$6</f>
        <v>56.6879999999888</v>
      </c>
      <c r="S339" s="31" t="n">
        <v>19525.89</v>
      </c>
      <c r="T339" s="28" t="s">
        <v>214</v>
      </c>
      <c r="U339" s="44" t="n">
        <f aca="false">IF(J339="BUY",S339-M339,M339-S339)</f>
        <v>24.2200000000012</v>
      </c>
      <c r="V339" s="45" t="n">
        <v>0</v>
      </c>
      <c r="W339" s="45" t="n">
        <v>0</v>
      </c>
      <c r="X339" s="45" t="n">
        <v>116.26</v>
      </c>
      <c r="Y339" s="32" t="n">
        <f aca="false">IFERROR(X339/R339,0)</f>
        <v>2.05087496471957</v>
      </c>
      <c r="Z339" s="28" t="str">
        <f aca="false">IF(X339&gt;0,"Win",IF(X339&lt;0,"Loss","Flat"))</f>
        <v>Win</v>
      </c>
      <c r="AA339" s="28" t="n">
        <f aca="false">ROUND((C339-B339)*1440,1)</f>
        <v>5.6</v>
      </c>
      <c r="AB339" s="28" t="str">
        <f aca="false">IF(AA339&lt;1,"a) &lt;1 min",IF(AA339&lt;10,"b) 1-10 min",IF(AA339&lt;60,"c) 10-60 min",IF(AA339&lt;240,"d) 1-4 h","e) 4 h+"))))</f>
        <v>b) 1-10 min</v>
      </c>
      <c r="AC339" s="28" t="str">
        <f aca="false">IF(P339&lt;10,"a) &lt;10",IF(P339&lt;20,"b) 10-20",IF(P339&lt;40,"c) 20-40",IF(P339&lt;80,"d) 40-80","e) 80+"))))</f>
        <v>b) 10-20</v>
      </c>
      <c r="AD339" s="30" t="n">
        <f aca="false">Summary!$C$5+SUM(X$2:X339)</f>
        <v>106176.21</v>
      </c>
      <c r="AE339" s="30" t="n">
        <f aca="false">MAX(AE338,AD339)</f>
        <v>106588.89</v>
      </c>
      <c r="AF339" s="30" t="n">
        <f aca="false">AE339-AD339</f>
        <v>412.679999999993</v>
      </c>
      <c r="AG339" s="29" t="n">
        <f aca="false">IFERROR(AF339/AE339,0)</f>
        <v>0.00387169807284786</v>
      </c>
    </row>
    <row r="340" customFormat="false" ht="15" hidden="false" customHeight="false" outlineLevel="0" collapsed="false">
      <c r="A340" s="28" t="n">
        <v>339</v>
      </c>
      <c r="B340" s="43" t="n">
        <v>45506.0805555556</v>
      </c>
      <c r="C340" s="43" t="n">
        <v>45506.0819328704</v>
      </c>
      <c r="D340" s="42" t="n">
        <f aca="false">INT(C340)</f>
        <v>45506</v>
      </c>
      <c r="E340" s="42" t="n">
        <f aca="false">D340-WEEKDAY(D340,3)</f>
        <v>45502</v>
      </c>
      <c r="F340" s="28" t="s">
        <v>159</v>
      </c>
      <c r="G340" s="28" t="n">
        <v>2024</v>
      </c>
      <c r="H340" s="28" t="s">
        <v>242</v>
      </c>
      <c r="I340" s="28" t="n">
        <v>1</v>
      </c>
      <c r="J340" s="28" t="s">
        <v>236</v>
      </c>
      <c r="K340" s="28" t="s">
        <v>237</v>
      </c>
      <c r="L340" s="28" t="n">
        <v>0.25</v>
      </c>
      <c r="M340" s="31" t="n">
        <v>18735.4</v>
      </c>
      <c r="N340" s="31" t="n">
        <v>18753.87</v>
      </c>
      <c r="O340" s="31" t="n">
        <v>18698.45</v>
      </c>
      <c r="P340" s="44" t="n">
        <f aca="false">ABS(M340-N340)</f>
        <v>18.4699999999975</v>
      </c>
      <c r="Q340" s="44" t="n">
        <f aca="false">IF(O340="","",ABS(O340-M340))</f>
        <v>36.9500000000007</v>
      </c>
      <c r="R340" s="30" t="n">
        <f aca="false">P340*L340*Summary!$C$6</f>
        <v>92.3499999999876</v>
      </c>
      <c r="S340" s="31" t="n">
        <v>18735.68</v>
      </c>
      <c r="T340" s="28" t="s">
        <v>238</v>
      </c>
      <c r="U340" s="44" t="n">
        <f aca="false">IF(J340="BUY",S340-M340,M340-S340)</f>
        <v>-0.279999999998836</v>
      </c>
      <c r="V340" s="45" t="n">
        <v>0</v>
      </c>
      <c r="W340" s="45" t="n">
        <v>0</v>
      </c>
      <c r="X340" s="45" t="n">
        <v>-1.4</v>
      </c>
      <c r="Y340" s="32" t="n">
        <f aca="false">IFERROR(X340/R340,0)</f>
        <v>-0.0151597184623734</v>
      </c>
      <c r="Z340" s="28" t="str">
        <f aca="false">IF(X340&gt;0,"Win",IF(X340&lt;0,"Loss","Flat"))</f>
        <v>Loss</v>
      </c>
      <c r="AA340" s="28" t="n">
        <f aca="false">ROUND((C340-B340)*1440,1)</f>
        <v>2</v>
      </c>
      <c r="AB340" s="28" t="str">
        <f aca="false">IF(AA340&lt;1,"a) &lt;1 min",IF(AA340&lt;10,"b) 1-10 min",IF(AA340&lt;60,"c) 10-60 min",IF(AA340&lt;240,"d) 1-4 h","e) 4 h+"))))</f>
        <v>b) 1-10 min</v>
      </c>
      <c r="AC340" s="28" t="str">
        <f aca="false">IF(P340&lt;10,"a) &lt;10",IF(P340&lt;20,"b) 10-20",IF(P340&lt;40,"c) 20-40",IF(P340&lt;80,"d) 40-80","e) 80+"))))</f>
        <v>b) 10-20</v>
      </c>
      <c r="AD340" s="30" t="n">
        <f aca="false">Summary!$C$5+SUM(X$2:X340)</f>
        <v>106174.81</v>
      </c>
      <c r="AE340" s="30" t="n">
        <f aca="false">MAX(AE339,AD340)</f>
        <v>106588.89</v>
      </c>
      <c r="AF340" s="30" t="n">
        <f aca="false">AE340-AD340</f>
        <v>414.080000000002</v>
      </c>
      <c r="AG340" s="29" t="n">
        <f aca="false">IFERROR(AF340/AE340,0)</f>
        <v>0.00388483265000697</v>
      </c>
    </row>
    <row r="341" customFormat="false" ht="15" hidden="false" customHeight="false" outlineLevel="0" collapsed="false">
      <c r="A341" s="28" t="n">
        <v>340</v>
      </c>
      <c r="B341" s="43" t="n">
        <v>45509.0465393519</v>
      </c>
      <c r="C341" s="43" t="n">
        <v>45509.0634027778</v>
      </c>
      <c r="D341" s="42" t="n">
        <f aca="false">INT(C341)</f>
        <v>45509</v>
      </c>
      <c r="E341" s="42" t="n">
        <f aca="false">D341-WEEKDAY(D341,3)</f>
        <v>45509</v>
      </c>
      <c r="F341" s="28" t="s">
        <v>159</v>
      </c>
      <c r="G341" s="28" t="n">
        <v>2024</v>
      </c>
      <c r="H341" s="28" t="s">
        <v>240</v>
      </c>
      <c r="I341" s="28" t="n">
        <v>1</v>
      </c>
      <c r="J341" s="28" t="s">
        <v>236</v>
      </c>
      <c r="K341" s="28" t="s">
        <v>237</v>
      </c>
      <c r="L341" s="28" t="n">
        <v>0.26</v>
      </c>
      <c r="M341" s="31" t="n">
        <v>18176.73</v>
      </c>
      <c r="N341" s="31" t="n">
        <v>18246.9</v>
      </c>
      <c r="O341" s="31" t="n">
        <v>18036.38</v>
      </c>
      <c r="P341" s="44" t="n">
        <f aca="false">ABS(M341-N341)</f>
        <v>70.1700000000019</v>
      </c>
      <c r="Q341" s="44" t="n">
        <f aca="false">IF(O341="","",ABS(O341-M341))</f>
        <v>140.349999999999</v>
      </c>
      <c r="R341" s="30" t="n">
        <f aca="false">P341*L341*Summary!$C$6</f>
        <v>364.88400000001</v>
      </c>
      <c r="S341" s="31" t="n">
        <v>18246.9</v>
      </c>
      <c r="T341" s="28" t="s">
        <v>241</v>
      </c>
      <c r="U341" s="44" t="n">
        <f aca="false">IF(J341="BUY",S341-M341,M341-S341)</f>
        <v>-70.1700000000019</v>
      </c>
      <c r="V341" s="45" t="n">
        <v>0</v>
      </c>
      <c r="W341" s="45" t="n">
        <v>0</v>
      </c>
      <c r="X341" s="45" t="n">
        <v>-364.88</v>
      </c>
      <c r="Y341" s="32" t="n">
        <f aca="false">IFERROR(X341/R341,0)</f>
        <v>-0.999989037611926</v>
      </c>
      <c r="Z341" s="28" t="str">
        <f aca="false">IF(X341&gt;0,"Win",IF(X341&lt;0,"Loss","Flat"))</f>
        <v>Loss</v>
      </c>
      <c r="AA341" s="28" t="n">
        <f aca="false">ROUND((C341-B341)*1440,1)</f>
        <v>24.3</v>
      </c>
      <c r="AB341" s="28" t="str">
        <f aca="false">IF(AA341&lt;1,"a) &lt;1 min",IF(AA341&lt;10,"b) 1-10 min",IF(AA341&lt;60,"c) 10-60 min",IF(AA341&lt;240,"d) 1-4 h","e) 4 h+"))))</f>
        <v>c) 10-60 min</v>
      </c>
      <c r="AC341" s="28" t="str">
        <f aca="false">IF(P341&lt;10,"a) &lt;10",IF(P341&lt;20,"b) 10-20",IF(P341&lt;40,"c) 20-40",IF(P341&lt;80,"d) 40-80","e) 80+"))))</f>
        <v>d) 40-80</v>
      </c>
      <c r="AD341" s="30" t="n">
        <f aca="false">Summary!$C$5+SUM(X$2:X341)</f>
        <v>105809.93</v>
      </c>
      <c r="AE341" s="30" t="n">
        <f aca="false">MAX(AE340,AD341)</f>
        <v>106588.89</v>
      </c>
      <c r="AF341" s="30" t="n">
        <f aca="false">AE341-AD341</f>
        <v>778.960000000006</v>
      </c>
      <c r="AG341" s="29" t="n">
        <f aca="false">IFERROR(AF341/AE341,0)</f>
        <v>0.00730807873128247</v>
      </c>
    </row>
    <row r="342" customFormat="false" ht="15" hidden="false" customHeight="false" outlineLevel="0" collapsed="false">
      <c r="A342" s="28" t="n">
        <v>341</v>
      </c>
      <c r="B342" s="43" t="n">
        <v>45510.1743055556</v>
      </c>
      <c r="C342" s="43" t="n">
        <v>45510.1763541667</v>
      </c>
      <c r="D342" s="42" t="n">
        <f aca="false">INT(C342)</f>
        <v>45510</v>
      </c>
      <c r="E342" s="42" t="n">
        <f aca="false">D342-WEEKDAY(D342,3)</f>
        <v>45509</v>
      </c>
      <c r="F342" s="28" t="s">
        <v>159</v>
      </c>
      <c r="G342" s="28" t="n">
        <v>2024</v>
      </c>
      <c r="H342" s="28" t="s">
        <v>232</v>
      </c>
      <c r="I342" s="28" t="n">
        <v>4</v>
      </c>
      <c r="J342" s="28" t="s">
        <v>233</v>
      </c>
      <c r="K342" s="28" t="s">
        <v>234</v>
      </c>
      <c r="L342" s="28" t="n">
        <v>0.26</v>
      </c>
      <c r="M342" s="31" t="n">
        <v>18269.61</v>
      </c>
      <c r="N342" s="31" t="n">
        <v>18244.65</v>
      </c>
      <c r="O342" s="31" t="n">
        <v>18319.53</v>
      </c>
      <c r="P342" s="44" t="n">
        <f aca="false">ABS(M342-N342)</f>
        <v>24.9599999999991</v>
      </c>
      <c r="Q342" s="44" t="n">
        <f aca="false">IF(O342="","",ABS(O342-M342))</f>
        <v>49.9199999999983</v>
      </c>
      <c r="R342" s="30" t="n">
        <f aca="false">P342*L342*Summary!$C$6</f>
        <v>129.791999999995</v>
      </c>
      <c r="S342" s="31" t="n">
        <v>18319.88</v>
      </c>
      <c r="T342" s="28" t="s">
        <v>214</v>
      </c>
      <c r="U342" s="44" t="n">
        <f aca="false">IF(J342="BUY",S342-M342,M342-S342)</f>
        <v>50.2700000000004</v>
      </c>
      <c r="V342" s="45" t="n">
        <v>0</v>
      </c>
      <c r="W342" s="45" t="n">
        <v>0</v>
      </c>
      <c r="X342" s="45" t="n">
        <v>261.4</v>
      </c>
      <c r="Y342" s="32" t="n">
        <f aca="false">IFERROR(X342/R342,0)</f>
        <v>2.01399161735707</v>
      </c>
      <c r="Z342" s="28" t="str">
        <f aca="false">IF(X342&gt;0,"Win",IF(X342&lt;0,"Loss","Flat"))</f>
        <v>Win</v>
      </c>
      <c r="AA342" s="28" t="n">
        <f aca="false">ROUND((C342-B342)*1440,1)</f>
        <v>3</v>
      </c>
      <c r="AB342" s="28" t="str">
        <f aca="false">IF(AA342&lt;1,"a) &lt;1 min",IF(AA342&lt;10,"b) 1-10 min",IF(AA342&lt;60,"c) 10-60 min",IF(AA342&lt;240,"d) 1-4 h","e) 4 h+"))))</f>
        <v>b) 1-10 min</v>
      </c>
      <c r="AC342" s="28" t="str">
        <f aca="false">IF(P342&lt;10,"a) &lt;10",IF(P342&lt;20,"b) 10-20",IF(P342&lt;40,"c) 20-40",IF(P342&lt;80,"d) 40-80","e) 80+"))))</f>
        <v>c) 20-40</v>
      </c>
      <c r="AD342" s="30" t="n">
        <f aca="false">Summary!$C$5+SUM(X$2:X342)</f>
        <v>106071.33</v>
      </c>
      <c r="AE342" s="30" t="n">
        <f aca="false">MAX(AE341,AD342)</f>
        <v>106588.89</v>
      </c>
      <c r="AF342" s="30" t="n">
        <f aca="false">AE342-AD342</f>
        <v>517.559999999998</v>
      </c>
      <c r="AG342" s="29" t="n">
        <f aca="false">IFERROR(AF342/AE342,0)</f>
        <v>0.00485566553887556</v>
      </c>
    </row>
    <row r="343" customFormat="false" ht="15" hidden="false" customHeight="false" outlineLevel="0" collapsed="false">
      <c r="A343" s="28" t="n">
        <v>342</v>
      </c>
      <c r="B343" s="43" t="n">
        <v>45511.6881944445</v>
      </c>
      <c r="C343" s="43" t="n">
        <v>45511.6894097222</v>
      </c>
      <c r="D343" s="42" t="n">
        <f aca="false">INT(C343)</f>
        <v>45511</v>
      </c>
      <c r="E343" s="42" t="n">
        <f aca="false">D343-WEEKDAY(D343,3)</f>
        <v>45509</v>
      </c>
      <c r="F343" s="28" t="s">
        <v>159</v>
      </c>
      <c r="G343" s="28" t="n">
        <v>2024</v>
      </c>
      <c r="H343" s="28" t="s">
        <v>235</v>
      </c>
      <c r="I343" s="28" t="n">
        <v>16</v>
      </c>
      <c r="J343" s="28" t="s">
        <v>233</v>
      </c>
      <c r="K343" s="28" t="s">
        <v>234</v>
      </c>
      <c r="L343" s="28" t="n">
        <v>0.25</v>
      </c>
      <c r="M343" s="31" t="n">
        <v>18380.89</v>
      </c>
      <c r="N343" s="31" t="n">
        <v>18352.03</v>
      </c>
      <c r="O343" s="31" t="n">
        <v>18431.22</v>
      </c>
      <c r="P343" s="44" t="n">
        <f aca="false">ABS(M343-N343)</f>
        <v>28.8600000000006</v>
      </c>
      <c r="Q343" s="44" t="n">
        <f aca="false">IF(O343="","",ABS(O343-M343))</f>
        <v>50.3300000000017</v>
      </c>
      <c r="R343" s="30" t="n">
        <f aca="false">P343*L343*Summary!$C$6</f>
        <v>144.300000000003</v>
      </c>
      <c r="S343" s="31" t="n">
        <v>18379.53</v>
      </c>
      <c r="T343" s="28" t="s">
        <v>238</v>
      </c>
      <c r="U343" s="44" t="n">
        <f aca="false">IF(J343="BUY",S343-M343,M343-S343)</f>
        <v>-1.36000000000058</v>
      </c>
      <c r="V343" s="45" t="n">
        <v>0</v>
      </c>
      <c r="W343" s="45" t="n">
        <v>0</v>
      </c>
      <c r="X343" s="45" t="n">
        <v>-6.8</v>
      </c>
      <c r="Y343" s="32" t="n">
        <f aca="false">IFERROR(X343/R343,0)</f>
        <v>-0.0471240471240462</v>
      </c>
      <c r="Z343" s="28" t="str">
        <f aca="false">IF(X343&gt;0,"Win",IF(X343&lt;0,"Loss","Flat"))</f>
        <v>Loss</v>
      </c>
      <c r="AA343" s="28" t="n">
        <f aca="false">ROUND((C343-B343)*1440,1)</f>
        <v>1.8</v>
      </c>
      <c r="AB343" s="28" t="str">
        <f aca="false">IF(AA343&lt;1,"a) &lt;1 min",IF(AA343&lt;10,"b) 1-10 min",IF(AA343&lt;60,"c) 10-60 min",IF(AA343&lt;240,"d) 1-4 h","e) 4 h+"))))</f>
        <v>b) 1-10 min</v>
      </c>
      <c r="AC343" s="28" t="str">
        <f aca="false">IF(P343&lt;10,"a) &lt;10",IF(P343&lt;20,"b) 10-20",IF(P343&lt;40,"c) 20-40",IF(P343&lt;80,"d) 40-80","e) 80+"))))</f>
        <v>c) 20-40</v>
      </c>
      <c r="AD343" s="30" t="n">
        <f aca="false">Summary!$C$5+SUM(X$2:X343)</f>
        <v>106064.53</v>
      </c>
      <c r="AE343" s="30" t="n">
        <f aca="false">MAX(AE342,AD343)</f>
        <v>106588.89</v>
      </c>
      <c r="AF343" s="30" t="n">
        <f aca="false">AE343-AD343</f>
        <v>524.360000000001</v>
      </c>
      <c r="AG343" s="29" t="n">
        <f aca="false">IFERROR(AF343/AE343,0)</f>
        <v>0.00491946205650514</v>
      </c>
    </row>
    <row r="344" customFormat="false" ht="15" hidden="false" customHeight="false" outlineLevel="0" collapsed="false">
      <c r="A344" s="28" t="n">
        <v>343</v>
      </c>
      <c r="B344" s="43" t="n">
        <v>45512.0464467593</v>
      </c>
      <c r="C344" s="43" t="n">
        <v>45512.0607175926</v>
      </c>
      <c r="D344" s="42" t="n">
        <f aca="false">INT(C344)</f>
        <v>45512</v>
      </c>
      <c r="E344" s="42" t="n">
        <f aca="false">D344-WEEKDAY(D344,3)</f>
        <v>45509</v>
      </c>
      <c r="F344" s="28" t="s">
        <v>159</v>
      </c>
      <c r="G344" s="28" t="n">
        <v>2024</v>
      </c>
      <c r="H344" s="28" t="s">
        <v>239</v>
      </c>
      <c r="I344" s="28" t="n">
        <v>1</v>
      </c>
      <c r="J344" s="28" t="s">
        <v>236</v>
      </c>
      <c r="K344" s="28" t="s">
        <v>237</v>
      </c>
      <c r="L344" s="28" t="n">
        <v>0.26</v>
      </c>
      <c r="M344" s="31" t="n">
        <v>17768.33</v>
      </c>
      <c r="N344" s="31" t="n">
        <v>17803.96</v>
      </c>
      <c r="O344" s="31" t="n">
        <v>17697.06</v>
      </c>
      <c r="P344" s="44" t="n">
        <f aca="false">ABS(M344-N344)</f>
        <v>35.6299999999974</v>
      </c>
      <c r="Q344" s="44" t="n">
        <f aca="false">IF(O344="","",ABS(O344-M344))</f>
        <v>71.2700000000004</v>
      </c>
      <c r="R344" s="30" t="n">
        <f aca="false">P344*L344*Summary!$C$6</f>
        <v>185.275999999986</v>
      </c>
      <c r="S344" s="31" t="n">
        <v>17805.62</v>
      </c>
      <c r="T344" s="28" t="s">
        <v>241</v>
      </c>
      <c r="U344" s="44" t="n">
        <f aca="false">IF(J344="BUY",S344-M344,M344-S344)</f>
        <v>-37.2899999999972</v>
      </c>
      <c r="V344" s="45" t="n">
        <v>0</v>
      </c>
      <c r="W344" s="45" t="n">
        <v>0</v>
      </c>
      <c r="X344" s="45" t="n">
        <v>-193.91</v>
      </c>
      <c r="Y344" s="32" t="n">
        <f aca="false">IFERROR(X344/R344,0)</f>
        <v>-1.04660074699375</v>
      </c>
      <c r="Z344" s="28" t="str">
        <f aca="false">IF(X344&gt;0,"Win",IF(X344&lt;0,"Loss","Flat"))</f>
        <v>Loss</v>
      </c>
      <c r="AA344" s="28" t="n">
        <f aca="false">ROUND((C344-B344)*1440,1)</f>
        <v>20.6</v>
      </c>
      <c r="AB344" s="28" t="str">
        <f aca="false">IF(AA344&lt;1,"a) &lt;1 min",IF(AA344&lt;10,"b) 1-10 min",IF(AA344&lt;60,"c) 10-60 min",IF(AA344&lt;240,"d) 1-4 h","e) 4 h+"))))</f>
        <v>c) 10-60 min</v>
      </c>
      <c r="AC344" s="28" t="str">
        <f aca="false">IF(P344&lt;10,"a) &lt;10",IF(P344&lt;20,"b) 10-20",IF(P344&lt;40,"c) 20-40",IF(P344&lt;80,"d) 40-80","e) 80+"))))</f>
        <v>c) 20-40</v>
      </c>
      <c r="AD344" s="30" t="n">
        <f aca="false">Summary!$C$5+SUM(X$2:X344)</f>
        <v>105870.62</v>
      </c>
      <c r="AE344" s="30" t="n">
        <f aca="false">MAX(AE343,AD344)</f>
        <v>106588.89</v>
      </c>
      <c r="AF344" s="30" t="n">
        <f aca="false">AE344-AD344</f>
        <v>718.270000000004</v>
      </c>
      <c r="AG344" s="29" t="n">
        <f aca="false">IFERROR(AF344/AE344,0)</f>
        <v>0.00673869481143864</v>
      </c>
    </row>
    <row r="345" customFormat="false" ht="15" hidden="false" customHeight="false" outlineLevel="0" collapsed="false">
      <c r="A345" s="28" t="n">
        <v>344</v>
      </c>
      <c r="B345" s="43" t="n">
        <v>45512.9590277778</v>
      </c>
      <c r="C345" s="43" t="n">
        <v>45513.1540856482</v>
      </c>
      <c r="D345" s="42" t="n">
        <f aca="false">INT(C345)</f>
        <v>45513</v>
      </c>
      <c r="E345" s="42" t="n">
        <f aca="false">D345-WEEKDAY(D345,3)</f>
        <v>45509</v>
      </c>
      <c r="F345" s="28" t="s">
        <v>159</v>
      </c>
      <c r="G345" s="28" t="n">
        <v>2024</v>
      </c>
      <c r="H345" s="28" t="s">
        <v>239</v>
      </c>
      <c r="I345" s="28" t="n">
        <v>23</v>
      </c>
      <c r="J345" s="28" t="s">
        <v>233</v>
      </c>
      <c r="K345" s="28" t="s">
        <v>234</v>
      </c>
      <c r="L345" s="28" t="n">
        <v>0.25</v>
      </c>
      <c r="M345" s="31" t="n">
        <v>18461.39</v>
      </c>
      <c r="N345" s="31" t="n">
        <v>18405.86</v>
      </c>
      <c r="O345" s="31" t="n">
        <v>18582.5</v>
      </c>
      <c r="P345" s="44" t="n">
        <f aca="false">ABS(M345-N345)</f>
        <v>55.5299999999988</v>
      </c>
      <c r="Q345" s="44" t="n">
        <f aca="false">IF(O345="","",ABS(O345-M345))</f>
        <v>121.110000000001</v>
      </c>
      <c r="R345" s="30" t="n">
        <f aca="false">P345*L345*Summary!$C$6</f>
        <v>277.649999999994</v>
      </c>
      <c r="S345" s="31" t="n">
        <v>18405.12</v>
      </c>
      <c r="T345" s="28" t="s">
        <v>241</v>
      </c>
      <c r="U345" s="44" t="n">
        <f aca="false">IF(J345="BUY",S345-M345,M345-S345)</f>
        <v>-56.2700000000004</v>
      </c>
      <c r="V345" s="45" t="n">
        <v>0</v>
      </c>
      <c r="W345" s="45" t="n">
        <v>-18.76</v>
      </c>
      <c r="X345" s="45" t="n">
        <v>-300.11</v>
      </c>
      <c r="Y345" s="32" t="n">
        <f aca="false">IFERROR(X345/R345,0)</f>
        <v>-1.08089321087703</v>
      </c>
      <c r="Z345" s="28" t="str">
        <f aca="false">IF(X345&gt;0,"Win",IF(X345&lt;0,"Loss","Flat"))</f>
        <v>Loss</v>
      </c>
      <c r="AA345" s="28" t="n">
        <f aca="false">ROUND((C345-B345)*1440,1)</f>
        <v>280.9</v>
      </c>
      <c r="AB345" s="28" t="str">
        <f aca="false">IF(AA345&lt;1,"a) &lt;1 min",IF(AA345&lt;10,"b) 1-10 min",IF(AA345&lt;60,"c) 10-60 min",IF(AA345&lt;240,"d) 1-4 h","e) 4 h+"))))</f>
        <v>e) 4 h+</v>
      </c>
      <c r="AC345" s="28" t="str">
        <f aca="false">IF(P345&lt;10,"a) &lt;10",IF(P345&lt;20,"b) 10-20",IF(P345&lt;40,"c) 20-40",IF(P345&lt;80,"d) 40-80","e) 80+"))))</f>
        <v>d) 40-80</v>
      </c>
      <c r="AD345" s="30" t="n">
        <f aca="false">Summary!$C$5+SUM(X$2:X345)</f>
        <v>105570.51</v>
      </c>
      <c r="AE345" s="30" t="n">
        <f aca="false">MAX(AE344,AD345)</f>
        <v>106588.89</v>
      </c>
      <c r="AF345" s="30" t="n">
        <f aca="false">AE345-AD345</f>
        <v>1018.38</v>
      </c>
      <c r="AG345" s="29" t="n">
        <f aca="false">IFERROR(AF345/AE345,0)</f>
        <v>0.00955427906229256</v>
      </c>
    </row>
    <row r="346" customFormat="false" ht="15" hidden="false" customHeight="false" outlineLevel="0" collapsed="false">
      <c r="A346" s="28" t="n">
        <v>345</v>
      </c>
      <c r="B346" s="43" t="n">
        <v>45516.4527777778</v>
      </c>
      <c r="C346" s="43" t="n">
        <v>45516.4564351852</v>
      </c>
      <c r="D346" s="42" t="n">
        <f aca="false">INT(C346)</f>
        <v>45516</v>
      </c>
      <c r="E346" s="42" t="n">
        <f aca="false">D346-WEEKDAY(D346,3)</f>
        <v>45516</v>
      </c>
      <c r="F346" s="28" t="s">
        <v>159</v>
      </c>
      <c r="G346" s="28" t="n">
        <v>2024</v>
      </c>
      <c r="H346" s="28" t="s">
        <v>240</v>
      </c>
      <c r="I346" s="28" t="n">
        <v>10</v>
      </c>
      <c r="J346" s="28" t="s">
        <v>233</v>
      </c>
      <c r="K346" s="28" t="s">
        <v>234</v>
      </c>
      <c r="L346" s="28" t="n">
        <v>0.25</v>
      </c>
      <c r="M346" s="31" t="n">
        <v>18581.16</v>
      </c>
      <c r="N346" s="31" t="n">
        <v>18569.14</v>
      </c>
      <c r="O346" s="31" t="n">
        <v>18605.19</v>
      </c>
      <c r="P346" s="44" t="n">
        <f aca="false">ABS(M346-N346)</f>
        <v>12.0200000000004</v>
      </c>
      <c r="Q346" s="44" t="n">
        <f aca="false">IF(O346="","",ABS(O346-M346))</f>
        <v>24.0299999999988</v>
      </c>
      <c r="R346" s="30" t="n">
        <f aca="false">P346*L346*Summary!$C$6</f>
        <v>60.1000000000022</v>
      </c>
      <c r="S346" s="31" t="n">
        <v>18569.12</v>
      </c>
      <c r="T346" s="28" t="s">
        <v>241</v>
      </c>
      <c r="U346" s="44" t="n">
        <f aca="false">IF(J346="BUY",S346-M346,M346-S346)</f>
        <v>-12.0400000000009</v>
      </c>
      <c r="V346" s="45" t="n">
        <v>0</v>
      </c>
      <c r="W346" s="45" t="n">
        <v>0</v>
      </c>
      <c r="X346" s="45" t="n">
        <v>-60.2</v>
      </c>
      <c r="Y346" s="32" t="n">
        <f aca="false">IFERROR(X346/R346,0)</f>
        <v>-1.00166389351078</v>
      </c>
      <c r="Z346" s="28" t="str">
        <f aca="false">IF(X346&gt;0,"Win",IF(X346&lt;0,"Loss","Flat"))</f>
        <v>Loss</v>
      </c>
      <c r="AA346" s="28" t="n">
        <f aca="false">ROUND((C346-B346)*1440,1)</f>
        <v>5.3</v>
      </c>
      <c r="AB346" s="28" t="str">
        <f aca="false">IF(AA346&lt;1,"a) &lt;1 min",IF(AA346&lt;10,"b) 1-10 min",IF(AA346&lt;60,"c) 10-60 min",IF(AA346&lt;240,"d) 1-4 h","e) 4 h+"))))</f>
        <v>b) 1-10 min</v>
      </c>
      <c r="AC346" s="28" t="str">
        <f aca="false">IF(P346&lt;10,"a) &lt;10",IF(P346&lt;20,"b) 10-20",IF(P346&lt;40,"c) 20-40",IF(P346&lt;80,"d) 40-80","e) 80+"))))</f>
        <v>b) 10-20</v>
      </c>
      <c r="AD346" s="30" t="n">
        <f aca="false">Summary!$C$5+SUM(X$2:X346)</f>
        <v>105510.31</v>
      </c>
      <c r="AE346" s="30" t="n">
        <f aca="false">MAX(AE345,AD346)</f>
        <v>106588.89</v>
      </c>
      <c r="AF346" s="30" t="n">
        <f aca="false">AE346-AD346</f>
        <v>1078.58</v>
      </c>
      <c r="AG346" s="29" t="n">
        <f aca="false">IFERROR(AF346/AE346,0)</f>
        <v>0.0101190658801307</v>
      </c>
    </row>
    <row r="347" customFormat="false" ht="15" hidden="false" customHeight="false" outlineLevel="0" collapsed="false">
      <c r="A347" s="28" t="n">
        <v>346</v>
      </c>
      <c r="B347" s="43" t="n">
        <v>45517.4208333333</v>
      </c>
      <c r="C347" s="43" t="n">
        <v>45517.426875</v>
      </c>
      <c r="D347" s="42" t="n">
        <f aca="false">INT(C347)</f>
        <v>45517</v>
      </c>
      <c r="E347" s="42" t="n">
        <f aca="false">D347-WEEKDAY(D347,3)</f>
        <v>45516</v>
      </c>
      <c r="F347" s="28" t="s">
        <v>159</v>
      </c>
      <c r="G347" s="28" t="n">
        <v>2024</v>
      </c>
      <c r="H347" s="28" t="s">
        <v>232</v>
      </c>
      <c r="I347" s="28" t="n">
        <v>10</v>
      </c>
      <c r="J347" s="28" t="s">
        <v>233</v>
      </c>
      <c r="K347" s="28" t="s">
        <v>234</v>
      </c>
      <c r="L347" s="28" t="n">
        <v>0.25</v>
      </c>
      <c r="M347" s="31" t="n">
        <v>18663.93</v>
      </c>
      <c r="N347" s="31" t="n">
        <v>18649.11</v>
      </c>
      <c r="O347" s="31" t="n">
        <v>18693.58</v>
      </c>
      <c r="P347" s="44" t="n">
        <f aca="false">ABS(M347-N347)</f>
        <v>14.8199999999997</v>
      </c>
      <c r="Q347" s="44" t="n">
        <f aca="false">IF(O347="","",ABS(O347-M347))</f>
        <v>29.6500000000015</v>
      </c>
      <c r="R347" s="30" t="n">
        <f aca="false">P347*L347*Summary!$C$6</f>
        <v>74.0999999999985</v>
      </c>
      <c r="S347" s="31" t="n">
        <v>18693.58</v>
      </c>
      <c r="T347" s="28" t="s">
        <v>214</v>
      </c>
      <c r="U347" s="44" t="n">
        <f aca="false">IF(J347="BUY",S347-M347,M347-S347)</f>
        <v>29.6500000000015</v>
      </c>
      <c r="V347" s="45" t="n">
        <v>0</v>
      </c>
      <c r="W347" s="45" t="n">
        <v>0</v>
      </c>
      <c r="X347" s="45" t="n">
        <v>148.25</v>
      </c>
      <c r="Y347" s="32" t="n">
        <f aca="false">IFERROR(X347/R347,0)</f>
        <v>2.0006747638327</v>
      </c>
      <c r="Z347" s="28" t="str">
        <f aca="false">IF(X347&gt;0,"Win",IF(X347&lt;0,"Loss","Flat"))</f>
        <v>Win</v>
      </c>
      <c r="AA347" s="28" t="n">
        <f aca="false">ROUND((C347-B347)*1440,1)</f>
        <v>8.7</v>
      </c>
      <c r="AB347" s="28" t="str">
        <f aca="false">IF(AA347&lt;1,"a) &lt;1 min",IF(AA347&lt;10,"b) 1-10 min",IF(AA347&lt;60,"c) 10-60 min",IF(AA347&lt;240,"d) 1-4 h","e) 4 h+"))))</f>
        <v>b) 1-10 min</v>
      </c>
      <c r="AC347" s="28" t="str">
        <f aca="false">IF(P347&lt;10,"a) &lt;10",IF(P347&lt;20,"b) 10-20",IF(P347&lt;40,"c) 20-40",IF(P347&lt;80,"d) 40-80","e) 80+"))))</f>
        <v>b) 10-20</v>
      </c>
      <c r="AD347" s="30" t="n">
        <f aca="false">Summary!$C$5+SUM(X$2:X347)</f>
        <v>105658.56</v>
      </c>
      <c r="AE347" s="30" t="n">
        <f aca="false">MAX(AE346,AD347)</f>
        <v>106588.89</v>
      </c>
      <c r="AF347" s="30" t="n">
        <f aca="false">AE347-AD347</f>
        <v>930.330000000002</v>
      </c>
      <c r="AG347" s="29" t="n">
        <f aca="false">IFERROR(AF347/AE347,0)</f>
        <v>0.00872820797739804</v>
      </c>
    </row>
    <row r="348" customFormat="false" ht="15" hidden="false" customHeight="false" outlineLevel="0" collapsed="false">
      <c r="A348" s="28" t="n">
        <v>347</v>
      </c>
      <c r="B348" s="43" t="n">
        <v>45518.0465277778</v>
      </c>
      <c r="C348" s="43" t="n">
        <v>45518.0543518519</v>
      </c>
      <c r="D348" s="42" t="n">
        <f aca="false">INT(C348)</f>
        <v>45518</v>
      </c>
      <c r="E348" s="42" t="n">
        <f aca="false">D348-WEEKDAY(D348,3)</f>
        <v>45516</v>
      </c>
      <c r="F348" s="28" t="s">
        <v>159</v>
      </c>
      <c r="G348" s="28" t="n">
        <v>2024</v>
      </c>
      <c r="H348" s="28" t="s">
        <v>235</v>
      </c>
      <c r="I348" s="28" t="n">
        <v>1</v>
      </c>
      <c r="J348" s="28" t="s">
        <v>233</v>
      </c>
      <c r="K348" s="28" t="s">
        <v>234</v>
      </c>
      <c r="L348" s="28" t="n">
        <v>0.24</v>
      </c>
      <c r="M348" s="31" t="n">
        <v>19021.84</v>
      </c>
      <c r="N348" s="31" t="n">
        <v>19005.93</v>
      </c>
      <c r="O348" s="31" t="n">
        <v>19053.66</v>
      </c>
      <c r="P348" s="44" t="n">
        <f aca="false">ABS(M348-N348)</f>
        <v>15.9099999999999</v>
      </c>
      <c r="Q348" s="44" t="n">
        <f aca="false">IF(O348="","",ABS(O348-M348))</f>
        <v>31.8199999999997</v>
      </c>
      <c r="R348" s="30" t="n">
        <f aca="false">P348*L348*Summary!$C$6</f>
        <v>76.3679999999993</v>
      </c>
      <c r="S348" s="31" t="n">
        <v>19005.46</v>
      </c>
      <c r="T348" s="28" t="s">
        <v>241</v>
      </c>
      <c r="U348" s="44" t="n">
        <f aca="false">IF(J348="BUY",S348-M348,M348-S348)</f>
        <v>-16.380000000001</v>
      </c>
      <c r="V348" s="45" t="n">
        <v>0</v>
      </c>
      <c r="W348" s="45" t="n">
        <v>0</v>
      </c>
      <c r="X348" s="45" t="n">
        <v>-78.62</v>
      </c>
      <c r="Y348" s="32" t="n">
        <f aca="false">IFERROR(X348/R348,0)</f>
        <v>-1.02948879111671</v>
      </c>
      <c r="Z348" s="28" t="str">
        <f aca="false">IF(X348&gt;0,"Win",IF(X348&lt;0,"Loss","Flat"))</f>
        <v>Loss</v>
      </c>
      <c r="AA348" s="28" t="n">
        <f aca="false">ROUND((C348-B348)*1440,1)</f>
        <v>11.3</v>
      </c>
      <c r="AB348" s="28" t="str">
        <f aca="false">IF(AA348&lt;1,"a) &lt;1 min",IF(AA348&lt;10,"b) 1-10 min",IF(AA348&lt;60,"c) 10-60 min",IF(AA348&lt;240,"d) 1-4 h","e) 4 h+"))))</f>
        <v>c) 10-60 min</v>
      </c>
      <c r="AC348" s="28" t="str">
        <f aca="false">IF(P348&lt;10,"a) &lt;10",IF(P348&lt;20,"b) 10-20",IF(P348&lt;40,"c) 20-40",IF(P348&lt;80,"d) 40-80","e) 80+"))))</f>
        <v>b) 10-20</v>
      </c>
      <c r="AD348" s="30" t="n">
        <f aca="false">Summary!$C$5+SUM(X$2:X348)</f>
        <v>105579.94</v>
      </c>
      <c r="AE348" s="30" t="n">
        <f aca="false">MAX(AE347,AD348)</f>
        <v>106588.89</v>
      </c>
      <c r="AF348" s="30" t="n">
        <f aca="false">AE348-AD348</f>
        <v>1008.95</v>
      </c>
      <c r="AG348" s="29" t="n">
        <f aca="false">IFERROR(AF348/AE348,0)</f>
        <v>0.00946580830328562</v>
      </c>
    </row>
    <row r="349" customFormat="false" ht="15" hidden="false" customHeight="false" outlineLevel="0" collapsed="false">
      <c r="A349" s="28" t="n">
        <v>348</v>
      </c>
      <c r="B349" s="43" t="n">
        <v>45519.2347222222</v>
      </c>
      <c r="C349" s="43" t="n">
        <v>45519.3172222222</v>
      </c>
      <c r="D349" s="42" t="n">
        <f aca="false">INT(C349)</f>
        <v>45519</v>
      </c>
      <c r="E349" s="42" t="n">
        <f aca="false">D349-WEEKDAY(D349,3)</f>
        <v>45516</v>
      </c>
      <c r="F349" s="28" t="s">
        <v>159</v>
      </c>
      <c r="G349" s="28" t="n">
        <v>2024</v>
      </c>
      <c r="H349" s="28" t="s">
        <v>239</v>
      </c>
      <c r="I349" s="28" t="n">
        <v>5</v>
      </c>
      <c r="J349" s="28" t="s">
        <v>233</v>
      </c>
      <c r="K349" s="28" t="s">
        <v>234</v>
      </c>
      <c r="L349" s="28" t="n">
        <v>0.24</v>
      </c>
      <c r="M349" s="31" t="n">
        <v>19112.56</v>
      </c>
      <c r="N349" s="31" t="n">
        <v>19101.78</v>
      </c>
      <c r="O349" s="31" t="n">
        <v>19134.12</v>
      </c>
      <c r="P349" s="44" t="n">
        <f aca="false">ABS(M349-N349)</f>
        <v>10.7800000000025</v>
      </c>
      <c r="Q349" s="44" t="n">
        <f aca="false">IF(O349="","",ABS(O349-M349))</f>
        <v>21.5599999999977</v>
      </c>
      <c r="R349" s="30" t="n">
        <f aca="false">P349*L349*Summary!$C$6</f>
        <v>51.7440000000119</v>
      </c>
      <c r="S349" s="31" t="n">
        <v>19111.58</v>
      </c>
      <c r="T349" s="28" t="s">
        <v>238</v>
      </c>
      <c r="U349" s="44" t="n">
        <f aca="false">IF(J349="BUY",S349-M349,M349-S349)</f>
        <v>-0.979999999999563</v>
      </c>
      <c r="V349" s="45" t="n">
        <v>0</v>
      </c>
      <c r="W349" s="45" t="n">
        <v>0</v>
      </c>
      <c r="X349" s="45" t="n">
        <v>-4.7</v>
      </c>
      <c r="Y349" s="32" t="n">
        <f aca="false">IFERROR(X349/R349,0)</f>
        <v>-0.0908317872603379</v>
      </c>
      <c r="Z349" s="28" t="str">
        <f aca="false">IF(X349&gt;0,"Win",IF(X349&lt;0,"Loss","Flat"))</f>
        <v>Loss</v>
      </c>
      <c r="AA349" s="28" t="n">
        <f aca="false">ROUND((C349-B349)*1440,1)</f>
        <v>118.8</v>
      </c>
      <c r="AB349" s="28" t="str">
        <f aca="false">IF(AA349&lt;1,"a) &lt;1 min",IF(AA349&lt;10,"b) 1-10 min",IF(AA349&lt;60,"c) 10-60 min",IF(AA349&lt;240,"d) 1-4 h","e) 4 h+"))))</f>
        <v>d) 1-4 h</v>
      </c>
      <c r="AC349" s="28" t="str">
        <f aca="false">IF(P349&lt;10,"a) &lt;10",IF(P349&lt;20,"b) 10-20",IF(P349&lt;40,"c) 20-40",IF(P349&lt;80,"d) 40-80","e) 80+"))))</f>
        <v>b) 10-20</v>
      </c>
      <c r="AD349" s="30" t="n">
        <f aca="false">Summary!$C$5+SUM(X$2:X349)</f>
        <v>105575.24</v>
      </c>
      <c r="AE349" s="30" t="n">
        <f aca="false">MAX(AE348,AD349)</f>
        <v>106588.89</v>
      </c>
      <c r="AF349" s="30" t="n">
        <f aca="false">AE349-AD349</f>
        <v>1013.64999999999</v>
      </c>
      <c r="AG349" s="29" t="n">
        <f aca="false">IFERROR(AF349/AE349,0)</f>
        <v>0.00950990295517661</v>
      </c>
    </row>
    <row r="350" customFormat="false" ht="15" hidden="false" customHeight="false" outlineLevel="0" collapsed="false">
      <c r="A350" s="28" t="n">
        <v>349</v>
      </c>
      <c r="B350" s="43" t="n">
        <v>45520.06875</v>
      </c>
      <c r="C350" s="43" t="n">
        <v>45520.0935648148</v>
      </c>
      <c r="D350" s="42" t="n">
        <f aca="false">INT(C350)</f>
        <v>45520</v>
      </c>
      <c r="E350" s="42" t="n">
        <f aca="false">D350-WEEKDAY(D350,3)</f>
        <v>45516</v>
      </c>
      <c r="F350" s="28" t="s">
        <v>159</v>
      </c>
      <c r="G350" s="28" t="n">
        <v>2024</v>
      </c>
      <c r="H350" s="28" t="s">
        <v>242</v>
      </c>
      <c r="I350" s="28" t="n">
        <v>1</v>
      </c>
      <c r="J350" s="28" t="s">
        <v>233</v>
      </c>
      <c r="K350" s="28" t="s">
        <v>234</v>
      </c>
      <c r="L350" s="28" t="n">
        <v>0.24</v>
      </c>
      <c r="M350" s="31" t="n">
        <v>19504.39</v>
      </c>
      <c r="N350" s="31" t="n">
        <v>19494.68</v>
      </c>
      <c r="O350" s="31" t="n">
        <v>19523.81</v>
      </c>
      <c r="P350" s="44" t="n">
        <f aca="false">ABS(M350-N350)</f>
        <v>9.70999999999913</v>
      </c>
      <c r="Q350" s="44" t="n">
        <f aca="false">IF(O350="","",ABS(O350-M350))</f>
        <v>19.4200000000019</v>
      </c>
      <c r="R350" s="30" t="n">
        <f aca="false">P350*L350*Summary!$C$6</f>
        <v>46.6079999999958</v>
      </c>
      <c r="S350" s="31" t="n">
        <v>19532.8</v>
      </c>
      <c r="T350" s="28" t="s">
        <v>214</v>
      </c>
      <c r="U350" s="44" t="n">
        <f aca="false">IF(J350="BUY",S350-M350,M350-S350)</f>
        <v>28.4099999999999</v>
      </c>
      <c r="V350" s="45" t="n">
        <v>0</v>
      </c>
      <c r="W350" s="45" t="n">
        <v>0</v>
      </c>
      <c r="X350" s="45" t="n">
        <v>136.37</v>
      </c>
      <c r="Y350" s="32" t="n">
        <f aca="false">IFERROR(X350/R350,0)</f>
        <v>2.92589255063535</v>
      </c>
      <c r="Z350" s="28" t="str">
        <f aca="false">IF(X350&gt;0,"Win",IF(X350&lt;0,"Loss","Flat"))</f>
        <v>Win</v>
      </c>
      <c r="AA350" s="28" t="n">
        <f aca="false">ROUND((C350-B350)*1440,1)</f>
        <v>35.7</v>
      </c>
      <c r="AB350" s="28" t="str">
        <f aca="false">IF(AA350&lt;1,"a) &lt;1 min",IF(AA350&lt;10,"b) 1-10 min",IF(AA350&lt;60,"c) 10-60 min",IF(AA350&lt;240,"d) 1-4 h","e) 4 h+"))))</f>
        <v>c) 10-60 min</v>
      </c>
      <c r="AC350" s="28" t="str">
        <f aca="false">IF(P350&lt;10,"a) &lt;10",IF(P350&lt;20,"b) 10-20",IF(P350&lt;40,"c) 20-40",IF(P350&lt;80,"d) 40-80","e) 80+"))))</f>
        <v>a) &lt;10</v>
      </c>
      <c r="AD350" s="30" t="n">
        <f aca="false">Summary!$C$5+SUM(X$2:X350)</f>
        <v>105711.61</v>
      </c>
      <c r="AE350" s="30" t="n">
        <f aca="false">MAX(AE349,AD350)</f>
        <v>106588.89</v>
      </c>
      <c r="AF350" s="30" t="n">
        <f aca="false">AE350-AD350</f>
        <v>877.279999999999</v>
      </c>
      <c r="AG350" s="29" t="n">
        <f aca="false">IFERROR(AF350/AE350,0)</f>
        <v>0.00823050132147918</v>
      </c>
    </row>
    <row r="351" customFormat="false" ht="15" hidden="false" customHeight="false" outlineLevel="0" collapsed="false">
      <c r="A351" s="28" t="n">
        <v>350</v>
      </c>
      <c r="B351" s="43" t="n">
        <v>45523.7875</v>
      </c>
      <c r="C351" s="43" t="n">
        <v>45523.7892361111</v>
      </c>
      <c r="D351" s="42" t="n">
        <f aca="false">INT(C351)</f>
        <v>45523</v>
      </c>
      <c r="E351" s="42" t="n">
        <f aca="false">D351-WEEKDAY(D351,3)</f>
        <v>45523</v>
      </c>
      <c r="F351" s="28" t="s">
        <v>159</v>
      </c>
      <c r="G351" s="28" t="n">
        <v>2024</v>
      </c>
      <c r="H351" s="28" t="s">
        <v>240</v>
      </c>
      <c r="I351" s="28" t="n">
        <v>18</v>
      </c>
      <c r="J351" s="28" t="s">
        <v>233</v>
      </c>
      <c r="K351" s="28" t="s">
        <v>234</v>
      </c>
      <c r="L351" s="28" t="n">
        <v>0.24</v>
      </c>
      <c r="M351" s="31" t="n">
        <v>19584.59</v>
      </c>
      <c r="N351" s="31" t="n">
        <v>19569.13</v>
      </c>
      <c r="O351" s="31" t="n">
        <v>19615.5</v>
      </c>
      <c r="P351" s="44" t="n">
        <f aca="false">ABS(M351-N351)</f>
        <v>15.4599999999991</v>
      </c>
      <c r="Q351" s="44" t="n">
        <f aca="false">IF(O351="","",ABS(O351-M351))</f>
        <v>30.9099999999999</v>
      </c>
      <c r="R351" s="30" t="n">
        <f aca="false">P351*L351*Summary!$C$6</f>
        <v>74.2079999999958</v>
      </c>
      <c r="S351" s="31" t="n">
        <v>19568.32</v>
      </c>
      <c r="T351" s="28" t="s">
        <v>241</v>
      </c>
      <c r="U351" s="44" t="n">
        <f aca="false">IF(J351="BUY",S351-M351,M351-S351)</f>
        <v>-16.2700000000004</v>
      </c>
      <c r="V351" s="45" t="n">
        <v>0</v>
      </c>
      <c r="W351" s="45" t="n">
        <v>0</v>
      </c>
      <c r="X351" s="45" t="n">
        <v>-78.1</v>
      </c>
      <c r="Y351" s="32" t="n">
        <f aca="false">IFERROR(X351/R351,0)</f>
        <v>-1.05244717550674</v>
      </c>
      <c r="Z351" s="28" t="str">
        <f aca="false">IF(X351&gt;0,"Win",IF(X351&lt;0,"Loss","Flat"))</f>
        <v>Loss</v>
      </c>
      <c r="AA351" s="28" t="n">
        <f aca="false">ROUND((C351-B351)*1440,1)</f>
        <v>2.5</v>
      </c>
      <c r="AB351" s="28" t="str">
        <f aca="false">IF(AA351&lt;1,"a) &lt;1 min",IF(AA351&lt;10,"b) 1-10 min",IF(AA351&lt;60,"c) 10-60 min",IF(AA351&lt;240,"d) 1-4 h","e) 4 h+"))))</f>
        <v>b) 1-10 min</v>
      </c>
      <c r="AC351" s="28" t="str">
        <f aca="false">IF(P351&lt;10,"a) &lt;10",IF(P351&lt;20,"b) 10-20",IF(P351&lt;40,"c) 20-40",IF(P351&lt;80,"d) 40-80","e) 80+"))))</f>
        <v>b) 10-20</v>
      </c>
      <c r="AD351" s="30" t="n">
        <f aca="false">Summary!$C$5+SUM(X$2:X351)</f>
        <v>105633.51</v>
      </c>
      <c r="AE351" s="30" t="n">
        <f aca="false">MAX(AE350,AD351)</f>
        <v>106588.89</v>
      </c>
      <c r="AF351" s="30" t="n">
        <f aca="false">AE351-AD351</f>
        <v>955.380000000005</v>
      </c>
      <c r="AG351" s="29" t="n">
        <f aca="false">IFERROR(AF351/AE351,0)</f>
        <v>0.00896322309013636</v>
      </c>
    </row>
    <row r="352" customFormat="false" ht="15" hidden="false" customHeight="false" outlineLevel="0" collapsed="false">
      <c r="A352" s="28" t="n">
        <v>351</v>
      </c>
      <c r="B352" s="43" t="n">
        <v>45524.0462615741</v>
      </c>
      <c r="C352" s="43" t="n">
        <v>45524.1028356482</v>
      </c>
      <c r="D352" s="42" t="n">
        <f aca="false">INT(C352)</f>
        <v>45524</v>
      </c>
      <c r="E352" s="42" t="n">
        <f aca="false">D352-WEEKDAY(D352,3)</f>
        <v>45523</v>
      </c>
      <c r="F352" s="28" t="s">
        <v>159</v>
      </c>
      <c r="G352" s="28" t="n">
        <v>2024</v>
      </c>
      <c r="H352" s="28" t="s">
        <v>232</v>
      </c>
      <c r="I352" s="28" t="n">
        <v>1</v>
      </c>
      <c r="J352" s="28" t="s">
        <v>233</v>
      </c>
      <c r="K352" s="28" t="s">
        <v>234</v>
      </c>
      <c r="L352" s="28" t="n">
        <v>0.24</v>
      </c>
      <c r="M352" s="31" t="n">
        <v>19779.41</v>
      </c>
      <c r="N352" s="31" t="n">
        <v>19766.22</v>
      </c>
      <c r="O352" s="31" t="n">
        <v>19805.79</v>
      </c>
      <c r="P352" s="44" t="n">
        <f aca="false">ABS(M352-N352)</f>
        <v>13.1899999999987</v>
      </c>
      <c r="Q352" s="44" t="n">
        <f aca="false">IF(O352="","",ABS(O352-M352))</f>
        <v>26.380000000001</v>
      </c>
      <c r="R352" s="30" t="n">
        <f aca="false">P352*L352*Summary!$C$6</f>
        <v>63.3119999999937</v>
      </c>
      <c r="S352" s="31" t="n">
        <v>19765.14</v>
      </c>
      <c r="T352" s="28" t="s">
        <v>241</v>
      </c>
      <c r="U352" s="44" t="n">
        <f aca="false">IF(J352="BUY",S352-M352,M352-S352)</f>
        <v>-14.2700000000004</v>
      </c>
      <c r="V352" s="45" t="n">
        <v>0</v>
      </c>
      <c r="W352" s="45" t="n">
        <v>0</v>
      </c>
      <c r="X352" s="45" t="n">
        <v>-68.5</v>
      </c>
      <c r="Y352" s="32" t="n">
        <f aca="false">IFERROR(X352/R352,0)</f>
        <v>-1.08194339145828</v>
      </c>
      <c r="Z352" s="28" t="str">
        <f aca="false">IF(X352&gt;0,"Win",IF(X352&lt;0,"Loss","Flat"))</f>
        <v>Loss</v>
      </c>
      <c r="AA352" s="28" t="n">
        <f aca="false">ROUND((C352-B352)*1440,1)</f>
        <v>81.5</v>
      </c>
      <c r="AB352" s="28" t="str">
        <f aca="false">IF(AA352&lt;1,"a) &lt;1 min",IF(AA352&lt;10,"b) 1-10 min",IF(AA352&lt;60,"c) 10-60 min",IF(AA352&lt;240,"d) 1-4 h","e) 4 h+"))))</f>
        <v>d) 1-4 h</v>
      </c>
      <c r="AC352" s="28" t="str">
        <f aca="false">IF(P352&lt;10,"a) &lt;10",IF(P352&lt;20,"b) 10-20",IF(P352&lt;40,"c) 20-40",IF(P352&lt;80,"d) 40-80","e) 80+"))))</f>
        <v>b) 10-20</v>
      </c>
      <c r="AD352" s="30" t="n">
        <f aca="false">Summary!$C$5+SUM(X$2:X352)</f>
        <v>105565.01</v>
      </c>
      <c r="AE352" s="30" t="n">
        <f aca="false">MAX(AE351,AD352)</f>
        <v>106588.89</v>
      </c>
      <c r="AF352" s="30" t="n">
        <f aca="false">AE352-AD352</f>
        <v>1023.88</v>
      </c>
      <c r="AG352" s="29" t="n">
        <f aca="false">IFERROR(AF352/AE352,0)</f>
        <v>0.00960587918684588</v>
      </c>
    </row>
    <row r="353" customFormat="false" ht="15" hidden="false" customHeight="false" outlineLevel="0" collapsed="false">
      <c r="A353" s="28" t="n">
        <v>352</v>
      </c>
      <c r="B353" s="43" t="n">
        <v>45525.7340277778</v>
      </c>
      <c r="C353" s="43" t="n">
        <v>45525.7418981482</v>
      </c>
      <c r="D353" s="42" t="n">
        <f aca="false">INT(C353)</f>
        <v>45525</v>
      </c>
      <c r="E353" s="42" t="n">
        <f aca="false">D353-WEEKDAY(D353,3)</f>
        <v>45523</v>
      </c>
      <c r="F353" s="28" t="s">
        <v>159</v>
      </c>
      <c r="G353" s="28" t="n">
        <v>2024</v>
      </c>
      <c r="H353" s="28" t="s">
        <v>235</v>
      </c>
      <c r="I353" s="28" t="n">
        <v>17</v>
      </c>
      <c r="J353" s="28" t="s">
        <v>233</v>
      </c>
      <c r="K353" s="28" t="s">
        <v>234</v>
      </c>
      <c r="L353" s="28" t="n">
        <v>0.23</v>
      </c>
      <c r="M353" s="31" t="n">
        <v>19849.01</v>
      </c>
      <c r="N353" s="31" t="n">
        <v>19803.65</v>
      </c>
      <c r="O353" s="31" t="n">
        <v>19939.73</v>
      </c>
      <c r="P353" s="44" t="n">
        <f aca="false">ABS(M353-N353)</f>
        <v>45.3599999999969</v>
      </c>
      <c r="Q353" s="44" t="n">
        <f aca="false">IF(O353="","",ABS(O353-M353))</f>
        <v>90.7200000000012</v>
      </c>
      <c r="R353" s="30" t="n">
        <f aca="false">P353*L353*Summary!$C$6</f>
        <v>208.655999999986</v>
      </c>
      <c r="S353" s="31" t="n">
        <v>19848.51</v>
      </c>
      <c r="T353" s="28" t="s">
        <v>238</v>
      </c>
      <c r="U353" s="44" t="n">
        <f aca="false">IF(J353="BUY",S353-M353,M353-S353)</f>
        <v>-0.5</v>
      </c>
      <c r="V353" s="45" t="n">
        <v>0</v>
      </c>
      <c r="W353" s="45" t="n">
        <v>0</v>
      </c>
      <c r="X353" s="45" t="n">
        <v>-2.3</v>
      </c>
      <c r="Y353" s="32" t="n">
        <f aca="false">IFERROR(X353/R353,0)</f>
        <v>-0.0110229276895951</v>
      </c>
      <c r="Z353" s="28" t="str">
        <f aca="false">IF(X353&gt;0,"Win",IF(X353&lt;0,"Loss","Flat"))</f>
        <v>Loss</v>
      </c>
      <c r="AA353" s="28" t="n">
        <f aca="false">ROUND((C353-B353)*1440,1)</f>
        <v>11.3</v>
      </c>
      <c r="AB353" s="28" t="str">
        <f aca="false">IF(AA353&lt;1,"a) &lt;1 min",IF(AA353&lt;10,"b) 1-10 min",IF(AA353&lt;60,"c) 10-60 min",IF(AA353&lt;240,"d) 1-4 h","e) 4 h+"))))</f>
        <v>c) 10-60 min</v>
      </c>
      <c r="AC353" s="28" t="str">
        <f aca="false">IF(P353&lt;10,"a) &lt;10",IF(P353&lt;20,"b) 10-20",IF(P353&lt;40,"c) 20-40",IF(P353&lt;80,"d) 40-80","e) 80+"))))</f>
        <v>d) 40-80</v>
      </c>
      <c r="AD353" s="30" t="n">
        <f aca="false">Summary!$C$5+SUM(X$2:X353)</f>
        <v>105562.71</v>
      </c>
      <c r="AE353" s="30" t="n">
        <f aca="false">MAX(AE352,AD353)</f>
        <v>106588.89</v>
      </c>
      <c r="AF353" s="30" t="n">
        <f aca="false">AE353-AD353</f>
        <v>1026.17999999999</v>
      </c>
      <c r="AG353" s="29" t="n">
        <f aca="false">IFERROR(AF353/AE353,0)</f>
        <v>0.00962745742074988</v>
      </c>
    </row>
    <row r="354" customFormat="false" ht="15" hidden="false" customHeight="false" outlineLevel="0" collapsed="false">
      <c r="A354" s="28" t="n">
        <v>353</v>
      </c>
      <c r="B354" s="43" t="n">
        <v>45526.6</v>
      </c>
      <c r="C354" s="43" t="n">
        <v>45526.603599537</v>
      </c>
      <c r="D354" s="42" t="n">
        <f aca="false">INT(C354)</f>
        <v>45526</v>
      </c>
      <c r="E354" s="42" t="n">
        <f aca="false">D354-WEEKDAY(D354,3)</f>
        <v>45523</v>
      </c>
      <c r="F354" s="28" t="s">
        <v>159</v>
      </c>
      <c r="G354" s="28" t="n">
        <v>2024</v>
      </c>
      <c r="H354" s="28" t="s">
        <v>239</v>
      </c>
      <c r="I354" s="28" t="n">
        <v>14</v>
      </c>
      <c r="J354" s="28" t="s">
        <v>233</v>
      </c>
      <c r="K354" s="28" t="s">
        <v>234</v>
      </c>
      <c r="L354" s="28" t="n">
        <v>0.23</v>
      </c>
      <c r="M354" s="31" t="n">
        <v>19896.23</v>
      </c>
      <c r="N354" s="31" t="n">
        <v>19887.42</v>
      </c>
      <c r="O354" s="31" t="n">
        <v>19913.85</v>
      </c>
      <c r="P354" s="44" t="n">
        <f aca="false">ABS(M354-N354)</f>
        <v>8.81000000000131</v>
      </c>
      <c r="Q354" s="44" t="n">
        <f aca="false">IF(O354="","",ABS(O354-M354))</f>
        <v>17.619999999999</v>
      </c>
      <c r="R354" s="30" t="n">
        <f aca="false">P354*L354*Summary!$C$6</f>
        <v>40.526000000006</v>
      </c>
      <c r="S354" s="31" t="n">
        <v>19887.3</v>
      </c>
      <c r="T354" s="28" t="s">
        <v>241</v>
      </c>
      <c r="U354" s="44" t="n">
        <f aca="false">IF(J354="BUY",S354-M354,M354-S354)</f>
        <v>-8.93000000000029</v>
      </c>
      <c r="V354" s="45" t="n">
        <v>0</v>
      </c>
      <c r="W354" s="45" t="n">
        <v>0</v>
      </c>
      <c r="X354" s="45" t="n">
        <v>-41.08</v>
      </c>
      <c r="Y354" s="32" t="n">
        <f aca="false">IFERROR(X354/R354,0)</f>
        <v>-1.0136702363913</v>
      </c>
      <c r="Z354" s="28" t="str">
        <f aca="false">IF(X354&gt;0,"Win",IF(X354&lt;0,"Loss","Flat"))</f>
        <v>Loss</v>
      </c>
      <c r="AA354" s="28" t="n">
        <f aca="false">ROUND((C354-B354)*1440,1)</f>
        <v>5.2</v>
      </c>
      <c r="AB354" s="28" t="str">
        <f aca="false">IF(AA354&lt;1,"a) &lt;1 min",IF(AA354&lt;10,"b) 1-10 min",IF(AA354&lt;60,"c) 10-60 min",IF(AA354&lt;240,"d) 1-4 h","e) 4 h+"))))</f>
        <v>b) 1-10 min</v>
      </c>
      <c r="AC354" s="28" t="str">
        <f aca="false">IF(P354&lt;10,"a) &lt;10",IF(P354&lt;20,"b) 10-20",IF(P354&lt;40,"c) 20-40",IF(P354&lt;80,"d) 40-80","e) 80+"))))</f>
        <v>a) &lt;10</v>
      </c>
      <c r="AD354" s="30" t="n">
        <f aca="false">Summary!$C$5+SUM(X$2:X354)</f>
        <v>105521.63</v>
      </c>
      <c r="AE354" s="30" t="n">
        <f aca="false">MAX(AE353,AD354)</f>
        <v>106588.89</v>
      </c>
      <c r="AF354" s="30" t="n">
        <f aca="false">AE354-AD354</f>
        <v>1067.25999999999</v>
      </c>
      <c r="AG354" s="29" t="n">
        <f aca="false">IFERROR(AF354/AE354,0)</f>
        <v>0.0100128634419591</v>
      </c>
    </row>
    <row r="355" customFormat="false" ht="15" hidden="false" customHeight="false" outlineLevel="0" collapsed="false">
      <c r="A355" s="28" t="n">
        <v>354</v>
      </c>
      <c r="B355" s="43" t="n">
        <v>45526.7763888889</v>
      </c>
      <c r="C355" s="43" t="n">
        <v>45526.7799652778</v>
      </c>
      <c r="D355" s="42" t="n">
        <f aca="false">INT(C355)</f>
        <v>45526</v>
      </c>
      <c r="E355" s="42" t="n">
        <f aca="false">D355-WEEKDAY(D355,3)</f>
        <v>45523</v>
      </c>
      <c r="F355" s="28" t="s">
        <v>159</v>
      </c>
      <c r="G355" s="28" t="n">
        <v>2024</v>
      </c>
      <c r="H355" s="28" t="s">
        <v>239</v>
      </c>
      <c r="I355" s="28" t="n">
        <v>18</v>
      </c>
      <c r="J355" s="28" t="s">
        <v>236</v>
      </c>
      <c r="K355" s="28" t="s">
        <v>237</v>
      </c>
      <c r="L355" s="28" t="n">
        <v>0.24</v>
      </c>
      <c r="M355" s="31" t="n">
        <v>19685.02</v>
      </c>
      <c r="N355" s="31" t="n">
        <v>19714.46</v>
      </c>
      <c r="O355" s="31" t="n">
        <v>19626.15</v>
      </c>
      <c r="P355" s="44" t="n">
        <f aca="false">ABS(M355-N355)</f>
        <v>29.4399999999987</v>
      </c>
      <c r="Q355" s="44" t="n">
        <f aca="false">IF(O355="","",ABS(O355-M355))</f>
        <v>58.869999999999</v>
      </c>
      <c r="R355" s="30" t="n">
        <f aca="false">P355*L355*Summary!$C$6</f>
        <v>141.311999999994</v>
      </c>
      <c r="S355" s="31" t="n">
        <v>19626.12</v>
      </c>
      <c r="T355" s="28" t="s">
        <v>214</v>
      </c>
      <c r="U355" s="44" t="n">
        <f aca="false">IF(J355="BUY",S355-M355,M355-S355)</f>
        <v>58.9000000000015</v>
      </c>
      <c r="V355" s="45" t="n">
        <v>0</v>
      </c>
      <c r="W355" s="45" t="n">
        <v>0</v>
      </c>
      <c r="X355" s="45" t="n">
        <v>282.72</v>
      </c>
      <c r="Y355" s="32" t="n">
        <f aca="false">IFERROR(X355/R355,0)</f>
        <v>2.00067934782618</v>
      </c>
      <c r="Z355" s="28" t="str">
        <f aca="false">IF(X355&gt;0,"Win",IF(X355&lt;0,"Loss","Flat"))</f>
        <v>Win</v>
      </c>
      <c r="AA355" s="28" t="n">
        <f aca="false">ROUND((C355-B355)*1440,1)</f>
        <v>5.2</v>
      </c>
      <c r="AB355" s="28" t="str">
        <f aca="false">IF(AA355&lt;1,"a) &lt;1 min",IF(AA355&lt;10,"b) 1-10 min",IF(AA355&lt;60,"c) 10-60 min",IF(AA355&lt;240,"d) 1-4 h","e) 4 h+"))))</f>
        <v>b) 1-10 min</v>
      </c>
      <c r="AC355" s="28" t="str">
        <f aca="false">IF(P355&lt;10,"a) &lt;10",IF(P355&lt;20,"b) 10-20",IF(P355&lt;40,"c) 20-40",IF(P355&lt;80,"d) 40-80","e) 80+"))))</f>
        <v>c) 20-40</v>
      </c>
      <c r="AD355" s="30" t="n">
        <f aca="false">Summary!$C$5+SUM(X$2:X355)</f>
        <v>105804.35</v>
      </c>
      <c r="AE355" s="30" t="n">
        <f aca="false">MAX(AE354,AD355)</f>
        <v>106588.89</v>
      </c>
      <c r="AF355" s="30" t="n">
        <f aca="false">AE355-AD355</f>
        <v>784.539999999994</v>
      </c>
      <c r="AG355" s="29" t="n">
        <f aca="false">IFERROR(AF355/AE355,0)</f>
        <v>0.0073604294031019</v>
      </c>
    </row>
    <row r="356" customFormat="false" ht="15" hidden="false" customHeight="false" outlineLevel="0" collapsed="false">
      <c r="A356" s="28" t="n">
        <v>355</v>
      </c>
      <c r="B356" s="43" t="n">
        <v>45530.7305555556</v>
      </c>
      <c r="C356" s="43" t="n">
        <v>45530.7352662037</v>
      </c>
      <c r="D356" s="42" t="n">
        <f aca="false">INT(C356)</f>
        <v>45530</v>
      </c>
      <c r="E356" s="42" t="n">
        <f aca="false">D356-WEEKDAY(D356,3)</f>
        <v>45530</v>
      </c>
      <c r="F356" s="28" t="s">
        <v>159</v>
      </c>
      <c r="G356" s="28" t="n">
        <v>2024</v>
      </c>
      <c r="H356" s="28" t="s">
        <v>240</v>
      </c>
      <c r="I356" s="28" t="n">
        <v>17</v>
      </c>
      <c r="J356" s="28" t="s">
        <v>236</v>
      </c>
      <c r="K356" s="28" t="s">
        <v>237</v>
      </c>
      <c r="L356" s="28" t="n">
        <v>0.24</v>
      </c>
      <c r="M356" s="31" t="n">
        <v>19504.49</v>
      </c>
      <c r="N356" s="31" t="n">
        <v>19538.4</v>
      </c>
      <c r="O356" s="31" t="n">
        <v>19436.66</v>
      </c>
      <c r="P356" s="44" t="n">
        <f aca="false">ABS(M356-N356)</f>
        <v>33.9099999999999</v>
      </c>
      <c r="Q356" s="44" t="n">
        <f aca="false">IF(O356="","",ABS(O356-M356))</f>
        <v>67.8300000000018</v>
      </c>
      <c r="R356" s="30" t="n">
        <f aca="false">P356*L356*Summary!$C$6</f>
        <v>162.767999999999</v>
      </c>
      <c r="S356" s="31" t="n">
        <v>19436.29</v>
      </c>
      <c r="T356" s="28" t="s">
        <v>214</v>
      </c>
      <c r="U356" s="44" t="n">
        <f aca="false">IF(J356="BUY",S356-M356,M356-S356)</f>
        <v>68.2000000000007</v>
      </c>
      <c r="V356" s="45" t="n">
        <v>0</v>
      </c>
      <c r="W356" s="45" t="n">
        <v>0</v>
      </c>
      <c r="X356" s="45" t="n">
        <v>327.36</v>
      </c>
      <c r="Y356" s="32" t="n">
        <f aca="false">IFERROR(X356/R356,0)</f>
        <v>2.01120613388382</v>
      </c>
      <c r="Z356" s="28" t="str">
        <f aca="false">IF(X356&gt;0,"Win",IF(X356&lt;0,"Loss","Flat"))</f>
        <v>Win</v>
      </c>
      <c r="AA356" s="28" t="n">
        <f aca="false">ROUND((C356-B356)*1440,1)</f>
        <v>6.8</v>
      </c>
      <c r="AB356" s="28" t="str">
        <f aca="false">IF(AA356&lt;1,"a) &lt;1 min",IF(AA356&lt;10,"b) 1-10 min",IF(AA356&lt;60,"c) 10-60 min",IF(AA356&lt;240,"d) 1-4 h","e) 4 h+"))))</f>
        <v>b) 1-10 min</v>
      </c>
      <c r="AC356" s="28" t="str">
        <f aca="false">IF(P356&lt;10,"a) &lt;10",IF(P356&lt;20,"b) 10-20",IF(P356&lt;40,"c) 20-40",IF(P356&lt;80,"d) 40-80","e) 80+"))))</f>
        <v>c) 20-40</v>
      </c>
      <c r="AD356" s="30" t="n">
        <f aca="false">Summary!$C$5+SUM(X$2:X356)</f>
        <v>106131.71</v>
      </c>
      <c r="AE356" s="30" t="n">
        <f aca="false">MAX(AE355,AD356)</f>
        <v>106588.89</v>
      </c>
      <c r="AF356" s="30" t="n">
        <f aca="false">AE356-AD356</f>
        <v>457.179999999993</v>
      </c>
      <c r="AG356" s="29" t="n">
        <f aca="false">IFERROR(AF356/AE356,0)</f>
        <v>0.00428918998968835</v>
      </c>
    </row>
    <row r="357" customFormat="false" ht="15" hidden="false" customHeight="false" outlineLevel="0" collapsed="false">
      <c r="A357" s="28" t="n">
        <v>356</v>
      </c>
      <c r="B357" s="43" t="n">
        <v>45531.6701388889</v>
      </c>
      <c r="C357" s="43" t="n">
        <v>45531.6744328704</v>
      </c>
      <c r="D357" s="42" t="n">
        <f aca="false">INT(C357)</f>
        <v>45531</v>
      </c>
      <c r="E357" s="42" t="n">
        <f aca="false">D357-WEEKDAY(D357,3)</f>
        <v>45530</v>
      </c>
      <c r="F357" s="28" t="s">
        <v>159</v>
      </c>
      <c r="G357" s="28" t="n">
        <v>2024</v>
      </c>
      <c r="H357" s="28" t="s">
        <v>232</v>
      </c>
      <c r="I357" s="28" t="n">
        <v>16</v>
      </c>
      <c r="J357" s="28" t="s">
        <v>236</v>
      </c>
      <c r="K357" s="28" t="s">
        <v>237</v>
      </c>
      <c r="L357" s="28" t="n">
        <v>0.24</v>
      </c>
      <c r="M357" s="31" t="n">
        <v>19411.63</v>
      </c>
      <c r="N357" s="31" t="n">
        <v>19433.66</v>
      </c>
      <c r="O357" s="31" t="n">
        <v>19367.58</v>
      </c>
      <c r="P357" s="44" t="n">
        <f aca="false">ABS(M357-N357)</f>
        <v>22.0299999999988</v>
      </c>
      <c r="Q357" s="44" t="n">
        <f aca="false">IF(O357="","",ABS(O357-M357))</f>
        <v>44.0499999999993</v>
      </c>
      <c r="R357" s="30" t="n">
        <f aca="false">P357*L357*Summary!$C$6</f>
        <v>105.743999999994</v>
      </c>
      <c r="S357" s="31" t="n">
        <v>19433.67</v>
      </c>
      <c r="T357" s="28" t="s">
        <v>241</v>
      </c>
      <c r="U357" s="44" t="n">
        <f aca="false">IF(J357="BUY",S357-M357,M357-S357)</f>
        <v>-22.0399999999972</v>
      </c>
      <c r="V357" s="45" t="n">
        <v>0</v>
      </c>
      <c r="W357" s="45" t="n">
        <v>0</v>
      </c>
      <c r="X357" s="45" t="n">
        <v>-105.79</v>
      </c>
      <c r="Y357" s="32" t="n">
        <f aca="false">IFERROR(X357/R357,0)</f>
        <v>-1.0004350128613</v>
      </c>
      <c r="Z357" s="28" t="str">
        <f aca="false">IF(X357&gt;0,"Win",IF(X357&lt;0,"Loss","Flat"))</f>
        <v>Loss</v>
      </c>
      <c r="AA357" s="28" t="n">
        <f aca="false">ROUND((C357-B357)*1440,1)</f>
        <v>6.2</v>
      </c>
      <c r="AB357" s="28" t="str">
        <f aca="false">IF(AA357&lt;1,"a) &lt;1 min",IF(AA357&lt;10,"b) 1-10 min",IF(AA357&lt;60,"c) 10-60 min",IF(AA357&lt;240,"d) 1-4 h","e) 4 h+"))))</f>
        <v>b) 1-10 min</v>
      </c>
      <c r="AC357" s="28" t="str">
        <f aca="false">IF(P357&lt;10,"a) &lt;10",IF(P357&lt;20,"b) 10-20",IF(P357&lt;40,"c) 20-40",IF(P357&lt;80,"d) 40-80","e) 80+"))))</f>
        <v>c) 20-40</v>
      </c>
      <c r="AD357" s="30" t="n">
        <f aca="false">Summary!$C$5+SUM(X$2:X357)</f>
        <v>106025.92</v>
      </c>
      <c r="AE357" s="30" t="n">
        <f aca="false">MAX(AE356,AD357)</f>
        <v>106588.89</v>
      </c>
      <c r="AF357" s="30" t="n">
        <f aca="false">AE357-AD357</f>
        <v>562.970000000001</v>
      </c>
      <c r="AG357" s="29" t="n">
        <f aca="false">IFERROR(AF357/AE357,0)</f>
        <v>0.00528169493086945</v>
      </c>
    </row>
    <row r="358" customFormat="false" ht="15" hidden="false" customHeight="false" outlineLevel="0" collapsed="false">
      <c r="A358" s="28" t="n">
        <v>357</v>
      </c>
      <c r="B358" s="43" t="n">
        <v>45532.7520833333</v>
      </c>
      <c r="C358" s="43" t="n">
        <v>45532.7586921296</v>
      </c>
      <c r="D358" s="42" t="n">
        <f aca="false">INT(C358)</f>
        <v>45532</v>
      </c>
      <c r="E358" s="42" t="n">
        <f aca="false">D358-WEEKDAY(D358,3)</f>
        <v>45530</v>
      </c>
      <c r="F358" s="28" t="s">
        <v>159</v>
      </c>
      <c r="G358" s="28" t="n">
        <v>2024</v>
      </c>
      <c r="H358" s="28" t="s">
        <v>235</v>
      </c>
      <c r="I358" s="28" t="n">
        <v>18</v>
      </c>
      <c r="J358" s="28" t="s">
        <v>236</v>
      </c>
      <c r="K358" s="28" t="s">
        <v>237</v>
      </c>
      <c r="L358" s="28" t="n">
        <v>0.24</v>
      </c>
      <c r="M358" s="31" t="n">
        <v>19359.14</v>
      </c>
      <c r="N358" s="31" t="n">
        <v>19389.89</v>
      </c>
      <c r="O358" s="31" t="n">
        <v>19297.64</v>
      </c>
      <c r="P358" s="44" t="n">
        <f aca="false">ABS(M358-N358)</f>
        <v>30.75</v>
      </c>
      <c r="Q358" s="44" t="n">
        <f aca="false">IF(O358="","",ABS(O358-M358))</f>
        <v>61.5</v>
      </c>
      <c r="R358" s="30" t="n">
        <f aca="false">P358*L358*Summary!$C$6</f>
        <v>147.6</v>
      </c>
      <c r="S358" s="31" t="n">
        <v>19297.22</v>
      </c>
      <c r="T358" s="28" t="s">
        <v>214</v>
      </c>
      <c r="U358" s="44" t="n">
        <f aca="false">IF(J358="BUY",S358-M358,M358-S358)</f>
        <v>61.9199999999983</v>
      </c>
      <c r="V358" s="45" t="n">
        <v>0</v>
      </c>
      <c r="W358" s="45" t="n">
        <v>0</v>
      </c>
      <c r="X358" s="45" t="n">
        <v>297.22</v>
      </c>
      <c r="Y358" s="32" t="n">
        <f aca="false">IFERROR(X358/R358,0)</f>
        <v>2.01368563685637</v>
      </c>
      <c r="Z358" s="28" t="str">
        <f aca="false">IF(X358&gt;0,"Win",IF(X358&lt;0,"Loss","Flat"))</f>
        <v>Win</v>
      </c>
      <c r="AA358" s="28" t="n">
        <f aca="false">ROUND((C358-B358)*1440,1)</f>
        <v>9.5</v>
      </c>
      <c r="AB358" s="28" t="str">
        <f aca="false">IF(AA358&lt;1,"a) &lt;1 min",IF(AA358&lt;10,"b) 1-10 min",IF(AA358&lt;60,"c) 10-60 min",IF(AA358&lt;240,"d) 1-4 h","e) 4 h+"))))</f>
        <v>b) 1-10 min</v>
      </c>
      <c r="AC358" s="28" t="str">
        <f aca="false">IF(P358&lt;10,"a) &lt;10",IF(P358&lt;20,"b) 10-20",IF(P358&lt;40,"c) 20-40",IF(P358&lt;80,"d) 40-80","e) 80+"))))</f>
        <v>c) 20-40</v>
      </c>
      <c r="AD358" s="30" t="n">
        <f aca="false">Summary!$C$5+SUM(X$2:X358)</f>
        <v>106323.14</v>
      </c>
      <c r="AE358" s="30" t="n">
        <f aca="false">MAX(AE357,AD358)</f>
        <v>106588.89</v>
      </c>
      <c r="AF358" s="30" t="n">
        <f aca="false">AE358-AD358</f>
        <v>265.75</v>
      </c>
      <c r="AG358" s="29" t="n">
        <f aca="false">IFERROR(AF358/AE358,0)</f>
        <v>0.00249322420000809</v>
      </c>
    </row>
    <row r="359" customFormat="false" ht="15" hidden="false" customHeight="false" outlineLevel="0" collapsed="false">
      <c r="A359" s="28" t="n">
        <v>358</v>
      </c>
      <c r="B359" s="43" t="n">
        <v>45533.0457523148</v>
      </c>
      <c r="C359" s="43" t="n">
        <v>45533.1559375</v>
      </c>
      <c r="D359" s="42" t="n">
        <f aca="false">INT(C359)</f>
        <v>45533</v>
      </c>
      <c r="E359" s="42" t="n">
        <f aca="false">D359-WEEKDAY(D359,3)</f>
        <v>45530</v>
      </c>
      <c r="F359" s="28" t="s">
        <v>159</v>
      </c>
      <c r="G359" s="28" t="n">
        <v>2024</v>
      </c>
      <c r="H359" s="28" t="s">
        <v>239</v>
      </c>
      <c r="I359" s="28" t="n">
        <v>1</v>
      </c>
      <c r="J359" s="28" t="s">
        <v>236</v>
      </c>
      <c r="K359" s="28" t="s">
        <v>237</v>
      </c>
      <c r="L359" s="28" t="n">
        <v>0.24</v>
      </c>
      <c r="M359" s="31" t="n">
        <v>19186.41</v>
      </c>
      <c r="N359" s="31" t="n">
        <v>19248.7</v>
      </c>
      <c r="O359" s="31" t="n">
        <v>19061.83</v>
      </c>
      <c r="P359" s="44" t="n">
        <f aca="false">ABS(M359-N359)</f>
        <v>62.2900000000009</v>
      </c>
      <c r="Q359" s="44" t="n">
        <f aca="false">IF(O359="","",ABS(O359-M359))</f>
        <v>124.579999999998</v>
      </c>
      <c r="R359" s="30" t="n">
        <f aca="false">P359*L359*Summary!$C$6</f>
        <v>298.992000000004</v>
      </c>
      <c r="S359" s="31" t="n">
        <v>19186.9</v>
      </c>
      <c r="T359" s="28" t="s">
        <v>238</v>
      </c>
      <c r="U359" s="44" t="n">
        <f aca="false">IF(J359="BUY",S359-M359,M359-S359)</f>
        <v>-0.490000000001601</v>
      </c>
      <c r="V359" s="45" t="n">
        <v>0</v>
      </c>
      <c r="W359" s="45" t="n">
        <v>0</v>
      </c>
      <c r="X359" s="45" t="n">
        <v>-2.35</v>
      </c>
      <c r="Y359" s="32" t="n">
        <f aca="false">IFERROR(X359/R359,0)</f>
        <v>-0.00785974206667726</v>
      </c>
      <c r="Z359" s="28" t="str">
        <f aca="false">IF(X359&gt;0,"Win",IF(X359&lt;0,"Loss","Flat"))</f>
        <v>Loss</v>
      </c>
      <c r="AA359" s="28" t="n">
        <f aca="false">ROUND((C359-B359)*1440,1)</f>
        <v>158.7</v>
      </c>
      <c r="AB359" s="28" t="str">
        <f aca="false">IF(AA359&lt;1,"a) &lt;1 min",IF(AA359&lt;10,"b) 1-10 min",IF(AA359&lt;60,"c) 10-60 min",IF(AA359&lt;240,"d) 1-4 h","e) 4 h+"))))</f>
        <v>d) 1-4 h</v>
      </c>
      <c r="AC359" s="28" t="str">
        <f aca="false">IF(P359&lt;10,"a) &lt;10",IF(P359&lt;20,"b) 10-20",IF(P359&lt;40,"c) 20-40",IF(P359&lt;80,"d) 40-80","e) 80+"))))</f>
        <v>d) 40-80</v>
      </c>
      <c r="AD359" s="30" t="n">
        <f aca="false">Summary!$C$5+SUM(X$2:X359)</f>
        <v>106320.79</v>
      </c>
      <c r="AE359" s="30" t="n">
        <f aca="false">MAX(AE358,AD359)</f>
        <v>106588.89</v>
      </c>
      <c r="AF359" s="30" t="n">
        <f aca="false">AE359-AD359</f>
        <v>268.100000000006</v>
      </c>
      <c r="AG359" s="29" t="n">
        <f aca="false">IFERROR(AF359/AE359,0)</f>
        <v>0.00251527152595365</v>
      </c>
    </row>
    <row r="360" customFormat="false" ht="15" hidden="false" customHeight="false" outlineLevel="0" collapsed="false">
      <c r="A360" s="28" t="n">
        <v>359</v>
      </c>
      <c r="B360" s="43" t="n">
        <v>45533.825</v>
      </c>
      <c r="C360" s="43" t="n">
        <v>45533.82625</v>
      </c>
      <c r="D360" s="42" t="n">
        <f aca="false">INT(C360)</f>
        <v>45533</v>
      </c>
      <c r="E360" s="42" t="n">
        <f aca="false">D360-WEEKDAY(D360,3)</f>
        <v>45530</v>
      </c>
      <c r="F360" s="28" t="s">
        <v>159</v>
      </c>
      <c r="G360" s="28" t="n">
        <v>2024</v>
      </c>
      <c r="H360" s="28" t="s">
        <v>239</v>
      </c>
      <c r="I360" s="28" t="n">
        <v>19</v>
      </c>
      <c r="J360" s="28" t="s">
        <v>233</v>
      </c>
      <c r="K360" s="28" t="s">
        <v>234</v>
      </c>
      <c r="L360" s="28" t="n">
        <v>0.24</v>
      </c>
      <c r="M360" s="31" t="n">
        <v>19624.03</v>
      </c>
      <c r="N360" s="31" t="n">
        <v>19606.24</v>
      </c>
      <c r="O360" s="31" t="n">
        <v>19659.61</v>
      </c>
      <c r="P360" s="44" t="n">
        <f aca="false">ABS(M360-N360)</f>
        <v>17.7899999999972</v>
      </c>
      <c r="Q360" s="44" t="n">
        <f aca="false">IF(O360="","",ABS(O360-M360))</f>
        <v>35.5800000000017</v>
      </c>
      <c r="R360" s="30" t="n">
        <f aca="false">P360*L360*Summary!$C$6</f>
        <v>85.3919999999867</v>
      </c>
      <c r="S360" s="31" t="n">
        <v>19605.85</v>
      </c>
      <c r="T360" s="28" t="s">
        <v>241</v>
      </c>
      <c r="U360" s="44" t="n">
        <f aca="false">IF(J360="BUY",S360-M360,M360-S360)</f>
        <v>-18.1800000000003</v>
      </c>
      <c r="V360" s="45" t="n">
        <v>0</v>
      </c>
      <c r="W360" s="45" t="n">
        <v>0</v>
      </c>
      <c r="X360" s="45" t="n">
        <v>-87.26</v>
      </c>
      <c r="Y360" s="32" t="n">
        <f aca="false">IFERROR(X360/R360,0)</f>
        <v>-1.0218755855351</v>
      </c>
      <c r="Z360" s="28" t="str">
        <f aca="false">IF(X360&gt;0,"Win",IF(X360&lt;0,"Loss","Flat"))</f>
        <v>Loss</v>
      </c>
      <c r="AA360" s="28" t="n">
        <f aca="false">ROUND((C360-B360)*1440,1)</f>
        <v>1.8</v>
      </c>
      <c r="AB360" s="28" t="str">
        <f aca="false">IF(AA360&lt;1,"a) &lt;1 min",IF(AA360&lt;10,"b) 1-10 min",IF(AA360&lt;60,"c) 10-60 min",IF(AA360&lt;240,"d) 1-4 h","e) 4 h+"))))</f>
        <v>b) 1-10 min</v>
      </c>
      <c r="AC360" s="28" t="str">
        <f aca="false">IF(P360&lt;10,"a) &lt;10",IF(P360&lt;20,"b) 10-20",IF(P360&lt;40,"c) 20-40",IF(P360&lt;80,"d) 40-80","e) 80+"))))</f>
        <v>b) 10-20</v>
      </c>
      <c r="AD360" s="30" t="n">
        <f aca="false">Summary!$C$5+SUM(X$2:X360)</f>
        <v>106233.53</v>
      </c>
      <c r="AE360" s="30" t="n">
        <f aca="false">MAX(AE359,AD360)</f>
        <v>106588.89</v>
      </c>
      <c r="AF360" s="30" t="n">
        <f aca="false">AE360-AD360</f>
        <v>355.360000000001</v>
      </c>
      <c r="AG360" s="29" t="n">
        <f aca="false">IFERROR(AF360/AE360,0)</f>
        <v>0.00333393095659407</v>
      </c>
    </row>
    <row r="361" customFormat="false" ht="15" hidden="false" customHeight="false" outlineLevel="0" collapsed="false">
      <c r="A361" s="28" t="n">
        <v>360</v>
      </c>
      <c r="B361" s="43" t="n">
        <v>45537.6951388889</v>
      </c>
      <c r="C361" s="43" t="n">
        <v>45537.7011226852</v>
      </c>
      <c r="D361" s="42" t="n">
        <f aca="false">INT(C361)</f>
        <v>45537</v>
      </c>
      <c r="E361" s="42" t="n">
        <f aca="false">D361-WEEKDAY(D361,3)</f>
        <v>45537</v>
      </c>
      <c r="F361" s="28" t="s">
        <v>160</v>
      </c>
      <c r="G361" s="28" t="n">
        <v>2024</v>
      </c>
      <c r="H361" s="28" t="s">
        <v>240</v>
      </c>
      <c r="I361" s="28" t="n">
        <v>16</v>
      </c>
      <c r="J361" s="28" t="s">
        <v>233</v>
      </c>
      <c r="K361" s="28" t="s">
        <v>234</v>
      </c>
      <c r="L361" s="28" t="n">
        <v>0.24</v>
      </c>
      <c r="M361" s="31" t="n">
        <v>19582.09</v>
      </c>
      <c r="N361" s="31" t="n">
        <v>19571.61</v>
      </c>
      <c r="O361" s="31" t="n">
        <v>19603.06</v>
      </c>
      <c r="P361" s="44" t="n">
        <f aca="false">ABS(M361-N361)</f>
        <v>10.4799999999996</v>
      </c>
      <c r="Q361" s="44" t="n">
        <f aca="false">IF(O361="","",ABS(O361-M361))</f>
        <v>20.9700000000012</v>
      </c>
      <c r="R361" s="30" t="n">
        <f aca="false">P361*L361*Summary!$C$6</f>
        <v>50.3039999999979</v>
      </c>
      <c r="S361" s="31" t="n">
        <v>19581.88</v>
      </c>
      <c r="T361" s="28" t="s">
        <v>238</v>
      </c>
      <c r="U361" s="44" t="n">
        <f aca="false">IF(J361="BUY",S361-M361,M361-S361)</f>
        <v>-0.209999999999127</v>
      </c>
      <c r="V361" s="45" t="n">
        <v>0</v>
      </c>
      <c r="W361" s="45" t="n">
        <v>0</v>
      </c>
      <c r="X361" s="45" t="n">
        <v>-1.01</v>
      </c>
      <c r="Y361" s="32" t="n">
        <f aca="false">IFERROR(X361/R361,0)</f>
        <v>-0.0200779262086522</v>
      </c>
      <c r="Z361" s="28" t="str">
        <f aca="false">IF(X361&gt;0,"Win",IF(X361&lt;0,"Loss","Flat"))</f>
        <v>Loss</v>
      </c>
      <c r="AA361" s="28" t="n">
        <f aca="false">ROUND((C361-B361)*1440,1)</f>
        <v>8.6</v>
      </c>
      <c r="AB361" s="28" t="str">
        <f aca="false">IF(AA361&lt;1,"a) &lt;1 min",IF(AA361&lt;10,"b) 1-10 min",IF(AA361&lt;60,"c) 10-60 min",IF(AA361&lt;240,"d) 1-4 h","e) 4 h+"))))</f>
        <v>b) 1-10 min</v>
      </c>
      <c r="AC361" s="28" t="str">
        <f aca="false">IF(P361&lt;10,"a) &lt;10",IF(P361&lt;20,"b) 10-20",IF(P361&lt;40,"c) 20-40",IF(P361&lt;80,"d) 40-80","e) 80+"))))</f>
        <v>b) 10-20</v>
      </c>
      <c r="AD361" s="30" t="n">
        <f aca="false">Summary!$C$5+SUM(X$2:X361)</f>
        <v>106232.52</v>
      </c>
      <c r="AE361" s="30" t="n">
        <f aca="false">MAX(AE360,AD361)</f>
        <v>106588.89</v>
      </c>
      <c r="AF361" s="30" t="n">
        <f aca="false">AE361-AD361</f>
        <v>356.369999999995</v>
      </c>
      <c r="AG361" s="29" t="n">
        <f aca="false">IFERROR(AF361/AE361,0)</f>
        <v>0.00334340661583018</v>
      </c>
    </row>
    <row r="362" customFormat="false" ht="15" hidden="false" customHeight="false" outlineLevel="0" collapsed="false">
      <c r="A362" s="28" t="n">
        <v>361</v>
      </c>
      <c r="B362" s="43" t="n">
        <v>45538.0444444444</v>
      </c>
      <c r="C362" s="43" t="n">
        <v>45538.0562384259</v>
      </c>
      <c r="D362" s="42" t="n">
        <f aca="false">INT(C362)</f>
        <v>45538</v>
      </c>
      <c r="E362" s="42" t="n">
        <f aca="false">D362-WEEKDAY(D362,3)</f>
        <v>45537</v>
      </c>
      <c r="F362" s="28" t="s">
        <v>160</v>
      </c>
      <c r="G362" s="28" t="n">
        <v>2024</v>
      </c>
      <c r="H362" s="28" t="s">
        <v>232</v>
      </c>
      <c r="I362" s="28" t="n">
        <v>1</v>
      </c>
      <c r="J362" s="28" t="s">
        <v>233</v>
      </c>
      <c r="K362" s="28" t="s">
        <v>234</v>
      </c>
      <c r="L362" s="28" t="n">
        <v>0.24</v>
      </c>
      <c r="M362" s="31" t="n">
        <v>19629.12</v>
      </c>
      <c r="N362" s="31" t="n">
        <v>19613.11</v>
      </c>
      <c r="O362" s="31" t="n">
        <v>19661.13</v>
      </c>
      <c r="P362" s="44" t="n">
        <f aca="false">ABS(M362-N362)</f>
        <v>16.0099999999984</v>
      </c>
      <c r="Q362" s="44" t="n">
        <f aca="false">IF(O362="","",ABS(O362-M362))</f>
        <v>32.010000000002</v>
      </c>
      <c r="R362" s="30" t="n">
        <f aca="false">P362*L362*Summary!$C$6</f>
        <v>76.8479999999923</v>
      </c>
      <c r="S362" s="31" t="n">
        <v>19612.61</v>
      </c>
      <c r="T362" s="28" t="s">
        <v>241</v>
      </c>
      <c r="U362" s="44" t="n">
        <f aca="false">IF(J362="BUY",S362-M362,M362-S362)</f>
        <v>-16.5099999999984</v>
      </c>
      <c r="V362" s="45" t="n">
        <v>0</v>
      </c>
      <c r="W362" s="45" t="n">
        <v>0</v>
      </c>
      <c r="X362" s="45" t="n">
        <v>-79.25</v>
      </c>
      <c r="Y362" s="32" t="n">
        <f aca="false">IFERROR(X362/R362,0)</f>
        <v>-1.0312565063503</v>
      </c>
      <c r="Z362" s="28" t="str">
        <f aca="false">IF(X362&gt;0,"Win",IF(X362&lt;0,"Loss","Flat"))</f>
        <v>Loss</v>
      </c>
      <c r="AA362" s="28" t="n">
        <f aca="false">ROUND((C362-B362)*1440,1)</f>
        <v>17</v>
      </c>
      <c r="AB362" s="28" t="str">
        <f aca="false">IF(AA362&lt;1,"a) &lt;1 min",IF(AA362&lt;10,"b) 1-10 min",IF(AA362&lt;60,"c) 10-60 min",IF(AA362&lt;240,"d) 1-4 h","e) 4 h+"))))</f>
        <v>c) 10-60 min</v>
      </c>
      <c r="AC362" s="28" t="str">
        <f aca="false">IF(P362&lt;10,"a) &lt;10",IF(P362&lt;20,"b) 10-20",IF(P362&lt;40,"c) 20-40",IF(P362&lt;80,"d) 40-80","e) 80+"))))</f>
        <v>b) 10-20</v>
      </c>
      <c r="AD362" s="30" t="n">
        <f aca="false">Summary!$C$5+SUM(X$2:X362)</f>
        <v>106153.27</v>
      </c>
      <c r="AE362" s="30" t="n">
        <f aca="false">MAX(AE361,AD362)</f>
        <v>106588.89</v>
      </c>
      <c r="AF362" s="30" t="n">
        <f aca="false">AE362-AD362</f>
        <v>435.619999999995</v>
      </c>
      <c r="AG362" s="29" t="n">
        <f aca="false">IFERROR(AF362/AE362,0)</f>
        <v>0.00408691750143937</v>
      </c>
    </row>
    <row r="363" customFormat="false" ht="15" hidden="false" customHeight="false" outlineLevel="0" collapsed="false">
      <c r="A363" s="28" t="n">
        <v>362</v>
      </c>
      <c r="B363" s="43" t="n">
        <v>45538.5</v>
      </c>
      <c r="C363" s="43" t="n">
        <v>45538.5104513889</v>
      </c>
      <c r="D363" s="42" t="n">
        <f aca="false">INT(C363)</f>
        <v>45538</v>
      </c>
      <c r="E363" s="42" t="n">
        <f aca="false">D363-WEEKDAY(D363,3)</f>
        <v>45537</v>
      </c>
      <c r="F363" s="28" t="s">
        <v>160</v>
      </c>
      <c r="G363" s="28" t="n">
        <v>2024</v>
      </c>
      <c r="H363" s="28" t="s">
        <v>232</v>
      </c>
      <c r="I363" s="28" t="n">
        <v>12</v>
      </c>
      <c r="J363" s="28" t="s">
        <v>236</v>
      </c>
      <c r="K363" s="28" t="s">
        <v>237</v>
      </c>
      <c r="L363" s="28" t="n">
        <v>0.24</v>
      </c>
      <c r="M363" s="31" t="n">
        <v>19450.39</v>
      </c>
      <c r="N363" s="31" t="n">
        <v>19473.07</v>
      </c>
      <c r="O363" s="31" t="n">
        <v>19405.02</v>
      </c>
      <c r="P363" s="44" t="n">
        <f aca="false">ABS(M363-N363)</f>
        <v>22.6800000000003</v>
      </c>
      <c r="Q363" s="44" t="n">
        <f aca="false">IF(O363="","",ABS(O363-M363))</f>
        <v>45.369999999999</v>
      </c>
      <c r="R363" s="30" t="n">
        <f aca="false">P363*L363*Summary!$C$6</f>
        <v>108.864000000001</v>
      </c>
      <c r="S363" s="31" t="n">
        <v>19405.02</v>
      </c>
      <c r="T363" s="28" t="s">
        <v>214</v>
      </c>
      <c r="U363" s="44" t="n">
        <f aca="false">IF(J363="BUY",S363-M363,M363-S363)</f>
        <v>45.369999999999</v>
      </c>
      <c r="V363" s="45" t="n">
        <v>0</v>
      </c>
      <c r="W363" s="45" t="n">
        <v>0</v>
      </c>
      <c r="X363" s="45" t="n">
        <v>217.78</v>
      </c>
      <c r="Y363" s="32" t="n">
        <f aca="false">IFERROR(X363/R363,0)</f>
        <v>2.00047766019986</v>
      </c>
      <c r="Z363" s="28" t="str">
        <f aca="false">IF(X363&gt;0,"Win",IF(X363&lt;0,"Loss","Flat"))</f>
        <v>Win</v>
      </c>
      <c r="AA363" s="28" t="n">
        <f aca="false">ROUND((C363-B363)*1440,1)</f>
        <v>15.1</v>
      </c>
      <c r="AB363" s="28" t="str">
        <f aca="false">IF(AA363&lt;1,"a) &lt;1 min",IF(AA363&lt;10,"b) 1-10 min",IF(AA363&lt;60,"c) 10-60 min",IF(AA363&lt;240,"d) 1-4 h","e) 4 h+"))))</f>
        <v>c) 10-60 min</v>
      </c>
      <c r="AC363" s="28" t="str">
        <f aca="false">IF(P363&lt;10,"a) &lt;10",IF(P363&lt;20,"b) 10-20",IF(P363&lt;40,"c) 20-40",IF(P363&lt;80,"d) 40-80","e) 80+"))))</f>
        <v>c) 20-40</v>
      </c>
      <c r="AD363" s="30" t="n">
        <f aca="false">Summary!$C$5+SUM(X$2:X363)</f>
        <v>106371.05</v>
      </c>
      <c r="AE363" s="30" t="n">
        <f aca="false">MAX(AE362,AD363)</f>
        <v>106588.89</v>
      </c>
      <c r="AF363" s="30" t="n">
        <f aca="false">AE363-AD363</f>
        <v>217.839999999997</v>
      </c>
      <c r="AG363" s="29" t="n">
        <f aca="false">IFERROR(AF363/AE363,0)</f>
        <v>0.00204374020594451</v>
      </c>
    </row>
    <row r="364" customFormat="false" ht="15" hidden="false" customHeight="false" outlineLevel="0" collapsed="false">
      <c r="A364" s="28" t="n">
        <v>363</v>
      </c>
      <c r="B364" s="43" t="n">
        <v>45539.1520833333</v>
      </c>
      <c r="C364" s="43" t="n">
        <v>45539.1586342593</v>
      </c>
      <c r="D364" s="42" t="n">
        <f aca="false">INT(C364)</f>
        <v>45539</v>
      </c>
      <c r="E364" s="42" t="n">
        <f aca="false">D364-WEEKDAY(D364,3)</f>
        <v>45537</v>
      </c>
      <c r="F364" s="28" t="s">
        <v>160</v>
      </c>
      <c r="G364" s="28" t="n">
        <v>2024</v>
      </c>
      <c r="H364" s="28" t="s">
        <v>235</v>
      </c>
      <c r="I364" s="28" t="n">
        <v>3</v>
      </c>
      <c r="J364" s="28" t="s">
        <v>236</v>
      </c>
      <c r="K364" s="28" t="s">
        <v>237</v>
      </c>
      <c r="L364" s="28" t="n">
        <v>0.25</v>
      </c>
      <c r="M364" s="31" t="n">
        <v>18863.78</v>
      </c>
      <c r="N364" s="31" t="n">
        <v>18884.93</v>
      </c>
      <c r="O364" s="31" t="n">
        <v>18821.48</v>
      </c>
      <c r="P364" s="44" t="n">
        <f aca="false">ABS(M364-N364)</f>
        <v>21.1500000000015</v>
      </c>
      <c r="Q364" s="44" t="n">
        <f aca="false">IF(O364="","",ABS(O364-M364))</f>
        <v>42.2999999999993</v>
      </c>
      <c r="R364" s="30" t="n">
        <f aca="false">P364*L364*Summary!$C$6</f>
        <v>105.750000000007</v>
      </c>
      <c r="S364" s="31" t="n">
        <v>18863.9</v>
      </c>
      <c r="T364" s="28" t="s">
        <v>238</v>
      </c>
      <c r="U364" s="44" t="n">
        <f aca="false">IF(J364="BUY",S364-M364,M364-S364)</f>
        <v>-0.120000000002619</v>
      </c>
      <c r="V364" s="45" t="n">
        <v>0</v>
      </c>
      <c r="W364" s="45" t="n">
        <v>0</v>
      </c>
      <c r="X364" s="45" t="n">
        <v>-0.6</v>
      </c>
      <c r="Y364" s="32" t="n">
        <f aca="false">IFERROR(X364/R364,0)</f>
        <v>-0.00567375886524784</v>
      </c>
      <c r="Z364" s="28" t="str">
        <f aca="false">IF(X364&gt;0,"Win",IF(X364&lt;0,"Loss","Flat"))</f>
        <v>Loss</v>
      </c>
      <c r="AA364" s="28" t="n">
        <f aca="false">ROUND((C364-B364)*1440,1)</f>
        <v>9.4</v>
      </c>
      <c r="AB364" s="28" t="str">
        <f aca="false">IF(AA364&lt;1,"a) &lt;1 min",IF(AA364&lt;10,"b) 1-10 min",IF(AA364&lt;60,"c) 10-60 min",IF(AA364&lt;240,"d) 1-4 h","e) 4 h+"))))</f>
        <v>b) 1-10 min</v>
      </c>
      <c r="AC364" s="28" t="str">
        <f aca="false">IF(P364&lt;10,"a) &lt;10",IF(P364&lt;20,"b) 10-20",IF(P364&lt;40,"c) 20-40",IF(P364&lt;80,"d) 40-80","e) 80+"))))</f>
        <v>c) 20-40</v>
      </c>
      <c r="AD364" s="30" t="n">
        <f aca="false">Summary!$C$5+SUM(X$2:X364)</f>
        <v>106370.45</v>
      </c>
      <c r="AE364" s="30" t="n">
        <f aca="false">MAX(AE363,AD364)</f>
        <v>106588.89</v>
      </c>
      <c r="AF364" s="30" t="n">
        <f aca="false">AE364-AD364</f>
        <v>218.440000000002</v>
      </c>
      <c r="AG364" s="29" t="n">
        <f aca="false">IFERROR(AF364/AE364,0)</f>
        <v>0.00204936931044129</v>
      </c>
    </row>
    <row r="365" customFormat="false" ht="15" hidden="false" customHeight="false" outlineLevel="0" collapsed="false">
      <c r="A365" s="28" t="n">
        <v>364</v>
      </c>
      <c r="B365" s="43" t="n">
        <v>45540.725</v>
      </c>
      <c r="C365" s="43" t="n">
        <v>45540.7394907407</v>
      </c>
      <c r="D365" s="42" t="n">
        <f aca="false">INT(C365)</f>
        <v>45540</v>
      </c>
      <c r="E365" s="42" t="n">
        <f aca="false">D365-WEEKDAY(D365,3)</f>
        <v>45537</v>
      </c>
      <c r="F365" s="28" t="s">
        <v>160</v>
      </c>
      <c r="G365" s="28" t="n">
        <v>2024</v>
      </c>
      <c r="H365" s="28" t="s">
        <v>239</v>
      </c>
      <c r="I365" s="28" t="n">
        <v>17</v>
      </c>
      <c r="J365" s="28" t="s">
        <v>233</v>
      </c>
      <c r="K365" s="28" t="s">
        <v>234</v>
      </c>
      <c r="L365" s="28" t="n">
        <v>0.25</v>
      </c>
      <c r="M365" s="31" t="n">
        <v>19070.14</v>
      </c>
      <c r="N365" s="31" t="n">
        <v>19031.43</v>
      </c>
      <c r="O365" s="31" t="n">
        <v>19145.13</v>
      </c>
      <c r="P365" s="44" t="n">
        <f aca="false">ABS(M365-N365)</f>
        <v>38.7099999999991</v>
      </c>
      <c r="Q365" s="44" t="n">
        <f aca="false">IF(O365="","",ABS(O365-M365))</f>
        <v>74.9900000000016</v>
      </c>
      <c r="R365" s="30" t="n">
        <f aca="false">P365*L365*Summary!$C$6</f>
        <v>193.549999999996</v>
      </c>
      <c r="S365" s="31" t="n">
        <v>19030.5</v>
      </c>
      <c r="T365" s="28" t="s">
        <v>241</v>
      </c>
      <c r="U365" s="44" t="n">
        <f aca="false">IF(J365="BUY",S365-M365,M365-S365)</f>
        <v>-39.6399999999994</v>
      </c>
      <c r="V365" s="45" t="n">
        <v>0</v>
      </c>
      <c r="W365" s="45" t="n">
        <v>0</v>
      </c>
      <c r="X365" s="45" t="n">
        <v>-198.2</v>
      </c>
      <c r="Y365" s="32" t="n">
        <f aca="false">IFERROR(X365/R365,0)</f>
        <v>-1.02402479979336</v>
      </c>
      <c r="Z365" s="28" t="str">
        <f aca="false">IF(X365&gt;0,"Win",IF(X365&lt;0,"Loss","Flat"))</f>
        <v>Loss</v>
      </c>
      <c r="AA365" s="28" t="n">
        <f aca="false">ROUND((C365-B365)*1440,1)</f>
        <v>20.9</v>
      </c>
      <c r="AB365" s="28" t="str">
        <f aca="false">IF(AA365&lt;1,"a) &lt;1 min",IF(AA365&lt;10,"b) 1-10 min",IF(AA365&lt;60,"c) 10-60 min",IF(AA365&lt;240,"d) 1-4 h","e) 4 h+"))))</f>
        <v>c) 10-60 min</v>
      </c>
      <c r="AC365" s="28" t="str">
        <f aca="false">IF(P365&lt;10,"a) &lt;10",IF(P365&lt;20,"b) 10-20",IF(P365&lt;40,"c) 20-40",IF(P365&lt;80,"d) 40-80","e) 80+"))))</f>
        <v>c) 20-40</v>
      </c>
      <c r="AD365" s="30" t="n">
        <f aca="false">Summary!$C$5+SUM(X$2:X365)</f>
        <v>106172.25</v>
      </c>
      <c r="AE365" s="30" t="n">
        <f aca="false">MAX(AE364,AD365)</f>
        <v>106588.89</v>
      </c>
      <c r="AF365" s="30" t="n">
        <f aca="false">AE365-AD365</f>
        <v>416.639999999999</v>
      </c>
      <c r="AG365" s="29" t="n">
        <f aca="false">IFERROR(AF365/AE365,0)</f>
        <v>0.00390885016252631</v>
      </c>
    </row>
    <row r="366" customFormat="false" ht="15" hidden="false" customHeight="false" outlineLevel="0" collapsed="false">
      <c r="A366" s="28" t="n">
        <v>365</v>
      </c>
      <c r="B366" s="43" t="n">
        <v>45541.1680555556</v>
      </c>
      <c r="C366" s="43" t="n">
        <v>45541.1766087963</v>
      </c>
      <c r="D366" s="42" t="n">
        <f aca="false">INT(C366)</f>
        <v>45541</v>
      </c>
      <c r="E366" s="42" t="n">
        <f aca="false">D366-WEEKDAY(D366,3)</f>
        <v>45537</v>
      </c>
      <c r="F366" s="28" t="s">
        <v>160</v>
      </c>
      <c r="G366" s="28" t="n">
        <v>2024</v>
      </c>
      <c r="H366" s="28" t="s">
        <v>242</v>
      </c>
      <c r="I366" s="28" t="n">
        <v>4</v>
      </c>
      <c r="J366" s="28" t="s">
        <v>236</v>
      </c>
      <c r="K366" s="28" t="s">
        <v>237</v>
      </c>
      <c r="L366" s="28" t="n">
        <v>0.25</v>
      </c>
      <c r="M366" s="31" t="n">
        <v>18782.9</v>
      </c>
      <c r="N366" s="31" t="n">
        <v>18800.94</v>
      </c>
      <c r="O366" s="31" t="n">
        <v>18746.82</v>
      </c>
      <c r="P366" s="44" t="n">
        <f aca="false">ABS(M366-N366)</f>
        <v>18.0399999999972</v>
      </c>
      <c r="Q366" s="44" t="n">
        <f aca="false">IF(O366="","",ABS(O366-M366))</f>
        <v>36.0800000000017</v>
      </c>
      <c r="R366" s="30" t="n">
        <f aca="false">P366*L366*Summary!$C$6</f>
        <v>90.1999999999862</v>
      </c>
      <c r="S366" s="31" t="n">
        <v>18782.91</v>
      </c>
      <c r="T366" s="28" t="s">
        <v>238</v>
      </c>
      <c r="U366" s="44" t="n">
        <f aca="false">IF(J366="BUY",S366-M366,M366-S366)</f>
        <v>-0.00999999999839929</v>
      </c>
      <c r="V366" s="45" t="n">
        <v>0</v>
      </c>
      <c r="W366" s="45" t="n">
        <v>0</v>
      </c>
      <c r="X366" s="45" t="n">
        <v>-0.05</v>
      </c>
      <c r="Y366" s="32" t="n">
        <f aca="false">IFERROR(X366/R366,0)</f>
        <v>-0.000554323725055517</v>
      </c>
      <c r="Z366" s="28" t="str">
        <f aca="false">IF(X366&gt;0,"Win",IF(X366&lt;0,"Loss","Flat"))</f>
        <v>Loss</v>
      </c>
      <c r="AA366" s="28" t="n">
        <f aca="false">ROUND((C366-B366)*1440,1)</f>
        <v>12.3</v>
      </c>
      <c r="AB366" s="28" t="str">
        <f aca="false">IF(AA366&lt;1,"a) &lt;1 min",IF(AA366&lt;10,"b) 1-10 min",IF(AA366&lt;60,"c) 10-60 min",IF(AA366&lt;240,"d) 1-4 h","e) 4 h+"))))</f>
        <v>c) 10-60 min</v>
      </c>
      <c r="AC366" s="28" t="str">
        <f aca="false">IF(P366&lt;10,"a) &lt;10",IF(P366&lt;20,"b) 10-20",IF(P366&lt;40,"c) 20-40",IF(P366&lt;80,"d) 40-80","e) 80+"))))</f>
        <v>b) 10-20</v>
      </c>
      <c r="AD366" s="30" t="n">
        <f aca="false">Summary!$C$5+SUM(X$2:X366)</f>
        <v>106172.2</v>
      </c>
      <c r="AE366" s="30" t="n">
        <f aca="false">MAX(AE365,AD366)</f>
        <v>106588.89</v>
      </c>
      <c r="AF366" s="30" t="n">
        <f aca="false">AE366-AD366</f>
        <v>416.690000000002</v>
      </c>
      <c r="AG366" s="29" t="n">
        <f aca="false">IFERROR(AF366/AE366,0)</f>
        <v>0.00390931925456774</v>
      </c>
    </row>
    <row r="367" customFormat="false" ht="15" hidden="false" customHeight="false" outlineLevel="0" collapsed="false">
      <c r="A367" s="28" t="n">
        <v>366</v>
      </c>
      <c r="B367" s="43" t="n">
        <v>45544.0465277778</v>
      </c>
      <c r="C367" s="43" t="n">
        <v>45544.0534953704</v>
      </c>
      <c r="D367" s="42" t="n">
        <f aca="false">INT(C367)</f>
        <v>45544</v>
      </c>
      <c r="E367" s="42" t="n">
        <f aca="false">D367-WEEKDAY(D367,3)</f>
        <v>45544</v>
      </c>
      <c r="F367" s="28" t="s">
        <v>160</v>
      </c>
      <c r="G367" s="28" t="n">
        <v>2024</v>
      </c>
      <c r="H367" s="28" t="s">
        <v>240</v>
      </c>
      <c r="I367" s="28" t="n">
        <v>1</v>
      </c>
      <c r="J367" s="28" t="s">
        <v>236</v>
      </c>
      <c r="K367" s="28" t="s">
        <v>237</v>
      </c>
      <c r="L367" s="28" t="n">
        <v>0.25</v>
      </c>
      <c r="M367" s="31" t="n">
        <v>18376.31</v>
      </c>
      <c r="N367" s="31" t="n">
        <v>18399.51</v>
      </c>
      <c r="O367" s="31" t="n">
        <v>18329.9</v>
      </c>
      <c r="P367" s="44" t="n">
        <f aca="false">ABS(M367-N367)</f>
        <v>23.1999999999971</v>
      </c>
      <c r="Q367" s="44" t="n">
        <f aca="false">IF(O367="","",ABS(O367-M367))</f>
        <v>46.4099999999999</v>
      </c>
      <c r="R367" s="30" t="n">
        <f aca="false">P367*L367*Summary!$C$6</f>
        <v>115.999999999985</v>
      </c>
      <c r="S367" s="31" t="n">
        <v>18399.51</v>
      </c>
      <c r="T367" s="28" t="s">
        <v>241</v>
      </c>
      <c r="U367" s="44" t="n">
        <f aca="false">IF(J367="BUY",S367-M367,M367-S367)</f>
        <v>-23.1999999999971</v>
      </c>
      <c r="V367" s="45" t="n">
        <v>0</v>
      </c>
      <c r="W367" s="45" t="n">
        <v>0</v>
      </c>
      <c r="X367" s="45" t="n">
        <v>-116</v>
      </c>
      <c r="Y367" s="32" t="n">
        <f aca="false">IFERROR(X367/R367,0)</f>
        <v>-1.00000000000013</v>
      </c>
      <c r="Z367" s="28" t="str">
        <f aca="false">IF(X367&gt;0,"Win",IF(X367&lt;0,"Loss","Flat"))</f>
        <v>Loss</v>
      </c>
      <c r="AA367" s="28" t="n">
        <f aca="false">ROUND((C367-B367)*1440,1)</f>
        <v>10</v>
      </c>
      <c r="AB367" s="28" t="str">
        <f aca="false">IF(AA367&lt;1,"a) &lt;1 min",IF(AA367&lt;10,"b) 1-10 min",IF(AA367&lt;60,"c) 10-60 min",IF(AA367&lt;240,"d) 1-4 h","e) 4 h+"))))</f>
        <v>c) 10-60 min</v>
      </c>
      <c r="AC367" s="28" t="str">
        <f aca="false">IF(P367&lt;10,"a) &lt;10",IF(P367&lt;20,"b) 10-20",IF(P367&lt;40,"c) 20-40",IF(P367&lt;80,"d) 40-80","e) 80+"))))</f>
        <v>c) 20-40</v>
      </c>
      <c r="AD367" s="30" t="n">
        <f aca="false">Summary!$C$5+SUM(X$2:X367)</f>
        <v>106056.2</v>
      </c>
      <c r="AE367" s="30" t="n">
        <f aca="false">MAX(AE366,AD367)</f>
        <v>106588.89</v>
      </c>
      <c r="AF367" s="30" t="n">
        <f aca="false">AE367-AD367</f>
        <v>532.690000000002</v>
      </c>
      <c r="AG367" s="29" t="n">
        <f aca="false">IFERROR(AF367/AE367,0)</f>
        <v>0.00499761279060137</v>
      </c>
    </row>
    <row r="368" customFormat="false" ht="15" hidden="false" customHeight="false" outlineLevel="0" collapsed="false">
      <c r="A368" s="28" t="n">
        <v>367</v>
      </c>
      <c r="B368" s="43" t="n">
        <v>45545.0472222222</v>
      </c>
      <c r="C368" s="43" t="n">
        <v>45545.0500462963</v>
      </c>
      <c r="D368" s="42" t="n">
        <f aca="false">INT(C368)</f>
        <v>45545</v>
      </c>
      <c r="E368" s="42" t="n">
        <f aca="false">D368-WEEKDAY(D368,3)</f>
        <v>45544</v>
      </c>
      <c r="F368" s="28" t="s">
        <v>160</v>
      </c>
      <c r="G368" s="28" t="n">
        <v>2024</v>
      </c>
      <c r="H368" s="28" t="s">
        <v>232</v>
      </c>
      <c r="I368" s="28" t="n">
        <v>1</v>
      </c>
      <c r="J368" s="28" t="s">
        <v>233</v>
      </c>
      <c r="K368" s="28" t="s">
        <v>234</v>
      </c>
      <c r="L368" s="28" t="n">
        <v>0.25</v>
      </c>
      <c r="M368" s="31" t="n">
        <v>18702.46</v>
      </c>
      <c r="N368" s="31" t="n">
        <v>18683.45</v>
      </c>
      <c r="O368" s="31" t="n">
        <v>18740.48</v>
      </c>
      <c r="P368" s="44" t="n">
        <f aca="false">ABS(M368-N368)</f>
        <v>19.0099999999984</v>
      </c>
      <c r="Q368" s="44" t="n">
        <f aca="false">IF(O368="","",ABS(O368-M368))</f>
        <v>38.0200000000004</v>
      </c>
      <c r="R368" s="30" t="n">
        <f aca="false">P368*L368*Summary!$C$6</f>
        <v>95.049999999992</v>
      </c>
      <c r="S368" s="31" t="n">
        <v>18683.21</v>
      </c>
      <c r="T368" s="28" t="s">
        <v>241</v>
      </c>
      <c r="U368" s="44" t="n">
        <f aca="false">IF(J368="BUY",S368-M368,M368-S368)</f>
        <v>-19.25</v>
      </c>
      <c r="V368" s="45" t="n">
        <v>0</v>
      </c>
      <c r="W368" s="45" t="n">
        <v>0</v>
      </c>
      <c r="X368" s="45" t="n">
        <v>-96.25</v>
      </c>
      <c r="Y368" s="32" t="n">
        <f aca="false">IFERROR(X368/R368,0)</f>
        <v>-1.01262493424522</v>
      </c>
      <c r="Z368" s="28" t="str">
        <f aca="false">IF(X368&gt;0,"Win",IF(X368&lt;0,"Loss","Flat"))</f>
        <v>Loss</v>
      </c>
      <c r="AA368" s="28" t="n">
        <f aca="false">ROUND((C368-B368)*1440,1)</f>
        <v>4.1</v>
      </c>
      <c r="AB368" s="28" t="str">
        <f aca="false">IF(AA368&lt;1,"a) &lt;1 min",IF(AA368&lt;10,"b) 1-10 min",IF(AA368&lt;60,"c) 10-60 min",IF(AA368&lt;240,"d) 1-4 h","e) 4 h+"))))</f>
        <v>b) 1-10 min</v>
      </c>
      <c r="AC368" s="28" t="str">
        <f aca="false">IF(P368&lt;10,"a) &lt;10",IF(P368&lt;20,"b) 10-20",IF(P368&lt;40,"c) 20-40",IF(P368&lt;80,"d) 40-80","e) 80+"))))</f>
        <v>b) 10-20</v>
      </c>
      <c r="AD368" s="30" t="n">
        <f aca="false">Summary!$C$5+SUM(X$2:X368)</f>
        <v>105959.95</v>
      </c>
      <c r="AE368" s="30" t="n">
        <f aca="false">MAX(AE367,AD368)</f>
        <v>106588.89</v>
      </c>
      <c r="AF368" s="30" t="n">
        <f aca="false">AE368-AD368</f>
        <v>628.940000000002</v>
      </c>
      <c r="AG368" s="29" t="n">
        <f aca="false">IFERROR(AF368/AE368,0)</f>
        <v>0.00590061497028445</v>
      </c>
    </row>
    <row r="369" customFormat="false" ht="15" hidden="false" customHeight="false" outlineLevel="0" collapsed="false">
      <c r="A369" s="28" t="n">
        <v>368</v>
      </c>
      <c r="B369" s="43" t="n">
        <v>45546.6673611111</v>
      </c>
      <c r="C369" s="43" t="n">
        <v>45546.687650463</v>
      </c>
      <c r="D369" s="42" t="n">
        <f aca="false">INT(C369)</f>
        <v>45546</v>
      </c>
      <c r="E369" s="42" t="n">
        <f aca="false">D369-WEEKDAY(D369,3)</f>
        <v>45544</v>
      </c>
      <c r="F369" s="28" t="s">
        <v>160</v>
      </c>
      <c r="G369" s="28" t="n">
        <v>2024</v>
      </c>
      <c r="H369" s="28" t="s">
        <v>235</v>
      </c>
      <c r="I369" s="28" t="n">
        <v>16</v>
      </c>
      <c r="J369" s="28" t="s">
        <v>233</v>
      </c>
      <c r="K369" s="28" t="s">
        <v>234</v>
      </c>
      <c r="L369" s="28" t="n">
        <v>0.25</v>
      </c>
      <c r="M369" s="31" t="n">
        <v>18856.29</v>
      </c>
      <c r="N369" s="31" t="n">
        <v>18826.05</v>
      </c>
      <c r="O369" s="31" t="n">
        <v>18916.77</v>
      </c>
      <c r="P369" s="44" t="n">
        <f aca="false">ABS(M369-N369)</f>
        <v>30.2400000000016</v>
      </c>
      <c r="Q369" s="44" t="n">
        <f aca="false">IF(O369="","",ABS(O369-M369))</f>
        <v>60.4799999999996</v>
      </c>
      <c r="R369" s="30" t="n">
        <f aca="false">P369*L369*Summary!$C$6</f>
        <v>151.200000000008</v>
      </c>
      <c r="S369" s="31" t="n">
        <v>18855.72</v>
      </c>
      <c r="T369" s="28" t="s">
        <v>238</v>
      </c>
      <c r="U369" s="44" t="n">
        <f aca="false">IF(J369="BUY",S369-M369,M369-S369)</f>
        <v>-0.569999999999709</v>
      </c>
      <c r="V369" s="45" t="n">
        <v>0</v>
      </c>
      <c r="W369" s="45" t="n">
        <v>0</v>
      </c>
      <c r="X369" s="45" t="n">
        <v>-2.85</v>
      </c>
      <c r="Y369" s="32" t="n">
        <f aca="false">IFERROR(X369/R369,0)</f>
        <v>-0.0188492063492054</v>
      </c>
      <c r="Z369" s="28" t="str">
        <f aca="false">IF(X369&gt;0,"Win",IF(X369&lt;0,"Loss","Flat"))</f>
        <v>Loss</v>
      </c>
      <c r="AA369" s="28" t="n">
        <f aca="false">ROUND((C369-B369)*1440,1)</f>
        <v>29.2</v>
      </c>
      <c r="AB369" s="28" t="str">
        <f aca="false">IF(AA369&lt;1,"a) &lt;1 min",IF(AA369&lt;10,"b) 1-10 min",IF(AA369&lt;60,"c) 10-60 min",IF(AA369&lt;240,"d) 1-4 h","e) 4 h+"))))</f>
        <v>c) 10-60 min</v>
      </c>
      <c r="AC369" s="28" t="str">
        <f aca="false">IF(P369&lt;10,"a) &lt;10",IF(P369&lt;20,"b) 10-20",IF(P369&lt;40,"c) 20-40",IF(P369&lt;80,"d) 40-80","e) 80+"))))</f>
        <v>c) 20-40</v>
      </c>
      <c r="AD369" s="30" t="n">
        <f aca="false">Summary!$C$5+SUM(X$2:X369)</f>
        <v>105957.1</v>
      </c>
      <c r="AE369" s="30" t="n">
        <f aca="false">MAX(AE368,AD369)</f>
        <v>106588.89</v>
      </c>
      <c r="AF369" s="30" t="n">
        <f aca="false">AE369-AD369</f>
        <v>631.789999999994</v>
      </c>
      <c r="AG369" s="29" t="n">
        <f aca="false">IFERROR(AF369/AE369,0)</f>
        <v>0.00592735321664381</v>
      </c>
    </row>
    <row r="370" customFormat="false" ht="15" hidden="false" customHeight="false" outlineLevel="0" collapsed="false">
      <c r="A370" s="28" t="n">
        <v>369</v>
      </c>
      <c r="B370" s="43" t="n">
        <v>45546.7409722222</v>
      </c>
      <c r="C370" s="43" t="n">
        <v>45546.7499652778</v>
      </c>
      <c r="D370" s="42" t="n">
        <f aca="false">INT(C370)</f>
        <v>45546</v>
      </c>
      <c r="E370" s="42" t="n">
        <f aca="false">D370-WEEKDAY(D370,3)</f>
        <v>45544</v>
      </c>
      <c r="F370" s="28" t="s">
        <v>160</v>
      </c>
      <c r="G370" s="28" t="n">
        <v>2024</v>
      </c>
      <c r="H370" s="28" t="s">
        <v>235</v>
      </c>
      <c r="I370" s="28" t="n">
        <v>17</v>
      </c>
      <c r="J370" s="28" t="s">
        <v>236</v>
      </c>
      <c r="K370" s="28" t="s">
        <v>237</v>
      </c>
      <c r="L370" s="28" t="n">
        <v>0.25</v>
      </c>
      <c r="M370" s="31" t="n">
        <v>18546.59</v>
      </c>
      <c r="N370" s="31" t="n">
        <v>18585.21</v>
      </c>
      <c r="O370" s="31" t="n">
        <v>18472.64</v>
      </c>
      <c r="P370" s="44" t="n">
        <f aca="false">ABS(M370-N370)</f>
        <v>38.619999999999</v>
      </c>
      <c r="Q370" s="44" t="n">
        <f aca="false">IF(O370="","",ABS(O370-M370))</f>
        <v>73.9500000000007</v>
      </c>
      <c r="R370" s="30" t="n">
        <f aca="false">P370*L370*Summary!$C$6</f>
        <v>193.099999999995</v>
      </c>
      <c r="S370" s="31" t="n">
        <v>18585.22</v>
      </c>
      <c r="T370" s="28" t="s">
        <v>241</v>
      </c>
      <c r="U370" s="44" t="n">
        <f aca="false">IF(J370="BUY",S370-M370,M370-S370)</f>
        <v>-38.630000000001</v>
      </c>
      <c r="V370" s="45" t="n">
        <v>0</v>
      </c>
      <c r="W370" s="45" t="n">
        <v>0</v>
      </c>
      <c r="X370" s="45" t="n">
        <v>-193.15</v>
      </c>
      <c r="Y370" s="32" t="n">
        <f aca="false">IFERROR(X370/R370,0)</f>
        <v>-1.00025893319526</v>
      </c>
      <c r="Z370" s="28" t="str">
        <f aca="false">IF(X370&gt;0,"Win",IF(X370&lt;0,"Loss","Flat"))</f>
        <v>Loss</v>
      </c>
      <c r="AA370" s="28" t="n">
        <f aca="false">ROUND((C370-B370)*1440,1)</f>
        <v>13</v>
      </c>
      <c r="AB370" s="28" t="str">
        <f aca="false">IF(AA370&lt;1,"a) &lt;1 min",IF(AA370&lt;10,"b) 1-10 min",IF(AA370&lt;60,"c) 10-60 min",IF(AA370&lt;240,"d) 1-4 h","e) 4 h+"))))</f>
        <v>c) 10-60 min</v>
      </c>
      <c r="AC370" s="28" t="str">
        <f aca="false">IF(P370&lt;10,"a) &lt;10",IF(P370&lt;20,"b) 10-20",IF(P370&lt;40,"c) 20-40",IF(P370&lt;80,"d) 40-80","e) 80+"))))</f>
        <v>c) 20-40</v>
      </c>
      <c r="AD370" s="30" t="n">
        <f aca="false">Summary!$C$5+SUM(X$2:X370)</f>
        <v>105763.95</v>
      </c>
      <c r="AE370" s="30" t="n">
        <f aca="false">MAX(AE369,AD370)</f>
        <v>106588.89</v>
      </c>
      <c r="AF370" s="30" t="n">
        <f aca="false">AE370-AD370</f>
        <v>824.940000000002</v>
      </c>
      <c r="AG370" s="29" t="n">
        <f aca="false">IFERROR(AF370/AE370,0)</f>
        <v>0.00773945577254817</v>
      </c>
    </row>
    <row r="371" customFormat="false" ht="15" hidden="false" customHeight="false" outlineLevel="0" collapsed="false">
      <c r="A371" s="28" t="n">
        <v>370</v>
      </c>
      <c r="B371" s="43" t="n">
        <v>45547.2284722222</v>
      </c>
      <c r="C371" s="43" t="n">
        <v>45547.2358796296</v>
      </c>
      <c r="D371" s="42" t="n">
        <f aca="false">INT(C371)</f>
        <v>45547</v>
      </c>
      <c r="E371" s="42" t="n">
        <f aca="false">D371-WEEKDAY(D371,3)</f>
        <v>45544</v>
      </c>
      <c r="F371" s="28" t="s">
        <v>160</v>
      </c>
      <c r="G371" s="28" t="n">
        <v>2024</v>
      </c>
      <c r="H371" s="28" t="s">
        <v>239</v>
      </c>
      <c r="I371" s="28" t="n">
        <v>5</v>
      </c>
      <c r="J371" s="28" t="s">
        <v>233</v>
      </c>
      <c r="K371" s="28" t="s">
        <v>234</v>
      </c>
      <c r="L371" s="28" t="n">
        <v>0.24</v>
      </c>
      <c r="M371" s="31" t="n">
        <v>19264.7</v>
      </c>
      <c r="N371" s="31" t="n">
        <v>19255.79</v>
      </c>
      <c r="O371" s="31" t="n">
        <v>19282.51</v>
      </c>
      <c r="P371" s="44" t="n">
        <f aca="false">ABS(M371-N371)</f>
        <v>8.90999999999985</v>
      </c>
      <c r="Q371" s="44" t="n">
        <f aca="false">IF(O371="","",ABS(O371-M371))</f>
        <v>17.8099999999977</v>
      </c>
      <c r="R371" s="30" t="n">
        <f aca="false">P371*L371*Summary!$C$6</f>
        <v>42.7679999999993</v>
      </c>
      <c r="S371" s="31" t="n">
        <v>19264.45</v>
      </c>
      <c r="T371" s="28" t="s">
        <v>238</v>
      </c>
      <c r="U371" s="44" t="n">
        <f aca="false">IF(J371="BUY",S371-M371,M371-S371)</f>
        <v>-0.25</v>
      </c>
      <c r="V371" s="45" t="n">
        <v>0</v>
      </c>
      <c r="W371" s="45" t="n">
        <v>0</v>
      </c>
      <c r="X371" s="45" t="n">
        <v>-1.2</v>
      </c>
      <c r="Y371" s="32" t="n">
        <f aca="false">IFERROR(X371/R371,0)</f>
        <v>-0.0280583613916952</v>
      </c>
      <c r="Z371" s="28" t="str">
        <f aca="false">IF(X371&gt;0,"Win",IF(X371&lt;0,"Loss","Flat"))</f>
        <v>Loss</v>
      </c>
      <c r="AA371" s="28" t="n">
        <f aca="false">ROUND((C371-B371)*1440,1)</f>
        <v>10.7</v>
      </c>
      <c r="AB371" s="28" t="str">
        <f aca="false">IF(AA371&lt;1,"a) &lt;1 min",IF(AA371&lt;10,"b) 1-10 min",IF(AA371&lt;60,"c) 10-60 min",IF(AA371&lt;240,"d) 1-4 h","e) 4 h+"))))</f>
        <v>c) 10-60 min</v>
      </c>
      <c r="AC371" s="28" t="str">
        <f aca="false">IF(P371&lt;10,"a) &lt;10",IF(P371&lt;20,"b) 10-20",IF(P371&lt;40,"c) 20-40",IF(P371&lt;80,"d) 40-80","e) 80+"))))</f>
        <v>a) &lt;10</v>
      </c>
      <c r="AD371" s="30" t="n">
        <f aca="false">Summary!$C$5+SUM(X$2:X371)</f>
        <v>105762.75</v>
      </c>
      <c r="AE371" s="30" t="n">
        <f aca="false">MAX(AE370,AD371)</f>
        <v>106588.89</v>
      </c>
      <c r="AF371" s="30" t="n">
        <f aca="false">AE371-AD371</f>
        <v>826.139999999999</v>
      </c>
      <c r="AG371" s="29" t="n">
        <f aca="false">IFERROR(AF371/AE371,0)</f>
        <v>0.0077507139815416</v>
      </c>
    </row>
    <row r="372" customFormat="false" ht="15" hidden="false" customHeight="false" outlineLevel="0" collapsed="false">
      <c r="A372" s="28" t="n">
        <v>371</v>
      </c>
      <c r="B372" s="43" t="n">
        <v>45548.3631944444</v>
      </c>
      <c r="C372" s="43" t="n">
        <v>45548.3679513889</v>
      </c>
      <c r="D372" s="42" t="n">
        <f aca="false">INT(C372)</f>
        <v>45548</v>
      </c>
      <c r="E372" s="42" t="n">
        <f aca="false">D372-WEEKDAY(D372,3)</f>
        <v>45544</v>
      </c>
      <c r="F372" s="28" t="s">
        <v>160</v>
      </c>
      <c r="G372" s="28" t="n">
        <v>2024</v>
      </c>
      <c r="H372" s="28" t="s">
        <v>242</v>
      </c>
      <c r="I372" s="28" t="n">
        <v>8</v>
      </c>
      <c r="J372" s="28" t="s">
        <v>233</v>
      </c>
      <c r="K372" s="28" t="s">
        <v>234</v>
      </c>
      <c r="L372" s="28" t="n">
        <v>0.24</v>
      </c>
      <c r="M372" s="31" t="n">
        <v>19461.57</v>
      </c>
      <c r="N372" s="31" t="n">
        <v>19452.23</v>
      </c>
      <c r="O372" s="31" t="n">
        <v>19480.24</v>
      </c>
      <c r="P372" s="44" t="n">
        <f aca="false">ABS(M372-N372)</f>
        <v>9.34000000000015</v>
      </c>
      <c r="Q372" s="44" t="n">
        <f aca="false">IF(O372="","",ABS(O372-M372))</f>
        <v>18.6700000000019</v>
      </c>
      <c r="R372" s="30" t="n">
        <f aca="false">P372*L372*Summary!$C$6</f>
        <v>44.8320000000007</v>
      </c>
      <c r="S372" s="31" t="n">
        <v>19452.13</v>
      </c>
      <c r="T372" s="28" t="s">
        <v>241</v>
      </c>
      <c r="U372" s="44" t="n">
        <f aca="false">IF(J372="BUY",S372-M372,M372-S372)</f>
        <v>-9.43999999999869</v>
      </c>
      <c r="V372" s="45" t="n">
        <v>0</v>
      </c>
      <c r="W372" s="45" t="n">
        <v>0</v>
      </c>
      <c r="X372" s="45" t="n">
        <v>-45.31</v>
      </c>
      <c r="Y372" s="32" t="n">
        <f aca="false">IFERROR(X372/R372,0)</f>
        <v>-1.01066202712347</v>
      </c>
      <c r="Z372" s="28" t="str">
        <f aca="false">IF(X372&gt;0,"Win",IF(X372&lt;0,"Loss","Flat"))</f>
        <v>Loss</v>
      </c>
      <c r="AA372" s="28" t="n">
        <f aca="false">ROUND((C372-B372)*1440,1)</f>
        <v>6.9</v>
      </c>
      <c r="AB372" s="28" t="str">
        <f aca="false">IF(AA372&lt;1,"a) &lt;1 min",IF(AA372&lt;10,"b) 1-10 min",IF(AA372&lt;60,"c) 10-60 min",IF(AA372&lt;240,"d) 1-4 h","e) 4 h+"))))</f>
        <v>b) 1-10 min</v>
      </c>
      <c r="AC372" s="28" t="str">
        <f aca="false">IF(P372&lt;10,"a) &lt;10",IF(P372&lt;20,"b) 10-20",IF(P372&lt;40,"c) 20-40",IF(P372&lt;80,"d) 40-80","e) 80+"))))</f>
        <v>a) &lt;10</v>
      </c>
      <c r="AD372" s="30" t="n">
        <f aca="false">Summary!$C$5+SUM(X$2:X372)</f>
        <v>105717.44</v>
      </c>
      <c r="AE372" s="30" t="n">
        <f aca="false">MAX(AE371,AD372)</f>
        <v>106588.89</v>
      </c>
      <c r="AF372" s="30" t="n">
        <f aca="false">AE372-AD372</f>
        <v>871.449999999997</v>
      </c>
      <c r="AG372" s="29" t="n">
        <f aca="false">IFERROR(AF372/AE372,0)</f>
        <v>0.00817580518945264</v>
      </c>
    </row>
    <row r="373" customFormat="false" ht="15" hidden="false" customHeight="false" outlineLevel="0" collapsed="false">
      <c r="A373" s="28" t="n">
        <v>372</v>
      </c>
      <c r="B373" s="43" t="n">
        <v>45551.6895833333</v>
      </c>
      <c r="C373" s="43" t="n">
        <v>45551.6910185185</v>
      </c>
      <c r="D373" s="42" t="n">
        <f aca="false">INT(C373)</f>
        <v>45551</v>
      </c>
      <c r="E373" s="42" t="n">
        <f aca="false">D373-WEEKDAY(D373,3)</f>
        <v>45551</v>
      </c>
      <c r="F373" s="28" t="s">
        <v>160</v>
      </c>
      <c r="G373" s="28" t="n">
        <v>2024</v>
      </c>
      <c r="H373" s="28" t="s">
        <v>240</v>
      </c>
      <c r="I373" s="28" t="n">
        <v>16</v>
      </c>
      <c r="J373" s="28" t="s">
        <v>236</v>
      </c>
      <c r="K373" s="28" t="s">
        <v>237</v>
      </c>
      <c r="L373" s="28" t="n">
        <v>0.24</v>
      </c>
      <c r="M373" s="31" t="n">
        <v>19373.77</v>
      </c>
      <c r="N373" s="31" t="n">
        <v>19400.66</v>
      </c>
      <c r="O373" s="31" t="n">
        <v>19319.99</v>
      </c>
      <c r="P373" s="44" t="n">
        <f aca="false">ABS(M373-N373)</f>
        <v>26.8899999999994</v>
      </c>
      <c r="Q373" s="44" t="n">
        <f aca="false">IF(O373="","",ABS(O373-M373))</f>
        <v>53.7799999999988</v>
      </c>
      <c r="R373" s="30" t="n">
        <f aca="false">P373*L373*Summary!$C$6</f>
        <v>129.071999999997</v>
      </c>
      <c r="S373" s="31" t="n">
        <v>19319.5</v>
      </c>
      <c r="T373" s="28" t="s">
        <v>214</v>
      </c>
      <c r="U373" s="44" t="n">
        <f aca="false">IF(J373="BUY",S373-M373,M373-S373)</f>
        <v>54.2700000000004</v>
      </c>
      <c r="V373" s="45" t="n">
        <v>0</v>
      </c>
      <c r="W373" s="45" t="n">
        <v>0</v>
      </c>
      <c r="X373" s="45" t="n">
        <v>260.5</v>
      </c>
      <c r="Y373" s="32" t="n">
        <f aca="false">IFERROR(X373/R373,0)</f>
        <v>2.01825337795963</v>
      </c>
      <c r="Z373" s="28" t="str">
        <f aca="false">IF(X373&gt;0,"Win",IF(X373&lt;0,"Loss","Flat"))</f>
        <v>Win</v>
      </c>
      <c r="AA373" s="28" t="n">
        <f aca="false">ROUND((C373-B373)*1440,1)</f>
        <v>2.1</v>
      </c>
      <c r="AB373" s="28" t="str">
        <f aca="false">IF(AA373&lt;1,"a) &lt;1 min",IF(AA373&lt;10,"b) 1-10 min",IF(AA373&lt;60,"c) 10-60 min",IF(AA373&lt;240,"d) 1-4 h","e) 4 h+"))))</f>
        <v>b) 1-10 min</v>
      </c>
      <c r="AC373" s="28" t="str">
        <f aca="false">IF(P373&lt;10,"a) &lt;10",IF(P373&lt;20,"b) 10-20",IF(P373&lt;40,"c) 20-40",IF(P373&lt;80,"d) 40-80","e) 80+"))))</f>
        <v>c) 20-40</v>
      </c>
      <c r="AD373" s="30" t="n">
        <f aca="false">Summary!$C$5+SUM(X$2:X373)</f>
        <v>105977.94</v>
      </c>
      <c r="AE373" s="30" t="n">
        <f aca="false">MAX(AE372,AD373)</f>
        <v>106588.89</v>
      </c>
      <c r="AF373" s="30" t="n">
        <f aca="false">AE373-AD373</f>
        <v>610.949999999997</v>
      </c>
      <c r="AG373" s="29" t="n">
        <f aca="false">IFERROR(AF373/AE373,0)</f>
        <v>0.00573183565379091</v>
      </c>
    </row>
    <row r="374" customFormat="false" ht="15" hidden="false" customHeight="false" outlineLevel="0" collapsed="false">
      <c r="A374" s="28" t="n">
        <v>373</v>
      </c>
      <c r="B374" s="43" t="n">
        <v>45552.5333333333</v>
      </c>
      <c r="C374" s="43" t="n">
        <v>45552.5356018519</v>
      </c>
      <c r="D374" s="42" t="n">
        <f aca="false">INT(C374)</f>
        <v>45552</v>
      </c>
      <c r="E374" s="42" t="n">
        <f aca="false">D374-WEEKDAY(D374,3)</f>
        <v>45551</v>
      </c>
      <c r="F374" s="28" t="s">
        <v>160</v>
      </c>
      <c r="G374" s="28" t="n">
        <v>2024</v>
      </c>
      <c r="H374" s="28" t="s">
        <v>232</v>
      </c>
      <c r="I374" s="28" t="n">
        <v>12</v>
      </c>
      <c r="J374" s="28" t="s">
        <v>233</v>
      </c>
      <c r="K374" s="28" t="s">
        <v>234</v>
      </c>
      <c r="L374" s="28" t="n">
        <v>0.24</v>
      </c>
      <c r="M374" s="31" t="n">
        <v>19526.38</v>
      </c>
      <c r="N374" s="31" t="n">
        <v>19521.03</v>
      </c>
      <c r="O374" s="31" t="n">
        <v>19537.08</v>
      </c>
      <c r="P374" s="44" t="n">
        <f aca="false">ABS(M374-N374)</f>
        <v>5.35000000000218</v>
      </c>
      <c r="Q374" s="44" t="n">
        <f aca="false">IF(O374="","",ABS(O374-M374))</f>
        <v>10.7000000000007</v>
      </c>
      <c r="R374" s="30" t="n">
        <f aca="false">P374*L374*Summary!$C$6</f>
        <v>25.6800000000105</v>
      </c>
      <c r="S374" s="31" t="n">
        <v>19537.25</v>
      </c>
      <c r="T374" s="28" t="s">
        <v>214</v>
      </c>
      <c r="U374" s="44" t="n">
        <f aca="false">IF(J374="BUY",S374-M374,M374-S374)</f>
        <v>10.869999999999</v>
      </c>
      <c r="V374" s="45" t="n">
        <v>0</v>
      </c>
      <c r="W374" s="45" t="n">
        <v>0</v>
      </c>
      <c r="X374" s="45" t="n">
        <v>52.18</v>
      </c>
      <c r="Y374" s="32" t="n">
        <f aca="false">IFERROR(X374/R374,0)</f>
        <v>2.03193146417363</v>
      </c>
      <c r="Z374" s="28" t="str">
        <f aca="false">IF(X374&gt;0,"Win",IF(X374&lt;0,"Loss","Flat"))</f>
        <v>Win</v>
      </c>
      <c r="AA374" s="28" t="n">
        <f aca="false">ROUND((C374-B374)*1440,1)</f>
        <v>3.3</v>
      </c>
      <c r="AB374" s="28" t="str">
        <f aca="false">IF(AA374&lt;1,"a) &lt;1 min",IF(AA374&lt;10,"b) 1-10 min",IF(AA374&lt;60,"c) 10-60 min",IF(AA374&lt;240,"d) 1-4 h","e) 4 h+"))))</f>
        <v>b) 1-10 min</v>
      </c>
      <c r="AC374" s="28" t="str">
        <f aca="false">IF(P374&lt;10,"a) &lt;10",IF(P374&lt;20,"b) 10-20",IF(P374&lt;40,"c) 20-40",IF(P374&lt;80,"d) 40-80","e) 80+"))))</f>
        <v>a) &lt;10</v>
      </c>
      <c r="AD374" s="30" t="n">
        <f aca="false">Summary!$C$5+SUM(X$2:X374)</f>
        <v>106030.12</v>
      </c>
      <c r="AE374" s="30" t="n">
        <f aca="false">MAX(AE373,AD374)</f>
        <v>106588.89</v>
      </c>
      <c r="AF374" s="30" t="n">
        <f aca="false">AE374-AD374</f>
        <v>558.770000000004</v>
      </c>
      <c r="AG374" s="29" t="n">
        <f aca="false">IFERROR(AF374/AE374,0)</f>
        <v>0.0052422911993924</v>
      </c>
    </row>
    <row r="375" customFormat="false" ht="15" hidden="false" customHeight="false" outlineLevel="0" collapsed="false">
      <c r="A375" s="28" t="n">
        <v>374</v>
      </c>
      <c r="B375" s="43" t="n">
        <v>45553.8986111111</v>
      </c>
      <c r="C375" s="43" t="n">
        <v>45553.8999189815</v>
      </c>
      <c r="D375" s="42" t="n">
        <f aca="false">INT(C375)</f>
        <v>45553</v>
      </c>
      <c r="E375" s="42" t="n">
        <f aca="false">D375-WEEKDAY(D375,3)</f>
        <v>45551</v>
      </c>
      <c r="F375" s="28" t="s">
        <v>160</v>
      </c>
      <c r="G375" s="28" t="n">
        <v>2024</v>
      </c>
      <c r="H375" s="28" t="s">
        <v>235</v>
      </c>
      <c r="I375" s="28" t="n">
        <v>21</v>
      </c>
      <c r="J375" s="28" t="s">
        <v>233</v>
      </c>
      <c r="K375" s="28" t="s">
        <v>234</v>
      </c>
      <c r="L375" s="28" t="n">
        <v>0.24</v>
      </c>
      <c r="M375" s="31" t="n">
        <v>19612.49</v>
      </c>
      <c r="N375" s="31" t="n">
        <v>19566.24</v>
      </c>
      <c r="O375" s="31" t="n">
        <v>19704.98</v>
      </c>
      <c r="P375" s="44" t="n">
        <f aca="false">ABS(M375-N375)</f>
        <v>46.25</v>
      </c>
      <c r="Q375" s="44" t="n">
        <f aca="false">IF(O375="","",ABS(O375-M375))</f>
        <v>92.489999999998</v>
      </c>
      <c r="R375" s="30" t="n">
        <f aca="false">P375*L375*Summary!$C$6</f>
        <v>222</v>
      </c>
      <c r="S375" s="31" t="n">
        <v>19565.01</v>
      </c>
      <c r="T375" s="28" t="s">
        <v>241</v>
      </c>
      <c r="U375" s="44" t="n">
        <f aca="false">IF(J375="BUY",S375-M375,M375-S375)</f>
        <v>-47.4800000000032</v>
      </c>
      <c r="V375" s="45" t="n">
        <v>0</v>
      </c>
      <c r="W375" s="45" t="n">
        <v>0</v>
      </c>
      <c r="X375" s="45" t="n">
        <v>-227.9</v>
      </c>
      <c r="Y375" s="32" t="n">
        <f aca="false">IFERROR(X375/R375,0)</f>
        <v>-1.02657657657658</v>
      </c>
      <c r="Z375" s="28" t="str">
        <f aca="false">IF(X375&gt;0,"Win",IF(X375&lt;0,"Loss","Flat"))</f>
        <v>Loss</v>
      </c>
      <c r="AA375" s="28" t="n">
        <f aca="false">ROUND((C375-B375)*1440,1)</f>
        <v>1.9</v>
      </c>
      <c r="AB375" s="28" t="str">
        <f aca="false">IF(AA375&lt;1,"a) &lt;1 min",IF(AA375&lt;10,"b) 1-10 min",IF(AA375&lt;60,"c) 10-60 min",IF(AA375&lt;240,"d) 1-4 h","e) 4 h+"))))</f>
        <v>b) 1-10 min</v>
      </c>
      <c r="AC375" s="28" t="str">
        <f aca="false">IF(P375&lt;10,"a) &lt;10",IF(P375&lt;20,"b) 10-20",IF(P375&lt;40,"c) 20-40",IF(P375&lt;80,"d) 40-80","e) 80+"))))</f>
        <v>d) 40-80</v>
      </c>
      <c r="AD375" s="30" t="n">
        <f aca="false">Summary!$C$5+SUM(X$2:X375)</f>
        <v>105802.22</v>
      </c>
      <c r="AE375" s="30" t="n">
        <f aca="false">MAX(AE374,AD375)</f>
        <v>106588.89</v>
      </c>
      <c r="AF375" s="30" t="n">
        <f aca="false">AE375-AD375</f>
        <v>786.669999999998</v>
      </c>
      <c r="AG375" s="29" t="n">
        <f aca="false">IFERROR(AF375/AE375,0)</f>
        <v>0.00738041272406532</v>
      </c>
    </row>
    <row r="376" customFormat="false" ht="15" hidden="false" customHeight="false" outlineLevel="0" collapsed="false">
      <c r="A376" s="28" t="n">
        <v>375</v>
      </c>
      <c r="B376" s="43" t="n">
        <v>45554.3930555556</v>
      </c>
      <c r="C376" s="43" t="n">
        <v>45554.4178240741</v>
      </c>
      <c r="D376" s="42" t="n">
        <f aca="false">INT(C376)</f>
        <v>45554</v>
      </c>
      <c r="E376" s="42" t="n">
        <f aca="false">D376-WEEKDAY(D376,3)</f>
        <v>45551</v>
      </c>
      <c r="F376" s="28" t="s">
        <v>160</v>
      </c>
      <c r="G376" s="28" t="n">
        <v>2024</v>
      </c>
      <c r="H376" s="28" t="s">
        <v>239</v>
      </c>
      <c r="I376" s="28" t="n">
        <v>9</v>
      </c>
      <c r="J376" s="28" t="s">
        <v>233</v>
      </c>
      <c r="K376" s="28" t="s">
        <v>234</v>
      </c>
      <c r="L376" s="28" t="n">
        <v>0.24</v>
      </c>
      <c r="M376" s="31" t="n">
        <v>19670.93</v>
      </c>
      <c r="N376" s="31" t="n">
        <v>19654.96</v>
      </c>
      <c r="O376" s="31" t="n">
        <v>19702.86</v>
      </c>
      <c r="P376" s="44" t="n">
        <f aca="false">ABS(M376-N376)</f>
        <v>15.9700000000012</v>
      </c>
      <c r="Q376" s="44" t="n">
        <f aca="false">IF(O376="","",ABS(O376-M376))</f>
        <v>31.9300000000003</v>
      </c>
      <c r="R376" s="30" t="n">
        <f aca="false">P376*L376*Summary!$C$6</f>
        <v>76.6560000000056</v>
      </c>
      <c r="S376" s="31" t="n">
        <v>19670.9</v>
      </c>
      <c r="T376" s="28" t="s">
        <v>238</v>
      </c>
      <c r="U376" s="44" t="n">
        <f aca="false">IF(J376="BUY",S376-M376,M376-S376)</f>
        <v>-0.0299999999988358</v>
      </c>
      <c r="V376" s="45" t="n">
        <v>0</v>
      </c>
      <c r="W376" s="45" t="n">
        <v>0</v>
      </c>
      <c r="X376" s="45" t="n">
        <v>-0.14</v>
      </c>
      <c r="Y376" s="32" t="n">
        <f aca="false">IFERROR(X376/R376,0)</f>
        <v>-0.00182634105614681</v>
      </c>
      <c r="Z376" s="28" t="str">
        <f aca="false">IF(X376&gt;0,"Win",IF(X376&lt;0,"Loss","Flat"))</f>
        <v>Loss</v>
      </c>
      <c r="AA376" s="28" t="n">
        <f aca="false">ROUND((C376-B376)*1440,1)</f>
        <v>35.7</v>
      </c>
      <c r="AB376" s="28" t="str">
        <f aca="false">IF(AA376&lt;1,"a) &lt;1 min",IF(AA376&lt;10,"b) 1-10 min",IF(AA376&lt;60,"c) 10-60 min",IF(AA376&lt;240,"d) 1-4 h","e) 4 h+"))))</f>
        <v>c) 10-60 min</v>
      </c>
      <c r="AC376" s="28" t="str">
        <f aca="false">IF(P376&lt;10,"a) &lt;10",IF(P376&lt;20,"b) 10-20",IF(P376&lt;40,"c) 20-40",IF(P376&lt;80,"d) 40-80","e) 80+"))))</f>
        <v>b) 10-20</v>
      </c>
      <c r="AD376" s="30" t="n">
        <f aca="false">Summary!$C$5+SUM(X$2:X376)</f>
        <v>105802.08</v>
      </c>
      <c r="AE376" s="30" t="n">
        <f aca="false">MAX(AE375,AD376)</f>
        <v>106588.89</v>
      </c>
      <c r="AF376" s="30" t="n">
        <f aca="false">AE376-AD376</f>
        <v>786.809999999998</v>
      </c>
      <c r="AG376" s="29" t="n">
        <f aca="false">IFERROR(AF376/AE376,0)</f>
        <v>0.00738172618178121</v>
      </c>
    </row>
    <row r="377" customFormat="false" ht="15" hidden="false" customHeight="false" outlineLevel="0" collapsed="false">
      <c r="A377" s="28" t="n">
        <v>376</v>
      </c>
      <c r="B377" s="43" t="n">
        <v>45558.1458333333</v>
      </c>
      <c r="C377" s="43" t="n">
        <v>45558.1469212963</v>
      </c>
      <c r="D377" s="42" t="n">
        <f aca="false">INT(C377)</f>
        <v>45558</v>
      </c>
      <c r="E377" s="42" t="n">
        <f aca="false">D377-WEEKDAY(D377,3)</f>
        <v>45558</v>
      </c>
      <c r="F377" s="28" t="s">
        <v>160</v>
      </c>
      <c r="G377" s="28" t="n">
        <v>2024</v>
      </c>
      <c r="H377" s="28" t="s">
        <v>240</v>
      </c>
      <c r="I377" s="28" t="n">
        <v>3</v>
      </c>
      <c r="J377" s="28" t="s">
        <v>233</v>
      </c>
      <c r="K377" s="28" t="s">
        <v>234</v>
      </c>
      <c r="L377" s="28" t="n">
        <v>0.23</v>
      </c>
      <c r="M377" s="31" t="n">
        <v>19853.22</v>
      </c>
      <c r="N377" s="31" t="n">
        <v>19843.33</v>
      </c>
      <c r="O377" s="31" t="n">
        <v>19873</v>
      </c>
      <c r="P377" s="44" t="n">
        <f aca="false">ABS(M377-N377)</f>
        <v>9.88999999999942</v>
      </c>
      <c r="Q377" s="44" t="n">
        <f aca="false">IF(O377="","",ABS(O377-M377))</f>
        <v>19.7799999999988</v>
      </c>
      <c r="R377" s="30" t="n">
        <f aca="false">P377*L377*Summary!$C$6</f>
        <v>45.4939999999973</v>
      </c>
      <c r="S377" s="31" t="n">
        <v>19873.41</v>
      </c>
      <c r="T377" s="28" t="s">
        <v>214</v>
      </c>
      <c r="U377" s="44" t="n">
        <f aca="false">IF(J377="BUY",S377-M377,M377-S377)</f>
        <v>20.1899999999987</v>
      </c>
      <c r="V377" s="45" t="n">
        <v>0</v>
      </c>
      <c r="W377" s="45" t="n">
        <v>0</v>
      </c>
      <c r="X377" s="45" t="n">
        <v>92.87</v>
      </c>
      <c r="Y377" s="32" t="n">
        <f aca="false">IFERROR(X377/R377,0)</f>
        <v>2.04136809249583</v>
      </c>
      <c r="Z377" s="28" t="str">
        <f aca="false">IF(X377&gt;0,"Win",IF(X377&lt;0,"Loss","Flat"))</f>
        <v>Win</v>
      </c>
      <c r="AA377" s="28" t="n">
        <f aca="false">ROUND((C377-B377)*1440,1)</f>
        <v>1.6</v>
      </c>
      <c r="AB377" s="28" t="str">
        <f aca="false">IF(AA377&lt;1,"a) &lt;1 min",IF(AA377&lt;10,"b) 1-10 min",IF(AA377&lt;60,"c) 10-60 min",IF(AA377&lt;240,"d) 1-4 h","e) 4 h+"))))</f>
        <v>b) 1-10 min</v>
      </c>
      <c r="AC377" s="28" t="str">
        <f aca="false">IF(P377&lt;10,"a) &lt;10",IF(P377&lt;20,"b) 10-20",IF(P377&lt;40,"c) 20-40",IF(P377&lt;80,"d) 40-80","e) 80+"))))</f>
        <v>a) &lt;10</v>
      </c>
      <c r="AD377" s="30" t="n">
        <f aca="false">Summary!$C$5+SUM(X$2:X377)</f>
        <v>105894.95</v>
      </c>
      <c r="AE377" s="30" t="n">
        <f aca="false">MAX(AE376,AD377)</f>
        <v>106588.89</v>
      </c>
      <c r="AF377" s="30" t="n">
        <f aca="false">AE377-AD377</f>
        <v>693.940000000002</v>
      </c>
      <c r="AG377" s="29" t="n">
        <f aca="false">IFERROR(AF377/AE377,0)</f>
        <v>0.0065104346240964</v>
      </c>
    </row>
    <row r="378" customFormat="false" ht="15" hidden="false" customHeight="false" outlineLevel="0" collapsed="false">
      <c r="A378" s="28" t="n">
        <v>377</v>
      </c>
      <c r="B378" s="43" t="n">
        <v>45559.46875</v>
      </c>
      <c r="C378" s="43" t="n">
        <v>45559.4860763889</v>
      </c>
      <c r="D378" s="42" t="n">
        <f aca="false">INT(C378)</f>
        <v>45559</v>
      </c>
      <c r="E378" s="42" t="n">
        <f aca="false">D378-WEEKDAY(D378,3)</f>
        <v>45558</v>
      </c>
      <c r="F378" s="28" t="s">
        <v>160</v>
      </c>
      <c r="G378" s="28" t="n">
        <v>2024</v>
      </c>
      <c r="H378" s="28" t="s">
        <v>232</v>
      </c>
      <c r="I378" s="28" t="n">
        <v>11</v>
      </c>
      <c r="J378" s="28" t="s">
        <v>233</v>
      </c>
      <c r="K378" s="28" t="s">
        <v>234</v>
      </c>
      <c r="L378" s="28" t="n">
        <v>0.23</v>
      </c>
      <c r="M378" s="31" t="n">
        <v>19933.08</v>
      </c>
      <c r="N378" s="31" t="n">
        <v>19920.42</v>
      </c>
      <c r="O378" s="31" t="n">
        <v>19958.4</v>
      </c>
      <c r="P378" s="44" t="n">
        <f aca="false">ABS(M378-N378)</f>
        <v>12.6600000000035</v>
      </c>
      <c r="Q378" s="44" t="n">
        <f aca="false">IF(O378="","",ABS(O378-M378))</f>
        <v>25.3199999999997</v>
      </c>
      <c r="R378" s="30" t="n">
        <f aca="false">P378*L378*Summary!$C$6</f>
        <v>58.2360000000161</v>
      </c>
      <c r="S378" s="31" t="n">
        <v>19932.65</v>
      </c>
      <c r="T378" s="28" t="s">
        <v>238</v>
      </c>
      <c r="U378" s="44" t="n">
        <f aca="false">IF(J378="BUY",S378-M378,M378-S378)</f>
        <v>-0.430000000000291</v>
      </c>
      <c r="V378" s="45" t="n">
        <v>0</v>
      </c>
      <c r="W378" s="45" t="n">
        <v>0</v>
      </c>
      <c r="X378" s="45" t="n">
        <v>-1.98</v>
      </c>
      <c r="Y378" s="32" t="n">
        <f aca="false">IFERROR(X378/R378,0)</f>
        <v>-0.0339995878837739</v>
      </c>
      <c r="Z378" s="28" t="str">
        <f aca="false">IF(X378&gt;0,"Win",IF(X378&lt;0,"Loss","Flat"))</f>
        <v>Loss</v>
      </c>
      <c r="AA378" s="28" t="n">
        <f aca="false">ROUND((C378-B378)*1440,1)</f>
        <v>25</v>
      </c>
      <c r="AB378" s="28" t="str">
        <f aca="false">IF(AA378&lt;1,"a) &lt;1 min",IF(AA378&lt;10,"b) 1-10 min",IF(AA378&lt;60,"c) 10-60 min",IF(AA378&lt;240,"d) 1-4 h","e) 4 h+"))))</f>
        <v>c) 10-60 min</v>
      </c>
      <c r="AC378" s="28" t="str">
        <f aca="false">IF(P378&lt;10,"a) &lt;10",IF(P378&lt;20,"b) 10-20",IF(P378&lt;40,"c) 20-40",IF(P378&lt;80,"d) 40-80","e) 80+"))))</f>
        <v>b) 10-20</v>
      </c>
      <c r="AD378" s="30" t="n">
        <f aca="false">Summary!$C$5+SUM(X$2:X378)</f>
        <v>105892.97</v>
      </c>
      <c r="AE378" s="30" t="n">
        <f aca="false">MAX(AE377,AD378)</f>
        <v>106588.89</v>
      </c>
      <c r="AF378" s="30" t="n">
        <f aca="false">AE378-AD378</f>
        <v>695.919999999998</v>
      </c>
      <c r="AG378" s="29" t="n">
        <f aca="false">IFERROR(AF378/AE378,0)</f>
        <v>0.00652901066893555</v>
      </c>
    </row>
    <row r="379" customFormat="false" ht="15" hidden="false" customHeight="false" outlineLevel="0" collapsed="false">
      <c r="A379" s="28" t="n">
        <v>378</v>
      </c>
      <c r="B379" s="43" t="n">
        <v>45560.70625</v>
      </c>
      <c r="C379" s="43" t="n">
        <v>45560.729212963</v>
      </c>
      <c r="D379" s="42" t="n">
        <f aca="false">INT(C379)</f>
        <v>45560</v>
      </c>
      <c r="E379" s="42" t="n">
        <f aca="false">D379-WEEKDAY(D379,3)</f>
        <v>45558</v>
      </c>
      <c r="F379" s="28" t="s">
        <v>160</v>
      </c>
      <c r="G379" s="28" t="n">
        <v>2024</v>
      </c>
      <c r="H379" s="28" t="s">
        <v>235</v>
      </c>
      <c r="I379" s="28" t="n">
        <v>16</v>
      </c>
      <c r="J379" s="28" t="s">
        <v>233</v>
      </c>
      <c r="K379" s="28" t="s">
        <v>234</v>
      </c>
      <c r="L379" s="28" t="n">
        <v>0.23</v>
      </c>
      <c r="M379" s="31" t="n">
        <v>19994.39</v>
      </c>
      <c r="N379" s="31" t="n">
        <v>19968.69</v>
      </c>
      <c r="O379" s="31" t="n">
        <v>20045.78</v>
      </c>
      <c r="P379" s="44" t="n">
        <f aca="false">ABS(M379-N379)</f>
        <v>25.7000000000007</v>
      </c>
      <c r="Q379" s="44" t="n">
        <f aca="false">IF(O379="","",ABS(O379-M379))</f>
        <v>51.3899999999994</v>
      </c>
      <c r="R379" s="30" t="n">
        <f aca="false">P379*L379*Summary!$C$6</f>
        <v>118.220000000003</v>
      </c>
      <c r="S379" s="31" t="n">
        <v>19994.1</v>
      </c>
      <c r="T379" s="28" t="s">
        <v>238</v>
      </c>
      <c r="U379" s="44" t="n">
        <f aca="false">IF(J379="BUY",S379-M379,M379-S379)</f>
        <v>-0.290000000000873</v>
      </c>
      <c r="V379" s="45" t="n">
        <v>0</v>
      </c>
      <c r="W379" s="45" t="n">
        <v>0</v>
      </c>
      <c r="X379" s="45" t="n">
        <v>-1.33</v>
      </c>
      <c r="Y379" s="32" t="n">
        <f aca="false">IFERROR(X379/R379,0)</f>
        <v>-0.0112502114701401</v>
      </c>
      <c r="Z379" s="28" t="str">
        <f aca="false">IF(X379&gt;0,"Win",IF(X379&lt;0,"Loss","Flat"))</f>
        <v>Loss</v>
      </c>
      <c r="AA379" s="28" t="n">
        <f aca="false">ROUND((C379-B379)*1440,1)</f>
        <v>33.1</v>
      </c>
      <c r="AB379" s="28" t="str">
        <f aca="false">IF(AA379&lt;1,"a) &lt;1 min",IF(AA379&lt;10,"b) 1-10 min",IF(AA379&lt;60,"c) 10-60 min",IF(AA379&lt;240,"d) 1-4 h","e) 4 h+"))))</f>
        <v>c) 10-60 min</v>
      </c>
      <c r="AC379" s="28" t="str">
        <f aca="false">IF(P379&lt;10,"a) &lt;10",IF(P379&lt;20,"b) 10-20",IF(P379&lt;40,"c) 20-40",IF(P379&lt;80,"d) 40-80","e) 80+"))))</f>
        <v>c) 20-40</v>
      </c>
      <c r="AD379" s="30" t="n">
        <f aca="false">Summary!$C$5+SUM(X$2:X379)</f>
        <v>105891.64</v>
      </c>
      <c r="AE379" s="30" t="n">
        <f aca="false">MAX(AE378,AD379)</f>
        <v>106588.89</v>
      </c>
      <c r="AF379" s="30" t="n">
        <f aca="false">AE379-AD379</f>
        <v>697.25</v>
      </c>
      <c r="AG379" s="29" t="n">
        <f aca="false">IFERROR(AF379/AE379,0)</f>
        <v>0.00654148851723665</v>
      </c>
    </row>
    <row r="380" customFormat="false" ht="15" hidden="false" customHeight="false" outlineLevel="0" collapsed="false">
      <c r="A380" s="28" t="n">
        <v>379</v>
      </c>
      <c r="B380" s="43" t="n">
        <v>45561.1159722222</v>
      </c>
      <c r="C380" s="43" t="n">
        <v>45561.1314814815</v>
      </c>
      <c r="D380" s="42" t="n">
        <f aca="false">INT(C380)</f>
        <v>45561</v>
      </c>
      <c r="E380" s="42" t="n">
        <f aca="false">D380-WEEKDAY(D380,3)</f>
        <v>45558</v>
      </c>
      <c r="F380" s="28" t="s">
        <v>160</v>
      </c>
      <c r="G380" s="28" t="n">
        <v>2024</v>
      </c>
      <c r="H380" s="28" t="s">
        <v>239</v>
      </c>
      <c r="I380" s="28" t="n">
        <v>2</v>
      </c>
      <c r="J380" s="28" t="s">
        <v>233</v>
      </c>
      <c r="K380" s="28" t="s">
        <v>234</v>
      </c>
      <c r="L380" s="28" t="n">
        <v>0.23</v>
      </c>
      <c r="M380" s="31" t="n">
        <v>20048.72</v>
      </c>
      <c r="N380" s="31" t="n">
        <v>20037.99</v>
      </c>
      <c r="O380" s="31" t="n">
        <v>20070.18</v>
      </c>
      <c r="P380" s="44" t="n">
        <f aca="false">ABS(M380-N380)</f>
        <v>10.7299999999996</v>
      </c>
      <c r="Q380" s="44" t="n">
        <f aca="false">IF(O380="","",ABS(O380-M380))</f>
        <v>21.4599999999991</v>
      </c>
      <c r="R380" s="30" t="n">
        <f aca="false">P380*L380*Summary!$C$6</f>
        <v>49.357999999998</v>
      </c>
      <c r="S380" s="31" t="n">
        <v>20070.79</v>
      </c>
      <c r="T380" s="28" t="s">
        <v>214</v>
      </c>
      <c r="U380" s="44" t="n">
        <f aca="false">IF(J380="BUY",S380-M380,M380-S380)</f>
        <v>22.0699999999997</v>
      </c>
      <c r="V380" s="45" t="n">
        <v>0</v>
      </c>
      <c r="W380" s="45" t="n">
        <v>0</v>
      </c>
      <c r="X380" s="45" t="n">
        <v>101.52</v>
      </c>
      <c r="Y380" s="32" t="n">
        <f aca="false">IFERROR(X380/R380,0)</f>
        <v>2.05680943312136</v>
      </c>
      <c r="Z380" s="28" t="str">
        <f aca="false">IF(X380&gt;0,"Win",IF(X380&lt;0,"Loss","Flat"))</f>
        <v>Win</v>
      </c>
      <c r="AA380" s="28" t="n">
        <f aca="false">ROUND((C380-B380)*1440,1)</f>
        <v>22.3</v>
      </c>
      <c r="AB380" s="28" t="str">
        <f aca="false">IF(AA380&lt;1,"a) &lt;1 min",IF(AA380&lt;10,"b) 1-10 min",IF(AA380&lt;60,"c) 10-60 min",IF(AA380&lt;240,"d) 1-4 h","e) 4 h+"))))</f>
        <v>c) 10-60 min</v>
      </c>
      <c r="AC380" s="28" t="str">
        <f aca="false">IF(P380&lt;10,"a) &lt;10",IF(P380&lt;20,"b) 10-20",IF(P380&lt;40,"c) 20-40",IF(P380&lt;80,"d) 40-80","e) 80+"))))</f>
        <v>b) 10-20</v>
      </c>
      <c r="AD380" s="30" t="n">
        <f aca="false">Summary!$C$5+SUM(X$2:X380)</f>
        <v>105993.16</v>
      </c>
      <c r="AE380" s="30" t="n">
        <f aca="false">MAX(AE379,AD380)</f>
        <v>106588.89</v>
      </c>
      <c r="AF380" s="30" t="n">
        <f aca="false">AE380-AD380</f>
        <v>595.729999999996</v>
      </c>
      <c r="AG380" s="29" t="n">
        <f aca="false">IFERROR(AF380/AE380,0)</f>
        <v>0.00558904403639062</v>
      </c>
    </row>
    <row r="381" customFormat="false" ht="15" hidden="false" customHeight="false" outlineLevel="0" collapsed="false">
      <c r="A381" s="28" t="n">
        <v>380</v>
      </c>
      <c r="B381" s="43" t="n">
        <v>45565.2159722222</v>
      </c>
      <c r="C381" s="43" t="n">
        <v>45565.2210763889</v>
      </c>
      <c r="D381" s="42" t="n">
        <f aca="false">INT(C381)</f>
        <v>45565</v>
      </c>
      <c r="E381" s="42" t="n">
        <f aca="false">D381-WEEKDAY(D381,3)</f>
        <v>45565</v>
      </c>
      <c r="F381" s="28" t="s">
        <v>160</v>
      </c>
      <c r="G381" s="28" t="n">
        <v>2024</v>
      </c>
      <c r="H381" s="28" t="s">
        <v>240</v>
      </c>
      <c r="I381" s="28" t="n">
        <v>5</v>
      </c>
      <c r="J381" s="28" t="s">
        <v>236</v>
      </c>
      <c r="K381" s="28" t="s">
        <v>237</v>
      </c>
      <c r="L381" s="28" t="n">
        <v>0.23</v>
      </c>
      <c r="M381" s="31" t="n">
        <v>19946.63</v>
      </c>
      <c r="N381" s="31" t="n">
        <v>19957.29</v>
      </c>
      <c r="O381" s="31" t="n">
        <v>19925.31</v>
      </c>
      <c r="P381" s="44" t="n">
        <f aca="false">ABS(M381-N381)</f>
        <v>10.6599999999999</v>
      </c>
      <c r="Q381" s="44" t="n">
        <f aca="false">IF(O381="","",ABS(O381-M381))</f>
        <v>21.3199999999997</v>
      </c>
      <c r="R381" s="30" t="n">
        <f aca="false">P381*L381*Summary!$C$6</f>
        <v>49.0359999999993</v>
      </c>
      <c r="S381" s="31" t="n">
        <v>19957.42</v>
      </c>
      <c r="T381" s="28" t="s">
        <v>241</v>
      </c>
      <c r="U381" s="44" t="n">
        <f aca="false">IF(J381="BUY",S381-M381,M381-S381)</f>
        <v>-10.7899999999972</v>
      </c>
      <c r="V381" s="45" t="n">
        <v>0</v>
      </c>
      <c r="W381" s="45" t="n">
        <v>0</v>
      </c>
      <c r="X381" s="45" t="n">
        <v>-49.63</v>
      </c>
      <c r="Y381" s="32" t="n">
        <f aca="false">IFERROR(X381/R381,0)</f>
        <v>-1.01211354922915</v>
      </c>
      <c r="Z381" s="28" t="str">
        <f aca="false">IF(X381&gt;0,"Win",IF(X381&lt;0,"Loss","Flat"))</f>
        <v>Loss</v>
      </c>
      <c r="AA381" s="28" t="n">
        <f aca="false">ROUND((C381-B381)*1440,1)</f>
        <v>7.4</v>
      </c>
      <c r="AB381" s="28" t="str">
        <f aca="false">IF(AA381&lt;1,"a) &lt;1 min",IF(AA381&lt;10,"b) 1-10 min",IF(AA381&lt;60,"c) 10-60 min",IF(AA381&lt;240,"d) 1-4 h","e) 4 h+"))))</f>
        <v>b) 1-10 min</v>
      </c>
      <c r="AC381" s="28" t="str">
        <f aca="false">IF(P381&lt;10,"a) &lt;10",IF(P381&lt;20,"b) 10-20",IF(P381&lt;40,"c) 20-40",IF(P381&lt;80,"d) 40-80","e) 80+"))))</f>
        <v>b) 10-20</v>
      </c>
      <c r="AD381" s="30" t="n">
        <f aca="false">Summary!$C$5+SUM(X$2:X381)</f>
        <v>105943.53</v>
      </c>
      <c r="AE381" s="30" t="n">
        <f aca="false">MAX(AE380,AD381)</f>
        <v>106588.89</v>
      </c>
      <c r="AF381" s="30" t="n">
        <f aca="false">AE381-AD381</f>
        <v>645.360000000001</v>
      </c>
      <c r="AG381" s="29" t="n">
        <f aca="false">IFERROR(AF381/AE381,0)</f>
        <v>0.00605466479667816</v>
      </c>
    </row>
    <row r="382" customFormat="false" ht="15" hidden="false" customHeight="false" outlineLevel="0" collapsed="false">
      <c r="A382" s="28" t="n">
        <v>381</v>
      </c>
      <c r="B382" s="43" t="n">
        <v>45566.1854166667</v>
      </c>
      <c r="C382" s="43" t="n">
        <v>45566.1924537037</v>
      </c>
      <c r="D382" s="42" t="n">
        <f aca="false">INT(C382)</f>
        <v>45566</v>
      </c>
      <c r="E382" s="42" t="n">
        <f aca="false">D382-WEEKDAY(D382,3)</f>
        <v>45565</v>
      </c>
      <c r="F382" s="28" t="s">
        <v>161</v>
      </c>
      <c r="G382" s="28" t="n">
        <v>2024</v>
      </c>
      <c r="H382" s="28" t="s">
        <v>232</v>
      </c>
      <c r="I382" s="28" t="n">
        <v>4</v>
      </c>
      <c r="J382" s="28" t="s">
        <v>233</v>
      </c>
      <c r="K382" s="28" t="s">
        <v>234</v>
      </c>
      <c r="L382" s="28" t="n">
        <v>0.23</v>
      </c>
      <c r="M382" s="31" t="n">
        <v>20075.53</v>
      </c>
      <c r="N382" s="31" t="n">
        <v>20066.97</v>
      </c>
      <c r="O382" s="31" t="n">
        <v>20092.65</v>
      </c>
      <c r="P382" s="44" t="n">
        <f aca="false">ABS(M382-N382)</f>
        <v>8.55999999999767</v>
      </c>
      <c r="Q382" s="44" t="n">
        <f aca="false">IF(O382="","",ABS(O382-M382))</f>
        <v>17.1200000000026</v>
      </c>
      <c r="R382" s="30" t="n">
        <f aca="false">P382*L382*Summary!$C$6</f>
        <v>39.3759999999893</v>
      </c>
      <c r="S382" s="31" t="n">
        <v>20092.72</v>
      </c>
      <c r="T382" s="28" t="s">
        <v>214</v>
      </c>
      <c r="U382" s="44" t="n">
        <f aca="false">IF(J382="BUY",S382-M382,M382-S382)</f>
        <v>17.1900000000023</v>
      </c>
      <c r="V382" s="45" t="n">
        <v>0</v>
      </c>
      <c r="W382" s="45" t="n">
        <v>0</v>
      </c>
      <c r="X382" s="45" t="n">
        <v>79.07</v>
      </c>
      <c r="Y382" s="32" t="n">
        <f aca="false">IFERROR(X382/R382,0)</f>
        <v>2.00807598537235</v>
      </c>
      <c r="Z382" s="28" t="str">
        <f aca="false">IF(X382&gt;0,"Win",IF(X382&lt;0,"Loss","Flat"))</f>
        <v>Win</v>
      </c>
      <c r="AA382" s="28" t="n">
        <f aca="false">ROUND((C382-B382)*1440,1)</f>
        <v>10.1</v>
      </c>
      <c r="AB382" s="28" t="str">
        <f aca="false">IF(AA382&lt;1,"a) &lt;1 min",IF(AA382&lt;10,"b) 1-10 min",IF(AA382&lt;60,"c) 10-60 min",IF(AA382&lt;240,"d) 1-4 h","e) 4 h+"))))</f>
        <v>c) 10-60 min</v>
      </c>
      <c r="AC382" s="28" t="str">
        <f aca="false">IF(P382&lt;10,"a) &lt;10",IF(P382&lt;20,"b) 10-20",IF(P382&lt;40,"c) 20-40",IF(P382&lt;80,"d) 40-80","e) 80+"))))</f>
        <v>a) &lt;10</v>
      </c>
      <c r="AD382" s="30" t="n">
        <f aca="false">Summary!$C$5+SUM(X$2:X382)</f>
        <v>106022.6</v>
      </c>
      <c r="AE382" s="30" t="n">
        <f aca="false">MAX(AE381,AD382)</f>
        <v>106588.89</v>
      </c>
      <c r="AF382" s="30" t="n">
        <f aca="false">AE382-AD382</f>
        <v>566.289999999994</v>
      </c>
      <c r="AG382" s="29" t="n">
        <f aca="false">IFERROR(AF382/AE382,0)</f>
        <v>0.00531284264241793</v>
      </c>
    </row>
    <row r="383" customFormat="false" ht="15" hidden="false" customHeight="false" outlineLevel="0" collapsed="false">
      <c r="A383" s="28" t="n">
        <v>382</v>
      </c>
      <c r="B383" s="43" t="n">
        <v>45566.7</v>
      </c>
      <c r="C383" s="43" t="n">
        <v>45566.7066550926</v>
      </c>
      <c r="D383" s="42" t="n">
        <f aca="false">INT(C383)</f>
        <v>45566</v>
      </c>
      <c r="E383" s="42" t="n">
        <f aca="false">D383-WEEKDAY(D383,3)</f>
        <v>45565</v>
      </c>
      <c r="F383" s="28" t="s">
        <v>161</v>
      </c>
      <c r="G383" s="28" t="n">
        <v>2024</v>
      </c>
      <c r="H383" s="28" t="s">
        <v>232</v>
      </c>
      <c r="I383" s="28" t="n">
        <v>16</v>
      </c>
      <c r="J383" s="28" t="s">
        <v>236</v>
      </c>
      <c r="K383" s="28" t="s">
        <v>237</v>
      </c>
      <c r="L383" s="28" t="n">
        <v>0.24</v>
      </c>
      <c r="M383" s="31" t="n">
        <v>19830.14</v>
      </c>
      <c r="N383" s="31" t="n">
        <v>19883.26</v>
      </c>
      <c r="O383" s="31" t="n">
        <v>19726.82</v>
      </c>
      <c r="P383" s="44" t="n">
        <f aca="false">ABS(M383-N383)</f>
        <v>53.119999999999</v>
      </c>
      <c r="Q383" s="44" t="n">
        <f aca="false">IF(O383="","",ABS(O383-M383))</f>
        <v>103.32</v>
      </c>
      <c r="R383" s="30" t="n">
        <f aca="false">P383*L383*Summary!$C$6</f>
        <v>254.975999999995</v>
      </c>
      <c r="S383" s="31" t="n">
        <v>19830.24</v>
      </c>
      <c r="T383" s="28" t="s">
        <v>238</v>
      </c>
      <c r="U383" s="44" t="n">
        <f aca="false">IF(J383="BUY",S383-M383,M383-S383)</f>
        <v>-0.100000000002183</v>
      </c>
      <c r="V383" s="45" t="n">
        <v>0</v>
      </c>
      <c r="W383" s="45" t="n">
        <v>0</v>
      </c>
      <c r="X383" s="45" t="n">
        <v>-0.48</v>
      </c>
      <c r="Y383" s="32" t="n">
        <f aca="false">IFERROR(X383/R383,0)</f>
        <v>-0.00188253012048196</v>
      </c>
      <c r="Z383" s="28" t="str">
        <f aca="false">IF(X383&gt;0,"Win",IF(X383&lt;0,"Loss","Flat"))</f>
        <v>Loss</v>
      </c>
      <c r="AA383" s="28" t="n">
        <f aca="false">ROUND((C383-B383)*1440,1)</f>
        <v>9.6</v>
      </c>
      <c r="AB383" s="28" t="str">
        <f aca="false">IF(AA383&lt;1,"a) &lt;1 min",IF(AA383&lt;10,"b) 1-10 min",IF(AA383&lt;60,"c) 10-60 min",IF(AA383&lt;240,"d) 1-4 h","e) 4 h+"))))</f>
        <v>b) 1-10 min</v>
      </c>
      <c r="AC383" s="28" t="str">
        <f aca="false">IF(P383&lt;10,"a) &lt;10",IF(P383&lt;20,"b) 10-20",IF(P383&lt;40,"c) 20-40",IF(P383&lt;80,"d) 40-80","e) 80+"))))</f>
        <v>d) 40-80</v>
      </c>
      <c r="AD383" s="30" t="n">
        <f aca="false">Summary!$C$5+SUM(X$2:X383)</f>
        <v>106022.12</v>
      </c>
      <c r="AE383" s="30" t="n">
        <f aca="false">MAX(AE382,AD383)</f>
        <v>106588.89</v>
      </c>
      <c r="AF383" s="30" t="n">
        <f aca="false">AE383-AD383</f>
        <v>566.770000000004</v>
      </c>
      <c r="AG383" s="29" t="n">
        <f aca="false">IFERROR(AF383/AE383,0)</f>
        <v>0.0053173459260154</v>
      </c>
    </row>
    <row r="384" customFormat="false" ht="15" hidden="false" customHeight="false" outlineLevel="0" collapsed="false">
      <c r="A384" s="28" t="n">
        <v>383</v>
      </c>
      <c r="B384" s="43" t="n">
        <v>45568.7118055556</v>
      </c>
      <c r="C384" s="43" t="n">
        <v>45568.7176041667</v>
      </c>
      <c r="D384" s="42" t="n">
        <f aca="false">INT(C384)</f>
        <v>45568</v>
      </c>
      <c r="E384" s="42" t="n">
        <f aca="false">D384-WEEKDAY(D384,3)</f>
        <v>45565</v>
      </c>
      <c r="F384" s="28" t="s">
        <v>161</v>
      </c>
      <c r="G384" s="28" t="n">
        <v>2024</v>
      </c>
      <c r="H384" s="28" t="s">
        <v>239</v>
      </c>
      <c r="I384" s="28" t="n">
        <v>17</v>
      </c>
      <c r="J384" s="28" t="s">
        <v>233</v>
      </c>
      <c r="K384" s="28" t="s">
        <v>234</v>
      </c>
      <c r="L384" s="28" t="n">
        <v>0.23</v>
      </c>
      <c r="M384" s="31" t="n">
        <v>19890.55</v>
      </c>
      <c r="N384" s="31" t="n">
        <v>19844.7</v>
      </c>
      <c r="O384" s="31" t="n">
        <v>19975.63</v>
      </c>
      <c r="P384" s="44" t="n">
        <f aca="false">ABS(M384-N384)</f>
        <v>45.8499999999985</v>
      </c>
      <c r="Q384" s="44" t="n">
        <f aca="false">IF(O384="","",ABS(O384-M384))</f>
        <v>85.0800000000018</v>
      </c>
      <c r="R384" s="30" t="n">
        <f aca="false">P384*L384*Summary!$C$6</f>
        <v>210.909999999993</v>
      </c>
      <c r="S384" s="31" t="n">
        <v>19844.33</v>
      </c>
      <c r="T384" s="28" t="s">
        <v>241</v>
      </c>
      <c r="U384" s="44" t="n">
        <f aca="false">IF(J384="BUY",S384-M384,M384-S384)</f>
        <v>-46.2199999999975</v>
      </c>
      <c r="V384" s="45" t="n">
        <v>0</v>
      </c>
      <c r="W384" s="45" t="n">
        <v>0</v>
      </c>
      <c r="X384" s="45" t="n">
        <v>-212.61</v>
      </c>
      <c r="Y384" s="32" t="n">
        <f aca="false">IFERROR(X384/R384,0)</f>
        <v>-1.0080603100849</v>
      </c>
      <c r="Z384" s="28" t="str">
        <f aca="false">IF(X384&gt;0,"Win",IF(X384&lt;0,"Loss","Flat"))</f>
        <v>Loss</v>
      </c>
      <c r="AA384" s="28" t="n">
        <f aca="false">ROUND((C384-B384)*1440,1)</f>
        <v>8.4</v>
      </c>
      <c r="AB384" s="28" t="str">
        <f aca="false">IF(AA384&lt;1,"a) &lt;1 min",IF(AA384&lt;10,"b) 1-10 min",IF(AA384&lt;60,"c) 10-60 min",IF(AA384&lt;240,"d) 1-4 h","e) 4 h+"))))</f>
        <v>b) 1-10 min</v>
      </c>
      <c r="AC384" s="28" t="str">
        <f aca="false">IF(P384&lt;10,"a) &lt;10",IF(P384&lt;20,"b) 10-20",IF(P384&lt;40,"c) 20-40",IF(P384&lt;80,"d) 40-80","e) 80+"))))</f>
        <v>d) 40-80</v>
      </c>
      <c r="AD384" s="30" t="n">
        <f aca="false">Summary!$C$5+SUM(X$2:X384)</f>
        <v>105809.51</v>
      </c>
      <c r="AE384" s="30" t="n">
        <f aca="false">MAX(AE383,AD384)</f>
        <v>106588.89</v>
      </c>
      <c r="AF384" s="30" t="n">
        <f aca="false">AE384-AD384</f>
        <v>779.380000000005</v>
      </c>
      <c r="AG384" s="29" t="n">
        <f aca="false">IFERROR(AF384/AE384,0)</f>
        <v>0.00731201910443016</v>
      </c>
    </row>
    <row r="385" customFormat="false" ht="15" hidden="false" customHeight="false" outlineLevel="0" collapsed="false">
      <c r="A385" s="28" t="n">
        <v>384</v>
      </c>
      <c r="B385" s="43" t="n">
        <v>45569.6465277778</v>
      </c>
      <c r="C385" s="43" t="n">
        <v>45569.6469444444</v>
      </c>
      <c r="D385" s="42" t="n">
        <f aca="false">INT(C385)</f>
        <v>45569</v>
      </c>
      <c r="E385" s="42" t="n">
        <f aca="false">D385-WEEKDAY(D385,3)</f>
        <v>45565</v>
      </c>
      <c r="F385" s="28" t="s">
        <v>161</v>
      </c>
      <c r="G385" s="28" t="n">
        <v>2024</v>
      </c>
      <c r="H385" s="28" t="s">
        <v>242</v>
      </c>
      <c r="I385" s="28" t="n">
        <v>15</v>
      </c>
      <c r="J385" s="28" t="s">
        <v>233</v>
      </c>
      <c r="K385" s="28" t="s">
        <v>234</v>
      </c>
      <c r="L385" s="28" t="n">
        <v>0.23</v>
      </c>
      <c r="M385" s="31" t="n">
        <v>19922.4</v>
      </c>
      <c r="N385" s="31" t="n">
        <v>19892.24</v>
      </c>
      <c r="O385" s="31" t="n">
        <v>19982.52</v>
      </c>
      <c r="P385" s="44" t="n">
        <f aca="false">ABS(M385-N385)</f>
        <v>30.1599999999999</v>
      </c>
      <c r="Q385" s="44" t="n">
        <f aca="false">IF(O385="","",ABS(O385-M385))</f>
        <v>60.119999999999</v>
      </c>
      <c r="R385" s="30" t="n">
        <f aca="false">P385*L385*Summary!$C$6</f>
        <v>138.735999999999</v>
      </c>
      <c r="S385" s="31" t="n">
        <v>19892.01</v>
      </c>
      <c r="T385" s="28" t="s">
        <v>241</v>
      </c>
      <c r="U385" s="44" t="n">
        <f aca="false">IF(J385="BUY",S385-M385,M385-S385)</f>
        <v>-30.3900000000031</v>
      </c>
      <c r="V385" s="45" t="n">
        <v>0</v>
      </c>
      <c r="W385" s="45" t="n">
        <v>0</v>
      </c>
      <c r="X385" s="45" t="n">
        <v>-139.79</v>
      </c>
      <c r="Y385" s="32" t="n">
        <f aca="false">IFERROR(X385/R385,0)</f>
        <v>-1.00759716295699</v>
      </c>
      <c r="Z385" s="28" t="str">
        <f aca="false">IF(X385&gt;0,"Win",IF(X385&lt;0,"Loss","Flat"))</f>
        <v>Loss</v>
      </c>
      <c r="AA385" s="28" t="n">
        <f aca="false">ROUND((C385-B385)*1440,1)</f>
        <v>0.6</v>
      </c>
      <c r="AB385" s="28" t="str">
        <f aca="false">IF(AA385&lt;1,"a) &lt;1 min",IF(AA385&lt;10,"b) 1-10 min",IF(AA385&lt;60,"c) 10-60 min",IF(AA385&lt;240,"d) 1-4 h","e) 4 h+"))))</f>
        <v>a) &lt;1 min</v>
      </c>
      <c r="AC385" s="28" t="str">
        <f aca="false">IF(P385&lt;10,"a) &lt;10",IF(P385&lt;20,"b) 10-20",IF(P385&lt;40,"c) 20-40",IF(P385&lt;80,"d) 40-80","e) 80+"))))</f>
        <v>c) 20-40</v>
      </c>
      <c r="AD385" s="30" t="n">
        <f aca="false">Summary!$C$5+SUM(X$2:X385)</f>
        <v>105669.72</v>
      </c>
      <c r="AE385" s="30" t="n">
        <f aca="false">MAX(AE384,AD385)</f>
        <v>106588.89</v>
      </c>
      <c r="AF385" s="30" t="n">
        <f aca="false">AE385-AD385</f>
        <v>919.169999999998</v>
      </c>
      <c r="AG385" s="29" t="n">
        <f aca="false">IFERROR(AF385/AE385,0)</f>
        <v>0.00862350663375891</v>
      </c>
    </row>
    <row r="386" customFormat="false" ht="15" hidden="false" customHeight="false" outlineLevel="0" collapsed="false">
      <c r="A386" s="28" t="n">
        <v>385</v>
      </c>
      <c r="B386" s="43" t="n">
        <v>45572.0861111111</v>
      </c>
      <c r="C386" s="43" t="n">
        <v>45572.0959953704</v>
      </c>
      <c r="D386" s="42" t="n">
        <f aca="false">INT(C386)</f>
        <v>45572</v>
      </c>
      <c r="E386" s="42" t="n">
        <f aca="false">D386-WEEKDAY(D386,3)</f>
        <v>45572</v>
      </c>
      <c r="F386" s="28" t="s">
        <v>161</v>
      </c>
      <c r="G386" s="28" t="n">
        <v>2024</v>
      </c>
      <c r="H386" s="28" t="s">
        <v>240</v>
      </c>
      <c r="I386" s="28" t="n">
        <v>2</v>
      </c>
      <c r="J386" s="28" t="s">
        <v>233</v>
      </c>
      <c r="K386" s="28" t="s">
        <v>234</v>
      </c>
      <c r="L386" s="28" t="n">
        <v>0.23</v>
      </c>
      <c r="M386" s="31" t="n">
        <v>20065.96</v>
      </c>
      <c r="N386" s="31" t="n">
        <v>20056.62</v>
      </c>
      <c r="O386" s="31" t="n">
        <v>20084.63</v>
      </c>
      <c r="P386" s="44" t="n">
        <f aca="false">ABS(M386-N386)</f>
        <v>9.34000000000015</v>
      </c>
      <c r="Q386" s="44" t="n">
        <f aca="false">IF(O386="","",ABS(O386-M386))</f>
        <v>18.6700000000019</v>
      </c>
      <c r="R386" s="30" t="n">
        <f aca="false">P386*L386*Summary!$C$6</f>
        <v>42.9640000000007</v>
      </c>
      <c r="S386" s="31" t="n">
        <v>20056.52</v>
      </c>
      <c r="T386" s="28" t="s">
        <v>241</v>
      </c>
      <c r="U386" s="44" t="n">
        <f aca="false">IF(J386="BUY",S386-M386,M386-S386)</f>
        <v>-9.43999999999869</v>
      </c>
      <c r="V386" s="45" t="n">
        <v>0</v>
      </c>
      <c r="W386" s="45" t="n">
        <v>0</v>
      </c>
      <c r="X386" s="45" t="n">
        <v>-43.42</v>
      </c>
      <c r="Y386" s="32" t="n">
        <f aca="false">IFERROR(X386/R386,0)</f>
        <v>-1.01061353691461</v>
      </c>
      <c r="Z386" s="28" t="str">
        <f aca="false">IF(X386&gt;0,"Win",IF(X386&lt;0,"Loss","Flat"))</f>
        <v>Loss</v>
      </c>
      <c r="AA386" s="28" t="n">
        <f aca="false">ROUND((C386-B386)*1440,1)</f>
        <v>14.2</v>
      </c>
      <c r="AB386" s="28" t="str">
        <f aca="false">IF(AA386&lt;1,"a) &lt;1 min",IF(AA386&lt;10,"b) 1-10 min",IF(AA386&lt;60,"c) 10-60 min",IF(AA386&lt;240,"d) 1-4 h","e) 4 h+"))))</f>
        <v>c) 10-60 min</v>
      </c>
      <c r="AC386" s="28" t="str">
        <f aca="false">IF(P386&lt;10,"a) &lt;10",IF(P386&lt;20,"b) 10-20",IF(P386&lt;40,"c) 20-40",IF(P386&lt;80,"d) 40-80","e) 80+"))))</f>
        <v>a) &lt;10</v>
      </c>
      <c r="AD386" s="30" t="n">
        <f aca="false">Summary!$C$5+SUM(X$2:X386)</f>
        <v>105626.3</v>
      </c>
      <c r="AE386" s="30" t="n">
        <f aca="false">MAX(AE385,AD386)</f>
        <v>106588.89</v>
      </c>
      <c r="AF386" s="30" t="n">
        <f aca="false">AE386-AD386</f>
        <v>962.589999999997</v>
      </c>
      <c r="AG386" s="29" t="n">
        <f aca="false">IFERROR(AF386/AE386,0)</f>
        <v>0.00903086616250527</v>
      </c>
    </row>
    <row r="387" customFormat="false" ht="15" hidden="false" customHeight="false" outlineLevel="0" collapsed="false">
      <c r="A387" s="28" t="n">
        <v>386</v>
      </c>
      <c r="B387" s="43" t="n">
        <v>45573.0659722222</v>
      </c>
      <c r="C387" s="43" t="n">
        <v>45573.066712963</v>
      </c>
      <c r="D387" s="42" t="n">
        <f aca="false">INT(C387)</f>
        <v>45573</v>
      </c>
      <c r="E387" s="42" t="n">
        <f aca="false">D387-WEEKDAY(D387,3)</f>
        <v>45572</v>
      </c>
      <c r="F387" s="28" t="s">
        <v>161</v>
      </c>
      <c r="G387" s="28" t="n">
        <v>2024</v>
      </c>
      <c r="H387" s="28" t="s">
        <v>232</v>
      </c>
      <c r="I387" s="28" t="n">
        <v>1</v>
      </c>
      <c r="J387" s="28" t="s">
        <v>236</v>
      </c>
      <c r="K387" s="28" t="s">
        <v>237</v>
      </c>
      <c r="L387" s="28" t="n">
        <v>0.24</v>
      </c>
      <c r="M387" s="31" t="n">
        <v>19746.7</v>
      </c>
      <c r="N387" s="31" t="n">
        <v>19781.01</v>
      </c>
      <c r="O387" s="31" t="n">
        <v>19678.07</v>
      </c>
      <c r="P387" s="44" t="n">
        <f aca="false">ABS(M387-N387)</f>
        <v>34.3099999999977</v>
      </c>
      <c r="Q387" s="44" t="n">
        <f aca="false">IF(O387="","",ABS(O387-M387))</f>
        <v>68.630000000001</v>
      </c>
      <c r="R387" s="30" t="n">
        <f aca="false">P387*L387*Summary!$C$6</f>
        <v>164.687999999989</v>
      </c>
      <c r="S387" s="31" t="n">
        <v>19783.69</v>
      </c>
      <c r="T387" s="28" t="s">
        <v>241</v>
      </c>
      <c r="U387" s="44" t="n">
        <f aca="false">IF(J387="BUY",S387-M387,M387-S387)</f>
        <v>-36.989999999998</v>
      </c>
      <c r="V387" s="45" t="n">
        <v>0</v>
      </c>
      <c r="W387" s="45" t="n">
        <v>0</v>
      </c>
      <c r="X387" s="45" t="n">
        <v>-177.55</v>
      </c>
      <c r="Y387" s="32" t="n">
        <f aca="false">IFERROR(X387/R387,0)</f>
        <v>-1.07809919362681</v>
      </c>
      <c r="Z387" s="28" t="str">
        <f aca="false">IF(X387&gt;0,"Win",IF(X387&lt;0,"Loss","Flat"))</f>
        <v>Loss</v>
      </c>
      <c r="AA387" s="28" t="n">
        <f aca="false">ROUND((C387-B387)*1440,1)</f>
        <v>1.1</v>
      </c>
      <c r="AB387" s="28" t="str">
        <f aca="false">IF(AA387&lt;1,"a) &lt;1 min",IF(AA387&lt;10,"b) 1-10 min",IF(AA387&lt;60,"c) 10-60 min",IF(AA387&lt;240,"d) 1-4 h","e) 4 h+"))))</f>
        <v>b) 1-10 min</v>
      </c>
      <c r="AC387" s="28" t="str">
        <f aca="false">IF(P387&lt;10,"a) &lt;10",IF(P387&lt;20,"b) 10-20",IF(P387&lt;40,"c) 20-40",IF(P387&lt;80,"d) 40-80","e) 80+"))))</f>
        <v>c) 20-40</v>
      </c>
      <c r="AD387" s="30" t="n">
        <f aca="false">Summary!$C$5+SUM(X$2:X387)</f>
        <v>105448.75</v>
      </c>
      <c r="AE387" s="30" t="n">
        <f aca="false">MAX(AE386,AD387)</f>
        <v>106588.89</v>
      </c>
      <c r="AF387" s="30" t="n">
        <f aca="false">AE387-AD387</f>
        <v>1140.14</v>
      </c>
      <c r="AG387" s="29" t="n">
        <f aca="false">IFERROR(AF387/AE387,0)</f>
        <v>0.0106966120014947</v>
      </c>
    </row>
    <row r="388" customFormat="false" ht="15" hidden="false" customHeight="false" outlineLevel="0" collapsed="false">
      <c r="A388" s="28" t="n">
        <v>387</v>
      </c>
      <c r="B388" s="43" t="n">
        <v>45573.7409722222</v>
      </c>
      <c r="C388" s="43" t="n">
        <v>45573.7579513889</v>
      </c>
      <c r="D388" s="42" t="n">
        <f aca="false">INT(C388)</f>
        <v>45573</v>
      </c>
      <c r="E388" s="42" t="n">
        <f aca="false">D388-WEEKDAY(D388,3)</f>
        <v>45572</v>
      </c>
      <c r="F388" s="28" t="s">
        <v>161</v>
      </c>
      <c r="G388" s="28" t="n">
        <v>2024</v>
      </c>
      <c r="H388" s="28" t="s">
        <v>232</v>
      </c>
      <c r="I388" s="28" t="n">
        <v>17</v>
      </c>
      <c r="J388" s="28" t="s">
        <v>233</v>
      </c>
      <c r="K388" s="28" t="s">
        <v>234</v>
      </c>
      <c r="L388" s="28" t="n">
        <v>0.23</v>
      </c>
      <c r="M388" s="31" t="n">
        <v>20069.72</v>
      </c>
      <c r="N388" s="31" t="n">
        <v>20034.33</v>
      </c>
      <c r="O388" s="31" t="n">
        <v>20140.51</v>
      </c>
      <c r="P388" s="44" t="n">
        <f aca="false">ABS(M388-N388)</f>
        <v>35.3899999999994</v>
      </c>
      <c r="Q388" s="44" t="n">
        <f aca="false">IF(O388="","",ABS(O388-M388))</f>
        <v>70.7899999999972</v>
      </c>
      <c r="R388" s="30" t="n">
        <f aca="false">P388*L388*Summary!$C$6</f>
        <v>162.793999999997</v>
      </c>
      <c r="S388" s="31" t="n">
        <v>20033.77</v>
      </c>
      <c r="T388" s="28" t="s">
        <v>241</v>
      </c>
      <c r="U388" s="44" t="n">
        <f aca="false">IF(J388="BUY",S388-M388,M388-S388)</f>
        <v>-35.9500000000007</v>
      </c>
      <c r="V388" s="45" t="n">
        <v>0</v>
      </c>
      <c r="W388" s="45" t="n">
        <v>0</v>
      </c>
      <c r="X388" s="45" t="n">
        <v>-165.37</v>
      </c>
      <c r="Y388" s="32" t="n">
        <f aca="false">IFERROR(X388/R388,0)</f>
        <v>-1.01582367900539</v>
      </c>
      <c r="Z388" s="28" t="str">
        <f aca="false">IF(X388&gt;0,"Win",IF(X388&lt;0,"Loss","Flat"))</f>
        <v>Loss</v>
      </c>
      <c r="AA388" s="28" t="n">
        <f aca="false">ROUND((C388-B388)*1440,1)</f>
        <v>24.5</v>
      </c>
      <c r="AB388" s="28" t="str">
        <f aca="false">IF(AA388&lt;1,"a) &lt;1 min",IF(AA388&lt;10,"b) 1-10 min",IF(AA388&lt;60,"c) 10-60 min",IF(AA388&lt;240,"d) 1-4 h","e) 4 h+"))))</f>
        <v>c) 10-60 min</v>
      </c>
      <c r="AC388" s="28" t="str">
        <f aca="false">IF(P388&lt;10,"a) &lt;10",IF(P388&lt;20,"b) 10-20",IF(P388&lt;40,"c) 20-40",IF(P388&lt;80,"d) 40-80","e) 80+"))))</f>
        <v>c) 20-40</v>
      </c>
      <c r="AD388" s="30" t="n">
        <f aca="false">Summary!$C$5+SUM(X$2:X388)</f>
        <v>105283.38</v>
      </c>
      <c r="AE388" s="30" t="n">
        <f aca="false">MAX(AE387,AD388)</f>
        <v>106588.89</v>
      </c>
      <c r="AF388" s="30" t="n">
        <f aca="false">AE388-AD388</f>
        <v>1305.50999999999</v>
      </c>
      <c r="AG388" s="29" t="n">
        <f aca="false">IFERROR(AF388/AE388,0)</f>
        <v>0.0122480870192005</v>
      </c>
    </row>
    <row r="389" customFormat="false" ht="15" hidden="false" customHeight="false" outlineLevel="0" collapsed="false">
      <c r="A389" s="28" t="n">
        <v>388</v>
      </c>
      <c r="B389" s="43" t="n">
        <v>45574.7256944445</v>
      </c>
      <c r="C389" s="43" t="n">
        <v>45574.7515162037</v>
      </c>
      <c r="D389" s="42" t="n">
        <f aca="false">INT(C389)</f>
        <v>45574</v>
      </c>
      <c r="E389" s="42" t="n">
        <f aca="false">D389-WEEKDAY(D389,3)</f>
        <v>45572</v>
      </c>
      <c r="F389" s="28" t="s">
        <v>161</v>
      </c>
      <c r="G389" s="28" t="n">
        <v>2024</v>
      </c>
      <c r="H389" s="28" t="s">
        <v>235</v>
      </c>
      <c r="I389" s="28" t="n">
        <v>17</v>
      </c>
      <c r="J389" s="28" t="s">
        <v>233</v>
      </c>
      <c r="K389" s="28" t="s">
        <v>234</v>
      </c>
      <c r="L389" s="28" t="n">
        <v>0.23</v>
      </c>
      <c r="M389" s="31" t="n">
        <v>20140.29</v>
      </c>
      <c r="N389" s="31" t="n">
        <v>20114.71</v>
      </c>
      <c r="O389" s="31" t="n">
        <v>20191.45</v>
      </c>
      <c r="P389" s="44" t="n">
        <f aca="false">ABS(M389-N389)</f>
        <v>25.5800000000017</v>
      </c>
      <c r="Q389" s="44" t="n">
        <f aca="false">IF(O389="","",ABS(O389-M389))</f>
        <v>51.1599999999999</v>
      </c>
      <c r="R389" s="30" t="n">
        <f aca="false">P389*L389*Summary!$C$6</f>
        <v>117.668000000008</v>
      </c>
      <c r="S389" s="31" t="n">
        <v>20191.75</v>
      </c>
      <c r="T389" s="28" t="s">
        <v>214</v>
      </c>
      <c r="U389" s="44" t="n">
        <f aca="false">IF(J389="BUY",S389-M389,M389-S389)</f>
        <v>51.4599999999991</v>
      </c>
      <c r="V389" s="45" t="n">
        <v>0</v>
      </c>
      <c r="W389" s="45" t="n">
        <v>0</v>
      </c>
      <c r="X389" s="45" t="n">
        <v>236.72</v>
      </c>
      <c r="Y389" s="32" t="n">
        <f aca="false">IFERROR(X389/R389,0)</f>
        <v>2.01176190638053</v>
      </c>
      <c r="Z389" s="28" t="str">
        <f aca="false">IF(X389&gt;0,"Win",IF(X389&lt;0,"Loss","Flat"))</f>
        <v>Win</v>
      </c>
      <c r="AA389" s="28" t="n">
        <f aca="false">ROUND((C389-B389)*1440,1)</f>
        <v>37.2</v>
      </c>
      <c r="AB389" s="28" t="str">
        <f aca="false">IF(AA389&lt;1,"a) &lt;1 min",IF(AA389&lt;10,"b) 1-10 min",IF(AA389&lt;60,"c) 10-60 min",IF(AA389&lt;240,"d) 1-4 h","e) 4 h+"))))</f>
        <v>c) 10-60 min</v>
      </c>
      <c r="AC389" s="28" t="str">
        <f aca="false">IF(P389&lt;10,"a) &lt;10",IF(P389&lt;20,"b) 10-20",IF(P389&lt;40,"c) 20-40",IF(P389&lt;80,"d) 40-80","e) 80+"))))</f>
        <v>c) 20-40</v>
      </c>
      <c r="AD389" s="30" t="n">
        <f aca="false">Summary!$C$5+SUM(X$2:X389)</f>
        <v>105520.1</v>
      </c>
      <c r="AE389" s="30" t="n">
        <f aca="false">MAX(AE388,AD389)</f>
        <v>106588.89</v>
      </c>
      <c r="AF389" s="30" t="n">
        <f aca="false">AE389-AD389</f>
        <v>1068.78999999999</v>
      </c>
      <c r="AG389" s="29" t="n">
        <f aca="false">IFERROR(AF389/AE389,0)</f>
        <v>0.0100272176584257</v>
      </c>
    </row>
    <row r="390" customFormat="false" ht="15" hidden="false" customHeight="false" outlineLevel="0" collapsed="false">
      <c r="A390" s="28" t="n">
        <v>389</v>
      </c>
      <c r="B390" s="43" t="n">
        <v>45575.7923611111</v>
      </c>
      <c r="C390" s="43" t="n">
        <v>45575.8096527778</v>
      </c>
      <c r="D390" s="42" t="n">
        <f aca="false">INT(C390)</f>
        <v>45575</v>
      </c>
      <c r="E390" s="42" t="n">
        <f aca="false">D390-WEEKDAY(D390,3)</f>
        <v>45572</v>
      </c>
      <c r="F390" s="28" t="s">
        <v>161</v>
      </c>
      <c r="G390" s="28" t="n">
        <v>2024</v>
      </c>
      <c r="H390" s="28" t="s">
        <v>239</v>
      </c>
      <c r="I390" s="28" t="n">
        <v>19</v>
      </c>
      <c r="J390" s="28" t="s">
        <v>233</v>
      </c>
      <c r="K390" s="28" t="s">
        <v>234</v>
      </c>
      <c r="L390" s="28" t="n">
        <v>0.23</v>
      </c>
      <c r="M390" s="31" t="n">
        <v>20296.5</v>
      </c>
      <c r="N390" s="31" t="n">
        <v>20280.82</v>
      </c>
      <c r="O390" s="31" t="n">
        <v>20329.38</v>
      </c>
      <c r="P390" s="44" t="n">
        <f aca="false">ABS(M390-N390)</f>
        <v>15.6800000000003</v>
      </c>
      <c r="Q390" s="44" t="n">
        <f aca="false">IF(O390="","",ABS(O390-M390))</f>
        <v>32.880000000001</v>
      </c>
      <c r="R390" s="30" t="n">
        <f aca="false">P390*L390*Summary!$C$6</f>
        <v>72.1280000000013</v>
      </c>
      <c r="S390" s="31" t="n">
        <v>20295.05</v>
      </c>
      <c r="T390" s="28" t="s">
        <v>238</v>
      </c>
      <c r="U390" s="44" t="n">
        <f aca="false">IF(J390="BUY",S390-M390,M390-S390)</f>
        <v>-1.45000000000073</v>
      </c>
      <c r="V390" s="45" t="n">
        <v>0</v>
      </c>
      <c r="W390" s="45" t="n">
        <v>0</v>
      </c>
      <c r="X390" s="45" t="n">
        <v>-6.67</v>
      </c>
      <c r="Y390" s="32" t="n">
        <f aca="false">IFERROR(X390/R390,0)</f>
        <v>-0.0924744897959167</v>
      </c>
      <c r="Z390" s="28" t="str">
        <f aca="false">IF(X390&gt;0,"Win",IF(X390&lt;0,"Loss","Flat"))</f>
        <v>Loss</v>
      </c>
      <c r="AA390" s="28" t="n">
        <f aca="false">ROUND((C390-B390)*1440,1)</f>
        <v>24.9</v>
      </c>
      <c r="AB390" s="28" t="str">
        <f aca="false">IF(AA390&lt;1,"a) &lt;1 min",IF(AA390&lt;10,"b) 1-10 min",IF(AA390&lt;60,"c) 10-60 min",IF(AA390&lt;240,"d) 1-4 h","e) 4 h+"))))</f>
        <v>c) 10-60 min</v>
      </c>
      <c r="AC390" s="28" t="str">
        <f aca="false">IF(P390&lt;10,"a) &lt;10",IF(P390&lt;20,"b) 10-20",IF(P390&lt;40,"c) 20-40",IF(P390&lt;80,"d) 40-80","e) 80+"))))</f>
        <v>b) 10-20</v>
      </c>
      <c r="AD390" s="30" t="n">
        <f aca="false">Summary!$C$5+SUM(X$2:X390)</f>
        <v>105513.43</v>
      </c>
      <c r="AE390" s="30" t="n">
        <f aca="false">MAX(AE389,AD390)</f>
        <v>106588.89</v>
      </c>
      <c r="AF390" s="30" t="n">
        <f aca="false">AE390-AD390</f>
        <v>1075.46000000001</v>
      </c>
      <c r="AG390" s="29" t="n">
        <f aca="false">IFERROR(AF390/AE390,0)</f>
        <v>0.0100897945367477</v>
      </c>
    </row>
    <row r="391" customFormat="false" ht="15" hidden="false" customHeight="false" outlineLevel="0" collapsed="false">
      <c r="A391" s="28" t="n">
        <v>390</v>
      </c>
      <c r="B391" s="43" t="n">
        <v>45579.5423611111</v>
      </c>
      <c r="C391" s="43" t="n">
        <v>45579.5533101852</v>
      </c>
      <c r="D391" s="42" t="n">
        <f aca="false">INT(C391)</f>
        <v>45579</v>
      </c>
      <c r="E391" s="42" t="n">
        <f aca="false">D391-WEEKDAY(D391,3)</f>
        <v>45579</v>
      </c>
      <c r="F391" s="28" t="s">
        <v>161</v>
      </c>
      <c r="G391" s="28" t="n">
        <v>2024</v>
      </c>
      <c r="H391" s="28" t="s">
        <v>240</v>
      </c>
      <c r="I391" s="28" t="n">
        <v>13</v>
      </c>
      <c r="J391" s="28" t="s">
        <v>233</v>
      </c>
      <c r="K391" s="28" t="s">
        <v>234</v>
      </c>
      <c r="L391" s="28" t="n">
        <v>0.23</v>
      </c>
      <c r="M391" s="31" t="n">
        <v>20320.25</v>
      </c>
      <c r="N391" s="31" t="n">
        <v>20313.27</v>
      </c>
      <c r="O391" s="31" t="n">
        <v>20334.21</v>
      </c>
      <c r="P391" s="44" t="n">
        <f aca="false">ABS(M391-N391)</f>
        <v>6.97999999999956</v>
      </c>
      <c r="Q391" s="44" t="n">
        <f aca="false">IF(O391="","",ABS(O391-M391))</f>
        <v>13.9599999999991</v>
      </c>
      <c r="R391" s="30" t="n">
        <f aca="false">P391*L391*Summary!$C$6</f>
        <v>32.107999999998</v>
      </c>
      <c r="S391" s="31" t="n">
        <v>20334.3</v>
      </c>
      <c r="T391" s="28" t="s">
        <v>214</v>
      </c>
      <c r="U391" s="44" t="n">
        <f aca="false">IF(J391="BUY",S391-M391,M391-S391)</f>
        <v>14.0499999999993</v>
      </c>
      <c r="V391" s="45" t="n">
        <v>0</v>
      </c>
      <c r="W391" s="45" t="n">
        <v>0</v>
      </c>
      <c r="X391" s="45" t="n">
        <v>64.63</v>
      </c>
      <c r="Y391" s="32" t="n">
        <f aca="false">IFERROR(X391/R391,0)</f>
        <v>2.01289398280815</v>
      </c>
      <c r="Z391" s="28" t="str">
        <f aca="false">IF(X391&gt;0,"Win",IF(X391&lt;0,"Loss","Flat"))</f>
        <v>Win</v>
      </c>
      <c r="AA391" s="28" t="n">
        <f aca="false">ROUND((C391-B391)*1440,1)</f>
        <v>15.8</v>
      </c>
      <c r="AB391" s="28" t="str">
        <f aca="false">IF(AA391&lt;1,"a) &lt;1 min",IF(AA391&lt;10,"b) 1-10 min",IF(AA391&lt;60,"c) 10-60 min",IF(AA391&lt;240,"d) 1-4 h","e) 4 h+"))))</f>
        <v>c) 10-60 min</v>
      </c>
      <c r="AC391" s="28" t="str">
        <f aca="false">IF(P391&lt;10,"a) &lt;10",IF(P391&lt;20,"b) 10-20",IF(P391&lt;40,"c) 20-40",IF(P391&lt;80,"d) 40-80","e) 80+"))))</f>
        <v>a) &lt;10</v>
      </c>
      <c r="AD391" s="30" t="n">
        <f aca="false">Summary!$C$5+SUM(X$2:X391)</f>
        <v>105578.06</v>
      </c>
      <c r="AE391" s="30" t="n">
        <f aca="false">MAX(AE390,AD391)</f>
        <v>106588.89</v>
      </c>
      <c r="AF391" s="30" t="n">
        <f aca="false">AE391-AD391</f>
        <v>1010.83</v>
      </c>
      <c r="AG391" s="29" t="n">
        <f aca="false">IFERROR(AF391/AE391,0)</f>
        <v>0.00948344616404207</v>
      </c>
    </row>
    <row r="392" customFormat="false" ht="15" hidden="false" customHeight="false" outlineLevel="0" collapsed="false">
      <c r="A392" s="28" t="n">
        <v>391</v>
      </c>
      <c r="B392" s="43" t="n">
        <v>45580.7347222222</v>
      </c>
      <c r="C392" s="43" t="n">
        <v>45580.7463773148</v>
      </c>
      <c r="D392" s="42" t="n">
        <f aca="false">INT(C392)</f>
        <v>45580</v>
      </c>
      <c r="E392" s="42" t="n">
        <f aca="false">D392-WEEKDAY(D392,3)</f>
        <v>45579</v>
      </c>
      <c r="F392" s="28" t="s">
        <v>161</v>
      </c>
      <c r="G392" s="28" t="n">
        <v>2024</v>
      </c>
      <c r="H392" s="28" t="s">
        <v>232</v>
      </c>
      <c r="I392" s="28" t="n">
        <v>17</v>
      </c>
      <c r="J392" s="28" t="s">
        <v>236</v>
      </c>
      <c r="K392" s="28" t="s">
        <v>237</v>
      </c>
      <c r="L392" s="28" t="n">
        <v>0.23</v>
      </c>
      <c r="M392" s="31" t="n">
        <v>20200.61</v>
      </c>
      <c r="N392" s="31" t="n">
        <v>20266.14</v>
      </c>
      <c r="O392" s="31" t="n">
        <v>20069.55</v>
      </c>
      <c r="P392" s="44" t="n">
        <f aca="false">ABS(M392-N392)</f>
        <v>65.5299999999988</v>
      </c>
      <c r="Q392" s="44" t="n">
        <f aca="false">IF(O392="","",ABS(O392-M392))</f>
        <v>131.060000000001</v>
      </c>
      <c r="R392" s="30" t="n">
        <f aca="false">P392*L392*Summary!$C$6</f>
        <v>301.437999999995</v>
      </c>
      <c r="S392" s="31" t="n">
        <v>20266.54</v>
      </c>
      <c r="T392" s="28" t="s">
        <v>241</v>
      </c>
      <c r="U392" s="44" t="n">
        <f aca="false">IF(J392="BUY",S392-M392,M392-S392)</f>
        <v>-65.9300000000003</v>
      </c>
      <c r="V392" s="45" t="n">
        <v>0</v>
      </c>
      <c r="W392" s="45" t="n">
        <v>0</v>
      </c>
      <c r="X392" s="45" t="n">
        <v>-303.28</v>
      </c>
      <c r="Y392" s="32" t="n">
        <f aca="false">IFERROR(X392/R392,0)</f>
        <v>-1.00611070933328</v>
      </c>
      <c r="Z392" s="28" t="str">
        <f aca="false">IF(X392&gt;0,"Win",IF(X392&lt;0,"Loss","Flat"))</f>
        <v>Loss</v>
      </c>
      <c r="AA392" s="28" t="n">
        <f aca="false">ROUND((C392-B392)*1440,1)</f>
        <v>16.8</v>
      </c>
      <c r="AB392" s="28" t="str">
        <f aca="false">IF(AA392&lt;1,"a) &lt;1 min",IF(AA392&lt;10,"b) 1-10 min",IF(AA392&lt;60,"c) 10-60 min",IF(AA392&lt;240,"d) 1-4 h","e) 4 h+"))))</f>
        <v>c) 10-60 min</v>
      </c>
      <c r="AC392" s="28" t="str">
        <f aca="false">IF(P392&lt;10,"a) &lt;10",IF(P392&lt;20,"b) 10-20",IF(P392&lt;40,"c) 20-40",IF(P392&lt;80,"d) 40-80","e) 80+"))))</f>
        <v>d) 40-80</v>
      </c>
      <c r="AD392" s="30" t="n">
        <f aca="false">Summary!$C$5+SUM(X$2:X392)</f>
        <v>105274.78</v>
      </c>
      <c r="AE392" s="30" t="n">
        <f aca="false">MAX(AE391,AD392)</f>
        <v>106588.89</v>
      </c>
      <c r="AF392" s="30" t="n">
        <f aca="false">AE392-AD392</f>
        <v>1314.11</v>
      </c>
      <c r="AG392" s="29" t="n">
        <f aca="false">IFERROR(AF392/AE392,0)</f>
        <v>0.0123287708503203</v>
      </c>
    </row>
    <row r="393" customFormat="false" ht="15" hidden="false" customHeight="false" outlineLevel="0" collapsed="false">
      <c r="A393" s="28" t="n">
        <v>392</v>
      </c>
      <c r="B393" s="43" t="n">
        <v>45581.6979166667</v>
      </c>
      <c r="C393" s="43" t="n">
        <v>45581.7111111111</v>
      </c>
      <c r="D393" s="42" t="n">
        <f aca="false">INT(C393)</f>
        <v>45581</v>
      </c>
      <c r="E393" s="42" t="n">
        <f aca="false">D393-WEEKDAY(D393,3)</f>
        <v>45579</v>
      </c>
      <c r="F393" s="28" t="s">
        <v>161</v>
      </c>
      <c r="G393" s="28" t="n">
        <v>2024</v>
      </c>
      <c r="H393" s="28" t="s">
        <v>235</v>
      </c>
      <c r="I393" s="28" t="n">
        <v>16</v>
      </c>
      <c r="J393" s="28" t="s">
        <v>236</v>
      </c>
      <c r="K393" s="28" t="s">
        <v>237</v>
      </c>
      <c r="L393" s="28" t="n">
        <v>0.23</v>
      </c>
      <c r="M393" s="31" t="n">
        <v>20072.08</v>
      </c>
      <c r="N393" s="31" t="n">
        <v>20110.33</v>
      </c>
      <c r="O393" s="31" t="n">
        <v>19993.24</v>
      </c>
      <c r="P393" s="44" t="n">
        <f aca="false">ABS(M393-N393)</f>
        <v>38.25</v>
      </c>
      <c r="Q393" s="44" t="n">
        <f aca="false">IF(O393="","",ABS(O393-M393))</f>
        <v>78.8400000000002</v>
      </c>
      <c r="R393" s="30" t="n">
        <f aca="false">P393*L393*Summary!$C$6</f>
        <v>175.95</v>
      </c>
      <c r="S393" s="31" t="n">
        <v>20072.79</v>
      </c>
      <c r="T393" s="28" t="s">
        <v>238</v>
      </c>
      <c r="U393" s="44" t="n">
        <f aca="false">IF(J393="BUY",S393-M393,M393-S393)</f>
        <v>-0.709999999999127</v>
      </c>
      <c r="V393" s="45" t="n">
        <v>0</v>
      </c>
      <c r="W393" s="45" t="n">
        <v>0</v>
      </c>
      <c r="X393" s="45" t="n">
        <v>-3.27</v>
      </c>
      <c r="Y393" s="32" t="n">
        <f aca="false">IFERROR(X393/R393,0)</f>
        <v>-0.0185848252344416</v>
      </c>
      <c r="Z393" s="28" t="str">
        <f aca="false">IF(X393&gt;0,"Win",IF(X393&lt;0,"Loss","Flat"))</f>
        <v>Loss</v>
      </c>
      <c r="AA393" s="28" t="n">
        <f aca="false">ROUND((C393-B393)*1440,1)</f>
        <v>19</v>
      </c>
      <c r="AB393" s="28" t="str">
        <f aca="false">IF(AA393&lt;1,"a) &lt;1 min",IF(AA393&lt;10,"b) 1-10 min",IF(AA393&lt;60,"c) 10-60 min",IF(AA393&lt;240,"d) 1-4 h","e) 4 h+"))))</f>
        <v>c) 10-60 min</v>
      </c>
      <c r="AC393" s="28" t="str">
        <f aca="false">IF(P393&lt;10,"a) &lt;10",IF(P393&lt;20,"b) 10-20",IF(P393&lt;40,"c) 20-40",IF(P393&lt;80,"d) 40-80","e) 80+"))))</f>
        <v>c) 20-40</v>
      </c>
      <c r="AD393" s="30" t="n">
        <f aca="false">Summary!$C$5+SUM(X$2:X393)</f>
        <v>105271.51</v>
      </c>
      <c r="AE393" s="30" t="n">
        <f aca="false">MAX(AE392,AD393)</f>
        <v>106588.89</v>
      </c>
      <c r="AF393" s="30" t="n">
        <f aca="false">AE393-AD393</f>
        <v>1317.38</v>
      </c>
      <c r="AG393" s="29" t="n">
        <f aca="false">IFERROR(AF393/AE393,0)</f>
        <v>0.0123594494698275</v>
      </c>
    </row>
    <row r="394" customFormat="false" ht="15" hidden="false" customHeight="false" outlineLevel="0" collapsed="false">
      <c r="A394" s="28" t="n">
        <v>393</v>
      </c>
      <c r="B394" s="43" t="n">
        <v>45582.3895833333</v>
      </c>
      <c r="C394" s="43" t="n">
        <v>45582.4009375</v>
      </c>
      <c r="D394" s="42" t="n">
        <f aca="false">INT(C394)</f>
        <v>45582</v>
      </c>
      <c r="E394" s="42" t="n">
        <f aca="false">D394-WEEKDAY(D394,3)</f>
        <v>45579</v>
      </c>
      <c r="F394" s="28" t="s">
        <v>161</v>
      </c>
      <c r="G394" s="28" t="n">
        <v>2024</v>
      </c>
      <c r="H394" s="28" t="s">
        <v>239</v>
      </c>
      <c r="I394" s="28" t="n">
        <v>9</v>
      </c>
      <c r="J394" s="28" t="s">
        <v>233</v>
      </c>
      <c r="K394" s="28" t="s">
        <v>234</v>
      </c>
      <c r="L394" s="28" t="n">
        <v>0.23</v>
      </c>
      <c r="M394" s="31" t="n">
        <v>20231.88</v>
      </c>
      <c r="N394" s="31" t="n">
        <v>20214.21</v>
      </c>
      <c r="O394" s="31" t="n">
        <v>20267.21</v>
      </c>
      <c r="P394" s="44" t="n">
        <f aca="false">ABS(M394-N394)</f>
        <v>17.6700000000019</v>
      </c>
      <c r="Q394" s="44" t="n">
        <f aca="false">IF(O394="","",ABS(O394-M394))</f>
        <v>35.3299999999981</v>
      </c>
      <c r="R394" s="30" t="n">
        <f aca="false">P394*L394*Summary!$C$6</f>
        <v>81.2820000000087</v>
      </c>
      <c r="S394" s="31" t="n">
        <v>20268.98</v>
      </c>
      <c r="T394" s="28" t="s">
        <v>214</v>
      </c>
      <c r="U394" s="44" t="n">
        <f aca="false">IF(J394="BUY",S394-M394,M394-S394)</f>
        <v>37.0999999999985</v>
      </c>
      <c r="V394" s="45" t="n">
        <v>0</v>
      </c>
      <c r="W394" s="45" t="n">
        <v>0</v>
      </c>
      <c r="X394" s="45" t="n">
        <v>170.66</v>
      </c>
      <c r="Y394" s="32" t="n">
        <f aca="false">IFERROR(X394/R394,0)</f>
        <v>2.09960384833028</v>
      </c>
      <c r="Z394" s="28" t="str">
        <f aca="false">IF(X394&gt;0,"Win",IF(X394&lt;0,"Loss","Flat"))</f>
        <v>Win</v>
      </c>
      <c r="AA394" s="28" t="n">
        <f aca="false">ROUND((C394-B394)*1440,1)</f>
        <v>16.4</v>
      </c>
      <c r="AB394" s="28" t="str">
        <f aca="false">IF(AA394&lt;1,"a) &lt;1 min",IF(AA394&lt;10,"b) 1-10 min",IF(AA394&lt;60,"c) 10-60 min",IF(AA394&lt;240,"d) 1-4 h","e) 4 h+"))))</f>
        <v>c) 10-60 min</v>
      </c>
      <c r="AC394" s="28" t="str">
        <f aca="false">IF(P394&lt;10,"a) &lt;10",IF(P394&lt;20,"b) 10-20",IF(P394&lt;40,"c) 20-40",IF(P394&lt;80,"d) 40-80","e) 80+"))))</f>
        <v>b) 10-20</v>
      </c>
      <c r="AD394" s="30" t="n">
        <f aca="false">Summary!$C$5+SUM(X$2:X394)</f>
        <v>105442.17</v>
      </c>
      <c r="AE394" s="30" t="n">
        <f aca="false">MAX(AE393,AD394)</f>
        <v>106588.89</v>
      </c>
      <c r="AF394" s="30" t="n">
        <f aca="false">AE394-AD394</f>
        <v>1146.72</v>
      </c>
      <c r="AG394" s="29" t="n">
        <f aca="false">IFERROR(AF394/AE394,0)</f>
        <v>0.0107583445141422</v>
      </c>
    </row>
    <row r="395" customFormat="false" ht="15" hidden="false" customHeight="false" outlineLevel="0" collapsed="false">
      <c r="A395" s="28" t="n">
        <v>394</v>
      </c>
      <c r="B395" s="43" t="n">
        <v>45586.7138888889</v>
      </c>
      <c r="C395" s="43" t="n">
        <v>45586.724375</v>
      </c>
      <c r="D395" s="42" t="n">
        <f aca="false">INT(C395)</f>
        <v>45586</v>
      </c>
      <c r="E395" s="42" t="n">
        <f aca="false">D395-WEEKDAY(D395,3)</f>
        <v>45586</v>
      </c>
      <c r="F395" s="28" t="s">
        <v>161</v>
      </c>
      <c r="G395" s="28" t="n">
        <v>2024</v>
      </c>
      <c r="H395" s="28" t="s">
        <v>240</v>
      </c>
      <c r="I395" s="28" t="n">
        <v>17</v>
      </c>
      <c r="J395" s="28" t="s">
        <v>233</v>
      </c>
      <c r="K395" s="28" t="s">
        <v>234</v>
      </c>
      <c r="L395" s="28" t="n">
        <v>0.23</v>
      </c>
      <c r="M395" s="31" t="n">
        <v>20367.22</v>
      </c>
      <c r="N395" s="31" t="n">
        <v>20342.12</v>
      </c>
      <c r="O395" s="31" t="n">
        <v>20417.42</v>
      </c>
      <c r="P395" s="44" t="n">
        <f aca="false">ABS(M395-N395)</f>
        <v>25.1000000000022</v>
      </c>
      <c r="Q395" s="44" t="n">
        <f aca="false">IF(O395="","",ABS(O395-M395))</f>
        <v>50.1999999999971</v>
      </c>
      <c r="R395" s="30" t="n">
        <f aca="false">P395*L395*Summary!$C$6</f>
        <v>115.46000000001</v>
      </c>
      <c r="S395" s="31" t="n">
        <v>20366.36</v>
      </c>
      <c r="T395" s="28" t="s">
        <v>238</v>
      </c>
      <c r="U395" s="44" t="n">
        <f aca="false">IF(J395="BUY",S395-M395,M395-S395)</f>
        <v>-0.860000000000582</v>
      </c>
      <c r="V395" s="45" t="n">
        <v>0</v>
      </c>
      <c r="W395" s="45" t="n">
        <v>0</v>
      </c>
      <c r="X395" s="45" t="n">
        <v>-3.96</v>
      </c>
      <c r="Y395" s="32" t="n">
        <f aca="false">IFERROR(X395/R395,0)</f>
        <v>-0.0342975922397337</v>
      </c>
      <c r="Z395" s="28" t="str">
        <f aca="false">IF(X395&gt;0,"Win",IF(X395&lt;0,"Loss","Flat"))</f>
        <v>Loss</v>
      </c>
      <c r="AA395" s="28" t="n">
        <f aca="false">ROUND((C395-B395)*1440,1)</f>
        <v>15.1</v>
      </c>
      <c r="AB395" s="28" t="str">
        <f aca="false">IF(AA395&lt;1,"a) &lt;1 min",IF(AA395&lt;10,"b) 1-10 min",IF(AA395&lt;60,"c) 10-60 min",IF(AA395&lt;240,"d) 1-4 h","e) 4 h+"))))</f>
        <v>c) 10-60 min</v>
      </c>
      <c r="AC395" s="28" t="str">
        <f aca="false">IF(P395&lt;10,"a) &lt;10",IF(P395&lt;20,"b) 10-20",IF(P395&lt;40,"c) 20-40",IF(P395&lt;80,"d) 40-80","e) 80+"))))</f>
        <v>c) 20-40</v>
      </c>
      <c r="AD395" s="30" t="n">
        <f aca="false">Summary!$C$5+SUM(X$2:X395)</f>
        <v>105438.21</v>
      </c>
      <c r="AE395" s="30" t="n">
        <f aca="false">MAX(AE394,AD395)</f>
        <v>106588.89</v>
      </c>
      <c r="AF395" s="30" t="n">
        <f aca="false">AE395-AD395</f>
        <v>1150.67999999999</v>
      </c>
      <c r="AG395" s="29" t="n">
        <f aca="false">IFERROR(AF395/AE395,0)</f>
        <v>0.0107954966038205</v>
      </c>
    </row>
    <row r="396" customFormat="false" ht="15" hidden="false" customHeight="false" outlineLevel="0" collapsed="false">
      <c r="A396" s="28" t="n">
        <v>395</v>
      </c>
      <c r="B396" s="43" t="n">
        <v>45587.8618055556</v>
      </c>
      <c r="C396" s="43" t="n">
        <v>45587.8636111111</v>
      </c>
      <c r="D396" s="42" t="n">
        <f aca="false">INT(C396)</f>
        <v>45587</v>
      </c>
      <c r="E396" s="42" t="n">
        <f aca="false">D396-WEEKDAY(D396,3)</f>
        <v>45586</v>
      </c>
      <c r="F396" s="28" t="s">
        <v>161</v>
      </c>
      <c r="G396" s="28" t="n">
        <v>2024</v>
      </c>
      <c r="H396" s="28" t="s">
        <v>232</v>
      </c>
      <c r="I396" s="28" t="n">
        <v>20</v>
      </c>
      <c r="J396" s="28" t="s">
        <v>233</v>
      </c>
      <c r="K396" s="28" t="s">
        <v>234</v>
      </c>
      <c r="L396" s="28" t="n">
        <v>0.23</v>
      </c>
      <c r="M396" s="31" t="n">
        <v>20396.09</v>
      </c>
      <c r="N396" s="31" t="n">
        <v>20377.33</v>
      </c>
      <c r="O396" s="31" t="n">
        <v>20433.61</v>
      </c>
      <c r="P396" s="44" t="n">
        <f aca="false">ABS(M396-N396)</f>
        <v>18.7599999999984</v>
      </c>
      <c r="Q396" s="44" t="n">
        <f aca="false">IF(O396="","",ABS(O396-M396))</f>
        <v>37.5200000000004</v>
      </c>
      <c r="R396" s="30" t="n">
        <f aca="false">P396*L396*Summary!$C$6</f>
        <v>86.2959999999927</v>
      </c>
      <c r="S396" s="31" t="n">
        <v>20377.31</v>
      </c>
      <c r="T396" s="28" t="s">
        <v>241</v>
      </c>
      <c r="U396" s="44" t="n">
        <f aca="false">IF(J396="BUY",S396-M396,M396-S396)</f>
        <v>-18.7799999999988</v>
      </c>
      <c r="V396" s="45" t="n">
        <v>0</v>
      </c>
      <c r="W396" s="45" t="n">
        <v>0</v>
      </c>
      <c r="X396" s="45" t="n">
        <v>-86.39</v>
      </c>
      <c r="Y396" s="32" t="n">
        <f aca="false">IFERROR(X396/R396,0)</f>
        <v>-1.00108927412635</v>
      </c>
      <c r="Z396" s="28" t="str">
        <f aca="false">IF(X396&gt;0,"Win",IF(X396&lt;0,"Loss","Flat"))</f>
        <v>Loss</v>
      </c>
      <c r="AA396" s="28" t="n">
        <f aca="false">ROUND((C396-B396)*1440,1)</f>
        <v>2.6</v>
      </c>
      <c r="AB396" s="28" t="str">
        <f aca="false">IF(AA396&lt;1,"a) &lt;1 min",IF(AA396&lt;10,"b) 1-10 min",IF(AA396&lt;60,"c) 10-60 min",IF(AA396&lt;240,"d) 1-4 h","e) 4 h+"))))</f>
        <v>b) 1-10 min</v>
      </c>
      <c r="AC396" s="28" t="str">
        <f aca="false">IF(P396&lt;10,"a) &lt;10",IF(P396&lt;20,"b) 10-20",IF(P396&lt;40,"c) 20-40",IF(P396&lt;80,"d) 40-80","e) 80+"))))</f>
        <v>b) 10-20</v>
      </c>
      <c r="AD396" s="30" t="n">
        <f aca="false">Summary!$C$5+SUM(X$2:X396)</f>
        <v>105351.82</v>
      </c>
      <c r="AE396" s="30" t="n">
        <f aca="false">MAX(AE395,AD396)</f>
        <v>106588.89</v>
      </c>
      <c r="AF396" s="30" t="n">
        <f aca="false">AE396-AD396</f>
        <v>1237.06999999999</v>
      </c>
      <c r="AG396" s="29" t="n">
        <f aca="false">IFERROR(AF396/AE396,0)</f>
        <v>0.0116059938329407</v>
      </c>
    </row>
    <row r="397" customFormat="false" ht="15" hidden="false" customHeight="false" outlineLevel="0" collapsed="false">
      <c r="A397" s="28" t="n">
        <v>396</v>
      </c>
      <c r="B397" s="43" t="n">
        <v>45588.7597222222</v>
      </c>
      <c r="C397" s="43" t="n">
        <v>45588.7911226852</v>
      </c>
      <c r="D397" s="42" t="n">
        <f aca="false">INT(C397)</f>
        <v>45588</v>
      </c>
      <c r="E397" s="42" t="n">
        <f aca="false">D397-WEEKDAY(D397,3)</f>
        <v>45586</v>
      </c>
      <c r="F397" s="28" t="s">
        <v>161</v>
      </c>
      <c r="G397" s="28" t="n">
        <v>2024</v>
      </c>
      <c r="H397" s="28" t="s">
        <v>235</v>
      </c>
      <c r="I397" s="28" t="n">
        <v>18</v>
      </c>
      <c r="J397" s="28" t="s">
        <v>236</v>
      </c>
      <c r="K397" s="28" t="s">
        <v>237</v>
      </c>
      <c r="L397" s="28" t="n">
        <v>0.23</v>
      </c>
      <c r="M397" s="31" t="n">
        <v>20177.91</v>
      </c>
      <c r="N397" s="31" t="n">
        <v>20208.6</v>
      </c>
      <c r="O397" s="31" t="n">
        <v>20115.56</v>
      </c>
      <c r="P397" s="44" t="n">
        <f aca="false">ABS(M397-N397)</f>
        <v>30.6899999999987</v>
      </c>
      <c r="Q397" s="44" t="n">
        <f aca="false">IF(O397="","",ABS(O397-M397))</f>
        <v>62.3499999999985</v>
      </c>
      <c r="R397" s="30" t="n">
        <f aca="false">P397*L397*Summary!$C$6</f>
        <v>141.173999999994</v>
      </c>
      <c r="S397" s="31" t="n">
        <v>20208.98</v>
      </c>
      <c r="T397" s="28" t="s">
        <v>241</v>
      </c>
      <c r="U397" s="44" t="n">
        <f aca="false">IF(J397="BUY",S397-M397,M397-S397)</f>
        <v>-31.0699999999997</v>
      </c>
      <c r="V397" s="45" t="n">
        <v>0</v>
      </c>
      <c r="W397" s="45" t="n">
        <v>0</v>
      </c>
      <c r="X397" s="45" t="n">
        <v>-142.92</v>
      </c>
      <c r="Y397" s="32" t="n">
        <f aca="false">IFERROR(X397/R397,0)</f>
        <v>-1.01236771643508</v>
      </c>
      <c r="Z397" s="28" t="str">
        <f aca="false">IF(X397&gt;0,"Win",IF(X397&lt;0,"Loss","Flat"))</f>
        <v>Loss</v>
      </c>
      <c r="AA397" s="28" t="n">
        <f aca="false">ROUND((C397-B397)*1440,1)</f>
        <v>45.2</v>
      </c>
      <c r="AB397" s="28" t="str">
        <f aca="false">IF(AA397&lt;1,"a) &lt;1 min",IF(AA397&lt;10,"b) 1-10 min",IF(AA397&lt;60,"c) 10-60 min",IF(AA397&lt;240,"d) 1-4 h","e) 4 h+"))))</f>
        <v>c) 10-60 min</v>
      </c>
      <c r="AC397" s="28" t="str">
        <f aca="false">IF(P397&lt;10,"a) &lt;10",IF(P397&lt;20,"b) 10-20",IF(P397&lt;40,"c) 20-40",IF(P397&lt;80,"d) 40-80","e) 80+"))))</f>
        <v>c) 20-40</v>
      </c>
      <c r="AD397" s="30" t="n">
        <f aca="false">Summary!$C$5+SUM(X$2:X397)</f>
        <v>105208.9</v>
      </c>
      <c r="AE397" s="30" t="n">
        <f aca="false">MAX(AE396,AD397)</f>
        <v>106588.89</v>
      </c>
      <c r="AF397" s="30" t="n">
        <f aca="false">AE397-AD397</f>
        <v>1379.99000000001</v>
      </c>
      <c r="AG397" s="29" t="n">
        <f aca="false">IFERROR(AF397/AE397,0)</f>
        <v>0.0129468465240609</v>
      </c>
    </row>
    <row r="398" customFormat="false" ht="15" hidden="false" customHeight="false" outlineLevel="0" collapsed="false">
      <c r="A398" s="28" t="n">
        <v>397</v>
      </c>
      <c r="B398" s="43" t="n">
        <v>45590.4479166667</v>
      </c>
      <c r="C398" s="43" t="n">
        <v>45590.4598842593</v>
      </c>
      <c r="D398" s="42" t="n">
        <f aca="false">INT(C398)</f>
        <v>45590</v>
      </c>
      <c r="E398" s="42" t="n">
        <f aca="false">D398-WEEKDAY(D398,3)</f>
        <v>45586</v>
      </c>
      <c r="F398" s="28" t="s">
        <v>161</v>
      </c>
      <c r="G398" s="28" t="n">
        <v>2024</v>
      </c>
      <c r="H398" s="28" t="s">
        <v>242</v>
      </c>
      <c r="I398" s="28" t="n">
        <v>10</v>
      </c>
      <c r="J398" s="28" t="s">
        <v>233</v>
      </c>
      <c r="K398" s="28" t="s">
        <v>234</v>
      </c>
      <c r="L398" s="28" t="n">
        <v>0.23</v>
      </c>
      <c r="M398" s="31" t="n">
        <v>20280.01</v>
      </c>
      <c r="N398" s="31" t="n">
        <v>20266.61</v>
      </c>
      <c r="O398" s="31" t="n">
        <v>20306.8</v>
      </c>
      <c r="P398" s="44" t="n">
        <f aca="false">ABS(M398-N398)</f>
        <v>13.3999999999978</v>
      </c>
      <c r="Q398" s="44" t="n">
        <f aca="false">IF(O398="","",ABS(O398-M398))</f>
        <v>26.7900000000009</v>
      </c>
      <c r="R398" s="30" t="n">
        <f aca="false">P398*L398*Summary!$C$6</f>
        <v>61.63999999999</v>
      </c>
      <c r="S398" s="31" t="n">
        <v>20280</v>
      </c>
      <c r="T398" s="28" t="s">
        <v>238</v>
      </c>
      <c r="U398" s="44" t="n">
        <f aca="false">IF(J398="BUY",S398-M398,M398-S398)</f>
        <v>-0.00999999999839929</v>
      </c>
      <c r="V398" s="45" t="n">
        <v>0</v>
      </c>
      <c r="W398" s="45" t="n">
        <v>0</v>
      </c>
      <c r="X398" s="45" t="n">
        <v>-0.05</v>
      </c>
      <c r="Y398" s="32" t="n">
        <f aca="false">IFERROR(X398/R398,0)</f>
        <v>-0.000811161583387543</v>
      </c>
      <c r="Z398" s="28" t="str">
        <f aca="false">IF(X398&gt;0,"Win",IF(X398&lt;0,"Loss","Flat"))</f>
        <v>Loss</v>
      </c>
      <c r="AA398" s="28" t="n">
        <f aca="false">ROUND((C398-B398)*1440,1)</f>
        <v>17.2</v>
      </c>
      <c r="AB398" s="28" t="str">
        <f aca="false">IF(AA398&lt;1,"a) &lt;1 min",IF(AA398&lt;10,"b) 1-10 min",IF(AA398&lt;60,"c) 10-60 min",IF(AA398&lt;240,"d) 1-4 h","e) 4 h+"))))</f>
        <v>c) 10-60 min</v>
      </c>
      <c r="AC398" s="28" t="str">
        <f aca="false">IF(P398&lt;10,"a) &lt;10",IF(P398&lt;20,"b) 10-20",IF(P398&lt;40,"c) 20-40",IF(P398&lt;80,"d) 40-80","e) 80+"))))</f>
        <v>b) 10-20</v>
      </c>
      <c r="AD398" s="30" t="n">
        <f aca="false">Summary!$C$5+SUM(X$2:X398)</f>
        <v>105208.85</v>
      </c>
      <c r="AE398" s="30" t="n">
        <f aca="false">MAX(AE397,AD398)</f>
        <v>106588.89</v>
      </c>
      <c r="AF398" s="30" t="n">
        <f aca="false">AE398-AD398</f>
        <v>1380.03999999999</v>
      </c>
      <c r="AG398" s="29" t="n">
        <f aca="false">IFERROR(AF398/AE398,0)</f>
        <v>0.0129473156161021</v>
      </c>
    </row>
    <row r="399" customFormat="false" ht="15" hidden="false" customHeight="false" outlineLevel="0" collapsed="false">
      <c r="A399" s="28" t="n">
        <v>398</v>
      </c>
      <c r="B399" s="43" t="n">
        <v>45594.1319444445</v>
      </c>
      <c r="C399" s="43" t="n">
        <v>45594.1366435185</v>
      </c>
      <c r="D399" s="42" t="n">
        <f aca="false">INT(C399)</f>
        <v>45594</v>
      </c>
      <c r="E399" s="42" t="n">
        <f aca="false">D399-WEEKDAY(D399,3)</f>
        <v>45593</v>
      </c>
      <c r="F399" s="28" t="s">
        <v>161</v>
      </c>
      <c r="G399" s="28" t="n">
        <v>2024</v>
      </c>
      <c r="H399" s="28" t="s">
        <v>232</v>
      </c>
      <c r="I399" s="28" t="n">
        <v>3</v>
      </c>
      <c r="J399" s="28" t="s">
        <v>236</v>
      </c>
      <c r="K399" s="28" t="s">
        <v>237</v>
      </c>
      <c r="L399" s="28" t="n">
        <v>0.23</v>
      </c>
      <c r="M399" s="31" t="n">
        <v>20342.5</v>
      </c>
      <c r="N399" s="31" t="n">
        <v>20355.39</v>
      </c>
      <c r="O399" s="31" t="n">
        <v>20316.72</v>
      </c>
      <c r="P399" s="44" t="n">
        <f aca="false">ABS(M399-N399)</f>
        <v>12.8899999999994</v>
      </c>
      <c r="Q399" s="44" t="n">
        <f aca="false">IF(O399="","",ABS(O399-M399))</f>
        <v>25.7799999999988</v>
      </c>
      <c r="R399" s="30" t="n">
        <f aca="false">P399*L399*Summary!$C$6</f>
        <v>59.2939999999973</v>
      </c>
      <c r="S399" s="31" t="n">
        <v>20355.56</v>
      </c>
      <c r="T399" s="28" t="s">
        <v>241</v>
      </c>
      <c r="U399" s="44" t="n">
        <f aca="false">IF(J399="BUY",S399-M399,M399-S399)</f>
        <v>-13.0600000000013</v>
      </c>
      <c r="V399" s="45" t="n">
        <v>0</v>
      </c>
      <c r="W399" s="45" t="n">
        <v>0</v>
      </c>
      <c r="X399" s="45" t="n">
        <v>-60.08</v>
      </c>
      <c r="Y399" s="32" t="n">
        <f aca="false">IFERROR(X399/R399,0)</f>
        <v>-1.01325597868254</v>
      </c>
      <c r="Z399" s="28" t="str">
        <f aca="false">IF(X399&gt;0,"Win",IF(X399&lt;0,"Loss","Flat"))</f>
        <v>Loss</v>
      </c>
      <c r="AA399" s="28" t="n">
        <f aca="false">ROUND((C399-B399)*1440,1)</f>
        <v>6.8</v>
      </c>
      <c r="AB399" s="28" t="str">
        <f aca="false">IF(AA399&lt;1,"a) &lt;1 min",IF(AA399&lt;10,"b) 1-10 min",IF(AA399&lt;60,"c) 10-60 min",IF(AA399&lt;240,"d) 1-4 h","e) 4 h+"))))</f>
        <v>b) 1-10 min</v>
      </c>
      <c r="AC399" s="28" t="str">
        <f aca="false">IF(P399&lt;10,"a) &lt;10",IF(P399&lt;20,"b) 10-20",IF(P399&lt;40,"c) 20-40",IF(P399&lt;80,"d) 40-80","e) 80+"))))</f>
        <v>b) 10-20</v>
      </c>
      <c r="AD399" s="30" t="n">
        <f aca="false">Summary!$C$5+SUM(X$2:X399)</f>
        <v>105148.77</v>
      </c>
      <c r="AE399" s="30" t="n">
        <f aca="false">MAX(AE398,AD399)</f>
        <v>106588.89</v>
      </c>
      <c r="AF399" s="30" t="n">
        <f aca="false">AE399-AD399</f>
        <v>1440.12</v>
      </c>
      <c r="AG399" s="29" t="n">
        <f aca="false">IFERROR(AF399/AE399,0)</f>
        <v>0.013510976613041</v>
      </c>
    </row>
    <row r="400" customFormat="false" ht="15" hidden="false" customHeight="false" outlineLevel="0" collapsed="false">
      <c r="A400" s="28" t="n">
        <v>399</v>
      </c>
      <c r="B400" s="43" t="n">
        <v>45594.8361111111</v>
      </c>
      <c r="C400" s="43" t="n">
        <v>45594.8526967593</v>
      </c>
      <c r="D400" s="42" t="n">
        <f aca="false">INT(C400)</f>
        <v>45594</v>
      </c>
      <c r="E400" s="42" t="n">
        <f aca="false">D400-WEEKDAY(D400,3)</f>
        <v>45593</v>
      </c>
      <c r="F400" s="28" t="s">
        <v>161</v>
      </c>
      <c r="G400" s="28" t="n">
        <v>2024</v>
      </c>
      <c r="H400" s="28" t="s">
        <v>232</v>
      </c>
      <c r="I400" s="28" t="n">
        <v>20</v>
      </c>
      <c r="J400" s="28" t="s">
        <v>233</v>
      </c>
      <c r="K400" s="28" t="s">
        <v>234</v>
      </c>
      <c r="L400" s="28" t="n">
        <v>0.23</v>
      </c>
      <c r="M400" s="31" t="n">
        <v>20535.25</v>
      </c>
      <c r="N400" s="31" t="n">
        <v>20515.9</v>
      </c>
      <c r="O400" s="31" t="n">
        <v>20573.96</v>
      </c>
      <c r="P400" s="44" t="n">
        <f aca="false">ABS(M400-N400)</f>
        <v>19.3499999999985</v>
      </c>
      <c r="Q400" s="44" t="n">
        <f aca="false">IF(O400="","",ABS(O400-M400))</f>
        <v>38.7099999999991</v>
      </c>
      <c r="R400" s="30" t="n">
        <f aca="false">P400*L400*Summary!$C$6</f>
        <v>89.0099999999933</v>
      </c>
      <c r="S400" s="31" t="n">
        <v>20515.74</v>
      </c>
      <c r="T400" s="28" t="s">
        <v>241</v>
      </c>
      <c r="U400" s="44" t="n">
        <f aca="false">IF(J400="BUY",S400-M400,M400-S400)</f>
        <v>-19.5099999999984</v>
      </c>
      <c r="V400" s="45" t="n">
        <v>0</v>
      </c>
      <c r="W400" s="45" t="n">
        <v>0</v>
      </c>
      <c r="X400" s="45" t="n">
        <v>-89.75</v>
      </c>
      <c r="Y400" s="32" t="n">
        <f aca="false">IFERROR(X400/R400,0)</f>
        <v>-1.00831367262113</v>
      </c>
      <c r="Z400" s="28" t="str">
        <f aca="false">IF(X400&gt;0,"Win",IF(X400&lt;0,"Loss","Flat"))</f>
        <v>Loss</v>
      </c>
      <c r="AA400" s="28" t="n">
        <f aca="false">ROUND((C400-B400)*1440,1)</f>
        <v>23.9</v>
      </c>
      <c r="AB400" s="28" t="str">
        <f aca="false">IF(AA400&lt;1,"a) &lt;1 min",IF(AA400&lt;10,"b) 1-10 min",IF(AA400&lt;60,"c) 10-60 min",IF(AA400&lt;240,"d) 1-4 h","e) 4 h+"))))</f>
        <v>c) 10-60 min</v>
      </c>
      <c r="AC400" s="28" t="str">
        <f aca="false">IF(P400&lt;10,"a) &lt;10",IF(P400&lt;20,"b) 10-20",IF(P400&lt;40,"c) 20-40",IF(P400&lt;80,"d) 40-80","e) 80+"))))</f>
        <v>b) 10-20</v>
      </c>
      <c r="AD400" s="30" t="n">
        <f aca="false">Summary!$C$5+SUM(X$2:X400)</f>
        <v>105059.02</v>
      </c>
      <c r="AE400" s="30" t="n">
        <f aca="false">MAX(AE399,AD400)</f>
        <v>106588.89</v>
      </c>
      <c r="AF400" s="30" t="n">
        <f aca="false">AE400-AD400</f>
        <v>1529.87</v>
      </c>
      <c r="AG400" s="29" t="n">
        <f aca="false">IFERROR(AF400/AE400,0)</f>
        <v>0.0143529968273428</v>
      </c>
    </row>
    <row r="401" customFormat="false" ht="15" hidden="false" customHeight="false" outlineLevel="0" collapsed="false">
      <c r="A401" s="28" t="n">
        <v>400</v>
      </c>
      <c r="B401" s="43" t="n">
        <v>45595.1409837963</v>
      </c>
      <c r="C401" s="43" t="n">
        <v>45595.1562731482</v>
      </c>
      <c r="D401" s="42" t="n">
        <f aca="false">INT(C401)</f>
        <v>45595</v>
      </c>
      <c r="E401" s="42" t="n">
        <f aca="false">D401-WEEKDAY(D401,3)</f>
        <v>45593</v>
      </c>
      <c r="F401" s="28" t="s">
        <v>161</v>
      </c>
      <c r="G401" s="28" t="n">
        <v>2024</v>
      </c>
      <c r="H401" s="28" t="s">
        <v>235</v>
      </c>
      <c r="I401" s="28" t="n">
        <v>3</v>
      </c>
      <c r="J401" s="28" t="s">
        <v>233</v>
      </c>
      <c r="K401" s="28" t="s">
        <v>234</v>
      </c>
      <c r="L401" s="28" t="n">
        <v>0.22</v>
      </c>
      <c r="M401" s="31" t="n">
        <v>20619.1</v>
      </c>
      <c r="N401" s="31" t="n">
        <v>20612.08</v>
      </c>
      <c r="O401" s="31" t="n">
        <v>20633.13</v>
      </c>
      <c r="P401" s="44" t="n">
        <f aca="false">ABS(M401-N401)</f>
        <v>7.0199999999968</v>
      </c>
      <c r="Q401" s="44" t="n">
        <f aca="false">IF(O401="","",ABS(O401-M401))</f>
        <v>14.0300000000025</v>
      </c>
      <c r="R401" s="30" t="n">
        <f aca="false">P401*L401*Summary!$C$6</f>
        <v>30.8879999999859</v>
      </c>
      <c r="S401" s="31" t="n">
        <v>20619.08</v>
      </c>
      <c r="T401" s="28" t="s">
        <v>238</v>
      </c>
      <c r="U401" s="44" t="n">
        <f aca="false">IF(J401="BUY",S401-M401,M401-S401)</f>
        <v>-0.0199999999967986</v>
      </c>
      <c r="V401" s="45" t="n">
        <v>0</v>
      </c>
      <c r="W401" s="45" t="n">
        <v>0</v>
      </c>
      <c r="X401" s="45" t="n">
        <v>-0.09</v>
      </c>
      <c r="Y401" s="32" t="n">
        <f aca="false">IFERROR(X401/R401,0)</f>
        <v>-0.00291375291375424</v>
      </c>
      <c r="Z401" s="28" t="str">
        <f aca="false">IF(X401&gt;0,"Win",IF(X401&lt;0,"Loss","Flat"))</f>
        <v>Loss</v>
      </c>
      <c r="AA401" s="28" t="n">
        <f aca="false">ROUND((C401-B401)*1440,1)</f>
        <v>22</v>
      </c>
      <c r="AB401" s="28" t="str">
        <f aca="false">IF(AA401&lt;1,"a) &lt;1 min",IF(AA401&lt;10,"b) 1-10 min",IF(AA401&lt;60,"c) 10-60 min",IF(AA401&lt;240,"d) 1-4 h","e) 4 h+"))))</f>
        <v>c) 10-60 min</v>
      </c>
      <c r="AC401" s="28" t="str">
        <f aca="false">IF(P401&lt;10,"a) &lt;10",IF(P401&lt;20,"b) 10-20",IF(P401&lt;40,"c) 20-40",IF(P401&lt;80,"d) 40-80","e) 80+"))))</f>
        <v>a) &lt;10</v>
      </c>
      <c r="AD401" s="30" t="n">
        <f aca="false">Summary!$C$5+SUM(X$2:X401)</f>
        <v>105058.93</v>
      </c>
      <c r="AE401" s="30" t="n">
        <f aca="false">MAX(AE400,AD401)</f>
        <v>106588.89</v>
      </c>
      <c r="AF401" s="30" t="n">
        <f aca="false">AE401-AD401</f>
        <v>1529.96000000001</v>
      </c>
      <c r="AG401" s="29" t="n">
        <f aca="false">IFERROR(AF401/AE401,0)</f>
        <v>0.0143538411930175</v>
      </c>
    </row>
    <row r="402" customFormat="false" ht="15" hidden="false" customHeight="false" outlineLevel="0" collapsed="false">
      <c r="A402" s="28" t="n">
        <v>401</v>
      </c>
      <c r="B402" s="43" t="n">
        <v>45596.0465277778</v>
      </c>
      <c r="C402" s="43" t="n">
        <v>45596.4248032407</v>
      </c>
      <c r="D402" s="42" t="n">
        <f aca="false">INT(C402)</f>
        <v>45596</v>
      </c>
      <c r="E402" s="42" t="n">
        <f aca="false">D402-WEEKDAY(D402,3)</f>
        <v>45593</v>
      </c>
      <c r="F402" s="28" t="s">
        <v>161</v>
      </c>
      <c r="G402" s="28" t="n">
        <v>2024</v>
      </c>
      <c r="H402" s="28" t="s">
        <v>239</v>
      </c>
      <c r="I402" s="28" t="n">
        <v>1</v>
      </c>
      <c r="J402" s="28" t="s">
        <v>236</v>
      </c>
      <c r="K402" s="28" t="s">
        <v>237</v>
      </c>
      <c r="L402" s="28" t="n">
        <v>0.23</v>
      </c>
      <c r="M402" s="31" t="n">
        <v>20307.91</v>
      </c>
      <c r="N402" s="31" t="n">
        <v>20367.5</v>
      </c>
      <c r="O402" s="31" t="n">
        <v>20188.73</v>
      </c>
      <c r="P402" s="44" t="n">
        <f aca="false">ABS(M402-N402)</f>
        <v>59.5900000000001</v>
      </c>
      <c r="Q402" s="44" t="n">
        <f aca="false">IF(O402="","",ABS(O402-M402))</f>
        <v>119.18</v>
      </c>
      <c r="R402" s="30" t="n">
        <f aca="false">P402*L402*Summary!$C$6</f>
        <v>274.114000000001</v>
      </c>
      <c r="S402" s="31" t="n">
        <v>20186.91</v>
      </c>
      <c r="T402" s="28" t="s">
        <v>214</v>
      </c>
      <c r="U402" s="44" t="n">
        <f aca="false">IF(J402="BUY",S402-M402,M402-S402)</f>
        <v>121</v>
      </c>
      <c r="V402" s="45" t="n">
        <v>0</v>
      </c>
      <c r="W402" s="45" t="n">
        <v>0</v>
      </c>
      <c r="X402" s="45" t="n">
        <v>556.6</v>
      </c>
      <c r="Y402" s="32" t="n">
        <f aca="false">IFERROR(X402/R402,0)</f>
        <v>2.03054203725457</v>
      </c>
      <c r="Z402" s="28" t="str">
        <f aca="false">IF(X402&gt;0,"Win",IF(X402&lt;0,"Loss","Flat"))</f>
        <v>Win</v>
      </c>
      <c r="AA402" s="28" t="n">
        <f aca="false">ROUND((C402-B402)*1440,1)</f>
        <v>544.7</v>
      </c>
      <c r="AB402" s="28" t="str">
        <f aca="false">IF(AA402&lt;1,"a) &lt;1 min",IF(AA402&lt;10,"b) 1-10 min",IF(AA402&lt;60,"c) 10-60 min",IF(AA402&lt;240,"d) 1-4 h","e) 4 h+"))))</f>
        <v>e) 4 h+</v>
      </c>
      <c r="AC402" s="28" t="str">
        <f aca="false">IF(P402&lt;10,"a) &lt;10",IF(P402&lt;20,"b) 10-20",IF(P402&lt;40,"c) 20-40",IF(P402&lt;80,"d) 40-80","e) 80+"))))</f>
        <v>d) 40-80</v>
      </c>
      <c r="AD402" s="30" t="n">
        <f aca="false">Summary!$C$5+SUM(X$2:X402)</f>
        <v>105615.53</v>
      </c>
      <c r="AE402" s="30" t="n">
        <f aca="false">MAX(AE401,AD402)</f>
        <v>106588.89</v>
      </c>
      <c r="AF402" s="30" t="n">
        <f aca="false">AE402-AD402</f>
        <v>973.360000000001</v>
      </c>
      <c r="AG402" s="29" t="n">
        <f aca="false">IFERROR(AF402/AE402,0)</f>
        <v>0.00913190858822154</v>
      </c>
    </row>
    <row r="403" customFormat="false" ht="15" hidden="false" customHeight="false" outlineLevel="0" collapsed="false">
      <c r="A403" s="28" t="n">
        <v>402</v>
      </c>
      <c r="B403" s="43" t="n">
        <v>45601.7013888889</v>
      </c>
      <c r="C403" s="43" t="n">
        <v>45601.7083680556</v>
      </c>
      <c r="D403" s="42" t="n">
        <f aca="false">INT(C403)</f>
        <v>45601</v>
      </c>
      <c r="E403" s="42" t="n">
        <f aca="false">D403-WEEKDAY(D403,3)</f>
        <v>45600</v>
      </c>
      <c r="F403" s="28" t="s">
        <v>162</v>
      </c>
      <c r="G403" s="28" t="n">
        <v>2024</v>
      </c>
      <c r="H403" s="28" t="s">
        <v>232</v>
      </c>
      <c r="I403" s="28" t="n">
        <v>16</v>
      </c>
      <c r="J403" s="28" t="s">
        <v>233</v>
      </c>
      <c r="K403" s="28" t="s">
        <v>234</v>
      </c>
      <c r="L403" s="28" t="n">
        <v>0.23</v>
      </c>
      <c r="M403" s="31" t="n">
        <v>20133.2</v>
      </c>
      <c r="N403" s="31" t="n">
        <v>20098.95</v>
      </c>
      <c r="O403" s="31" t="n">
        <v>20201.71</v>
      </c>
      <c r="P403" s="44" t="n">
        <f aca="false">ABS(M403-N403)</f>
        <v>34.25</v>
      </c>
      <c r="Q403" s="44" t="n">
        <f aca="false">IF(O403="","",ABS(O403-M403))</f>
        <v>68.5099999999984</v>
      </c>
      <c r="R403" s="30" t="n">
        <f aca="false">P403*L403*Summary!$C$6</f>
        <v>157.55</v>
      </c>
      <c r="S403" s="31" t="n">
        <v>20202.58</v>
      </c>
      <c r="T403" s="28" t="s">
        <v>214</v>
      </c>
      <c r="U403" s="44" t="n">
        <f aca="false">IF(J403="BUY",S403-M403,M403-S403)</f>
        <v>69.380000000001</v>
      </c>
      <c r="V403" s="45" t="n">
        <v>0</v>
      </c>
      <c r="W403" s="45" t="n">
        <v>0</v>
      </c>
      <c r="X403" s="45" t="n">
        <v>319.15</v>
      </c>
      <c r="Y403" s="32" t="n">
        <f aca="false">IFERROR(X403/R403,0)</f>
        <v>2.02570612503967</v>
      </c>
      <c r="Z403" s="28" t="str">
        <f aca="false">IF(X403&gt;0,"Win",IF(X403&lt;0,"Loss","Flat"))</f>
        <v>Win</v>
      </c>
      <c r="AA403" s="28" t="n">
        <f aca="false">ROUND((C403-B403)*1440,1)</f>
        <v>10.1</v>
      </c>
      <c r="AB403" s="28" t="str">
        <f aca="false">IF(AA403&lt;1,"a) &lt;1 min",IF(AA403&lt;10,"b) 1-10 min",IF(AA403&lt;60,"c) 10-60 min",IF(AA403&lt;240,"d) 1-4 h","e) 4 h+"))))</f>
        <v>c) 10-60 min</v>
      </c>
      <c r="AC403" s="28" t="str">
        <f aca="false">IF(P403&lt;10,"a) &lt;10",IF(P403&lt;20,"b) 10-20",IF(P403&lt;40,"c) 20-40",IF(P403&lt;80,"d) 40-80","e) 80+"))))</f>
        <v>c) 20-40</v>
      </c>
      <c r="AD403" s="30" t="n">
        <f aca="false">Summary!$C$5+SUM(X$2:X403)</f>
        <v>105934.68</v>
      </c>
      <c r="AE403" s="30" t="n">
        <f aca="false">MAX(AE402,AD403)</f>
        <v>106588.89</v>
      </c>
      <c r="AF403" s="30" t="n">
        <f aca="false">AE403-AD403</f>
        <v>654.210000000006</v>
      </c>
      <c r="AG403" s="29" t="n">
        <f aca="false">IFERROR(AF403/AE403,0)</f>
        <v>0.00613769408800492</v>
      </c>
    </row>
    <row r="404" customFormat="false" ht="15" hidden="false" customHeight="false" outlineLevel="0" collapsed="false">
      <c r="A404" s="28" t="n">
        <v>403</v>
      </c>
      <c r="B404" s="43" t="n">
        <v>45602.1069444444</v>
      </c>
      <c r="C404" s="43" t="n">
        <v>45602.1105439815</v>
      </c>
      <c r="D404" s="42" t="n">
        <f aca="false">INT(C404)</f>
        <v>45602</v>
      </c>
      <c r="E404" s="42" t="n">
        <f aca="false">D404-WEEKDAY(D404,3)</f>
        <v>45600</v>
      </c>
      <c r="F404" s="28" t="s">
        <v>162</v>
      </c>
      <c r="G404" s="28" t="n">
        <v>2024</v>
      </c>
      <c r="H404" s="28" t="s">
        <v>235</v>
      </c>
      <c r="I404" s="28" t="n">
        <v>2</v>
      </c>
      <c r="J404" s="28" t="s">
        <v>233</v>
      </c>
      <c r="K404" s="28" t="s">
        <v>234</v>
      </c>
      <c r="L404" s="28" t="n">
        <v>0.23</v>
      </c>
      <c r="M404" s="31" t="n">
        <v>20266.47</v>
      </c>
      <c r="N404" s="31" t="n">
        <v>20248.45</v>
      </c>
      <c r="O404" s="31" t="n">
        <v>20302.51</v>
      </c>
      <c r="P404" s="44" t="n">
        <f aca="false">ABS(M404-N404)</f>
        <v>18.0200000000004</v>
      </c>
      <c r="Q404" s="44" t="n">
        <f aca="false">IF(O404="","",ABS(O404-M404))</f>
        <v>36.0399999999972</v>
      </c>
      <c r="R404" s="30" t="n">
        <f aca="false">P404*L404*Summary!$C$6</f>
        <v>82.892000000002</v>
      </c>
      <c r="S404" s="31" t="n">
        <v>20266.47</v>
      </c>
      <c r="T404" s="28" t="s">
        <v>238</v>
      </c>
      <c r="U404" s="44" t="n">
        <f aca="false">IF(J404="BUY",S404-M404,M404-S404)</f>
        <v>0</v>
      </c>
      <c r="V404" s="45" t="n">
        <v>0</v>
      </c>
      <c r="W404" s="45" t="n">
        <v>0</v>
      </c>
      <c r="X404" s="45" t="n">
        <v>0</v>
      </c>
      <c r="Y404" s="32" t="n">
        <f aca="false">IFERROR(X404/R404,0)</f>
        <v>0</v>
      </c>
      <c r="Z404" s="28" t="str">
        <f aca="false">IF(X404&gt;0,"Win",IF(X404&lt;0,"Loss","Flat"))</f>
        <v>Flat</v>
      </c>
      <c r="AA404" s="28" t="n">
        <f aca="false">ROUND((C404-B404)*1440,1)</f>
        <v>5.2</v>
      </c>
      <c r="AB404" s="28" t="str">
        <f aca="false">IF(AA404&lt;1,"a) &lt;1 min",IF(AA404&lt;10,"b) 1-10 min",IF(AA404&lt;60,"c) 10-60 min",IF(AA404&lt;240,"d) 1-4 h","e) 4 h+"))))</f>
        <v>b) 1-10 min</v>
      </c>
      <c r="AC404" s="28" t="str">
        <f aca="false">IF(P404&lt;10,"a) &lt;10",IF(P404&lt;20,"b) 10-20",IF(P404&lt;40,"c) 20-40",IF(P404&lt;80,"d) 40-80","e) 80+"))))</f>
        <v>b) 10-20</v>
      </c>
      <c r="AD404" s="30" t="n">
        <f aca="false">Summary!$C$5+SUM(X$2:X404)</f>
        <v>105934.68</v>
      </c>
      <c r="AE404" s="30" t="n">
        <f aca="false">MAX(AE403,AD404)</f>
        <v>106588.89</v>
      </c>
      <c r="AF404" s="30" t="n">
        <f aca="false">AE404-AD404</f>
        <v>654.210000000006</v>
      </c>
      <c r="AG404" s="29" t="n">
        <f aca="false">IFERROR(AF404/AE404,0)</f>
        <v>0.00613769408800492</v>
      </c>
    </row>
    <row r="405" customFormat="false" ht="15" hidden="false" customHeight="false" outlineLevel="0" collapsed="false">
      <c r="A405" s="28" t="n">
        <v>404</v>
      </c>
      <c r="B405" s="43" t="n">
        <v>45603.225</v>
      </c>
      <c r="C405" s="43" t="n">
        <v>45603.2326967593</v>
      </c>
      <c r="D405" s="42" t="n">
        <f aca="false">INT(C405)</f>
        <v>45603</v>
      </c>
      <c r="E405" s="42" t="n">
        <f aca="false">D405-WEEKDAY(D405,3)</f>
        <v>45600</v>
      </c>
      <c r="F405" s="28" t="s">
        <v>162</v>
      </c>
      <c r="G405" s="28" t="n">
        <v>2024</v>
      </c>
      <c r="H405" s="28" t="s">
        <v>239</v>
      </c>
      <c r="I405" s="28" t="n">
        <v>5</v>
      </c>
      <c r="J405" s="28" t="s">
        <v>233</v>
      </c>
      <c r="K405" s="28" t="s">
        <v>234</v>
      </c>
      <c r="L405" s="28" t="n">
        <v>0.22</v>
      </c>
      <c r="M405" s="31" t="n">
        <v>20804.32</v>
      </c>
      <c r="N405" s="31" t="n">
        <v>20794.16</v>
      </c>
      <c r="O405" s="31" t="n">
        <v>20824.64</v>
      </c>
      <c r="P405" s="44" t="n">
        <f aca="false">ABS(M405-N405)</f>
        <v>10.1599999999999</v>
      </c>
      <c r="Q405" s="44" t="n">
        <f aca="false">IF(O405="","",ABS(O405-M405))</f>
        <v>20.3199999999997</v>
      </c>
      <c r="R405" s="30" t="n">
        <f aca="false">P405*L405*Summary!$C$6</f>
        <v>44.7039999999994</v>
      </c>
      <c r="S405" s="31" t="n">
        <v>20793.88</v>
      </c>
      <c r="T405" s="28" t="s">
        <v>241</v>
      </c>
      <c r="U405" s="44" t="n">
        <f aca="false">IF(J405="BUY",S405-M405,M405-S405)</f>
        <v>-10.4399999999987</v>
      </c>
      <c r="V405" s="45" t="n">
        <v>0</v>
      </c>
      <c r="W405" s="45" t="n">
        <v>0</v>
      </c>
      <c r="X405" s="45" t="n">
        <v>-45.94</v>
      </c>
      <c r="Y405" s="32" t="n">
        <f aca="false">IFERROR(X405/R405,0)</f>
        <v>-1.02764853256981</v>
      </c>
      <c r="Z405" s="28" t="str">
        <f aca="false">IF(X405&gt;0,"Win",IF(X405&lt;0,"Loss","Flat"))</f>
        <v>Loss</v>
      </c>
      <c r="AA405" s="28" t="n">
        <f aca="false">ROUND((C405-B405)*1440,1)</f>
        <v>11.1</v>
      </c>
      <c r="AB405" s="28" t="str">
        <f aca="false">IF(AA405&lt;1,"a) &lt;1 min",IF(AA405&lt;10,"b) 1-10 min",IF(AA405&lt;60,"c) 10-60 min",IF(AA405&lt;240,"d) 1-4 h","e) 4 h+"))))</f>
        <v>c) 10-60 min</v>
      </c>
      <c r="AC405" s="28" t="str">
        <f aca="false">IF(P405&lt;10,"a) &lt;10",IF(P405&lt;20,"b) 10-20",IF(P405&lt;40,"c) 20-40",IF(P405&lt;80,"d) 40-80","e) 80+"))))</f>
        <v>b) 10-20</v>
      </c>
      <c r="AD405" s="30" t="n">
        <f aca="false">Summary!$C$5+SUM(X$2:X405)</f>
        <v>105888.74</v>
      </c>
      <c r="AE405" s="30" t="n">
        <f aca="false">MAX(AE404,AD405)</f>
        <v>106588.89</v>
      </c>
      <c r="AF405" s="30" t="n">
        <f aca="false">AE405-AD405</f>
        <v>700.149999999994</v>
      </c>
      <c r="AG405" s="29" t="n">
        <f aca="false">IFERROR(AF405/AE405,0)</f>
        <v>0.00656869585563743</v>
      </c>
    </row>
    <row r="406" customFormat="false" ht="15" hidden="false" customHeight="false" outlineLevel="0" collapsed="false">
      <c r="A406" s="28" t="n">
        <v>405</v>
      </c>
      <c r="B406" s="43" t="n">
        <v>45604.320162037</v>
      </c>
      <c r="C406" s="43" t="n">
        <v>45604.3281365741</v>
      </c>
      <c r="D406" s="42" t="n">
        <f aca="false">INT(C406)</f>
        <v>45604</v>
      </c>
      <c r="E406" s="42" t="n">
        <f aca="false">D406-WEEKDAY(D406,3)</f>
        <v>45600</v>
      </c>
      <c r="F406" s="28" t="s">
        <v>162</v>
      </c>
      <c r="G406" s="28" t="n">
        <v>2024</v>
      </c>
      <c r="H406" s="28" t="s">
        <v>242</v>
      </c>
      <c r="I406" s="28" t="n">
        <v>7</v>
      </c>
      <c r="J406" s="28" t="s">
        <v>233</v>
      </c>
      <c r="K406" s="28" t="s">
        <v>234</v>
      </c>
      <c r="L406" s="28" t="n">
        <v>0.22</v>
      </c>
      <c r="M406" s="31" t="n">
        <v>21137.65</v>
      </c>
      <c r="N406" s="31" t="n">
        <v>21129.28</v>
      </c>
      <c r="O406" s="31" t="n">
        <v>21154.39</v>
      </c>
      <c r="P406" s="44" t="n">
        <f aca="false">ABS(M406-N406)</f>
        <v>8.37000000000262</v>
      </c>
      <c r="Q406" s="44" t="n">
        <f aca="false">IF(O406="","",ABS(O406-M406))</f>
        <v>16.739999999998</v>
      </c>
      <c r="R406" s="30" t="n">
        <f aca="false">P406*L406*Summary!$C$6</f>
        <v>36.8280000000115</v>
      </c>
      <c r="S406" s="31" t="n">
        <v>21136.91</v>
      </c>
      <c r="T406" s="28" t="s">
        <v>238</v>
      </c>
      <c r="U406" s="44" t="n">
        <f aca="false">IF(J406="BUY",S406-M406,M406-S406)</f>
        <v>-0.740000000001601</v>
      </c>
      <c r="V406" s="45" t="n">
        <v>0</v>
      </c>
      <c r="W406" s="45" t="n">
        <v>0</v>
      </c>
      <c r="X406" s="45" t="n">
        <v>-3.26</v>
      </c>
      <c r="Y406" s="32" t="n">
        <f aca="false">IFERROR(X406/R406,0)</f>
        <v>-0.0885196046486092</v>
      </c>
      <c r="Z406" s="28" t="str">
        <f aca="false">IF(X406&gt;0,"Win",IF(X406&lt;0,"Loss","Flat"))</f>
        <v>Loss</v>
      </c>
      <c r="AA406" s="28" t="n">
        <f aca="false">ROUND((C406-B406)*1440,1)</f>
        <v>11.5</v>
      </c>
      <c r="AB406" s="28" t="str">
        <f aca="false">IF(AA406&lt;1,"a) &lt;1 min",IF(AA406&lt;10,"b) 1-10 min",IF(AA406&lt;60,"c) 10-60 min",IF(AA406&lt;240,"d) 1-4 h","e) 4 h+"))))</f>
        <v>c) 10-60 min</v>
      </c>
      <c r="AC406" s="28" t="str">
        <f aca="false">IF(P406&lt;10,"a) &lt;10",IF(P406&lt;20,"b) 10-20",IF(P406&lt;40,"c) 20-40",IF(P406&lt;80,"d) 40-80","e) 80+"))))</f>
        <v>a) &lt;10</v>
      </c>
      <c r="AD406" s="30" t="n">
        <f aca="false">Summary!$C$5+SUM(X$2:X406)</f>
        <v>105885.48</v>
      </c>
      <c r="AE406" s="30" t="n">
        <f aca="false">MAX(AE405,AD406)</f>
        <v>106588.89</v>
      </c>
      <c r="AF406" s="30" t="n">
        <f aca="false">AE406-AD406</f>
        <v>703.410000000004</v>
      </c>
      <c r="AG406" s="29" t="n">
        <f aca="false">IFERROR(AF406/AE406,0)</f>
        <v>0.0065992806567364</v>
      </c>
    </row>
    <row r="407" customFormat="false" ht="15" hidden="false" customHeight="false" outlineLevel="0" collapsed="false">
      <c r="A407" s="28" t="n">
        <v>406</v>
      </c>
      <c r="B407" s="43" t="n">
        <v>45607.0423611111</v>
      </c>
      <c r="C407" s="43" t="n">
        <v>45607.0462152778</v>
      </c>
      <c r="D407" s="42" t="n">
        <f aca="false">INT(C407)</f>
        <v>45607</v>
      </c>
      <c r="E407" s="42" t="n">
        <f aca="false">D407-WEEKDAY(D407,3)</f>
        <v>45607</v>
      </c>
      <c r="F407" s="28" t="s">
        <v>162</v>
      </c>
      <c r="G407" s="28" t="n">
        <v>2024</v>
      </c>
      <c r="H407" s="28" t="s">
        <v>240</v>
      </c>
      <c r="I407" s="28" t="n">
        <v>1</v>
      </c>
      <c r="J407" s="28" t="s">
        <v>233</v>
      </c>
      <c r="K407" s="28" t="s">
        <v>234</v>
      </c>
      <c r="L407" s="28" t="n">
        <v>0.22</v>
      </c>
      <c r="M407" s="31" t="n">
        <v>21155.65</v>
      </c>
      <c r="N407" s="31" t="n">
        <v>21138.69</v>
      </c>
      <c r="O407" s="31" t="n">
        <v>21189.56</v>
      </c>
      <c r="P407" s="44" t="n">
        <f aca="false">ABS(M407-N407)</f>
        <v>16.9600000000028</v>
      </c>
      <c r="Q407" s="44" t="n">
        <f aca="false">IF(O407="","",ABS(O407-M407))</f>
        <v>33.9099999999999</v>
      </c>
      <c r="R407" s="30" t="n">
        <f aca="false">P407*L407*Summary!$C$6</f>
        <v>74.6240000000122</v>
      </c>
      <c r="S407" s="31" t="n">
        <v>21190.19</v>
      </c>
      <c r="T407" s="28" t="s">
        <v>214</v>
      </c>
      <c r="U407" s="44" t="n">
        <f aca="false">IF(J407="BUY",S407-M407,M407-S407)</f>
        <v>34.5399999999972</v>
      </c>
      <c r="V407" s="45" t="n">
        <v>0</v>
      </c>
      <c r="W407" s="45" t="n">
        <v>0</v>
      </c>
      <c r="X407" s="45" t="n">
        <v>151.98</v>
      </c>
      <c r="Y407" s="32" t="n">
        <f aca="false">IFERROR(X407/R407,0)</f>
        <v>2.03661020583157</v>
      </c>
      <c r="Z407" s="28" t="str">
        <f aca="false">IF(X407&gt;0,"Win",IF(X407&lt;0,"Loss","Flat"))</f>
        <v>Win</v>
      </c>
      <c r="AA407" s="28" t="n">
        <f aca="false">ROUND((C407-B407)*1440,1)</f>
        <v>5.6</v>
      </c>
      <c r="AB407" s="28" t="str">
        <f aca="false">IF(AA407&lt;1,"a) &lt;1 min",IF(AA407&lt;10,"b) 1-10 min",IF(AA407&lt;60,"c) 10-60 min",IF(AA407&lt;240,"d) 1-4 h","e) 4 h+"))))</f>
        <v>b) 1-10 min</v>
      </c>
      <c r="AC407" s="28" t="str">
        <f aca="false">IF(P407&lt;10,"a) &lt;10",IF(P407&lt;20,"b) 10-20",IF(P407&lt;40,"c) 20-40",IF(P407&lt;80,"d) 40-80","e) 80+"))))</f>
        <v>b) 10-20</v>
      </c>
      <c r="AD407" s="30" t="n">
        <f aca="false">Summary!$C$5+SUM(X$2:X407)</f>
        <v>106037.46</v>
      </c>
      <c r="AE407" s="30" t="n">
        <f aca="false">MAX(AE406,AD407)</f>
        <v>106588.89</v>
      </c>
      <c r="AF407" s="30" t="n">
        <f aca="false">AE407-AD407</f>
        <v>551.429999999993</v>
      </c>
      <c r="AG407" s="29" t="n">
        <f aca="false">IFERROR(AF407/AE407,0)</f>
        <v>0.00517342848771568</v>
      </c>
    </row>
    <row r="408" customFormat="false" ht="15" hidden="false" customHeight="false" outlineLevel="0" collapsed="false">
      <c r="A408" s="28" t="n">
        <v>407</v>
      </c>
      <c r="B408" s="43" t="n">
        <v>45607.8409722222</v>
      </c>
      <c r="C408" s="43" t="n">
        <v>45607.8537962963</v>
      </c>
      <c r="D408" s="42" t="n">
        <f aca="false">INT(C408)</f>
        <v>45607</v>
      </c>
      <c r="E408" s="42" t="n">
        <f aca="false">D408-WEEKDAY(D408,3)</f>
        <v>45607</v>
      </c>
      <c r="F408" s="28" t="s">
        <v>162</v>
      </c>
      <c r="G408" s="28" t="n">
        <v>2024</v>
      </c>
      <c r="H408" s="28" t="s">
        <v>240</v>
      </c>
      <c r="I408" s="28" t="n">
        <v>20</v>
      </c>
      <c r="J408" s="28" t="s">
        <v>236</v>
      </c>
      <c r="K408" s="28" t="s">
        <v>237</v>
      </c>
      <c r="L408" s="28" t="n">
        <v>0.22</v>
      </c>
      <c r="M408" s="31" t="n">
        <v>21005.23</v>
      </c>
      <c r="N408" s="31" t="n">
        <v>21027.92</v>
      </c>
      <c r="O408" s="31" t="n">
        <v>20959.84</v>
      </c>
      <c r="P408" s="44" t="n">
        <f aca="false">ABS(M408-N408)</f>
        <v>22.6899999999987</v>
      </c>
      <c r="Q408" s="44" t="n">
        <f aca="false">IF(O408="","",ABS(O408-M408))</f>
        <v>45.3899999999994</v>
      </c>
      <c r="R408" s="30" t="n">
        <f aca="false">P408*L408*Summary!$C$6</f>
        <v>99.8359999999942</v>
      </c>
      <c r="S408" s="31" t="n">
        <v>21028.52</v>
      </c>
      <c r="T408" s="28" t="s">
        <v>241</v>
      </c>
      <c r="U408" s="44" t="n">
        <f aca="false">IF(J408="BUY",S408-M408,M408-S408)</f>
        <v>-23.2900000000009</v>
      </c>
      <c r="V408" s="45" t="n">
        <v>0</v>
      </c>
      <c r="W408" s="45" t="n">
        <v>0</v>
      </c>
      <c r="X408" s="45" t="n">
        <v>-102.48</v>
      </c>
      <c r="Y408" s="32" t="n">
        <f aca="false">IFERROR(X408/R408,0)</f>
        <v>-1.0264834328299</v>
      </c>
      <c r="Z408" s="28" t="str">
        <f aca="false">IF(X408&gt;0,"Win",IF(X408&lt;0,"Loss","Flat"))</f>
        <v>Loss</v>
      </c>
      <c r="AA408" s="28" t="n">
        <f aca="false">ROUND((C408-B408)*1440,1)</f>
        <v>18.5</v>
      </c>
      <c r="AB408" s="28" t="str">
        <f aca="false">IF(AA408&lt;1,"a) &lt;1 min",IF(AA408&lt;10,"b) 1-10 min",IF(AA408&lt;60,"c) 10-60 min",IF(AA408&lt;240,"d) 1-4 h","e) 4 h+"))))</f>
        <v>c) 10-60 min</v>
      </c>
      <c r="AC408" s="28" t="str">
        <f aca="false">IF(P408&lt;10,"a) &lt;10",IF(P408&lt;20,"b) 10-20",IF(P408&lt;40,"c) 20-40",IF(P408&lt;80,"d) 40-80","e) 80+"))))</f>
        <v>c) 20-40</v>
      </c>
      <c r="AD408" s="30" t="n">
        <f aca="false">Summary!$C$5+SUM(X$2:X408)</f>
        <v>105934.98</v>
      </c>
      <c r="AE408" s="30" t="n">
        <f aca="false">MAX(AE407,AD408)</f>
        <v>106588.89</v>
      </c>
      <c r="AF408" s="30" t="n">
        <f aca="false">AE408-AD408</f>
        <v>653.910000000004</v>
      </c>
      <c r="AG408" s="29" t="n">
        <f aca="false">IFERROR(AF408/AE408,0)</f>
        <v>0.00613487953575653</v>
      </c>
    </row>
    <row r="409" customFormat="false" ht="15" hidden="false" customHeight="false" outlineLevel="0" collapsed="false">
      <c r="A409" s="28" t="n">
        <v>408</v>
      </c>
      <c r="B409" s="43" t="n">
        <v>45608.83125</v>
      </c>
      <c r="C409" s="43" t="n">
        <v>45608.8410648148</v>
      </c>
      <c r="D409" s="42" t="n">
        <f aca="false">INT(C409)</f>
        <v>45608</v>
      </c>
      <c r="E409" s="42" t="n">
        <f aca="false">D409-WEEKDAY(D409,3)</f>
        <v>45607</v>
      </c>
      <c r="F409" s="28" t="s">
        <v>162</v>
      </c>
      <c r="G409" s="28" t="n">
        <v>2024</v>
      </c>
      <c r="H409" s="28" t="s">
        <v>232</v>
      </c>
      <c r="I409" s="28" t="n">
        <v>19</v>
      </c>
      <c r="J409" s="28" t="s">
        <v>236</v>
      </c>
      <c r="K409" s="28" t="s">
        <v>237</v>
      </c>
      <c r="L409" s="28" t="n">
        <v>0.22</v>
      </c>
      <c r="M409" s="31" t="n">
        <v>20982.2</v>
      </c>
      <c r="N409" s="31" t="n">
        <v>21004.49</v>
      </c>
      <c r="O409" s="31" t="n">
        <v>20940.49</v>
      </c>
      <c r="P409" s="44" t="n">
        <f aca="false">ABS(M409-N409)</f>
        <v>22.2900000000009</v>
      </c>
      <c r="Q409" s="44" t="n">
        <f aca="false">IF(O409="","",ABS(O409-M409))</f>
        <v>41.7099999999991</v>
      </c>
      <c r="R409" s="30" t="n">
        <f aca="false">P409*L409*Summary!$C$6</f>
        <v>98.0760000000038</v>
      </c>
      <c r="S409" s="31" t="n">
        <v>20982.52</v>
      </c>
      <c r="T409" s="28" t="s">
        <v>238</v>
      </c>
      <c r="U409" s="44" t="n">
        <f aca="false">IF(J409="BUY",S409-M409,M409-S409)</f>
        <v>-0.319999999999709</v>
      </c>
      <c r="V409" s="45" t="n">
        <v>0</v>
      </c>
      <c r="W409" s="45" t="n">
        <v>0</v>
      </c>
      <c r="X409" s="45" t="n">
        <v>-1.41</v>
      </c>
      <c r="Y409" s="32" t="n">
        <f aca="false">IFERROR(X409/R409,0)</f>
        <v>-0.0143766058974667</v>
      </c>
      <c r="Z409" s="28" t="str">
        <f aca="false">IF(X409&gt;0,"Win",IF(X409&lt;0,"Loss","Flat"))</f>
        <v>Loss</v>
      </c>
      <c r="AA409" s="28" t="n">
        <f aca="false">ROUND((C409-B409)*1440,1)</f>
        <v>14.1</v>
      </c>
      <c r="AB409" s="28" t="str">
        <f aca="false">IF(AA409&lt;1,"a) &lt;1 min",IF(AA409&lt;10,"b) 1-10 min",IF(AA409&lt;60,"c) 10-60 min",IF(AA409&lt;240,"d) 1-4 h","e) 4 h+"))))</f>
        <v>c) 10-60 min</v>
      </c>
      <c r="AC409" s="28" t="str">
        <f aca="false">IF(P409&lt;10,"a) &lt;10",IF(P409&lt;20,"b) 10-20",IF(P409&lt;40,"c) 20-40",IF(P409&lt;80,"d) 40-80","e) 80+"))))</f>
        <v>c) 20-40</v>
      </c>
      <c r="AD409" s="30" t="n">
        <f aca="false">Summary!$C$5+SUM(X$2:X409)</f>
        <v>105933.57</v>
      </c>
      <c r="AE409" s="30" t="n">
        <f aca="false">MAX(AE408,AD409)</f>
        <v>106588.89</v>
      </c>
      <c r="AF409" s="30" t="n">
        <f aca="false">AE409-AD409</f>
        <v>655.319999999992</v>
      </c>
      <c r="AG409" s="29" t="n">
        <f aca="false">IFERROR(AF409/AE409,0)</f>
        <v>0.00614810793132373</v>
      </c>
    </row>
    <row r="410" customFormat="false" ht="15" hidden="false" customHeight="false" outlineLevel="0" collapsed="false">
      <c r="A410" s="28" t="n">
        <v>409</v>
      </c>
      <c r="B410" s="43" t="n">
        <v>45609.8673611111</v>
      </c>
      <c r="C410" s="43" t="n">
        <v>45609.8788310185</v>
      </c>
      <c r="D410" s="42" t="n">
        <f aca="false">INT(C410)</f>
        <v>45609</v>
      </c>
      <c r="E410" s="42" t="n">
        <f aca="false">D410-WEEKDAY(D410,3)</f>
        <v>45607</v>
      </c>
      <c r="F410" s="28" t="s">
        <v>162</v>
      </c>
      <c r="G410" s="28" t="n">
        <v>2024</v>
      </c>
      <c r="H410" s="28" t="s">
        <v>235</v>
      </c>
      <c r="I410" s="28" t="n">
        <v>20</v>
      </c>
      <c r="J410" s="28" t="s">
        <v>233</v>
      </c>
      <c r="K410" s="28" t="s">
        <v>234</v>
      </c>
      <c r="L410" s="28" t="n">
        <v>0.22</v>
      </c>
      <c r="M410" s="31" t="n">
        <v>21144.82</v>
      </c>
      <c r="N410" s="31" t="n">
        <v>21126.98</v>
      </c>
      <c r="O410" s="31" t="n">
        <v>21180.51</v>
      </c>
      <c r="P410" s="44" t="n">
        <f aca="false">ABS(M410-N410)</f>
        <v>17.8400000000001</v>
      </c>
      <c r="Q410" s="44" t="n">
        <f aca="false">IF(O410="","",ABS(O410-M410))</f>
        <v>35.6899999999987</v>
      </c>
      <c r="R410" s="30" t="n">
        <f aca="false">P410*L410*Summary!$C$6</f>
        <v>78.4960000000006</v>
      </c>
      <c r="S410" s="31" t="n">
        <v>21126.82</v>
      </c>
      <c r="T410" s="28" t="s">
        <v>241</v>
      </c>
      <c r="U410" s="44" t="n">
        <f aca="false">IF(J410="BUY",S410-M410,M410-S410)</f>
        <v>-18</v>
      </c>
      <c r="V410" s="45" t="n">
        <v>0</v>
      </c>
      <c r="W410" s="45" t="n">
        <v>0</v>
      </c>
      <c r="X410" s="45" t="n">
        <v>-79.2</v>
      </c>
      <c r="Y410" s="32" t="n">
        <f aca="false">IFERROR(X410/R410,0)</f>
        <v>-1.00896860986546</v>
      </c>
      <c r="Z410" s="28" t="str">
        <f aca="false">IF(X410&gt;0,"Win",IF(X410&lt;0,"Loss","Flat"))</f>
        <v>Loss</v>
      </c>
      <c r="AA410" s="28" t="n">
        <f aca="false">ROUND((C410-B410)*1440,1)</f>
        <v>16.5</v>
      </c>
      <c r="AB410" s="28" t="str">
        <f aca="false">IF(AA410&lt;1,"a) &lt;1 min",IF(AA410&lt;10,"b) 1-10 min",IF(AA410&lt;60,"c) 10-60 min",IF(AA410&lt;240,"d) 1-4 h","e) 4 h+"))))</f>
        <v>c) 10-60 min</v>
      </c>
      <c r="AC410" s="28" t="str">
        <f aca="false">IF(P410&lt;10,"a) &lt;10",IF(P410&lt;20,"b) 10-20",IF(P410&lt;40,"c) 20-40",IF(P410&lt;80,"d) 40-80","e) 80+"))))</f>
        <v>b) 10-20</v>
      </c>
      <c r="AD410" s="30" t="n">
        <f aca="false">Summary!$C$5+SUM(X$2:X410)</f>
        <v>105854.37</v>
      </c>
      <c r="AE410" s="30" t="n">
        <f aca="false">MAX(AE409,AD410)</f>
        <v>106588.89</v>
      </c>
      <c r="AF410" s="30" t="n">
        <f aca="false">AE410-AD410</f>
        <v>734.520000000004</v>
      </c>
      <c r="AG410" s="29" t="n">
        <f aca="false">IFERROR(AF410/AE410,0)</f>
        <v>0.00689114972489163</v>
      </c>
    </row>
    <row r="411" customFormat="false" ht="15" hidden="false" customHeight="false" outlineLevel="0" collapsed="false">
      <c r="A411" s="28" t="n">
        <v>410</v>
      </c>
      <c r="B411" s="43" t="n">
        <v>45610.7222222222</v>
      </c>
      <c r="C411" s="43" t="n">
        <v>45610.7242824074</v>
      </c>
      <c r="D411" s="42" t="n">
        <f aca="false">INT(C411)</f>
        <v>45610</v>
      </c>
      <c r="E411" s="42" t="n">
        <f aca="false">D411-WEEKDAY(D411,3)</f>
        <v>45607</v>
      </c>
      <c r="F411" s="28" t="s">
        <v>162</v>
      </c>
      <c r="G411" s="28" t="n">
        <v>2024</v>
      </c>
      <c r="H411" s="28" t="s">
        <v>239</v>
      </c>
      <c r="I411" s="28" t="n">
        <v>17</v>
      </c>
      <c r="J411" s="28" t="s">
        <v>236</v>
      </c>
      <c r="K411" s="28" t="s">
        <v>237</v>
      </c>
      <c r="L411" s="28" t="n">
        <v>0.22</v>
      </c>
      <c r="M411" s="31" t="n">
        <v>20932.6</v>
      </c>
      <c r="N411" s="31" t="n">
        <v>20964.95</v>
      </c>
      <c r="O411" s="31" t="n">
        <v>20867.9</v>
      </c>
      <c r="P411" s="44" t="n">
        <f aca="false">ABS(M411-N411)</f>
        <v>32.3500000000022</v>
      </c>
      <c r="Q411" s="44" t="n">
        <f aca="false">IF(O411="","",ABS(O411-M411))</f>
        <v>64.6999999999971</v>
      </c>
      <c r="R411" s="30" t="n">
        <f aca="false">P411*L411*Summary!$C$6</f>
        <v>142.34000000001</v>
      </c>
      <c r="S411" s="31" t="n">
        <v>20964.99</v>
      </c>
      <c r="T411" s="28" t="s">
        <v>241</v>
      </c>
      <c r="U411" s="44" t="n">
        <f aca="false">IF(J411="BUY",S411-M411,M411-S411)</f>
        <v>-32.3900000000031</v>
      </c>
      <c r="V411" s="45" t="n">
        <v>0</v>
      </c>
      <c r="W411" s="45" t="n">
        <v>0</v>
      </c>
      <c r="X411" s="45" t="n">
        <v>-142.52</v>
      </c>
      <c r="Y411" s="32" t="n">
        <f aca="false">IFERROR(X411/R411,0)</f>
        <v>-1.00126457777147</v>
      </c>
      <c r="Z411" s="28" t="str">
        <f aca="false">IF(X411&gt;0,"Win",IF(X411&lt;0,"Loss","Flat"))</f>
        <v>Loss</v>
      </c>
      <c r="AA411" s="28" t="n">
        <f aca="false">ROUND((C411-B411)*1440,1)</f>
        <v>3</v>
      </c>
      <c r="AB411" s="28" t="str">
        <f aca="false">IF(AA411&lt;1,"a) &lt;1 min",IF(AA411&lt;10,"b) 1-10 min",IF(AA411&lt;60,"c) 10-60 min",IF(AA411&lt;240,"d) 1-4 h","e) 4 h+"))))</f>
        <v>b) 1-10 min</v>
      </c>
      <c r="AC411" s="28" t="str">
        <f aca="false">IF(P411&lt;10,"a) &lt;10",IF(P411&lt;20,"b) 10-20",IF(P411&lt;40,"c) 20-40",IF(P411&lt;80,"d) 40-80","e) 80+"))))</f>
        <v>c) 20-40</v>
      </c>
      <c r="AD411" s="30" t="n">
        <f aca="false">Summary!$C$5+SUM(X$2:X411)</f>
        <v>105711.85</v>
      </c>
      <c r="AE411" s="30" t="n">
        <f aca="false">MAX(AE410,AD411)</f>
        <v>106588.89</v>
      </c>
      <c r="AF411" s="30" t="n">
        <f aca="false">AE411-AD411</f>
        <v>877.039999999994</v>
      </c>
      <c r="AG411" s="29" t="n">
        <f aca="false">IFERROR(AF411/AE411,0)</f>
        <v>0.00822824967968044</v>
      </c>
    </row>
    <row r="412" customFormat="false" ht="15" hidden="false" customHeight="false" outlineLevel="0" collapsed="false">
      <c r="A412" s="28" t="n">
        <v>411</v>
      </c>
      <c r="B412" s="43" t="n">
        <v>45611.0506944444</v>
      </c>
      <c r="C412" s="43" t="n">
        <v>45611.0648958333</v>
      </c>
      <c r="D412" s="42" t="n">
        <f aca="false">INT(C412)</f>
        <v>45611</v>
      </c>
      <c r="E412" s="42" t="n">
        <f aca="false">D412-WEEKDAY(D412,3)</f>
        <v>45607</v>
      </c>
      <c r="F412" s="28" t="s">
        <v>162</v>
      </c>
      <c r="G412" s="28" t="n">
        <v>2024</v>
      </c>
      <c r="H412" s="28" t="s">
        <v>242</v>
      </c>
      <c r="I412" s="28" t="n">
        <v>1</v>
      </c>
      <c r="J412" s="28" t="s">
        <v>236</v>
      </c>
      <c r="K412" s="28" t="s">
        <v>237</v>
      </c>
      <c r="L412" s="28" t="n">
        <v>0.22</v>
      </c>
      <c r="M412" s="31" t="n">
        <v>20837.53</v>
      </c>
      <c r="N412" s="31" t="n">
        <v>20847.34</v>
      </c>
      <c r="O412" s="31" t="n">
        <v>20817.91</v>
      </c>
      <c r="P412" s="44" t="n">
        <f aca="false">ABS(M412-N412)</f>
        <v>9.81000000000131</v>
      </c>
      <c r="Q412" s="44" t="n">
        <f aca="false">IF(O412="","",ABS(O412-M412))</f>
        <v>19.619999999999</v>
      </c>
      <c r="R412" s="30" t="n">
        <f aca="false">P412*L412*Summary!$C$6</f>
        <v>43.1640000000058</v>
      </c>
      <c r="S412" s="31" t="n">
        <v>20847.92</v>
      </c>
      <c r="T412" s="28" t="s">
        <v>241</v>
      </c>
      <c r="U412" s="44" t="n">
        <f aca="false">IF(J412="BUY",S412-M412,M412-S412)</f>
        <v>-10.3899999999994</v>
      </c>
      <c r="V412" s="45" t="n">
        <v>0</v>
      </c>
      <c r="W412" s="45" t="n">
        <v>0</v>
      </c>
      <c r="X412" s="45" t="n">
        <v>-45.72</v>
      </c>
      <c r="Y412" s="32" t="n">
        <f aca="false">IFERROR(X412/R412,0)</f>
        <v>-1.05921601334431</v>
      </c>
      <c r="Z412" s="28" t="str">
        <f aca="false">IF(X412&gt;0,"Win",IF(X412&lt;0,"Loss","Flat"))</f>
        <v>Loss</v>
      </c>
      <c r="AA412" s="28" t="n">
        <f aca="false">ROUND((C412-B412)*1440,1)</f>
        <v>20.5</v>
      </c>
      <c r="AB412" s="28" t="str">
        <f aca="false">IF(AA412&lt;1,"a) &lt;1 min",IF(AA412&lt;10,"b) 1-10 min",IF(AA412&lt;60,"c) 10-60 min",IF(AA412&lt;240,"d) 1-4 h","e) 4 h+"))))</f>
        <v>c) 10-60 min</v>
      </c>
      <c r="AC412" s="28" t="str">
        <f aca="false">IF(P412&lt;10,"a) &lt;10",IF(P412&lt;20,"b) 10-20",IF(P412&lt;40,"c) 20-40",IF(P412&lt;80,"d) 40-80","e) 80+"))))</f>
        <v>a) &lt;10</v>
      </c>
      <c r="AD412" s="30" t="n">
        <f aca="false">Summary!$C$5+SUM(X$2:X412)</f>
        <v>105666.13</v>
      </c>
      <c r="AE412" s="30" t="n">
        <f aca="false">MAX(AE411,AD412)</f>
        <v>106588.89</v>
      </c>
      <c r="AF412" s="30" t="n">
        <f aca="false">AE412-AD412</f>
        <v>922.759999999995</v>
      </c>
      <c r="AG412" s="29" t="n">
        <f aca="false">IFERROR(AF412/AE412,0)</f>
        <v>0.00865718744233095</v>
      </c>
    </row>
    <row r="413" customFormat="false" ht="15" hidden="false" customHeight="false" outlineLevel="0" collapsed="false">
      <c r="A413" s="28" t="n">
        <v>412</v>
      </c>
      <c r="B413" s="43" t="n">
        <v>45615.6597222222</v>
      </c>
      <c r="C413" s="43" t="n">
        <v>45615.6630324074</v>
      </c>
      <c r="D413" s="42" t="n">
        <f aca="false">INT(C413)</f>
        <v>45615</v>
      </c>
      <c r="E413" s="42" t="n">
        <f aca="false">D413-WEEKDAY(D413,3)</f>
        <v>45614</v>
      </c>
      <c r="F413" s="28" t="s">
        <v>162</v>
      </c>
      <c r="G413" s="28" t="n">
        <v>2024</v>
      </c>
      <c r="H413" s="28" t="s">
        <v>232</v>
      </c>
      <c r="I413" s="28" t="n">
        <v>15</v>
      </c>
      <c r="J413" s="28" t="s">
        <v>236</v>
      </c>
      <c r="K413" s="28" t="s">
        <v>237</v>
      </c>
      <c r="L413" s="28" t="n">
        <v>0.23</v>
      </c>
      <c r="M413" s="31" t="n">
        <v>20376.5</v>
      </c>
      <c r="N413" s="31" t="n">
        <v>20403.26</v>
      </c>
      <c r="O413" s="31" t="n">
        <v>20322.97</v>
      </c>
      <c r="P413" s="44" t="n">
        <f aca="false">ABS(M413-N413)</f>
        <v>26.7599999999984</v>
      </c>
      <c r="Q413" s="44" t="n">
        <f aca="false">IF(O413="","",ABS(O413-M413))</f>
        <v>53.5299999999988</v>
      </c>
      <c r="R413" s="30" t="n">
        <f aca="false">P413*L413*Summary!$C$6</f>
        <v>123.095999999993</v>
      </c>
      <c r="S413" s="31" t="n">
        <v>20322.89</v>
      </c>
      <c r="T413" s="28" t="s">
        <v>214</v>
      </c>
      <c r="U413" s="44" t="n">
        <f aca="false">IF(J413="BUY",S413-M413,M413-S413)</f>
        <v>53.6100000000006</v>
      </c>
      <c r="V413" s="45" t="n">
        <v>0</v>
      </c>
      <c r="W413" s="45" t="n">
        <v>0</v>
      </c>
      <c r="X413" s="45" t="n">
        <v>246.61</v>
      </c>
      <c r="Y413" s="32" t="n">
        <f aca="false">IFERROR(X413/R413,0)</f>
        <v>2.00339572366295</v>
      </c>
      <c r="Z413" s="28" t="str">
        <f aca="false">IF(X413&gt;0,"Win",IF(X413&lt;0,"Loss","Flat"))</f>
        <v>Win</v>
      </c>
      <c r="AA413" s="28" t="n">
        <f aca="false">ROUND((C413-B413)*1440,1)</f>
        <v>4.8</v>
      </c>
      <c r="AB413" s="28" t="str">
        <f aca="false">IF(AA413&lt;1,"a) &lt;1 min",IF(AA413&lt;10,"b) 1-10 min",IF(AA413&lt;60,"c) 10-60 min",IF(AA413&lt;240,"d) 1-4 h","e) 4 h+"))))</f>
        <v>b) 1-10 min</v>
      </c>
      <c r="AC413" s="28" t="str">
        <f aca="false">IF(P413&lt;10,"a) &lt;10",IF(P413&lt;20,"b) 10-20",IF(P413&lt;40,"c) 20-40",IF(P413&lt;80,"d) 40-80","e) 80+"))))</f>
        <v>c) 20-40</v>
      </c>
      <c r="AD413" s="30" t="n">
        <f aca="false">Summary!$C$5+SUM(X$2:X413)</f>
        <v>105912.74</v>
      </c>
      <c r="AE413" s="30" t="n">
        <f aca="false">MAX(AE412,AD413)</f>
        <v>106588.89</v>
      </c>
      <c r="AF413" s="30" t="n">
        <f aca="false">AE413-AD413</f>
        <v>676.149999999994</v>
      </c>
      <c r="AG413" s="29" t="n">
        <f aca="false">IFERROR(AF413/AE413,0)</f>
        <v>0.00634353167576841</v>
      </c>
    </row>
    <row r="414" customFormat="false" ht="15" hidden="false" customHeight="false" outlineLevel="0" collapsed="false">
      <c r="A414" s="28" t="n">
        <v>413</v>
      </c>
      <c r="B414" s="43" t="n">
        <v>45615.84375</v>
      </c>
      <c r="C414" s="43" t="n">
        <v>45615.8608101852</v>
      </c>
      <c r="D414" s="42" t="n">
        <f aca="false">INT(C414)</f>
        <v>45615</v>
      </c>
      <c r="E414" s="42" t="n">
        <f aca="false">D414-WEEKDAY(D414,3)</f>
        <v>45614</v>
      </c>
      <c r="F414" s="28" t="s">
        <v>162</v>
      </c>
      <c r="G414" s="28" t="n">
        <v>2024</v>
      </c>
      <c r="H414" s="28" t="s">
        <v>232</v>
      </c>
      <c r="I414" s="28" t="n">
        <v>20</v>
      </c>
      <c r="J414" s="28" t="s">
        <v>233</v>
      </c>
      <c r="K414" s="28" t="s">
        <v>234</v>
      </c>
      <c r="L414" s="28" t="n">
        <v>0.23</v>
      </c>
      <c r="M414" s="31" t="n">
        <v>20629.94</v>
      </c>
      <c r="N414" s="31" t="n">
        <v>20615.14</v>
      </c>
      <c r="O414" s="31" t="n">
        <v>20659.55</v>
      </c>
      <c r="P414" s="44" t="n">
        <f aca="false">ABS(M414-N414)</f>
        <v>14.7999999999993</v>
      </c>
      <c r="Q414" s="44" t="n">
        <f aca="false">IF(O414="","",ABS(O414-M414))</f>
        <v>29.6100000000006</v>
      </c>
      <c r="R414" s="30" t="n">
        <f aca="false">P414*L414*Summary!$C$6</f>
        <v>68.0799999999967</v>
      </c>
      <c r="S414" s="31" t="n">
        <v>20660.62</v>
      </c>
      <c r="T414" s="28" t="s">
        <v>214</v>
      </c>
      <c r="U414" s="44" t="n">
        <f aca="false">IF(J414="BUY",S414-M414,M414-S414)</f>
        <v>30.6800000000003</v>
      </c>
      <c r="V414" s="45" t="n">
        <v>0</v>
      </c>
      <c r="W414" s="45" t="n">
        <v>0</v>
      </c>
      <c r="X414" s="45" t="n">
        <v>141.13</v>
      </c>
      <c r="Y414" s="32" t="n">
        <f aca="false">IFERROR(X414/R414,0)</f>
        <v>2.07300235017637</v>
      </c>
      <c r="Z414" s="28" t="str">
        <f aca="false">IF(X414&gt;0,"Win",IF(X414&lt;0,"Loss","Flat"))</f>
        <v>Win</v>
      </c>
      <c r="AA414" s="28" t="n">
        <f aca="false">ROUND((C414-B414)*1440,1)</f>
        <v>24.6</v>
      </c>
      <c r="AB414" s="28" t="str">
        <f aca="false">IF(AA414&lt;1,"a) &lt;1 min",IF(AA414&lt;10,"b) 1-10 min",IF(AA414&lt;60,"c) 10-60 min",IF(AA414&lt;240,"d) 1-4 h","e) 4 h+"))))</f>
        <v>c) 10-60 min</v>
      </c>
      <c r="AC414" s="28" t="str">
        <f aca="false">IF(P414&lt;10,"a) &lt;10",IF(P414&lt;20,"b) 10-20",IF(P414&lt;40,"c) 20-40",IF(P414&lt;80,"d) 40-80","e) 80+"))))</f>
        <v>b) 10-20</v>
      </c>
      <c r="AD414" s="30" t="n">
        <f aca="false">Summary!$C$5+SUM(X$2:X414)</f>
        <v>106053.87</v>
      </c>
      <c r="AE414" s="30" t="n">
        <f aca="false">MAX(AE413,AD414)</f>
        <v>106588.89</v>
      </c>
      <c r="AF414" s="30" t="n">
        <f aca="false">AE414-AD414</f>
        <v>535.020000000004</v>
      </c>
      <c r="AG414" s="29" t="n">
        <f aca="false">IFERROR(AF414/AE414,0)</f>
        <v>0.00501947247973034</v>
      </c>
    </row>
    <row r="415" customFormat="false" ht="15" hidden="false" customHeight="false" outlineLevel="0" collapsed="false">
      <c r="A415" s="28" t="n">
        <v>414</v>
      </c>
      <c r="B415" s="43" t="n">
        <v>45616.0902777778</v>
      </c>
      <c r="C415" s="43" t="n">
        <v>45616.0976273148</v>
      </c>
      <c r="D415" s="42" t="n">
        <f aca="false">INT(C415)</f>
        <v>45616</v>
      </c>
      <c r="E415" s="42" t="n">
        <f aca="false">D415-WEEKDAY(D415,3)</f>
        <v>45614</v>
      </c>
      <c r="F415" s="28" t="s">
        <v>162</v>
      </c>
      <c r="G415" s="28" t="n">
        <v>2024</v>
      </c>
      <c r="H415" s="28" t="s">
        <v>235</v>
      </c>
      <c r="I415" s="28" t="n">
        <v>2</v>
      </c>
      <c r="J415" s="28" t="s">
        <v>233</v>
      </c>
      <c r="K415" s="28" t="s">
        <v>234</v>
      </c>
      <c r="L415" s="28" t="n">
        <v>0.23</v>
      </c>
      <c r="M415" s="31" t="n">
        <v>20704.31</v>
      </c>
      <c r="N415" s="31" t="n">
        <v>20694.81</v>
      </c>
      <c r="O415" s="31" t="n">
        <v>20723.31</v>
      </c>
      <c r="P415" s="44" t="n">
        <f aca="false">ABS(M415-N415)</f>
        <v>9.5</v>
      </c>
      <c r="Q415" s="44" t="n">
        <f aca="false">IF(O415="","",ABS(O415-M415))</f>
        <v>19</v>
      </c>
      <c r="R415" s="30" t="n">
        <f aca="false">P415*L415*Summary!$C$6</f>
        <v>43.7</v>
      </c>
      <c r="S415" s="31" t="n">
        <v>20723.4</v>
      </c>
      <c r="T415" s="28" t="s">
        <v>214</v>
      </c>
      <c r="U415" s="44" t="n">
        <f aca="false">IF(J415="BUY",S415-M415,M415-S415)</f>
        <v>19.0900000000001</v>
      </c>
      <c r="V415" s="45" t="n">
        <v>0</v>
      </c>
      <c r="W415" s="45" t="n">
        <v>0</v>
      </c>
      <c r="X415" s="45" t="n">
        <v>87.81</v>
      </c>
      <c r="Y415" s="32" t="n">
        <f aca="false">IFERROR(X415/R415,0)</f>
        <v>2.00938215102975</v>
      </c>
      <c r="Z415" s="28" t="str">
        <f aca="false">IF(X415&gt;0,"Win",IF(X415&lt;0,"Loss","Flat"))</f>
        <v>Win</v>
      </c>
      <c r="AA415" s="28" t="n">
        <f aca="false">ROUND((C415-B415)*1440,1)</f>
        <v>10.6</v>
      </c>
      <c r="AB415" s="28" t="str">
        <f aca="false">IF(AA415&lt;1,"a) &lt;1 min",IF(AA415&lt;10,"b) 1-10 min",IF(AA415&lt;60,"c) 10-60 min",IF(AA415&lt;240,"d) 1-4 h","e) 4 h+"))))</f>
        <v>c) 10-60 min</v>
      </c>
      <c r="AC415" s="28" t="str">
        <f aca="false">IF(P415&lt;10,"a) &lt;10",IF(P415&lt;20,"b) 10-20",IF(P415&lt;40,"c) 20-40",IF(P415&lt;80,"d) 40-80","e) 80+"))))</f>
        <v>a) &lt;10</v>
      </c>
      <c r="AD415" s="30" t="n">
        <f aca="false">Summary!$C$5+SUM(X$2:X415)</f>
        <v>106141.68</v>
      </c>
      <c r="AE415" s="30" t="n">
        <f aca="false">MAX(AE414,AD415)</f>
        <v>106588.89</v>
      </c>
      <c r="AF415" s="30" t="n">
        <f aca="false">AE415-AD415</f>
        <v>447.210000000006</v>
      </c>
      <c r="AG415" s="29" t="n">
        <f aca="false">IFERROR(AF415/AE415,0)</f>
        <v>0.00419565303663455</v>
      </c>
    </row>
    <row r="416" customFormat="false" ht="15" hidden="false" customHeight="false" outlineLevel="0" collapsed="false">
      <c r="A416" s="28" t="n">
        <v>415</v>
      </c>
      <c r="B416" s="43" t="n">
        <v>45617.6472222222</v>
      </c>
      <c r="C416" s="43" t="n">
        <v>45617.6565740741</v>
      </c>
      <c r="D416" s="42" t="n">
        <f aca="false">INT(C416)</f>
        <v>45617</v>
      </c>
      <c r="E416" s="42" t="n">
        <f aca="false">D416-WEEKDAY(D416,3)</f>
        <v>45614</v>
      </c>
      <c r="F416" s="28" t="s">
        <v>162</v>
      </c>
      <c r="G416" s="28" t="n">
        <v>2024</v>
      </c>
      <c r="H416" s="28" t="s">
        <v>239</v>
      </c>
      <c r="I416" s="28" t="n">
        <v>15</v>
      </c>
      <c r="J416" s="28" t="s">
        <v>233</v>
      </c>
      <c r="K416" s="28" t="s">
        <v>234</v>
      </c>
      <c r="L416" s="28" t="n">
        <v>0.22</v>
      </c>
      <c r="M416" s="31" t="n">
        <v>20768.89</v>
      </c>
      <c r="N416" s="31" t="n">
        <v>20750.89</v>
      </c>
      <c r="O416" s="31" t="n">
        <v>20804.9</v>
      </c>
      <c r="P416" s="44" t="n">
        <f aca="false">ABS(M416-N416)</f>
        <v>18</v>
      </c>
      <c r="Q416" s="44" t="n">
        <f aca="false">IF(O416="","",ABS(O416-M416))</f>
        <v>36.010000000002</v>
      </c>
      <c r="R416" s="30" t="n">
        <f aca="false">P416*L416*Summary!$C$6</f>
        <v>79.2</v>
      </c>
      <c r="S416" s="31" t="n">
        <v>20768.58</v>
      </c>
      <c r="T416" s="28" t="s">
        <v>238</v>
      </c>
      <c r="U416" s="44" t="n">
        <f aca="false">IF(J416="BUY",S416-M416,M416-S416)</f>
        <v>-0.309999999997672</v>
      </c>
      <c r="V416" s="45" t="n">
        <v>0</v>
      </c>
      <c r="W416" s="45" t="n">
        <v>0</v>
      </c>
      <c r="X416" s="45" t="n">
        <v>-1.36</v>
      </c>
      <c r="Y416" s="32" t="n">
        <f aca="false">IFERROR(X416/R416,0)</f>
        <v>-0.0171717171717172</v>
      </c>
      <c r="Z416" s="28" t="str">
        <f aca="false">IF(X416&gt;0,"Win",IF(X416&lt;0,"Loss","Flat"))</f>
        <v>Loss</v>
      </c>
      <c r="AA416" s="28" t="n">
        <f aca="false">ROUND((C416-B416)*1440,1)</f>
        <v>13.5</v>
      </c>
      <c r="AB416" s="28" t="str">
        <f aca="false">IF(AA416&lt;1,"a) &lt;1 min",IF(AA416&lt;10,"b) 1-10 min",IF(AA416&lt;60,"c) 10-60 min",IF(AA416&lt;240,"d) 1-4 h","e) 4 h+"))))</f>
        <v>c) 10-60 min</v>
      </c>
      <c r="AC416" s="28" t="str">
        <f aca="false">IF(P416&lt;10,"a) &lt;10",IF(P416&lt;20,"b) 10-20",IF(P416&lt;40,"c) 20-40",IF(P416&lt;80,"d) 40-80","e) 80+"))))</f>
        <v>b) 10-20</v>
      </c>
      <c r="AD416" s="30" t="n">
        <f aca="false">Summary!$C$5+SUM(X$2:X416)</f>
        <v>106140.32</v>
      </c>
      <c r="AE416" s="30" t="n">
        <f aca="false">MAX(AE415,AD416)</f>
        <v>106588.89</v>
      </c>
      <c r="AF416" s="30" t="n">
        <f aca="false">AE416-AD416</f>
        <v>448.569999999992</v>
      </c>
      <c r="AG416" s="29" t="n">
        <f aca="false">IFERROR(AF416/AE416,0)</f>
        <v>0.00420841234016033</v>
      </c>
    </row>
    <row r="417" customFormat="false" ht="15" hidden="false" customHeight="false" outlineLevel="0" collapsed="false">
      <c r="A417" s="28" t="n">
        <v>416</v>
      </c>
      <c r="B417" s="43" t="n">
        <v>45621.0423611111</v>
      </c>
      <c r="C417" s="43" t="n">
        <v>45621.4326851852</v>
      </c>
      <c r="D417" s="42" t="n">
        <f aca="false">INT(C417)</f>
        <v>45621</v>
      </c>
      <c r="E417" s="42" t="n">
        <f aca="false">D417-WEEKDAY(D417,3)</f>
        <v>45621</v>
      </c>
      <c r="F417" s="28" t="s">
        <v>162</v>
      </c>
      <c r="G417" s="28" t="n">
        <v>2024</v>
      </c>
      <c r="H417" s="28" t="s">
        <v>240</v>
      </c>
      <c r="I417" s="28" t="n">
        <v>1</v>
      </c>
      <c r="J417" s="28" t="s">
        <v>233</v>
      </c>
      <c r="K417" s="28" t="s">
        <v>234</v>
      </c>
      <c r="L417" s="28" t="n">
        <v>0.22</v>
      </c>
      <c r="M417" s="31" t="n">
        <v>20863.14</v>
      </c>
      <c r="N417" s="31" t="n">
        <v>20836.94</v>
      </c>
      <c r="O417" s="31" t="n">
        <v>20915.78</v>
      </c>
      <c r="P417" s="44" t="n">
        <f aca="false">ABS(M417-N417)</f>
        <v>26.2000000000007</v>
      </c>
      <c r="Q417" s="44" t="n">
        <f aca="false">IF(O417="","",ABS(O417-M417))</f>
        <v>52.6399999999994</v>
      </c>
      <c r="R417" s="30" t="n">
        <f aca="false">P417*L417*Summary!$C$6</f>
        <v>115.280000000003</v>
      </c>
      <c r="S417" s="31" t="n">
        <v>20863.12</v>
      </c>
      <c r="T417" s="28" t="s">
        <v>238</v>
      </c>
      <c r="U417" s="44" t="n">
        <f aca="false">IF(J417="BUY",S417-M417,M417-S417)</f>
        <v>-0.0200000000004366</v>
      </c>
      <c r="V417" s="45" t="n">
        <v>0</v>
      </c>
      <c r="W417" s="45" t="n">
        <v>0</v>
      </c>
      <c r="X417" s="45" t="n">
        <v>-0.09</v>
      </c>
      <c r="Y417" s="32" t="n">
        <f aca="false">IFERROR(X417/R417,0)</f>
        <v>-0.000780707841776522</v>
      </c>
      <c r="Z417" s="28" t="str">
        <f aca="false">IF(X417&gt;0,"Win",IF(X417&lt;0,"Loss","Flat"))</f>
        <v>Loss</v>
      </c>
      <c r="AA417" s="28" t="n">
        <f aca="false">ROUND((C417-B417)*1440,1)</f>
        <v>562.1</v>
      </c>
      <c r="AB417" s="28" t="str">
        <f aca="false">IF(AA417&lt;1,"a) &lt;1 min",IF(AA417&lt;10,"b) 1-10 min",IF(AA417&lt;60,"c) 10-60 min",IF(AA417&lt;240,"d) 1-4 h","e) 4 h+"))))</f>
        <v>e) 4 h+</v>
      </c>
      <c r="AC417" s="28" t="str">
        <f aca="false">IF(P417&lt;10,"a) &lt;10",IF(P417&lt;20,"b) 10-20",IF(P417&lt;40,"c) 20-40",IF(P417&lt;80,"d) 40-80","e) 80+"))))</f>
        <v>c) 20-40</v>
      </c>
      <c r="AD417" s="30" t="n">
        <f aca="false">Summary!$C$5+SUM(X$2:X417)</f>
        <v>106140.23</v>
      </c>
      <c r="AE417" s="30" t="n">
        <f aca="false">MAX(AE416,AD417)</f>
        <v>106588.89</v>
      </c>
      <c r="AF417" s="30" t="n">
        <f aca="false">AE417-AD417</f>
        <v>448.660000000004</v>
      </c>
      <c r="AG417" s="29" t="n">
        <f aca="false">IFERROR(AF417/AE417,0)</f>
        <v>0.00420925670583495</v>
      </c>
    </row>
    <row r="418" customFormat="false" ht="15" hidden="false" customHeight="false" outlineLevel="0" collapsed="false">
      <c r="A418" s="28" t="n">
        <v>417</v>
      </c>
      <c r="B418" s="43" t="n">
        <v>45622.1270833333</v>
      </c>
      <c r="C418" s="43" t="n">
        <v>45622.1378125</v>
      </c>
      <c r="D418" s="42" t="n">
        <f aca="false">INT(C418)</f>
        <v>45622</v>
      </c>
      <c r="E418" s="42" t="n">
        <f aca="false">D418-WEEKDAY(D418,3)</f>
        <v>45621</v>
      </c>
      <c r="F418" s="28" t="s">
        <v>162</v>
      </c>
      <c r="G418" s="28" t="n">
        <v>2024</v>
      </c>
      <c r="H418" s="28" t="s">
        <v>232</v>
      </c>
      <c r="I418" s="28" t="n">
        <v>3</v>
      </c>
      <c r="J418" s="28" t="s">
        <v>236</v>
      </c>
      <c r="K418" s="28" t="s">
        <v>237</v>
      </c>
      <c r="L418" s="28" t="n">
        <v>0.23</v>
      </c>
      <c r="M418" s="31" t="n">
        <v>20691.2</v>
      </c>
      <c r="N418" s="31" t="n">
        <v>20714.92</v>
      </c>
      <c r="O418" s="31" t="n">
        <v>20643.76</v>
      </c>
      <c r="P418" s="44" t="n">
        <f aca="false">ABS(M418-N418)</f>
        <v>23.7199999999975</v>
      </c>
      <c r="Q418" s="44" t="n">
        <f aca="false">IF(O418="","",ABS(O418-M418))</f>
        <v>47.4400000000023</v>
      </c>
      <c r="R418" s="30" t="n">
        <f aca="false">P418*L418*Summary!$C$6</f>
        <v>109.111999999989</v>
      </c>
      <c r="S418" s="31" t="n">
        <v>20715.31</v>
      </c>
      <c r="T418" s="28" t="s">
        <v>241</v>
      </c>
      <c r="U418" s="44" t="n">
        <f aca="false">IF(J418="BUY",S418-M418,M418-S418)</f>
        <v>-24.1100000000006</v>
      </c>
      <c r="V418" s="45" t="n">
        <v>0</v>
      </c>
      <c r="W418" s="45" t="n">
        <v>0</v>
      </c>
      <c r="X418" s="45" t="n">
        <v>-110.91</v>
      </c>
      <c r="Y418" s="32" t="n">
        <f aca="false">IFERROR(X418/R418,0)</f>
        <v>-1.01647848082715</v>
      </c>
      <c r="Z418" s="28" t="str">
        <f aca="false">IF(X418&gt;0,"Win",IF(X418&lt;0,"Loss","Flat"))</f>
        <v>Loss</v>
      </c>
      <c r="AA418" s="28" t="n">
        <f aca="false">ROUND((C418-B418)*1440,1)</f>
        <v>15.5</v>
      </c>
      <c r="AB418" s="28" t="str">
        <f aca="false">IF(AA418&lt;1,"a) &lt;1 min",IF(AA418&lt;10,"b) 1-10 min",IF(AA418&lt;60,"c) 10-60 min",IF(AA418&lt;240,"d) 1-4 h","e) 4 h+"))))</f>
        <v>c) 10-60 min</v>
      </c>
      <c r="AC418" s="28" t="str">
        <f aca="false">IF(P418&lt;10,"a) &lt;10",IF(P418&lt;20,"b) 10-20",IF(P418&lt;40,"c) 20-40",IF(P418&lt;80,"d) 40-80","e) 80+"))))</f>
        <v>c) 20-40</v>
      </c>
      <c r="AD418" s="30" t="n">
        <f aca="false">Summary!$C$5+SUM(X$2:X418)</f>
        <v>106029.32</v>
      </c>
      <c r="AE418" s="30" t="n">
        <f aca="false">MAX(AE417,AD418)</f>
        <v>106588.89</v>
      </c>
      <c r="AF418" s="30" t="n">
        <f aca="false">AE418-AD418</f>
        <v>559.569999999992</v>
      </c>
      <c r="AG418" s="29" t="n">
        <f aca="false">IFERROR(AF418/AE418,0)</f>
        <v>0.00524979667205459</v>
      </c>
    </row>
    <row r="419" customFormat="false" ht="15" hidden="false" customHeight="false" outlineLevel="0" collapsed="false">
      <c r="A419" s="28" t="n">
        <v>418</v>
      </c>
      <c r="B419" s="43" t="n">
        <v>45623.7347222222</v>
      </c>
      <c r="C419" s="43" t="n">
        <v>45623.7374305556</v>
      </c>
      <c r="D419" s="42" t="n">
        <f aca="false">INT(C419)</f>
        <v>45623</v>
      </c>
      <c r="E419" s="42" t="n">
        <f aca="false">D419-WEEKDAY(D419,3)</f>
        <v>45621</v>
      </c>
      <c r="F419" s="28" t="s">
        <v>162</v>
      </c>
      <c r="G419" s="28" t="n">
        <v>2024</v>
      </c>
      <c r="H419" s="28" t="s">
        <v>235</v>
      </c>
      <c r="I419" s="28" t="n">
        <v>17</v>
      </c>
      <c r="J419" s="28" t="s">
        <v>236</v>
      </c>
      <c r="K419" s="28" t="s">
        <v>237</v>
      </c>
      <c r="L419" s="28" t="n">
        <v>0.23</v>
      </c>
      <c r="M419" s="31" t="n">
        <v>20665.85</v>
      </c>
      <c r="N419" s="31" t="n">
        <v>20693.38</v>
      </c>
      <c r="O419" s="31" t="n">
        <v>20610.78</v>
      </c>
      <c r="P419" s="44" t="n">
        <f aca="false">ABS(M419-N419)</f>
        <v>27.5300000000025</v>
      </c>
      <c r="Q419" s="44" t="n">
        <f aca="false">IF(O419="","",ABS(O419-M419))</f>
        <v>55.0699999999997</v>
      </c>
      <c r="R419" s="30" t="n">
        <f aca="false">P419*L419*Summary!$C$6</f>
        <v>126.638000000011</v>
      </c>
      <c r="S419" s="31" t="n">
        <v>20694.4</v>
      </c>
      <c r="T419" s="28" t="s">
        <v>241</v>
      </c>
      <c r="U419" s="44" t="n">
        <f aca="false">IF(J419="BUY",S419-M419,M419-S419)</f>
        <v>-28.5500000000029</v>
      </c>
      <c r="V419" s="45" t="n">
        <v>0</v>
      </c>
      <c r="W419" s="45" t="n">
        <v>0</v>
      </c>
      <c r="X419" s="45" t="n">
        <v>-131.33</v>
      </c>
      <c r="Y419" s="32" t="n">
        <f aca="false">IFERROR(X419/R419,0)</f>
        <v>-1.03705049037404</v>
      </c>
      <c r="Z419" s="28" t="str">
        <f aca="false">IF(X419&gt;0,"Win",IF(X419&lt;0,"Loss","Flat"))</f>
        <v>Loss</v>
      </c>
      <c r="AA419" s="28" t="n">
        <f aca="false">ROUND((C419-B419)*1440,1)</f>
        <v>3.9</v>
      </c>
      <c r="AB419" s="28" t="str">
        <f aca="false">IF(AA419&lt;1,"a) &lt;1 min",IF(AA419&lt;10,"b) 1-10 min",IF(AA419&lt;60,"c) 10-60 min",IF(AA419&lt;240,"d) 1-4 h","e) 4 h+"))))</f>
        <v>b) 1-10 min</v>
      </c>
      <c r="AC419" s="28" t="str">
        <f aca="false">IF(P419&lt;10,"a) &lt;10",IF(P419&lt;20,"b) 10-20",IF(P419&lt;40,"c) 20-40",IF(P419&lt;80,"d) 40-80","e) 80+"))))</f>
        <v>c) 20-40</v>
      </c>
      <c r="AD419" s="30" t="n">
        <f aca="false">Summary!$C$5+SUM(X$2:X419)</f>
        <v>105897.99</v>
      </c>
      <c r="AE419" s="30" t="n">
        <f aca="false">MAX(AE418,AD419)</f>
        <v>106588.89</v>
      </c>
      <c r="AF419" s="30" t="n">
        <f aca="false">AE419-AD419</f>
        <v>690.899999999994</v>
      </c>
      <c r="AG419" s="29" t="n">
        <f aca="false">IFERROR(AF419/AE419,0)</f>
        <v>0.00648191382797958</v>
      </c>
    </row>
    <row r="420" customFormat="false" ht="15" hidden="false" customHeight="false" outlineLevel="0" collapsed="false">
      <c r="A420" s="28" t="n">
        <v>419</v>
      </c>
      <c r="B420" s="43" t="n">
        <v>45625.2097222222</v>
      </c>
      <c r="C420" s="43" t="n">
        <v>45625.2167476852</v>
      </c>
      <c r="D420" s="42" t="n">
        <f aca="false">INT(C420)</f>
        <v>45625</v>
      </c>
      <c r="E420" s="42" t="n">
        <f aca="false">D420-WEEKDAY(D420,3)</f>
        <v>45621</v>
      </c>
      <c r="F420" s="28" t="s">
        <v>162</v>
      </c>
      <c r="G420" s="28" t="n">
        <v>2024</v>
      </c>
      <c r="H420" s="28" t="s">
        <v>242</v>
      </c>
      <c r="I420" s="28" t="n">
        <v>5</v>
      </c>
      <c r="J420" s="28" t="s">
        <v>233</v>
      </c>
      <c r="K420" s="28" t="s">
        <v>234</v>
      </c>
      <c r="L420" s="28" t="n">
        <v>0.22</v>
      </c>
      <c r="M420" s="31" t="n">
        <v>20846.14</v>
      </c>
      <c r="N420" s="31" t="n">
        <v>20839.49</v>
      </c>
      <c r="O420" s="31" t="n">
        <v>20859.44</v>
      </c>
      <c r="P420" s="44" t="n">
        <f aca="false">ABS(M420-N420)</f>
        <v>6.64999999999782</v>
      </c>
      <c r="Q420" s="44" t="n">
        <f aca="false">IF(O420="","",ABS(O420-M420))</f>
        <v>13.2999999999993</v>
      </c>
      <c r="R420" s="30" t="n">
        <f aca="false">P420*L420*Summary!$C$6</f>
        <v>29.2599999999904</v>
      </c>
      <c r="S420" s="31" t="n">
        <v>20859.55</v>
      </c>
      <c r="T420" s="28" t="s">
        <v>214</v>
      </c>
      <c r="U420" s="44" t="n">
        <f aca="false">IF(J420="BUY",S420-M420,M420-S420)</f>
        <v>13.4099999999999</v>
      </c>
      <c r="V420" s="45" t="n">
        <v>0</v>
      </c>
      <c r="W420" s="45" t="n">
        <v>0</v>
      </c>
      <c r="X420" s="45" t="n">
        <v>59</v>
      </c>
      <c r="Y420" s="32" t="n">
        <f aca="false">IFERROR(X420/R420,0)</f>
        <v>2.01640464798426</v>
      </c>
      <c r="Z420" s="28" t="str">
        <f aca="false">IF(X420&gt;0,"Win",IF(X420&lt;0,"Loss","Flat"))</f>
        <v>Win</v>
      </c>
      <c r="AA420" s="28" t="n">
        <f aca="false">ROUND((C420-B420)*1440,1)</f>
        <v>10.1</v>
      </c>
      <c r="AB420" s="28" t="str">
        <f aca="false">IF(AA420&lt;1,"a) &lt;1 min",IF(AA420&lt;10,"b) 1-10 min",IF(AA420&lt;60,"c) 10-60 min",IF(AA420&lt;240,"d) 1-4 h","e) 4 h+"))))</f>
        <v>c) 10-60 min</v>
      </c>
      <c r="AC420" s="28" t="str">
        <f aca="false">IF(P420&lt;10,"a) &lt;10",IF(P420&lt;20,"b) 10-20",IF(P420&lt;40,"c) 20-40",IF(P420&lt;80,"d) 40-80","e) 80+"))))</f>
        <v>a) &lt;10</v>
      </c>
      <c r="AD420" s="30" t="n">
        <f aca="false">Summary!$C$5+SUM(X$2:X420)</f>
        <v>105956.99</v>
      </c>
      <c r="AE420" s="30" t="n">
        <f aca="false">MAX(AE419,AD420)</f>
        <v>106588.89</v>
      </c>
      <c r="AF420" s="30" t="n">
        <f aca="false">AE420-AD420</f>
        <v>631.899999999994</v>
      </c>
      <c r="AG420" s="29" t="n">
        <f aca="false">IFERROR(AF420/AE420,0)</f>
        <v>0.00592838521913489</v>
      </c>
    </row>
    <row r="421" customFormat="false" ht="15" hidden="false" customHeight="false" outlineLevel="0" collapsed="false">
      <c r="A421" s="28" t="n">
        <v>420</v>
      </c>
      <c r="B421" s="43" t="n">
        <v>45628.6319444445</v>
      </c>
      <c r="C421" s="43" t="n">
        <v>45628.6445833333</v>
      </c>
      <c r="D421" s="42" t="n">
        <f aca="false">INT(C421)</f>
        <v>45628</v>
      </c>
      <c r="E421" s="42" t="n">
        <f aca="false">D421-WEEKDAY(D421,3)</f>
        <v>45628</v>
      </c>
      <c r="F421" s="28" t="s">
        <v>163</v>
      </c>
      <c r="G421" s="28" t="n">
        <v>2024</v>
      </c>
      <c r="H421" s="28" t="s">
        <v>240</v>
      </c>
      <c r="I421" s="28" t="n">
        <v>15</v>
      </c>
      <c r="J421" s="28" t="s">
        <v>233</v>
      </c>
      <c r="K421" s="28" t="s">
        <v>234</v>
      </c>
      <c r="L421" s="28" t="n">
        <v>0.22</v>
      </c>
      <c r="M421" s="31" t="n">
        <v>20957.6</v>
      </c>
      <c r="N421" s="31" t="n">
        <v>20947.25</v>
      </c>
      <c r="O421" s="31" t="n">
        <v>20978.3</v>
      </c>
      <c r="P421" s="44" t="n">
        <f aca="false">ABS(M421-N421)</f>
        <v>10.3499999999985</v>
      </c>
      <c r="Q421" s="44" t="n">
        <f aca="false">IF(O421="","",ABS(O421-M421))</f>
        <v>20.7000000000007</v>
      </c>
      <c r="R421" s="30" t="n">
        <f aca="false">P421*L421*Summary!$C$6</f>
        <v>45.5399999999936</v>
      </c>
      <c r="S421" s="31" t="n">
        <v>20957.54</v>
      </c>
      <c r="T421" s="28" t="s">
        <v>238</v>
      </c>
      <c r="U421" s="44" t="n">
        <f aca="false">IF(J421="BUY",S421-M421,M421-S421)</f>
        <v>-0.0599999999976717</v>
      </c>
      <c r="V421" s="45" t="n">
        <v>0</v>
      </c>
      <c r="W421" s="45" t="n">
        <v>0</v>
      </c>
      <c r="X421" s="45" t="n">
        <v>-0.26</v>
      </c>
      <c r="Y421" s="32" t="n">
        <f aca="false">IFERROR(X421/R421,0)</f>
        <v>-0.0057092665788326</v>
      </c>
      <c r="Z421" s="28" t="str">
        <f aca="false">IF(X421&gt;0,"Win",IF(X421&lt;0,"Loss","Flat"))</f>
        <v>Loss</v>
      </c>
      <c r="AA421" s="28" t="n">
        <f aca="false">ROUND((C421-B421)*1440,1)</f>
        <v>18.2</v>
      </c>
      <c r="AB421" s="28" t="str">
        <f aca="false">IF(AA421&lt;1,"a) &lt;1 min",IF(AA421&lt;10,"b) 1-10 min",IF(AA421&lt;60,"c) 10-60 min",IF(AA421&lt;240,"d) 1-4 h","e) 4 h+"))))</f>
        <v>c) 10-60 min</v>
      </c>
      <c r="AC421" s="28" t="str">
        <f aca="false">IF(P421&lt;10,"a) &lt;10",IF(P421&lt;20,"b) 10-20",IF(P421&lt;40,"c) 20-40",IF(P421&lt;80,"d) 40-80","e) 80+"))))</f>
        <v>b) 10-20</v>
      </c>
      <c r="AD421" s="30" t="n">
        <f aca="false">Summary!$C$5+SUM(X$2:X421)</f>
        <v>105956.73</v>
      </c>
      <c r="AE421" s="30" t="n">
        <f aca="false">MAX(AE420,AD421)</f>
        <v>106588.89</v>
      </c>
      <c r="AF421" s="30" t="n">
        <f aca="false">AE421-AD421</f>
        <v>632.160000000004</v>
      </c>
      <c r="AG421" s="29" t="n">
        <f aca="false">IFERROR(AF421/AE421,0)</f>
        <v>0.00593082449775022</v>
      </c>
    </row>
    <row r="422" customFormat="false" ht="15" hidden="false" customHeight="false" outlineLevel="0" collapsed="false">
      <c r="A422" s="28" t="n">
        <v>421</v>
      </c>
      <c r="B422" s="43" t="n">
        <v>45629.7715277778</v>
      </c>
      <c r="C422" s="43" t="n">
        <v>45629.7729166667</v>
      </c>
      <c r="D422" s="42" t="n">
        <f aca="false">INT(C422)</f>
        <v>45629</v>
      </c>
      <c r="E422" s="42" t="n">
        <f aca="false">D422-WEEKDAY(D422,3)</f>
        <v>45628</v>
      </c>
      <c r="F422" s="28" t="s">
        <v>163</v>
      </c>
      <c r="G422" s="28" t="n">
        <v>2024</v>
      </c>
      <c r="H422" s="28" t="s">
        <v>232</v>
      </c>
      <c r="I422" s="28" t="n">
        <v>18</v>
      </c>
      <c r="J422" s="28" t="s">
        <v>233</v>
      </c>
      <c r="K422" s="28" t="s">
        <v>234</v>
      </c>
      <c r="L422" s="28" t="n">
        <v>0.22</v>
      </c>
      <c r="M422" s="31" t="n">
        <v>21204.84</v>
      </c>
      <c r="N422" s="31" t="n">
        <v>21188.45</v>
      </c>
      <c r="O422" s="31" t="n">
        <v>21242.9</v>
      </c>
      <c r="P422" s="44" t="n">
        <f aca="false">ABS(M422-N422)</f>
        <v>16.3899999999994</v>
      </c>
      <c r="Q422" s="44" t="n">
        <f aca="false">IF(O422="","",ABS(O422-M422))</f>
        <v>38.0600000000013</v>
      </c>
      <c r="R422" s="30" t="n">
        <f aca="false">P422*L422*Summary!$C$6</f>
        <v>72.1159999999974</v>
      </c>
      <c r="S422" s="31" t="n">
        <v>21188.37</v>
      </c>
      <c r="T422" s="28" t="s">
        <v>241</v>
      </c>
      <c r="U422" s="44" t="n">
        <f aca="false">IF(J422="BUY",S422-M422,M422-S422)</f>
        <v>-16.4700000000012</v>
      </c>
      <c r="V422" s="45" t="n">
        <v>0</v>
      </c>
      <c r="W422" s="45" t="n">
        <v>0</v>
      </c>
      <c r="X422" s="45" t="n">
        <v>-72.47</v>
      </c>
      <c r="Y422" s="32" t="n">
        <f aca="false">IFERROR(X422/R422,0)</f>
        <v>-1.00490875811197</v>
      </c>
      <c r="Z422" s="28" t="str">
        <f aca="false">IF(X422&gt;0,"Win",IF(X422&lt;0,"Loss","Flat"))</f>
        <v>Loss</v>
      </c>
      <c r="AA422" s="28" t="n">
        <f aca="false">ROUND((C422-B422)*1440,1)</f>
        <v>2</v>
      </c>
      <c r="AB422" s="28" t="str">
        <f aca="false">IF(AA422&lt;1,"a) &lt;1 min",IF(AA422&lt;10,"b) 1-10 min",IF(AA422&lt;60,"c) 10-60 min",IF(AA422&lt;240,"d) 1-4 h","e) 4 h+"))))</f>
        <v>b) 1-10 min</v>
      </c>
      <c r="AC422" s="28" t="str">
        <f aca="false">IF(P422&lt;10,"a) &lt;10",IF(P422&lt;20,"b) 10-20",IF(P422&lt;40,"c) 20-40",IF(P422&lt;80,"d) 40-80","e) 80+"))))</f>
        <v>b) 10-20</v>
      </c>
      <c r="AD422" s="30" t="n">
        <f aca="false">Summary!$C$5+SUM(X$2:X422)</f>
        <v>105884.26</v>
      </c>
      <c r="AE422" s="30" t="n">
        <f aca="false">MAX(AE421,AD422)</f>
        <v>106588.89</v>
      </c>
      <c r="AF422" s="30" t="n">
        <f aca="false">AE422-AD422</f>
        <v>704.630000000005</v>
      </c>
      <c r="AG422" s="29" t="n">
        <f aca="false">IFERROR(AF422/AE422,0)</f>
        <v>0.00661072650254642</v>
      </c>
    </row>
    <row r="423" customFormat="false" ht="15" hidden="false" customHeight="false" outlineLevel="0" collapsed="false">
      <c r="A423" s="28" t="n">
        <v>422</v>
      </c>
      <c r="B423" s="43" t="n">
        <v>45630.0423611111</v>
      </c>
      <c r="C423" s="43" t="n">
        <v>45630.2081365741</v>
      </c>
      <c r="D423" s="42" t="n">
        <f aca="false">INT(C423)</f>
        <v>45630</v>
      </c>
      <c r="E423" s="42" t="n">
        <f aca="false">D423-WEEKDAY(D423,3)</f>
        <v>45628</v>
      </c>
      <c r="F423" s="28" t="s">
        <v>163</v>
      </c>
      <c r="G423" s="28" t="n">
        <v>2024</v>
      </c>
      <c r="H423" s="28" t="s">
        <v>235</v>
      </c>
      <c r="I423" s="28" t="n">
        <v>1</v>
      </c>
      <c r="J423" s="28" t="s">
        <v>233</v>
      </c>
      <c r="K423" s="28" t="s">
        <v>234</v>
      </c>
      <c r="L423" s="28" t="n">
        <v>0.22</v>
      </c>
      <c r="M423" s="31" t="n">
        <v>21256.69</v>
      </c>
      <c r="N423" s="31" t="n">
        <v>21242.17</v>
      </c>
      <c r="O423" s="31" t="n">
        <v>21285.73</v>
      </c>
      <c r="P423" s="44" t="n">
        <f aca="false">ABS(M423-N423)</f>
        <v>14.5200000000004</v>
      </c>
      <c r="Q423" s="44" t="n">
        <f aca="false">IF(O423="","",ABS(O423-M423))</f>
        <v>29.0400000000009</v>
      </c>
      <c r="R423" s="30" t="n">
        <f aca="false">P423*L423*Summary!$C$6</f>
        <v>63.8880000000019</v>
      </c>
      <c r="S423" s="31" t="n">
        <v>21288.55</v>
      </c>
      <c r="T423" s="28" t="s">
        <v>214</v>
      </c>
      <c r="U423" s="44" t="n">
        <f aca="false">IF(J423="BUY",S423-M423,M423-S423)</f>
        <v>31.8600000000006</v>
      </c>
      <c r="V423" s="45" t="n">
        <v>0</v>
      </c>
      <c r="W423" s="45" t="n">
        <v>0</v>
      </c>
      <c r="X423" s="45" t="n">
        <v>140.18</v>
      </c>
      <c r="Y423" s="32" t="n">
        <f aca="false">IFERROR(X423/R423,0)</f>
        <v>2.19415226646625</v>
      </c>
      <c r="Z423" s="28" t="str">
        <f aca="false">IF(X423&gt;0,"Win",IF(X423&lt;0,"Loss","Flat"))</f>
        <v>Win</v>
      </c>
      <c r="AA423" s="28" t="n">
        <f aca="false">ROUND((C423-B423)*1440,1)</f>
        <v>238.7</v>
      </c>
      <c r="AB423" s="28" t="str">
        <f aca="false">IF(AA423&lt;1,"a) &lt;1 min",IF(AA423&lt;10,"b) 1-10 min",IF(AA423&lt;60,"c) 10-60 min",IF(AA423&lt;240,"d) 1-4 h","e) 4 h+"))))</f>
        <v>d) 1-4 h</v>
      </c>
      <c r="AC423" s="28" t="str">
        <f aca="false">IF(P423&lt;10,"a) &lt;10",IF(P423&lt;20,"b) 10-20",IF(P423&lt;40,"c) 20-40",IF(P423&lt;80,"d) 40-80","e) 80+"))))</f>
        <v>b) 10-20</v>
      </c>
      <c r="AD423" s="30" t="n">
        <f aca="false">Summary!$C$5+SUM(X$2:X423)</f>
        <v>106024.44</v>
      </c>
      <c r="AE423" s="30" t="n">
        <f aca="false">MAX(AE422,AD423)</f>
        <v>106588.89</v>
      </c>
      <c r="AF423" s="30" t="n">
        <f aca="false">AE423-AD423</f>
        <v>564.449999999997</v>
      </c>
      <c r="AG423" s="29" t="n">
        <f aca="false">IFERROR(AF423/AE423,0)</f>
        <v>0.00529558005529467</v>
      </c>
    </row>
    <row r="424" customFormat="false" ht="15" hidden="false" customHeight="false" outlineLevel="0" collapsed="false">
      <c r="A424" s="28" t="n">
        <v>423</v>
      </c>
      <c r="B424" s="43" t="n">
        <v>45631.8006944444</v>
      </c>
      <c r="C424" s="43" t="n">
        <v>45631.8315046296</v>
      </c>
      <c r="D424" s="42" t="n">
        <f aca="false">INT(C424)</f>
        <v>45631</v>
      </c>
      <c r="E424" s="42" t="n">
        <f aca="false">D424-WEEKDAY(D424,3)</f>
        <v>45628</v>
      </c>
      <c r="F424" s="28" t="s">
        <v>163</v>
      </c>
      <c r="G424" s="28" t="n">
        <v>2024</v>
      </c>
      <c r="H424" s="28" t="s">
        <v>239</v>
      </c>
      <c r="I424" s="28" t="n">
        <v>19</v>
      </c>
      <c r="J424" s="28" t="s">
        <v>233</v>
      </c>
      <c r="K424" s="28" t="s">
        <v>234</v>
      </c>
      <c r="L424" s="28" t="n">
        <v>0.22</v>
      </c>
      <c r="M424" s="31" t="n">
        <v>21502.53</v>
      </c>
      <c r="N424" s="31" t="n">
        <v>21491.45</v>
      </c>
      <c r="O424" s="31" t="n">
        <v>21524.68</v>
      </c>
      <c r="P424" s="44" t="n">
        <f aca="false">ABS(M424-N424)</f>
        <v>11.0799999999981</v>
      </c>
      <c r="Q424" s="44" t="n">
        <f aca="false">IF(O424="","",ABS(O424-M424))</f>
        <v>22.1500000000015</v>
      </c>
      <c r="R424" s="30" t="n">
        <f aca="false">P424*L424*Summary!$C$6</f>
        <v>48.7519999999917</v>
      </c>
      <c r="S424" s="31" t="n">
        <v>21502.53</v>
      </c>
      <c r="T424" s="28" t="s">
        <v>238</v>
      </c>
      <c r="U424" s="44" t="n">
        <f aca="false">IF(J424="BUY",S424-M424,M424-S424)</f>
        <v>0</v>
      </c>
      <c r="V424" s="45" t="n">
        <v>0</v>
      </c>
      <c r="W424" s="45" t="n">
        <v>0</v>
      </c>
      <c r="X424" s="45" t="n">
        <v>0</v>
      </c>
      <c r="Y424" s="32" t="n">
        <f aca="false">IFERROR(X424/R424,0)</f>
        <v>0</v>
      </c>
      <c r="Z424" s="28" t="str">
        <f aca="false">IF(X424&gt;0,"Win",IF(X424&lt;0,"Loss","Flat"))</f>
        <v>Flat</v>
      </c>
      <c r="AA424" s="28" t="n">
        <f aca="false">ROUND((C424-B424)*1440,1)</f>
        <v>44.4</v>
      </c>
      <c r="AB424" s="28" t="str">
        <f aca="false">IF(AA424&lt;1,"a) &lt;1 min",IF(AA424&lt;10,"b) 1-10 min",IF(AA424&lt;60,"c) 10-60 min",IF(AA424&lt;240,"d) 1-4 h","e) 4 h+"))))</f>
        <v>c) 10-60 min</v>
      </c>
      <c r="AC424" s="28" t="str">
        <f aca="false">IF(P424&lt;10,"a) &lt;10",IF(P424&lt;20,"b) 10-20",IF(P424&lt;40,"c) 20-40",IF(P424&lt;80,"d) 40-80","e) 80+"))))</f>
        <v>b) 10-20</v>
      </c>
      <c r="AD424" s="30" t="n">
        <f aca="false">Summary!$C$5+SUM(X$2:X424)</f>
        <v>106024.44</v>
      </c>
      <c r="AE424" s="30" t="n">
        <f aca="false">MAX(AE423,AD424)</f>
        <v>106588.89</v>
      </c>
      <c r="AF424" s="30" t="n">
        <f aca="false">AE424-AD424</f>
        <v>564.449999999997</v>
      </c>
      <c r="AG424" s="29" t="n">
        <f aca="false">IFERROR(AF424/AE424,0)</f>
        <v>0.00529558005529467</v>
      </c>
    </row>
    <row r="425" customFormat="false" ht="15" hidden="false" customHeight="false" outlineLevel="0" collapsed="false">
      <c r="A425" s="28" t="n">
        <v>424</v>
      </c>
      <c r="B425" s="43" t="n">
        <v>45632.0444444444</v>
      </c>
      <c r="C425" s="43" t="n">
        <v>45632.0481597222</v>
      </c>
      <c r="D425" s="42" t="n">
        <f aca="false">INT(C425)</f>
        <v>45632</v>
      </c>
      <c r="E425" s="42" t="n">
        <f aca="false">D425-WEEKDAY(D425,3)</f>
        <v>45628</v>
      </c>
      <c r="F425" s="28" t="s">
        <v>163</v>
      </c>
      <c r="G425" s="28" t="n">
        <v>2024</v>
      </c>
      <c r="H425" s="28" t="s">
        <v>242</v>
      </c>
      <c r="I425" s="28" t="n">
        <v>1</v>
      </c>
      <c r="J425" s="28" t="s">
        <v>236</v>
      </c>
      <c r="K425" s="28" t="s">
        <v>237</v>
      </c>
      <c r="L425" s="28" t="n">
        <v>0.22</v>
      </c>
      <c r="M425" s="31" t="n">
        <v>21398.14</v>
      </c>
      <c r="N425" s="31" t="n">
        <v>21405.26</v>
      </c>
      <c r="O425" s="31" t="n">
        <v>21383.9</v>
      </c>
      <c r="P425" s="44" t="n">
        <f aca="false">ABS(M425-N425)</f>
        <v>7.11999999999898</v>
      </c>
      <c r="Q425" s="44" t="n">
        <f aca="false">IF(O425="","",ABS(O425-M425))</f>
        <v>14.239999999998</v>
      </c>
      <c r="R425" s="30" t="n">
        <f aca="false">P425*L425*Summary!$C$6</f>
        <v>31.3279999999955</v>
      </c>
      <c r="S425" s="31" t="n">
        <v>21383.74</v>
      </c>
      <c r="T425" s="28" t="s">
        <v>214</v>
      </c>
      <c r="U425" s="44" t="n">
        <f aca="false">IF(J425="BUY",S425-M425,M425-S425)</f>
        <v>14.3999999999978</v>
      </c>
      <c r="V425" s="45" t="n">
        <v>0</v>
      </c>
      <c r="W425" s="45" t="n">
        <v>0</v>
      </c>
      <c r="X425" s="45" t="n">
        <v>63.36</v>
      </c>
      <c r="Y425" s="32" t="n">
        <f aca="false">IFERROR(X425/R425,0)</f>
        <v>2.02247191011265</v>
      </c>
      <c r="Z425" s="28" t="str">
        <f aca="false">IF(X425&gt;0,"Win",IF(X425&lt;0,"Loss","Flat"))</f>
        <v>Win</v>
      </c>
      <c r="AA425" s="28" t="n">
        <f aca="false">ROUND((C425-B425)*1440,1)</f>
        <v>5.4</v>
      </c>
      <c r="AB425" s="28" t="str">
        <f aca="false">IF(AA425&lt;1,"a) &lt;1 min",IF(AA425&lt;10,"b) 1-10 min",IF(AA425&lt;60,"c) 10-60 min",IF(AA425&lt;240,"d) 1-4 h","e) 4 h+"))))</f>
        <v>b) 1-10 min</v>
      </c>
      <c r="AC425" s="28" t="str">
        <f aca="false">IF(P425&lt;10,"a) &lt;10",IF(P425&lt;20,"b) 10-20",IF(P425&lt;40,"c) 20-40",IF(P425&lt;80,"d) 40-80","e) 80+"))))</f>
        <v>a) &lt;10</v>
      </c>
      <c r="AD425" s="30" t="n">
        <f aca="false">Summary!$C$5+SUM(X$2:X425)</f>
        <v>106087.8</v>
      </c>
      <c r="AE425" s="30" t="n">
        <f aca="false">MAX(AE424,AD425)</f>
        <v>106588.89</v>
      </c>
      <c r="AF425" s="30" t="n">
        <f aca="false">AE425-AD425</f>
        <v>501.089999999997</v>
      </c>
      <c r="AG425" s="29" t="n">
        <f aca="false">IFERROR(AF425/AE425,0)</f>
        <v>0.00470114662044043</v>
      </c>
    </row>
    <row r="426" customFormat="false" ht="15" hidden="false" customHeight="false" outlineLevel="0" collapsed="false">
      <c r="A426" s="28" t="n">
        <v>425</v>
      </c>
      <c r="B426" s="43" t="n">
        <v>45632.6986111111</v>
      </c>
      <c r="C426" s="43" t="n">
        <v>45632.7097337963</v>
      </c>
      <c r="D426" s="42" t="n">
        <f aca="false">INT(C426)</f>
        <v>45632</v>
      </c>
      <c r="E426" s="42" t="n">
        <f aca="false">D426-WEEKDAY(D426,3)</f>
        <v>45628</v>
      </c>
      <c r="F426" s="28" t="s">
        <v>163</v>
      </c>
      <c r="G426" s="28" t="n">
        <v>2024</v>
      </c>
      <c r="H426" s="28" t="s">
        <v>242</v>
      </c>
      <c r="I426" s="28" t="n">
        <v>16</v>
      </c>
      <c r="J426" s="28" t="s">
        <v>233</v>
      </c>
      <c r="K426" s="28" t="s">
        <v>234</v>
      </c>
      <c r="L426" s="28" t="n">
        <v>0.22</v>
      </c>
      <c r="M426" s="31" t="n">
        <v>21523.02</v>
      </c>
      <c r="N426" s="31" t="n">
        <v>21495.78</v>
      </c>
      <c r="O426" s="31" t="n">
        <v>21577.49</v>
      </c>
      <c r="P426" s="44" t="n">
        <f aca="false">ABS(M426-N426)</f>
        <v>27.2400000000016</v>
      </c>
      <c r="Q426" s="44" t="n">
        <f aca="false">IF(O426="","",ABS(O426-M426))</f>
        <v>54.4700000000012</v>
      </c>
      <c r="R426" s="30" t="n">
        <f aca="false">P426*L426*Summary!$C$6</f>
        <v>119.856000000007</v>
      </c>
      <c r="S426" s="31" t="n">
        <v>21577.54</v>
      </c>
      <c r="T426" s="28" t="s">
        <v>214</v>
      </c>
      <c r="U426" s="44" t="n">
        <f aca="false">IF(J426="BUY",S426-M426,M426-S426)</f>
        <v>54.5200000000004</v>
      </c>
      <c r="V426" s="45" t="n">
        <v>0</v>
      </c>
      <c r="W426" s="45" t="n">
        <v>0</v>
      </c>
      <c r="X426" s="45" t="n">
        <v>239.89</v>
      </c>
      <c r="Y426" s="32" t="n">
        <f aca="false">IFERROR(X426/R426,0)</f>
        <v>2.00148511547178</v>
      </c>
      <c r="Z426" s="28" t="str">
        <f aca="false">IF(X426&gt;0,"Win",IF(X426&lt;0,"Loss","Flat"))</f>
        <v>Win</v>
      </c>
      <c r="AA426" s="28" t="n">
        <f aca="false">ROUND((C426-B426)*1440,1)</f>
        <v>16</v>
      </c>
      <c r="AB426" s="28" t="str">
        <f aca="false">IF(AA426&lt;1,"a) &lt;1 min",IF(AA426&lt;10,"b) 1-10 min",IF(AA426&lt;60,"c) 10-60 min",IF(AA426&lt;240,"d) 1-4 h","e) 4 h+"))))</f>
        <v>c) 10-60 min</v>
      </c>
      <c r="AC426" s="28" t="str">
        <f aca="false">IF(P426&lt;10,"a) &lt;10",IF(P426&lt;20,"b) 10-20",IF(P426&lt;40,"c) 20-40",IF(P426&lt;80,"d) 40-80","e) 80+"))))</f>
        <v>c) 20-40</v>
      </c>
      <c r="AD426" s="30" t="n">
        <f aca="false">Summary!$C$5+SUM(X$2:X426)</f>
        <v>106327.69</v>
      </c>
      <c r="AE426" s="30" t="n">
        <f aca="false">MAX(AE425,AD426)</f>
        <v>106588.89</v>
      </c>
      <c r="AF426" s="30" t="n">
        <f aca="false">AE426-AD426</f>
        <v>261.199999999997</v>
      </c>
      <c r="AG426" s="29" t="n">
        <f aca="false">IFERROR(AF426/AE426,0)</f>
        <v>0.00245053682424122</v>
      </c>
    </row>
    <row r="427" customFormat="false" ht="15" hidden="false" customHeight="false" outlineLevel="0" collapsed="false">
      <c r="A427" s="28" t="n">
        <v>426</v>
      </c>
      <c r="B427" s="43" t="n">
        <v>45635.0680555556</v>
      </c>
      <c r="C427" s="43" t="n">
        <v>45635.0745138889</v>
      </c>
      <c r="D427" s="42" t="n">
        <f aca="false">INT(C427)</f>
        <v>45635</v>
      </c>
      <c r="E427" s="42" t="n">
        <f aca="false">D427-WEEKDAY(D427,3)</f>
        <v>45635</v>
      </c>
      <c r="F427" s="28" t="s">
        <v>163</v>
      </c>
      <c r="G427" s="28" t="n">
        <v>2024</v>
      </c>
      <c r="H427" s="28" t="s">
        <v>240</v>
      </c>
      <c r="I427" s="28" t="n">
        <v>1</v>
      </c>
      <c r="J427" s="28" t="s">
        <v>233</v>
      </c>
      <c r="K427" s="28" t="s">
        <v>234</v>
      </c>
      <c r="L427" s="28" t="n">
        <v>0.22</v>
      </c>
      <c r="M427" s="31" t="n">
        <v>21624.52</v>
      </c>
      <c r="N427" s="31" t="n">
        <v>21617.17</v>
      </c>
      <c r="O427" s="31" t="n">
        <v>21639.22</v>
      </c>
      <c r="P427" s="44" t="n">
        <f aca="false">ABS(M427-N427)</f>
        <v>7.35000000000218</v>
      </c>
      <c r="Q427" s="44" t="n">
        <f aca="false">IF(O427="","",ABS(O427-M427))</f>
        <v>14.7000000000007</v>
      </c>
      <c r="R427" s="30" t="n">
        <f aca="false">P427*L427*Summary!$C$6</f>
        <v>32.3400000000096</v>
      </c>
      <c r="S427" s="31" t="n">
        <v>21616.05</v>
      </c>
      <c r="T427" s="28" t="s">
        <v>241</v>
      </c>
      <c r="U427" s="44" t="n">
        <f aca="false">IF(J427="BUY",S427-M427,M427-S427)</f>
        <v>-8.47000000000116</v>
      </c>
      <c r="V427" s="45" t="n">
        <v>0</v>
      </c>
      <c r="W427" s="45" t="n">
        <v>0</v>
      </c>
      <c r="X427" s="45" t="n">
        <v>-37.27</v>
      </c>
      <c r="Y427" s="32" t="n">
        <f aca="false">IFERROR(X427/R427,0)</f>
        <v>-1.1524427952996</v>
      </c>
      <c r="Z427" s="28" t="str">
        <f aca="false">IF(X427&gt;0,"Win",IF(X427&lt;0,"Loss","Flat"))</f>
        <v>Loss</v>
      </c>
      <c r="AA427" s="28" t="n">
        <f aca="false">ROUND((C427-B427)*1440,1)</f>
        <v>9.3</v>
      </c>
      <c r="AB427" s="28" t="str">
        <f aca="false">IF(AA427&lt;1,"a) &lt;1 min",IF(AA427&lt;10,"b) 1-10 min",IF(AA427&lt;60,"c) 10-60 min",IF(AA427&lt;240,"d) 1-4 h","e) 4 h+"))))</f>
        <v>b) 1-10 min</v>
      </c>
      <c r="AC427" s="28" t="str">
        <f aca="false">IF(P427&lt;10,"a) &lt;10",IF(P427&lt;20,"b) 10-20",IF(P427&lt;40,"c) 20-40",IF(P427&lt;80,"d) 40-80","e) 80+"))))</f>
        <v>a) &lt;10</v>
      </c>
      <c r="AD427" s="30" t="n">
        <f aca="false">Summary!$C$5+SUM(X$2:X427)</f>
        <v>106290.42</v>
      </c>
      <c r="AE427" s="30" t="n">
        <f aca="false">MAX(AE426,AD427)</f>
        <v>106588.89</v>
      </c>
      <c r="AF427" s="30" t="n">
        <f aca="false">AE427-AD427</f>
        <v>298.470000000001</v>
      </c>
      <c r="AG427" s="29" t="n">
        <f aca="false">IFERROR(AF427/AE427,0)</f>
        <v>0.00280019803189621</v>
      </c>
    </row>
    <row r="428" customFormat="false" ht="15" hidden="false" customHeight="false" outlineLevel="0" collapsed="false">
      <c r="A428" s="28" t="n">
        <v>427</v>
      </c>
      <c r="B428" s="43" t="n">
        <v>45636.8861111111</v>
      </c>
      <c r="C428" s="43" t="n">
        <v>45636.8889467593</v>
      </c>
      <c r="D428" s="42" t="n">
        <f aca="false">INT(C428)</f>
        <v>45636</v>
      </c>
      <c r="E428" s="42" t="n">
        <f aca="false">D428-WEEKDAY(D428,3)</f>
        <v>45635</v>
      </c>
      <c r="F428" s="28" t="s">
        <v>163</v>
      </c>
      <c r="G428" s="28" t="n">
        <v>2024</v>
      </c>
      <c r="H428" s="28" t="s">
        <v>232</v>
      </c>
      <c r="I428" s="28" t="n">
        <v>21</v>
      </c>
      <c r="J428" s="28" t="s">
        <v>236</v>
      </c>
      <c r="K428" s="28" t="s">
        <v>237</v>
      </c>
      <c r="L428" s="28" t="n">
        <v>0.22</v>
      </c>
      <c r="M428" s="31" t="n">
        <v>21396.24</v>
      </c>
      <c r="N428" s="31" t="n">
        <v>21408.06</v>
      </c>
      <c r="O428" s="31" t="n">
        <v>21372.52</v>
      </c>
      <c r="P428" s="44" t="n">
        <f aca="false">ABS(M428-N428)</f>
        <v>11.8199999999997</v>
      </c>
      <c r="Q428" s="44" t="n">
        <f aca="false">IF(O428="","",ABS(O428-M428))</f>
        <v>23.7200000000012</v>
      </c>
      <c r="R428" s="30" t="n">
        <f aca="false">P428*L428*Summary!$C$6</f>
        <v>52.0079999999987</v>
      </c>
      <c r="S428" s="31" t="n">
        <v>21408.2</v>
      </c>
      <c r="T428" s="28" t="s">
        <v>241</v>
      </c>
      <c r="U428" s="44" t="n">
        <f aca="false">IF(J428="BUY",S428-M428,M428-S428)</f>
        <v>-11.9599999999991</v>
      </c>
      <c r="V428" s="45" t="n">
        <v>0</v>
      </c>
      <c r="W428" s="45" t="n">
        <v>0</v>
      </c>
      <c r="X428" s="45" t="n">
        <v>-52.62</v>
      </c>
      <c r="Y428" s="32" t="n">
        <f aca="false">IFERROR(X428/R428,0)</f>
        <v>-1.01176742039689</v>
      </c>
      <c r="Z428" s="28" t="str">
        <f aca="false">IF(X428&gt;0,"Win",IF(X428&lt;0,"Loss","Flat"))</f>
        <v>Loss</v>
      </c>
      <c r="AA428" s="28" t="n">
        <f aca="false">ROUND((C428-B428)*1440,1)</f>
        <v>4.1</v>
      </c>
      <c r="AB428" s="28" t="str">
        <f aca="false">IF(AA428&lt;1,"a) &lt;1 min",IF(AA428&lt;10,"b) 1-10 min",IF(AA428&lt;60,"c) 10-60 min",IF(AA428&lt;240,"d) 1-4 h","e) 4 h+"))))</f>
        <v>b) 1-10 min</v>
      </c>
      <c r="AC428" s="28" t="str">
        <f aca="false">IF(P428&lt;10,"a) &lt;10",IF(P428&lt;20,"b) 10-20",IF(P428&lt;40,"c) 20-40",IF(P428&lt;80,"d) 40-80","e) 80+"))))</f>
        <v>b) 10-20</v>
      </c>
      <c r="AD428" s="30" t="n">
        <f aca="false">Summary!$C$5+SUM(X$2:X428)</f>
        <v>106237.8</v>
      </c>
      <c r="AE428" s="30" t="n">
        <f aca="false">MAX(AE427,AD428)</f>
        <v>106588.89</v>
      </c>
      <c r="AF428" s="30" t="n">
        <f aca="false">AE428-AD428</f>
        <v>351.089999999997</v>
      </c>
      <c r="AG428" s="29" t="n">
        <f aca="false">IFERROR(AF428/AE428,0)</f>
        <v>0.00329387049625901</v>
      </c>
    </row>
    <row r="429" customFormat="false" ht="15" hidden="false" customHeight="false" outlineLevel="0" collapsed="false">
      <c r="A429" s="28" t="n">
        <v>428</v>
      </c>
      <c r="B429" s="43" t="n">
        <v>45637.6916666667</v>
      </c>
      <c r="C429" s="43" t="n">
        <v>45637.6934606481</v>
      </c>
      <c r="D429" s="42" t="n">
        <f aca="false">INT(C429)</f>
        <v>45637</v>
      </c>
      <c r="E429" s="42" t="n">
        <f aca="false">D429-WEEKDAY(D429,3)</f>
        <v>45635</v>
      </c>
      <c r="F429" s="28" t="s">
        <v>163</v>
      </c>
      <c r="G429" s="28" t="n">
        <v>2024</v>
      </c>
      <c r="H429" s="28" t="s">
        <v>235</v>
      </c>
      <c r="I429" s="28" t="n">
        <v>16</v>
      </c>
      <c r="J429" s="28" t="s">
        <v>233</v>
      </c>
      <c r="K429" s="28" t="s">
        <v>234</v>
      </c>
      <c r="L429" s="28" t="n">
        <v>0.22</v>
      </c>
      <c r="M429" s="31" t="n">
        <v>21579.72</v>
      </c>
      <c r="N429" s="31" t="n">
        <v>21555.04</v>
      </c>
      <c r="O429" s="31" t="n">
        <v>21629.07</v>
      </c>
      <c r="P429" s="44" t="n">
        <f aca="false">ABS(M429-N429)</f>
        <v>24.6800000000003</v>
      </c>
      <c r="Q429" s="44" t="n">
        <f aca="false">IF(O429="","",ABS(O429-M429))</f>
        <v>49.3499999999985</v>
      </c>
      <c r="R429" s="30" t="n">
        <f aca="false">P429*L429*Summary!$C$6</f>
        <v>108.592000000001</v>
      </c>
      <c r="S429" s="31" t="n">
        <v>21554.69</v>
      </c>
      <c r="T429" s="28" t="s">
        <v>241</v>
      </c>
      <c r="U429" s="44" t="n">
        <f aca="false">IF(J429="BUY",S429-M429,M429-S429)</f>
        <v>-25.0300000000025</v>
      </c>
      <c r="V429" s="45" t="n">
        <v>0</v>
      </c>
      <c r="W429" s="45" t="n">
        <v>0</v>
      </c>
      <c r="X429" s="45" t="n">
        <v>-110.13</v>
      </c>
      <c r="Y429" s="32" t="n">
        <f aca="false">IFERROR(X429/R429,0)</f>
        <v>-1.01416310593781</v>
      </c>
      <c r="Z429" s="28" t="str">
        <f aca="false">IF(X429&gt;0,"Win",IF(X429&lt;0,"Loss","Flat"))</f>
        <v>Loss</v>
      </c>
      <c r="AA429" s="28" t="n">
        <f aca="false">ROUND((C429-B429)*1440,1)</f>
        <v>2.6</v>
      </c>
      <c r="AB429" s="28" t="str">
        <f aca="false">IF(AA429&lt;1,"a) &lt;1 min",IF(AA429&lt;10,"b) 1-10 min",IF(AA429&lt;60,"c) 10-60 min",IF(AA429&lt;240,"d) 1-4 h","e) 4 h+"))))</f>
        <v>b) 1-10 min</v>
      </c>
      <c r="AC429" s="28" t="str">
        <f aca="false">IF(P429&lt;10,"a) &lt;10",IF(P429&lt;20,"b) 10-20",IF(P429&lt;40,"c) 20-40",IF(P429&lt;80,"d) 40-80","e) 80+"))))</f>
        <v>c) 20-40</v>
      </c>
      <c r="AD429" s="30" t="n">
        <f aca="false">Summary!$C$5+SUM(X$2:X429)</f>
        <v>106127.67</v>
      </c>
      <c r="AE429" s="30" t="n">
        <f aca="false">MAX(AE428,AD429)</f>
        <v>106588.89</v>
      </c>
      <c r="AF429" s="30" t="n">
        <f aca="false">AE429-AD429</f>
        <v>461.220000000001</v>
      </c>
      <c r="AG429" s="29" t="n">
        <f aca="false">IFERROR(AF429/AE429,0)</f>
        <v>0.00432709262663305</v>
      </c>
    </row>
    <row r="430" customFormat="false" ht="15" hidden="false" customHeight="false" outlineLevel="0" collapsed="false">
      <c r="A430" s="28" t="n">
        <v>429</v>
      </c>
      <c r="B430" s="43" t="n">
        <v>45639.1013888889</v>
      </c>
      <c r="C430" s="43" t="n">
        <v>45639.1079976852</v>
      </c>
      <c r="D430" s="42" t="n">
        <f aca="false">INT(C430)</f>
        <v>45639</v>
      </c>
      <c r="E430" s="42" t="n">
        <f aca="false">D430-WEEKDAY(D430,3)</f>
        <v>45635</v>
      </c>
      <c r="F430" s="28" t="s">
        <v>163</v>
      </c>
      <c r="G430" s="28" t="n">
        <v>2024</v>
      </c>
      <c r="H430" s="28" t="s">
        <v>242</v>
      </c>
      <c r="I430" s="28" t="n">
        <v>2</v>
      </c>
      <c r="J430" s="28" t="s">
        <v>233</v>
      </c>
      <c r="K430" s="28" t="s">
        <v>234</v>
      </c>
      <c r="L430" s="28" t="n">
        <v>0.21</v>
      </c>
      <c r="M430" s="31" t="n">
        <v>21738.01</v>
      </c>
      <c r="N430" s="31" t="n">
        <v>21732.39</v>
      </c>
      <c r="O430" s="31" t="n">
        <v>21749.26</v>
      </c>
      <c r="P430" s="44" t="n">
        <f aca="false">ABS(M430-N430)</f>
        <v>5.61999999999898</v>
      </c>
      <c r="Q430" s="44" t="n">
        <f aca="false">IF(O430="","",ABS(O430-M430))</f>
        <v>11.25</v>
      </c>
      <c r="R430" s="30" t="n">
        <f aca="false">P430*L430*Summary!$C$6</f>
        <v>23.6039999999957</v>
      </c>
      <c r="S430" s="31" t="n">
        <v>21732.09</v>
      </c>
      <c r="T430" s="28" t="s">
        <v>241</v>
      </c>
      <c r="U430" s="44" t="n">
        <f aca="false">IF(J430="BUY",S430-M430,M430-S430)</f>
        <v>-5.91999999999825</v>
      </c>
      <c r="V430" s="45" t="n">
        <v>0</v>
      </c>
      <c r="W430" s="45" t="n">
        <v>0</v>
      </c>
      <c r="X430" s="45" t="n">
        <v>-24.86</v>
      </c>
      <c r="Y430" s="32" t="n">
        <f aca="false">IFERROR(X430/R430,0)</f>
        <v>-1.05321132011543</v>
      </c>
      <c r="Z430" s="28" t="str">
        <f aca="false">IF(X430&gt;0,"Win",IF(X430&lt;0,"Loss","Flat"))</f>
        <v>Loss</v>
      </c>
      <c r="AA430" s="28" t="n">
        <f aca="false">ROUND((C430-B430)*1440,1)</f>
        <v>9.5</v>
      </c>
      <c r="AB430" s="28" t="str">
        <f aca="false">IF(AA430&lt;1,"a) &lt;1 min",IF(AA430&lt;10,"b) 1-10 min",IF(AA430&lt;60,"c) 10-60 min",IF(AA430&lt;240,"d) 1-4 h","e) 4 h+"))))</f>
        <v>b) 1-10 min</v>
      </c>
      <c r="AC430" s="28" t="str">
        <f aca="false">IF(P430&lt;10,"a) &lt;10",IF(P430&lt;20,"b) 10-20",IF(P430&lt;40,"c) 20-40",IF(P430&lt;80,"d) 40-80","e) 80+"))))</f>
        <v>a) &lt;10</v>
      </c>
      <c r="AD430" s="30" t="n">
        <f aca="false">Summary!$C$5+SUM(X$2:X430)</f>
        <v>106102.81</v>
      </c>
      <c r="AE430" s="30" t="n">
        <f aca="false">MAX(AE429,AD430)</f>
        <v>106588.89</v>
      </c>
      <c r="AF430" s="30" t="n">
        <f aca="false">AE430-AD430</f>
        <v>486.080000000002</v>
      </c>
      <c r="AG430" s="29" t="n">
        <f aca="false">IFERROR(AF430/AE430,0)</f>
        <v>0.00456032518961406</v>
      </c>
    </row>
    <row r="431" customFormat="false" ht="15" hidden="false" customHeight="false" outlineLevel="0" collapsed="false">
      <c r="A431" s="28" t="n">
        <v>430</v>
      </c>
      <c r="B431" s="43" t="n">
        <v>45642.6465277778</v>
      </c>
      <c r="C431" s="43" t="n">
        <v>45642.6533217593</v>
      </c>
      <c r="D431" s="42" t="n">
        <f aca="false">INT(C431)</f>
        <v>45642</v>
      </c>
      <c r="E431" s="42" t="n">
        <f aca="false">D431-WEEKDAY(D431,3)</f>
        <v>45642</v>
      </c>
      <c r="F431" s="28" t="s">
        <v>163</v>
      </c>
      <c r="G431" s="28" t="n">
        <v>2024</v>
      </c>
      <c r="H431" s="28" t="s">
        <v>240</v>
      </c>
      <c r="I431" s="28" t="n">
        <v>15</v>
      </c>
      <c r="J431" s="28" t="s">
        <v>233</v>
      </c>
      <c r="K431" s="28" t="s">
        <v>234</v>
      </c>
      <c r="L431" s="28" t="n">
        <v>0.21</v>
      </c>
      <c r="M431" s="31" t="n">
        <v>21892.39</v>
      </c>
      <c r="N431" s="31" t="n">
        <v>21883.15</v>
      </c>
      <c r="O431" s="31" t="n">
        <v>21910.87</v>
      </c>
      <c r="P431" s="44" t="n">
        <f aca="false">ABS(M431-N431)</f>
        <v>9.23999999999796</v>
      </c>
      <c r="Q431" s="44" t="n">
        <f aca="false">IF(O431="","",ABS(O431-M431))</f>
        <v>18.4799999999996</v>
      </c>
      <c r="R431" s="30" t="n">
        <f aca="false">P431*L431*Summary!$C$6</f>
        <v>38.8079999999914</v>
      </c>
      <c r="S431" s="31" t="n">
        <v>21882.91</v>
      </c>
      <c r="T431" s="28" t="s">
        <v>241</v>
      </c>
      <c r="U431" s="44" t="n">
        <f aca="false">IF(J431="BUY",S431-M431,M431-S431)</f>
        <v>-9.47999999999956</v>
      </c>
      <c r="V431" s="45" t="n">
        <v>0</v>
      </c>
      <c r="W431" s="45" t="n">
        <v>0</v>
      </c>
      <c r="X431" s="45" t="n">
        <v>-39.82</v>
      </c>
      <c r="Y431" s="32" t="n">
        <f aca="false">IFERROR(X431/R431,0)</f>
        <v>-1.0260770975059</v>
      </c>
      <c r="Z431" s="28" t="str">
        <f aca="false">IF(X431&gt;0,"Win",IF(X431&lt;0,"Loss","Flat"))</f>
        <v>Loss</v>
      </c>
      <c r="AA431" s="28" t="n">
        <f aca="false">ROUND((C431-B431)*1440,1)</f>
        <v>9.8</v>
      </c>
      <c r="AB431" s="28" t="str">
        <f aca="false">IF(AA431&lt;1,"a) &lt;1 min",IF(AA431&lt;10,"b) 1-10 min",IF(AA431&lt;60,"c) 10-60 min",IF(AA431&lt;240,"d) 1-4 h","e) 4 h+"))))</f>
        <v>b) 1-10 min</v>
      </c>
      <c r="AC431" s="28" t="str">
        <f aca="false">IF(P431&lt;10,"a) &lt;10",IF(P431&lt;20,"b) 10-20",IF(P431&lt;40,"c) 20-40",IF(P431&lt;80,"d) 40-80","e) 80+"))))</f>
        <v>a) &lt;10</v>
      </c>
      <c r="AD431" s="30" t="n">
        <f aca="false">Summary!$C$5+SUM(X$2:X431)</f>
        <v>106062.99</v>
      </c>
      <c r="AE431" s="30" t="n">
        <f aca="false">MAX(AE430,AD431)</f>
        <v>106588.89</v>
      </c>
      <c r="AF431" s="30" t="n">
        <f aca="false">AE431-AD431</f>
        <v>525.899999999994</v>
      </c>
      <c r="AG431" s="29" t="n">
        <f aca="false">IFERROR(AF431/AE431,0)</f>
        <v>0.00493391009138001</v>
      </c>
    </row>
    <row r="432" customFormat="false" ht="15" hidden="false" customHeight="false" outlineLevel="0" collapsed="false">
      <c r="A432" s="28" t="n">
        <v>431</v>
      </c>
      <c r="B432" s="43" t="n">
        <v>45644.04375</v>
      </c>
      <c r="C432" s="43" t="n">
        <v>45644.0456134259</v>
      </c>
      <c r="D432" s="42" t="n">
        <f aca="false">INT(C432)</f>
        <v>45644</v>
      </c>
      <c r="E432" s="42" t="n">
        <f aca="false">D432-WEEKDAY(D432,3)</f>
        <v>45642</v>
      </c>
      <c r="F432" s="28" t="s">
        <v>163</v>
      </c>
      <c r="G432" s="28" t="n">
        <v>2024</v>
      </c>
      <c r="H432" s="28" t="s">
        <v>235</v>
      </c>
      <c r="I432" s="28" t="n">
        <v>1</v>
      </c>
      <c r="J432" s="28" t="s">
        <v>236</v>
      </c>
      <c r="K432" s="28" t="s">
        <v>237</v>
      </c>
      <c r="L432" s="28" t="n">
        <v>0.21</v>
      </c>
      <c r="M432" s="31" t="n">
        <v>21912.82</v>
      </c>
      <c r="N432" s="31" t="n">
        <v>21934.11</v>
      </c>
      <c r="O432" s="31" t="n">
        <v>21870.24</v>
      </c>
      <c r="P432" s="44" t="n">
        <f aca="false">ABS(M432-N432)</f>
        <v>21.2900000000009</v>
      </c>
      <c r="Q432" s="44" t="n">
        <f aca="false">IF(O432="","",ABS(O432-M432))</f>
        <v>42.5799999999981</v>
      </c>
      <c r="R432" s="30" t="n">
        <f aca="false">P432*L432*Summary!$C$6</f>
        <v>89.4180000000037</v>
      </c>
      <c r="S432" s="31" t="n">
        <v>21913.03</v>
      </c>
      <c r="T432" s="28" t="s">
        <v>238</v>
      </c>
      <c r="U432" s="44" t="n">
        <f aca="false">IF(J432="BUY",S432-M432,M432-S432)</f>
        <v>-0.209999999999127</v>
      </c>
      <c r="V432" s="45" t="n">
        <v>0</v>
      </c>
      <c r="W432" s="45" t="n">
        <v>0</v>
      </c>
      <c r="X432" s="45" t="n">
        <v>-0.88</v>
      </c>
      <c r="Y432" s="32" t="n">
        <f aca="false">IFERROR(X432/R432,0)</f>
        <v>-0.00984141895367783</v>
      </c>
      <c r="Z432" s="28" t="str">
        <f aca="false">IF(X432&gt;0,"Win",IF(X432&lt;0,"Loss","Flat"))</f>
        <v>Loss</v>
      </c>
      <c r="AA432" s="28" t="n">
        <f aca="false">ROUND((C432-B432)*1440,1)</f>
        <v>2.7</v>
      </c>
      <c r="AB432" s="28" t="str">
        <f aca="false">IF(AA432&lt;1,"a) &lt;1 min",IF(AA432&lt;10,"b) 1-10 min",IF(AA432&lt;60,"c) 10-60 min",IF(AA432&lt;240,"d) 1-4 h","e) 4 h+"))))</f>
        <v>b) 1-10 min</v>
      </c>
      <c r="AC432" s="28" t="str">
        <f aca="false">IF(P432&lt;10,"a) &lt;10",IF(P432&lt;20,"b) 10-20",IF(P432&lt;40,"c) 20-40",IF(P432&lt;80,"d) 40-80","e) 80+"))))</f>
        <v>c) 20-40</v>
      </c>
      <c r="AD432" s="30" t="n">
        <f aca="false">Summary!$C$5+SUM(X$2:X432)</f>
        <v>106062.11</v>
      </c>
      <c r="AE432" s="30" t="n">
        <f aca="false">MAX(AE431,AD432)</f>
        <v>106588.89</v>
      </c>
      <c r="AF432" s="30" t="n">
        <f aca="false">AE432-AD432</f>
        <v>526.779999999999</v>
      </c>
      <c r="AG432" s="29" t="n">
        <f aca="false">IFERROR(AF432/AE432,0)</f>
        <v>0.00494216611130859</v>
      </c>
    </row>
    <row r="433" customFormat="false" ht="15" hidden="false" customHeight="false" outlineLevel="0" collapsed="false">
      <c r="A433" s="28" t="n">
        <v>432</v>
      </c>
      <c r="B433" s="43" t="n">
        <v>45646.0902777778</v>
      </c>
      <c r="C433" s="43" t="n">
        <v>45646.094849537</v>
      </c>
      <c r="D433" s="42" t="n">
        <f aca="false">INT(C433)</f>
        <v>45646</v>
      </c>
      <c r="E433" s="42" t="n">
        <f aca="false">D433-WEEKDAY(D433,3)</f>
        <v>45642</v>
      </c>
      <c r="F433" s="28" t="s">
        <v>163</v>
      </c>
      <c r="G433" s="28" t="n">
        <v>2024</v>
      </c>
      <c r="H433" s="28" t="s">
        <v>242</v>
      </c>
      <c r="I433" s="28" t="n">
        <v>2</v>
      </c>
      <c r="J433" s="28" t="s">
        <v>236</v>
      </c>
      <c r="K433" s="28" t="s">
        <v>237</v>
      </c>
      <c r="L433" s="28" t="n">
        <v>0.22</v>
      </c>
      <c r="M433" s="31" t="n">
        <v>21061.24</v>
      </c>
      <c r="N433" s="31" t="n">
        <v>21080.47</v>
      </c>
      <c r="O433" s="31" t="n">
        <v>21022.77</v>
      </c>
      <c r="P433" s="44" t="n">
        <f aca="false">ABS(M433-N433)</f>
        <v>19.2299999999996</v>
      </c>
      <c r="Q433" s="44" t="n">
        <f aca="false">IF(O433="","",ABS(O433-M433))</f>
        <v>38.4700000000012</v>
      </c>
      <c r="R433" s="30" t="n">
        <f aca="false">P433*L433*Summary!$C$6</f>
        <v>84.6119999999981</v>
      </c>
      <c r="S433" s="31" t="n">
        <v>21022.42</v>
      </c>
      <c r="T433" s="28" t="s">
        <v>214</v>
      </c>
      <c r="U433" s="44" t="n">
        <f aca="false">IF(J433="BUY",S433-M433,M433-S433)</f>
        <v>38.8200000000034</v>
      </c>
      <c r="V433" s="45" t="n">
        <v>0</v>
      </c>
      <c r="W433" s="45" t="n">
        <v>0</v>
      </c>
      <c r="X433" s="45" t="n">
        <v>170.81</v>
      </c>
      <c r="Y433" s="32" t="n">
        <f aca="false">IFERROR(X433/R433,0)</f>
        <v>2.01874438613913</v>
      </c>
      <c r="Z433" s="28" t="str">
        <f aca="false">IF(X433&gt;0,"Win",IF(X433&lt;0,"Loss","Flat"))</f>
        <v>Win</v>
      </c>
      <c r="AA433" s="28" t="n">
        <f aca="false">ROUND((C433-B433)*1440,1)</f>
        <v>6.6</v>
      </c>
      <c r="AB433" s="28" t="str">
        <f aca="false">IF(AA433&lt;1,"a) &lt;1 min",IF(AA433&lt;10,"b) 1-10 min",IF(AA433&lt;60,"c) 10-60 min",IF(AA433&lt;240,"d) 1-4 h","e) 4 h+"))))</f>
        <v>b) 1-10 min</v>
      </c>
      <c r="AC433" s="28" t="str">
        <f aca="false">IF(P433&lt;10,"a) &lt;10",IF(P433&lt;20,"b) 10-20",IF(P433&lt;40,"c) 20-40",IF(P433&lt;80,"d) 40-80","e) 80+"))))</f>
        <v>b) 10-20</v>
      </c>
      <c r="AD433" s="30" t="n">
        <f aca="false">Summary!$C$5+SUM(X$2:X433)</f>
        <v>106232.92</v>
      </c>
      <c r="AE433" s="30" t="n">
        <f aca="false">MAX(AE432,AD433)</f>
        <v>106588.89</v>
      </c>
      <c r="AF433" s="30" t="n">
        <f aca="false">AE433-AD433</f>
        <v>355.970000000001</v>
      </c>
      <c r="AG433" s="29" t="n">
        <f aca="false">IFERROR(AF433/AE433,0)</f>
        <v>0.00333965387949908</v>
      </c>
    </row>
    <row r="434" customFormat="false" ht="15" hidden="false" customHeight="false" outlineLevel="0" collapsed="false">
      <c r="A434" s="28" t="n">
        <v>433</v>
      </c>
      <c r="B434" s="43" t="n">
        <v>45646.7652777778</v>
      </c>
      <c r="C434" s="43" t="n">
        <v>45646.7756712963</v>
      </c>
      <c r="D434" s="42" t="n">
        <f aca="false">INT(C434)</f>
        <v>45646</v>
      </c>
      <c r="E434" s="42" t="n">
        <f aca="false">D434-WEEKDAY(D434,3)</f>
        <v>45642</v>
      </c>
      <c r="F434" s="28" t="s">
        <v>163</v>
      </c>
      <c r="G434" s="28" t="n">
        <v>2024</v>
      </c>
      <c r="H434" s="28" t="s">
        <v>242</v>
      </c>
      <c r="I434" s="28" t="n">
        <v>18</v>
      </c>
      <c r="J434" s="28" t="s">
        <v>233</v>
      </c>
      <c r="K434" s="28" t="s">
        <v>234</v>
      </c>
      <c r="L434" s="28" t="n">
        <v>0.22</v>
      </c>
      <c r="M434" s="31" t="n">
        <v>21401.18</v>
      </c>
      <c r="N434" s="31" t="n">
        <v>21368.89</v>
      </c>
      <c r="O434" s="31" t="n">
        <v>21468.52</v>
      </c>
      <c r="P434" s="44" t="n">
        <f aca="false">ABS(M434-N434)</f>
        <v>32.2900000000009</v>
      </c>
      <c r="Q434" s="44" t="n">
        <f aca="false">IF(O434="","",ABS(O434-M434))</f>
        <v>67.3400000000002</v>
      </c>
      <c r="R434" s="30" t="n">
        <f aca="false">P434*L434*Summary!$C$6</f>
        <v>142.076000000004</v>
      </c>
      <c r="S434" s="31" t="n">
        <v>21468.65</v>
      </c>
      <c r="T434" s="28" t="s">
        <v>214</v>
      </c>
      <c r="U434" s="44" t="n">
        <f aca="false">IF(J434="BUY",S434-M434,M434-S434)</f>
        <v>67.4700000000012</v>
      </c>
      <c r="V434" s="45" t="n">
        <v>0</v>
      </c>
      <c r="W434" s="45" t="n">
        <v>0</v>
      </c>
      <c r="X434" s="45" t="n">
        <v>296.87</v>
      </c>
      <c r="Y434" s="32" t="n">
        <f aca="false">IFERROR(X434/R434,0)</f>
        <v>2.08951547059315</v>
      </c>
      <c r="Z434" s="28" t="str">
        <f aca="false">IF(X434&gt;0,"Win",IF(X434&lt;0,"Loss","Flat"))</f>
        <v>Win</v>
      </c>
      <c r="AA434" s="28" t="n">
        <f aca="false">ROUND((C434-B434)*1440,1)</f>
        <v>15</v>
      </c>
      <c r="AB434" s="28" t="str">
        <f aca="false">IF(AA434&lt;1,"a) &lt;1 min",IF(AA434&lt;10,"b) 1-10 min",IF(AA434&lt;60,"c) 10-60 min",IF(AA434&lt;240,"d) 1-4 h","e) 4 h+"))))</f>
        <v>c) 10-60 min</v>
      </c>
      <c r="AC434" s="28" t="str">
        <f aca="false">IF(P434&lt;10,"a) &lt;10",IF(P434&lt;20,"b) 10-20",IF(P434&lt;40,"c) 20-40",IF(P434&lt;80,"d) 40-80","e) 80+"))))</f>
        <v>c) 20-40</v>
      </c>
      <c r="AD434" s="30" t="n">
        <f aca="false">Summary!$C$5+SUM(X$2:X434)</f>
        <v>106529.79</v>
      </c>
      <c r="AE434" s="30" t="n">
        <f aca="false">MAX(AE433,AD434)</f>
        <v>106588.89</v>
      </c>
      <c r="AF434" s="30" t="n">
        <f aca="false">AE434-AD434</f>
        <v>59.1000000000058</v>
      </c>
      <c r="AG434" s="29" t="n">
        <f aca="false">IFERROR(AF434/AE434,0)</f>
        <v>0.000554466792927535</v>
      </c>
    </row>
    <row r="435" customFormat="false" ht="15" hidden="false" customHeight="false" outlineLevel="0" collapsed="false">
      <c r="A435" s="28" t="n">
        <v>434</v>
      </c>
      <c r="B435" s="43" t="n">
        <v>45650.3763888889</v>
      </c>
      <c r="C435" s="43" t="n">
        <v>45650.3871296296</v>
      </c>
      <c r="D435" s="42" t="n">
        <f aca="false">INT(C435)</f>
        <v>45650</v>
      </c>
      <c r="E435" s="42" t="n">
        <f aca="false">D435-WEEKDAY(D435,3)</f>
        <v>45649</v>
      </c>
      <c r="F435" s="28" t="s">
        <v>163</v>
      </c>
      <c r="G435" s="28" t="n">
        <v>2024</v>
      </c>
      <c r="H435" s="28" t="s">
        <v>232</v>
      </c>
      <c r="I435" s="28" t="n">
        <v>9</v>
      </c>
      <c r="J435" s="28" t="s">
        <v>233</v>
      </c>
      <c r="K435" s="28" t="s">
        <v>234</v>
      </c>
      <c r="L435" s="28" t="n">
        <v>0.22</v>
      </c>
      <c r="M435" s="31" t="n">
        <v>21512.55</v>
      </c>
      <c r="N435" s="31" t="n">
        <v>21506.52</v>
      </c>
      <c r="O435" s="31" t="n">
        <v>21524.62</v>
      </c>
      <c r="P435" s="44" t="n">
        <f aca="false">ABS(M435-N435)</f>
        <v>6.02999999999884</v>
      </c>
      <c r="Q435" s="44" t="n">
        <f aca="false">IF(O435="","",ABS(O435-M435))</f>
        <v>12.0699999999997</v>
      </c>
      <c r="R435" s="30" t="n">
        <f aca="false">P435*L435*Summary!$C$6</f>
        <v>26.5319999999949</v>
      </c>
      <c r="S435" s="31" t="n">
        <v>21512.52</v>
      </c>
      <c r="T435" s="28" t="s">
        <v>238</v>
      </c>
      <c r="U435" s="44" t="n">
        <f aca="false">IF(J435="BUY",S435-M435,M435-S435)</f>
        <v>-0.0299999999988358</v>
      </c>
      <c r="V435" s="45" t="n">
        <v>0</v>
      </c>
      <c r="W435" s="45" t="n">
        <v>0</v>
      </c>
      <c r="X435" s="45" t="n">
        <v>-0.13</v>
      </c>
      <c r="Y435" s="32" t="n">
        <f aca="false">IFERROR(X435/R435,0)</f>
        <v>-0.0048997437057148</v>
      </c>
      <c r="Z435" s="28" t="str">
        <f aca="false">IF(X435&gt;0,"Win",IF(X435&lt;0,"Loss","Flat"))</f>
        <v>Loss</v>
      </c>
      <c r="AA435" s="28" t="n">
        <f aca="false">ROUND((C435-B435)*1440,1)</f>
        <v>15.5</v>
      </c>
      <c r="AB435" s="28" t="str">
        <f aca="false">IF(AA435&lt;1,"a) &lt;1 min",IF(AA435&lt;10,"b) 1-10 min",IF(AA435&lt;60,"c) 10-60 min",IF(AA435&lt;240,"d) 1-4 h","e) 4 h+"))))</f>
        <v>c) 10-60 min</v>
      </c>
      <c r="AC435" s="28" t="str">
        <f aca="false">IF(P435&lt;10,"a) &lt;10",IF(P435&lt;20,"b) 10-20",IF(P435&lt;40,"c) 20-40",IF(P435&lt;80,"d) 40-80","e) 80+"))))</f>
        <v>a) &lt;10</v>
      </c>
      <c r="AD435" s="30" t="n">
        <f aca="false">Summary!$C$5+SUM(X$2:X435)</f>
        <v>106529.66</v>
      </c>
      <c r="AE435" s="30" t="n">
        <f aca="false">MAX(AE434,AD435)</f>
        <v>106588.89</v>
      </c>
      <c r="AF435" s="30" t="n">
        <f aca="false">AE435-AD435</f>
        <v>59.2299999999959</v>
      </c>
      <c r="AG435" s="29" t="n">
        <f aca="false">IFERROR(AF435/AE435,0)</f>
        <v>0.000555686432235066</v>
      </c>
    </row>
    <row r="436" customFormat="false" ht="15" hidden="false" customHeight="false" outlineLevel="0" collapsed="false">
      <c r="A436" s="28" t="n">
        <v>435</v>
      </c>
      <c r="B436" s="43" t="n">
        <v>45652.0430555556</v>
      </c>
      <c r="C436" s="43" t="n">
        <v>45652.0584722222</v>
      </c>
      <c r="D436" s="42" t="n">
        <f aca="false">INT(C436)</f>
        <v>45652</v>
      </c>
      <c r="E436" s="42" t="n">
        <f aca="false">D436-WEEKDAY(D436,3)</f>
        <v>45649</v>
      </c>
      <c r="F436" s="28" t="s">
        <v>163</v>
      </c>
      <c r="G436" s="28" t="n">
        <v>2024</v>
      </c>
      <c r="H436" s="28" t="s">
        <v>239</v>
      </c>
      <c r="I436" s="28" t="n">
        <v>1</v>
      </c>
      <c r="J436" s="28" t="s">
        <v>233</v>
      </c>
      <c r="K436" s="28" t="s">
        <v>234</v>
      </c>
      <c r="L436" s="28" t="n">
        <v>0.21</v>
      </c>
      <c r="M436" s="31" t="n">
        <v>21813.5</v>
      </c>
      <c r="N436" s="31" t="n">
        <v>21797.65</v>
      </c>
      <c r="O436" s="31" t="n">
        <v>21845.2</v>
      </c>
      <c r="P436" s="44" t="n">
        <f aca="false">ABS(M436-N436)</f>
        <v>15.8499999999985</v>
      </c>
      <c r="Q436" s="44" t="n">
        <f aca="false">IF(O436="","",ABS(O436-M436))</f>
        <v>31.7000000000007</v>
      </c>
      <c r="R436" s="30" t="n">
        <f aca="false">P436*L436*Summary!$C$6</f>
        <v>66.5699999999939</v>
      </c>
      <c r="S436" s="31" t="n">
        <v>21813.02</v>
      </c>
      <c r="T436" s="28" t="s">
        <v>238</v>
      </c>
      <c r="U436" s="44" t="n">
        <f aca="false">IF(J436="BUY",S436-M436,M436-S436)</f>
        <v>-0.479999999999563</v>
      </c>
      <c r="V436" s="45" t="n">
        <v>0</v>
      </c>
      <c r="W436" s="45" t="n">
        <v>0</v>
      </c>
      <c r="X436" s="45" t="n">
        <v>-2.02</v>
      </c>
      <c r="Y436" s="32" t="n">
        <f aca="false">IFERROR(X436/R436,0)</f>
        <v>-0.0303439987982603</v>
      </c>
      <c r="Z436" s="28" t="str">
        <f aca="false">IF(X436&gt;0,"Win",IF(X436&lt;0,"Loss","Flat"))</f>
        <v>Loss</v>
      </c>
      <c r="AA436" s="28" t="n">
        <f aca="false">ROUND((C436-B436)*1440,1)</f>
        <v>22.2</v>
      </c>
      <c r="AB436" s="28" t="str">
        <f aca="false">IF(AA436&lt;1,"a) &lt;1 min",IF(AA436&lt;10,"b) 1-10 min",IF(AA436&lt;60,"c) 10-60 min",IF(AA436&lt;240,"d) 1-4 h","e) 4 h+"))))</f>
        <v>c) 10-60 min</v>
      </c>
      <c r="AC436" s="28" t="str">
        <f aca="false">IF(P436&lt;10,"a) &lt;10",IF(P436&lt;20,"b) 10-20",IF(P436&lt;40,"c) 20-40",IF(P436&lt;80,"d) 40-80","e) 80+"))))</f>
        <v>b) 10-20</v>
      </c>
      <c r="AD436" s="30" t="n">
        <f aca="false">Summary!$C$5+SUM(X$2:X436)</f>
        <v>106527.64</v>
      </c>
      <c r="AE436" s="30" t="n">
        <f aca="false">MAX(AE435,AD436)</f>
        <v>106588.89</v>
      </c>
      <c r="AF436" s="30" t="n">
        <f aca="false">AE436-AD436</f>
        <v>61.25</v>
      </c>
      <c r="AG436" s="29" t="n">
        <f aca="false">IFERROR(AF436/AE436,0)</f>
        <v>0.000574637750707414</v>
      </c>
    </row>
    <row r="437" customFormat="false" ht="15" hidden="false" customHeight="false" outlineLevel="0" collapsed="false">
      <c r="A437" s="28" t="n">
        <v>436</v>
      </c>
      <c r="B437" s="43" t="n">
        <v>45653.6861111111</v>
      </c>
      <c r="C437" s="43" t="n">
        <v>45653.6877083333</v>
      </c>
      <c r="D437" s="42" t="n">
        <f aca="false">INT(C437)</f>
        <v>45653</v>
      </c>
      <c r="E437" s="42" t="n">
        <f aca="false">D437-WEEKDAY(D437,3)</f>
        <v>45649</v>
      </c>
      <c r="F437" s="28" t="s">
        <v>163</v>
      </c>
      <c r="G437" s="28" t="n">
        <v>2024</v>
      </c>
      <c r="H437" s="28" t="s">
        <v>242</v>
      </c>
      <c r="I437" s="28" t="n">
        <v>16</v>
      </c>
      <c r="J437" s="28" t="s">
        <v>236</v>
      </c>
      <c r="K437" s="28" t="s">
        <v>237</v>
      </c>
      <c r="L437" s="28" t="n">
        <v>0.22</v>
      </c>
      <c r="M437" s="31" t="n">
        <v>21628.8</v>
      </c>
      <c r="N437" s="31" t="n">
        <v>21643.11</v>
      </c>
      <c r="O437" s="31" t="n">
        <v>21600.75</v>
      </c>
      <c r="P437" s="44" t="n">
        <f aca="false">ABS(M437-N437)</f>
        <v>14.3100000000013</v>
      </c>
      <c r="Q437" s="44" t="n">
        <f aca="false">IF(O437="","",ABS(O437-M437))</f>
        <v>28.0499999999993</v>
      </c>
      <c r="R437" s="30" t="n">
        <f aca="false">P437*L437*Summary!$C$6</f>
        <v>62.9640000000058</v>
      </c>
      <c r="S437" s="31" t="n">
        <v>21629.61</v>
      </c>
      <c r="T437" s="28" t="s">
        <v>238</v>
      </c>
      <c r="U437" s="44" t="n">
        <f aca="false">IF(J437="BUY",S437-M437,M437-S437)</f>
        <v>-0.81000000000131</v>
      </c>
      <c r="V437" s="45" t="n">
        <v>0</v>
      </c>
      <c r="W437" s="45" t="n">
        <v>0</v>
      </c>
      <c r="X437" s="45" t="n">
        <v>-3.56</v>
      </c>
      <c r="Y437" s="32" t="n">
        <f aca="false">IFERROR(X437/R437,0)</f>
        <v>-0.0565402452194853</v>
      </c>
      <c r="Z437" s="28" t="str">
        <f aca="false">IF(X437&gt;0,"Win",IF(X437&lt;0,"Loss","Flat"))</f>
        <v>Loss</v>
      </c>
      <c r="AA437" s="28" t="n">
        <f aca="false">ROUND((C437-B437)*1440,1)</f>
        <v>2.3</v>
      </c>
      <c r="AB437" s="28" t="str">
        <f aca="false">IF(AA437&lt;1,"a) &lt;1 min",IF(AA437&lt;10,"b) 1-10 min",IF(AA437&lt;60,"c) 10-60 min",IF(AA437&lt;240,"d) 1-4 h","e) 4 h+"))))</f>
        <v>b) 1-10 min</v>
      </c>
      <c r="AC437" s="28" t="str">
        <f aca="false">IF(P437&lt;10,"a) &lt;10",IF(P437&lt;20,"b) 10-20",IF(P437&lt;40,"c) 20-40",IF(P437&lt;80,"d) 40-80","e) 80+"))))</f>
        <v>b) 10-20</v>
      </c>
      <c r="AD437" s="30" t="n">
        <f aca="false">Summary!$C$5+SUM(X$2:X437)</f>
        <v>106524.08</v>
      </c>
      <c r="AE437" s="30" t="n">
        <f aca="false">MAX(AE436,AD437)</f>
        <v>106588.89</v>
      </c>
      <c r="AF437" s="30" t="n">
        <f aca="false">AE437-AD437</f>
        <v>64.8099999999977</v>
      </c>
      <c r="AG437" s="29" t="n">
        <f aca="false">IFERROR(AF437/AE437,0)</f>
        <v>0.000608037104054632</v>
      </c>
    </row>
    <row r="438" customFormat="false" ht="15" hidden="false" customHeight="false" outlineLevel="0" collapsed="false">
      <c r="A438" s="28" t="n">
        <v>437</v>
      </c>
      <c r="B438" s="43" t="n">
        <v>45656.6173611111</v>
      </c>
      <c r="C438" s="43" t="n">
        <v>45656.6506597222</v>
      </c>
      <c r="D438" s="42" t="n">
        <f aca="false">INT(C438)</f>
        <v>45656</v>
      </c>
      <c r="E438" s="42" t="n">
        <f aca="false">D438-WEEKDAY(D438,3)</f>
        <v>45656</v>
      </c>
      <c r="F438" s="28" t="s">
        <v>163</v>
      </c>
      <c r="G438" s="28" t="n">
        <v>2024</v>
      </c>
      <c r="H438" s="28" t="s">
        <v>240</v>
      </c>
      <c r="I438" s="28" t="n">
        <v>14</v>
      </c>
      <c r="J438" s="28" t="s">
        <v>236</v>
      </c>
      <c r="K438" s="28" t="s">
        <v>237</v>
      </c>
      <c r="L438" s="28" t="n">
        <v>0.22</v>
      </c>
      <c r="M438" s="31" t="n">
        <v>21257.01</v>
      </c>
      <c r="N438" s="31" t="n">
        <v>21293.58</v>
      </c>
      <c r="O438" s="31" t="n">
        <v>21183.86</v>
      </c>
      <c r="P438" s="44" t="n">
        <f aca="false">ABS(M438-N438)</f>
        <v>36.5700000000034</v>
      </c>
      <c r="Q438" s="44" t="n">
        <f aca="false">IF(O438="","",ABS(O438-M438))</f>
        <v>73.1499999999978</v>
      </c>
      <c r="R438" s="30" t="n">
        <f aca="false">P438*L438*Summary!$C$6</f>
        <v>160.908000000015</v>
      </c>
      <c r="S438" s="31" t="n">
        <v>21183.78</v>
      </c>
      <c r="T438" s="28" t="s">
        <v>214</v>
      </c>
      <c r="U438" s="44" t="n">
        <f aca="false">IF(J438="BUY",S438-M438,M438-S438)</f>
        <v>73.2299999999996</v>
      </c>
      <c r="V438" s="45" t="n">
        <v>0</v>
      </c>
      <c r="W438" s="45" t="n">
        <v>0</v>
      </c>
      <c r="X438" s="45" t="n">
        <v>322.21</v>
      </c>
      <c r="Y438" s="32" t="n">
        <f aca="false">IFERROR(X438/R438,0)</f>
        <v>2.00244860417114</v>
      </c>
      <c r="Z438" s="28" t="str">
        <f aca="false">IF(X438&gt;0,"Win",IF(X438&lt;0,"Loss","Flat"))</f>
        <v>Win</v>
      </c>
      <c r="AA438" s="28" t="n">
        <f aca="false">ROUND((C438-B438)*1440,1)</f>
        <v>48</v>
      </c>
      <c r="AB438" s="28" t="str">
        <f aca="false">IF(AA438&lt;1,"a) &lt;1 min",IF(AA438&lt;10,"b) 1-10 min",IF(AA438&lt;60,"c) 10-60 min",IF(AA438&lt;240,"d) 1-4 h","e) 4 h+"))))</f>
        <v>c) 10-60 min</v>
      </c>
      <c r="AC438" s="28" t="str">
        <f aca="false">IF(P438&lt;10,"a) &lt;10",IF(P438&lt;20,"b) 10-20",IF(P438&lt;40,"c) 20-40",IF(P438&lt;80,"d) 40-80","e) 80+"))))</f>
        <v>c) 20-40</v>
      </c>
      <c r="AD438" s="30" t="n">
        <f aca="false">Summary!$C$5+SUM(X$2:X438)</f>
        <v>106846.29</v>
      </c>
      <c r="AE438" s="30" t="n">
        <f aca="false">MAX(AE437,AD438)</f>
        <v>106846.29</v>
      </c>
      <c r="AF438" s="30" t="n">
        <f aca="false">AE438-AD438</f>
        <v>0</v>
      </c>
      <c r="AG438" s="29" t="n">
        <f aca="false">IFERROR(AF438/AE438,0)</f>
        <v>0</v>
      </c>
    </row>
    <row r="439" customFormat="false" ht="15" hidden="false" customHeight="false" outlineLevel="0" collapsed="false">
      <c r="A439" s="28" t="n">
        <v>438</v>
      </c>
      <c r="B439" s="43" t="n">
        <v>45657.8145833333</v>
      </c>
      <c r="C439" s="43" t="n">
        <v>45657.8273032407</v>
      </c>
      <c r="D439" s="42" t="n">
        <f aca="false">INT(C439)</f>
        <v>45657</v>
      </c>
      <c r="E439" s="42" t="n">
        <f aca="false">D439-WEEKDAY(D439,3)</f>
        <v>45656</v>
      </c>
      <c r="F439" s="28" t="s">
        <v>163</v>
      </c>
      <c r="G439" s="28" t="n">
        <v>2024</v>
      </c>
      <c r="H439" s="28" t="s">
        <v>232</v>
      </c>
      <c r="I439" s="28" t="n">
        <v>19</v>
      </c>
      <c r="J439" s="28" t="s">
        <v>236</v>
      </c>
      <c r="K439" s="28" t="s">
        <v>237</v>
      </c>
      <c r="L439" s="28" t="n">
        <v>0.22</v>
      </c>
      <c r="M439" s="31" t="n">
        <v>21035.76</v>
      </c>
      <c r="N439" s="31" t="n">
        <v>21064.27</v>
      </c>
      <c r="O439" s="31" t="n">
        <v>20978.74</v>
      </c>
      <c r="P439" s="44" t="n">
        <f aca="false">ABS(M439-N439)</f>
        <v>28.510000000002</v>
      </c>
      <c r="Q439" s="44" t="n">
        <f aca="false">IF(O439="","",ABS(O439-M439))</f>
        <v>57.0199999999968</v>
      </c>
      <c r="R439" s="30" t="n">
        <f aca="false">P439*L439*Summary!$C$6</f>
        <v>125.444000000009</v>
      </c>
      <c r="S439" s="31" t="n">
        <v>21036.81</v>
      </c>
      <c r="T439" s="28" t="s">
        <v>238</v>
      </c>
      <c r="U439" s="44" t="n">
        <f aca="false">IF(J439="BUY",S439-M439,M439-S439)</f>
        <v>-1.05000000000291</v>
      </c>
      <c r="V439" s="45" t="n">
        <v>0</v>
      </c>
      <c r="W439" s="45" t="n">
        <v>0</v>
      </c>
      <c r="X439" s="45" t="n">
        <v>-4.62</v>
      </c>
      <c r="Y439" s="32" t="n">
        <f aca="false">IFERROR(X439/R439,0)</f>
        <v>-0.0368291827428946</v>
      </c>
      <c r="Z439" s="28" t="str">
        <f aca="false">IF(X439&gt;0,"Win",IF(X439&lt;0,"Loss","Flat"))</f>
        <v>Loss</v>
      </c>
      <c r="AA439" s="28" t="n">
        <f aca="false">ROUND((C439-B439)*1440,1)</f>
        <v>18.3</v>
      </c>
      <c r="AB439" s="28" t="str">
        <f aca="false">IF(AA439&lt;1,"a) &lt;1 min",IF(AA439&lt;10,"b) 1-10 min",IF(AA439&lt;60,"c) 10-60 min",IF(AA439&lt;240,"d) 1-4 h","e) 4 h+"))))</f>
        <v>c) 10-60 min</v>
      </c>
      <c r="AC439" s="28" t="str">
        <f aca="false">IF(P439&lt;10,"a) &lt;10",IF(P439&lt;20,"b) 10-20",IF(P439&lt;40,"c) 20-40",IF(P439&lt;80,"d) 40-80","e) 80+"))))</f>
        <v>c) 20-40</v>
      </c>
      <c r="AD439" s="30" t="n">
        <f aca="false">Summary!$C$5+SUM(X$2:X439)</f>
        <v>106841.67</v>
      </c>
      <c r="AE439" s="30" t="n">
        <f aca="false">MAX(AE438,AD439)</f>
        <v>106846.29</v>
      </c>
      <c r="AF439" s="30" t="n">
        <f aca="false">AE439-AD439</f>
        <v>4.61999999999534</v>
      </c>
      <c r="AG439" s="29" t="n">
        <f aca="false">IFERROR(AF439/AE439,0)</f>
        <v>4.32396857204433E-005</v>
      </c>
    </row>
    <row r="440" customFormat="false" ht="15" hidden="false" customHeight="false" outlineLevel="0" collapsed="false">
      <c r="A440" s="28" t="n">
        <v>439</v>
      </c>
      <c r="B440" s="43" t="n">
        <v>45659.0951388889</v>
      </c>
      <c r="C440" s="43" t="n">
        <v>45659.1068634259</v>
      </c>
      <c r="D440" s="42" t="n">
        <f aca="false">INT(C440)</f>
        <v>45659</v>
      </c>
      <c r="E440" s="42" t="n">
        <f aca="false">D440-WEEKDAY(D440,3)</f>
        <v>45656</v>
      </c>
      <c r="F440" s="28" t="s">
        <v>164</v>
      </c>
      <c r="G440" s="28" t="n">
        <v>2025</v>
      </c>
      <c r="H440" s="28" t="s">
        <v>239</v>
      </c>
      <c r="I440" s="28" t="n">
        <v>2</v>
      </c>
      <c r="J440" s="28" t="s">
        <v>236</v>
      </c>
      <c r="K440" s="28" t="s">
        <v>237</v>
      </c>
      <c r="L440" s="28" t="n">
        <v>0.22</v>
      </c>
      <c r="M440" s="31" t="n">
        <v>20967.85</v>
      </c>
      <c r="N440" s="31" t="n">
        <v>20995.02</v>
      </c>
      <c r="O440" s="31" t="n">
        <v>20913.51</v>
      </c>
      <c r="P440" s="44" t="n">
        <f aca="false">ABS(M440-N440)</f>
        <v>27.1700000000019</v>
      </c>
      <c r="Q440" s="44" t="n">
        <f aca="false">IF(O440="","",ABS(O440-M440))</f>
        <v>54.3400000000001</v>
      </c>
      <c r="R440" s="30" t="n">
        <f aca="false">P440*L440*Summary!$C$6</f>
        <v>119.548000000008</v>
      </c>
      <c r="S440" s="31" t="n">
        <v>20967.86</v>
      </c>
      <c r="T440" s="28" t="s">
        <v>238</v>
      </c>
      <c r="U440" s="44" t="n">
        <f aca="false">IF(J440="BUY",S440-M440,M440-S440)</f>
        <v>-0.0100000000020373</v>
      </c>
      <c r="V440" s="45" t="n">
        <v>0</v>
      </c>
      <c r="W440" s="45" t="n">
        <v>0</v>
      </c>
      <c r="X440" s="45" t="n">
        <v>-0.04</v>
      </c>
      <c r="Y440" s="32" t="n">
        <f aca="false">IFERROR(X440/R440,0)</f>
        <v>-0.000334593636029019</v>
      </c>
      <c r="Z440" s="28" t="str">
        <f aca="false">IF(X440&gt;0,"Win",IF(X440&lt;0,"Loss","Flat"))</f>
        <v>Loss</v>
      </c>
      <c r="AA440" s="28" t="n">
        <f aca="false">ROUND((C440-B440)*1440,1)</f>
        <v>16.9</v>
      </c>
      <c r="AB440" s="28" t="str">
        <f aca="false">IF(AA440&lt;1,"a) &lt;1 min",IF(AA440&lt;10,"b) 1-10 min",IF(AA440&lt;60,"c) 10-60 min",IF(AA440&lt;240,"d) 1-4 h","e) 4 h+"))))</f>
        <v>c) 10-60 min</v>
      </c>
      <c r="AC440" s="28" t="str">
        <f aca="false">IF(P440&lt;10,"a) &lt;10",IF(P440&lt;20,"b) 10-20",IF(P440&lt;40,"c) 20-40",IF(P440&lt;80,"d) 40-80","e) 80+"))))</f>
        <v>c) 20-40</v>
      </c>
      <c r="AD440" s="30" t="n">
        <f aca="false">Summary!$C$5+SUM(X$2:X440)</f>
        <v>106841.63</v>
      </c>
      <c r="AE440" s="30" t="n">
        <f aca="false">MAX(AE439,AD440)</f>
        <v>106846.29</v>
      </c>
      <c r="AF440" s="30" t="n">
        <f aca="false">AE440-AD440</f>
        <v>4.65999999998894</v>
      </c>
      <c r="AG440" s="29" t="n">
        <f aca="false">IFERROR(AF440/AE440,0)</f>
        <v>4.36140552937209E-005</v>
      </c>
    </row>
    <row r="441" customFormat="false" ht="15" hidden="false" customHeight="false" outlineLevel="0" collapsed="false">
      <c r="A441" s="28" t="n">
        <v>440</v>
      </c>
      <c r="B441" s="43" t="n">
        <v>45660.7854166667</v>
      </c>
      <c r="C441" s="43" t="n">
        <v>45660.7913888889</v>
      </c>
      <c r="D441" s="42" t="n">
        <f aca="false">INT(C441)</f>
        <v>45660</v>
      </c>
      <c r="E441" s="42" t="n">
        <f aca="false">D441-WEEKDAY(D441,3)</f>
        <v>45656</v>
      </c>
      <c r="F441" s="28" t="s">
        <v>164</v>
      </c>
      <c r="G441" s="28" t="n">
        <v>2025</v>
      </c>
      <c r="H441" s="28" t="s">
        <v>242</v>
      </c>
      <c r="I441" s="28" t="n">
        <v>18</v>
      </c>
      <c r="J441" s="28" t="s">
        <v>233</v>
      </c>
      <c r="K441" s="28" t="s">
        <v>234</v>
      </c>
      <c r="L441" s="28" t="n">
        <v>0.22</v>
      </c>
      <c r="M441" s="31" t="n">
        <v>21288.57</v>
      </c>
      <c r="N441" s="31" t="n">
        <v>21270.52</v>
      </c>
      <c r="O441" s="31" t="n">
        <v>21324.68</v>
      </c>
      <c r="P441" s="44" t="n">
        <f aca="false">ABS(M441-N441)</f>
        <v>18.0499999999993</v>
      </c>
      <c r="Q441" s="44" t="n">
        <f aca="false">IF(O441="","",ABS(O441-M441))</f>
        <v>36.1100000000006</v>
      </c>
      <c r="R441" s="30" t="n">
        <f aca="false">P441*L441*Summary!$C$6</f>
        <v>79.4199999999968</v>
      </c>
      <c r="S441" s="31" t="n">
        <v>21270.51</v>
      </c>
      <c r="T441" s="28" t="s">
        <v>241</v>
      </c>
      <c r="U441" s="44" t="n">
        <f aca="false">IF(J441="BUY",S441-M441,M441-S441)</f>
        <v>-18.0600000000013</v>
      </c>
      <c r="V441" s="45" t="n">
        <v>0</v>
      </c>
      <c r="W441" s="45" t="n">
        <v>0</v>
      </c>
      <c r="X441" s="45" t="n">
        <v>-79.46</v>
      </c>
      <c r="Y441" s="32" t="n">
        <f aca="false">IFERROR(X441/R441,0)</f>
        <v>-1.00050365147322</v>
      </c>
      <c r="Z441" s="28" t="str">
        <f aca="false">IF(X441&gt;0,"Win",IF(X441&lt;0,"Loss","Flat"))</f>
        <v>Loss</v>
      </c>
      <c r="AA441" s="28" t="n">
        <f aca="false">ROUND((C441-B441)*1440,1)</f>
        <v>8.6</v>
      </c>
      <c r="AB441" s="28" t="str">
        <f aca="false">IF(AA441&lt;1,"a) &lt;1 min",IF(AA441&lt;10,"b) 1-10 min",IF(AA441&lt;60,"c) 10-60 min",IF(AA441&lt;240,"d) 1-4 h","e) 4 h+"))))</f>
        <v>b) 1-10 min</v>
      </c>
      <c r="AC441" s="28" t="str">
        <f aca="false">IF(P441&lt;10,"a) &lt;10",IF(P441&lt;20,"b) 10-20",IF(P441&lt;40,"c) 20-40",IF(P441&lt;80,"d) 40-80","e) 80+"))))</f>
        <v>b) 10-20</v>
      </c>
      <c r="AD441" s="30" t="n">
        <f aca="false">Summary!$C$5+SUM(X$2:X441)</f>
        <v>106762.17</v>
      </c>
      <c r="AE441" s="30" t="n">
        <f aca="false">MAX(AE440,AD441)</f>
        <v>106846.29</v>
      </c>
      <c r="AF441" s="30" t="n">
        <f aca="false">AE441-AD441</f>
        <v>84.1199999999953</v>
      </c>
      <c r="AG441" s="29" t="n">
        <f aca="false">IFERROR(AF441/AE441,0)</f>
        <v>0.000787299212728821</v>
      </c>
    </row>
    <row r="442" customFormat="false" ht="15" hidden="false" customHeight="false" outlineLevel="0" collapsed="false">
      <c r="A442" s="28" t="n">
        <v>441</v>
      </c>
      <c r="B442" s="43" t="n">
        <v>45663.3847222222</v>
      </c>
      <c r="C442" s="43" t="n">
        <v>45663.3993171296</v>
      </c>
      <c r="D442" s="42" t="n">
        <f aca="false">INT(C442)</f>
        <v>45663</v>
      </c>
      <c r="E442" s="42" t="n">
        <f aca="false">D442-WEEKDAY(D442,3)</f>
        <v>45663</v>
      </c>
      <c r="F442" s="28" t="s">
        <v>164</v>
      </c>
      <c r="G442" s="28" t="n">
        <v>2025</v>
      </c>
      <c r="H442" s="28" t="s">
        <v>240</v>
      </c>
      <c r="I442" s="28" t="n">
        <v>9</v>
      </c>
      <c r="J442" s="28" t="s">
        <v>233</v>
      </c>
      <c r="K442" s="28" t="s">
        <v>234</v>
      </c>
      <c r="L442" s="28" t="n">
        <v>0.22</v>
      </c>
      <c r="M442" s="31" t="n">
        <v>21359.01</v>
      </c>
      <c r="N442" s="31" t="n">
        <v>21349.45</v>
      </c>
      <c r="O442" s="31" t="n">
        <v>21378.12</v>
      </c>
      <c r="P442" s="44" t="n">
        <f aca="false">ABS(M442-N442)</f>
        <v>9.55999999999767</v>
      </c>
      <c r="Q442" s="44" t="n">
        <f aca="false">IF(O442="","",ABS(O442-M442))</f>
        <v>19.1100000000006</v>
      </c>
      <c r="R442" s="30" t="n">
        <f aca="false">P442*L442*Summary!$C$6</f>
        <v>42.0639999999898</v>
      </c>
      <c r="S442" s="31" t="n">
        <v>21378.73</v>
      </c>
      <c r="T442" s="28" t="s">
        <v>214</v>
      </c>
      <c r="U442" s="44" t="n">
        <f aca="false">IF(J442="BUY",S442-M442,M442-S442)</f>
        <v>19.7200000000012</v>
      </c>
      <c r="V442" s="45" t="n">
        <v>0</v>
      </c>
      <c r="W442" s="45" t="n">
        <v>0</v>
      </c>
      <c r="X442" s="45" t="n">
        <v>86.77</v>
      </c>
      <c r="Y442" s="32" t="n">
        <f aca="false">IFERROR(X442/R442,0)</f>
        <v>2.06280905287232</v>
      </c>
      <c r="Z442" s="28" t="str">
        <f aca="false">IF(X442&gt;0,"Win",IF(X442&lt;0,"Loss","Flat"))</f>
        <v>Win</v>
      </c>
      <c r="AA442" s="28" t="n">
        <f aca="false">ROUND((C442-B442)*1440,1)</f>
        <v>21</v>
      </c>
      <c r="AB442" s="28" t="str">
        <f aca="false">IF(AA442&lt;1,"a) &lt;1 min",IF(AA442&lt;10,"b) 1-10 min",IF(AA442&lt;60,"c) 10-60 min",IF(AA442&lt;240,"d) 1-4 h","e) 4 h+"))))</f>
        <v>c) 10-60 min</v>
      </c>
      <c r="AC442" s="28" t="str">
        <f aca="false">IF(P442&lt;10,"a) &lt;10",IF(P442&lt;20,"b) 10-20",IF(P442&lt;40,"c) 20-40",IF(P442&lt;80,"d) 40-80","e) 80+"))))</f>
        <v>a) &lt;10</v>
      </c>
      <c r="AD442" s="30" t="n">
        <f aca="false">Summary!$C$5+SUM(X$2:X442)</f>
        <v>106848.94</v>
      </c>
      <c r="AE442" s="30" t="n">
        <f aca="false">MAX(AE441,AD442)</f>
        <v>106848.94</v>
      </c>
      <c r="AF442" s="30" t="n">
        <f aca="false">AE442-AD442</f>
        <v>0</v>
      </c>
      <c r="AG442" s="29" t="n">
        <f aca="false">IFERROR(AF442/AE442,0)</f>
        <v>0</v>
      </c>
    </row>
    <row r="443" customFormat="false" ht="15" hidden="false" customHeight="false" outlineLevel="0" collapsed="false">
      <c r="A443" s="28" t="n">
        <v>442</v>
      </c>
      <c r="B443" s="43" t="n">
        <v>45664.7354166667</v>
      </c>
      <c r="C443" s="43" t="n">
        <v>45664.748275463</v>
      </c>
      <c r="D443" s="42" t="n">
        <f aca="false">INT(C443)</f>
        <v>45664</v>
      </c>
      <c r="E443" s="42" t="n">
        <f aca="false">D443-WEEKDAY(D443,3)</f>
        <v>45663</v>
      </c>
      <c r="F443" s="28" t="s">
        <v>164</v>
      </c>
      <c r="G443" s="28" t="n">
        <v>2025</v>
      </c>
      <c r="H443" s="28" t="s">
        <v>232</v>
      </c>
      <c r="I443" s="28" t="n">
        <v>17</v>
      </c>
      <c r="J443" s="28" t="s">
        <v>236</v>
      </c>
      <c r="K443" s="28" t="s">
        <v>237</v>
      </c>
      <c r="L443" s="28" t="n">
        <v>0.22</v>
      </c>
      <c r="M443" s="31" t="n">
        <v>21278.71</v>
      </c>
      <c r="N443" s="31" t="n">
        <v>21344.04</v>
      </c>
      <c r="O443" s="31" t="n">
        <v>21148.04</v>
      </c>
      <c r="P443" s="44" t="n">
        <f aca="false">ABS(M443-N443)</f>
        <v>65.3300000000018</v>
      </c>
      <c r="Q443" s="44" t="n">
        <f aca="false">IF(O443="","",ABS(O443-M443))</f>
        <v>130.669999999998</v>
      </c>
      <c r="R443" s="30" t="n">
        <f aca="false">P443*L443*Summary!$C$6</f>
        <v>287.452000000008</v>
      </c>
      <c r="S443" s="31" t="n">
        <v>21344.12</v>
      </c>
      <c r="T443" s="28" t="s">
        <v>241</v>
      </c>
      <c r="U443" s="44" t="n">
        <f aca="false">IF(J443="BUY",S443-M443,M443-S443)</f>
        <v>-65.4099999999999</v>
      </c>
      <c r="V443" s="45" t="n">
        <v>0</v>
      </c>
      <c r="W443" s="45" t="n">
        <v>0</v>
      </c>
      <c r="X443" s="45" t="n">
        <v>-287.8</v>
      </c>
      <c r="Y443" s="32" t="n">
        <f aca="false">IFERROR(X443/R443,0)</f>
        <v>-1.00121063690631</v>
      </c>
      <c r="Z443" s="28" t="str">
        <f aca="false">IF(X443&gt;0,"Win",IF(X443&lt;0,"Loss","Flat"))</f>
        <v>Loss</v>
      </c>
      <c r="AA443" s="28" t="n">
        <f aca="false">ROUND((C443-B443)*1440,1)</f>
        <v>18.5</v>
      </c>
      <c r="AB443" s="28" t="str">
        <f aca="false">IF(AA443&lt;1,"a) &lt;1 min",IF(AA443&lt;10,"b) 1-10 min",IF(AA443&lt;60,"c) 10-60 min",IF(AA443&lt;240,"d) 1-4 h","e) 4 h+"))))</f>
        <v>c) 10-60 min</v>
      </c>
      <c r="AC443" s="28" t="str">
        <f aca="false">IF(P443&lt;10,"a) &lt;10",IF(P443&lt;20,"b) 10-20",IF(P443&lt;40,"c) 20-40",IF(P443&lt;80,"d) 40-80","e) 80+"))))</f>
        <v>d) 40-80</v>
      </c>
      <c r="AD443" s="30" t="n">
        <f aca="false">Summary!$C$5+SUM(X$2:X443)</f>
        <v>106561.14</v>
      </c>
      <c r="AE443" s="30" t="n">
        <f aca="false">MAX(AE442,AD443)</f>
        <v>106848.94</v>
      </c>
      <c r="AF443" s="30" t="n">
        <f aca="false">AE443-AD443</f>
        <v>287.800000000003</v>
      </c>
      <c r="AG443" s="29" t="n">
        <f aca="false">IFERROR(AF443/AE443,0)</f>
        <v>0.00269352227546668</v>
      </c>
    </row>
    <row r="444" customFormat="false" ht="15" hidden="false" customHeight="false" outlineLevel="0" collapsed="false">
      <c r="A444" s="28" t="n">
        <v>443</v>
      </c>
      <c r="B444" s="43" t="n">
        <v>45665.5972222222</v>
      </c>
      <c r="C444" s="43" t="n">
        <v>45665.6097916667</v>
      </c>
      <c r="D444" s="42" t="n">
        <f aca="false">INT(C444)</f>
        <v>45665</v>
      </c>
      <c r="E444" s="42" t="n">
        <f aca="false">D444-WEEKDAY(D444,3)</f>
        <v>45663</v>
      </c>
      <c r="F444" s="28" t="s">
        <v>164</v>
      </c>
      <c r="G444" s="28" t="n">
        <v>2025</v>
      </c>
      <c r="H444" s="28" t="s">
        <v>235</v>
      </c>
      <c r="I444" s="28" t="n">
        <v>14</v>
      </c>
      <c r="J444" s="28" t="s">
        <v>236</v>
      </c>
      <c r="K444" s="28" t="s">
        <v>237</v>
      </c>
      <c r="L444" s="28" t="n">
        <v>0.22</v>
      </c>
      <c r="M444" s="31" t="n">
        <v>21093.99</v>
      </c>
      <c r="N444" s="31" t="n">
        <v>21122.89</v>
      </c>
      <c r="O444" s="31" t="n">
        <v>21036.18</v>
      </c>
      <c r="P444" s="44" t="n">
        <f aca="false">ABS(M444-N444)</f>
        <v>28.8999999999978</v>
      </c>
      <c r="Q444" s="44" t="n">
        <f aca="false">IF(O444="","",ABS(O444-M444))</f>
        <v>57.8100000000013</v>
      </c>
      <c r="R444" s="30" t="n">
        <f aca="false">P444*L444*Summary!$C$6</f>
        <v>127.15999999999</v>
      </c>
      <c r="S444" s="31" t="n">
        <v>21094.51</v>
      </c>
      <c r="T444" s="28" t="s">
        <v>238</v>
      </c>
      <c r="U444" s="44" t="n">
        <f aca="false">IF(J444="BUY",S444-M444,M444-S444)</f>
        <v>-0.519999999996799</v>
      </c>
      <c r="V444" s="45" t="n">
        <v>0</v>
      </c>
      <c r="W444" s="45" t="n">
        <v>0</v>
      </c>
      <c r="X444" s="45" t="n">
        <v>-2.29</v>
      </c>
      <c r="Y444" s="32" t="n">
        <f aca="false">IFERROR(X444/R444,0)</f>
        <v>-0.0180088078011967</v>
      </c>
      <c r="Z444" s="28" t="str">
        <f aca="false">IF(X444&gt;0,"Win",IF(X444&lt;0,"Loss","Flat"))</f>
        <v>Loss</v>
      </c>
      <c r="AA444" s="28" t="n">
        <f aca="false">ROUND((C444-B444)*1440,1)</f>
        <v>18.1</v>
      </c>
      <c r="AB444" s="28" t="str">
        <f aca="false">IF(AA444&lt;1,"a) &lt;1 min",IF(AA444&lt;10,"b) 1-10 min",IF(AA444&lt;60,"c) 10-60 min",IF(AA444&lt;240,"d) 1-4 h","e) 4 h+"))))</f>
        <v>c) 10-60 min</v>
      </c>
      <c r="AC444" s="28" t="str">
        <f aca="false">IF(P444&lt;10,"a) &lt;10",IF(P444&lt;20,"b) 10-20",IF(P444&lt;40,"c) 20-40",IF(P444&lt;80,"d) 40-80","e) 80+"))))</f>
        <v>c) 20-40</v>
      </c>
      <c r="AD444" s="30" t="n">
        <f aca="false">Summary!$C$5+SUM(X$2:X444)</f>
        <v>106558.85</v>
      </c>
      <c r="AE444" s="30" t="n">
        <f aca="false">MAX(AE443,AD444)</f>
        <v>106848.94</v>
      </c>
      <c r="AF444" s="30" t="n">
        <f aca="false">AE444-AD444</f>
        <v>290.089999999997</v>
      </c>
      <c r="AG444" s="29" t="n">
        <f aca="false">IFERROR(AF444/AE444,0)</f>
        <v>0.00271495440198093</v>
      </c>
    </row>
    <row r="445" customFormat="false" ht="15" hidden="false" customHeight="false" outlineLevel="0" collapsed="false">
      <c r="A445" s="28" t="n">
        <v>444</v>
      </c>
      <c r="B445" s="43" t="n">
        <v>45667.09375</v>
      </c>
      <c r="C445" s="43" t="n">
        <v>45667.0979976852</v>
      </c>
      <c r="D445" s="42" t="n">
        <f aca="false">INT(C445)</f>
        <v>45667</v>
      </c>
      <c r="E445" s="42" t="n">
        <f aca="false">D445-WEEKDAY(D445,3)</f>
        <v>45663</v>
      </c>
      <c r="F445" s="28" t="s">
        <v>164</v>
      </c>
      <c r="G445" s="28" t="n">
        <v>2025</v>
      </c>
      <c r="H445" s="28" t="s">
        <v>242</v>
      </c>
      <c r="I445" s="28" t="n">
        <v>2</v>
      </c>
      <c r="J445" s="28" t="s">
        <v>236</v>
      </c>
      <c r="K445" s="28" t="s">
        <v>237</v>
      </c>
      <c r="L445" s="28" t="n">
        <v>0.22</v>
      </c>
      <c r="M445" s="31" t="n">
        <v>21024.89</v>
      </c>
      <c r="N445" s="31" t="n">
        <v>21044.27</v>
      </c>
      <c r="O445" s="31" t="n">
        <v>20986.12</v>
      </c>
      <c r="P445" s="44" t="n">
        <f aca="false">ABS(M445-N445)</f>
        <v>19.380000000001</v>
      </c>
      <c r="Q445" s="44" t="n">
        <f aca="false">IF(O445="","",ABS(O445-M445))</f>
        <v>38.7700000000004</v>
      </c>
      <c r="R445" s="30" t="n">
        <f aca="false">P445*L445*Summary!$C$6</f>
        <v>85.2720000000045</v>
      </c>
      <c r="S445" s="31" t="n">
        <v>21026.71</v>
      </c>
      <c r="T445" s="28" t="s">
        <v>238</v>
      </c>
      <c r="U445" s="44" t="n">
        <f aca="false">IF(J445="BUY",S445-M445,M445-S445)</f>
        <v>-1.81999999999971</v>
      </c>
      <c r="V445" s="45" t="n">
        <v>0</v>
      </c>
      <c r="W445" s="45" t="n">
        <v>0</v>
      </c>
      <c r="X445" s="45" t="n">
        <v>-8.01</v>
      </c>
      <c r="Y445" s="32" t="n">
        <f aca="false">IFERROR(X445/R445,0)</f>
        <v>-0.0939347030678251</v>
      </c>
      <c r="Z445" s="28" t="str">
        <f aca="false">IF(X445&gt;0,"Win",IF(X445&lt;0,"Loss","Flat"))</f>
        <v>Loss</v>
      </c>
      <c r="AA445" s="28" t="n">
        <f aca="false">ROUND((C445-B445)*1440,1)</f>
        <v>6.1</v>
      </c>
      <c r="AB445" s="28" t="str">
        <f aca="false">IF(AA445&lt;1,"a) &lt;1 min",IF(AA445&lt;10,"b) 1-10 min",IF(AA445&lt;60,"c) 10-60 min",IF(AA445&lt;240,"d) 1-4 h","e) 4 h+"))))</f>
        <v>b) 1-10 min</v>
      </c>
      <c r="AC445" s="28" t="str">
        <f aca="false">IF(P445&lt;10,"a) &lt;10",IF(P445&lt;20,"b) 10-20",IF(P445&lt;40,"c) 20-40",IF(P445&lt;80,"d) 40-80","e) 80+"))))</f>
        <v>b) 10-20</v>
      </c>
      <c r="AD445" s="30" t="n">
        <f aca="false">Summary!$C$5+SUM(X$2:X445)</f>
        <v>106550.84</v>
      </c>
      <c r="AE445" s="30" t="n">
        <f aca="false">MAX(AE444,AD445)</f>
        <v>106848.94</v>
      </c>
      <c r="AF445" s="30" t="n">
        <f aca="false">AE445-AD445</f>
        <v>298.100000000006</v>
      </c>
      <c r="AG445" s="29" t="n">
        <f aca="false">IFERROR(AF445/AE445,0)</f>
        <v>0.00278992004974505</v>
      </c>
    </row>
    <row r="446" customFormat="false" ht="15" hidden="false" customHeight="false" outlineLevel="0" collapsed="false">
      <c r="A446" s="28" t="n">
        <v>445</v>
      </c>
      <c r="B446" s="43" t="n">
        <v>45667.5486111111</v>
      </c>
      <c r="C446" s="43" t="n">
        <v>45667.5507291667</v>
      </c>
      <c r="D446" s="42" t="n">
        <f aca="false">INT(C446)</f>
        <v>45667</v>
      </c>
      <c r="E446" s="42" t="n">
        <f aca="false">D446-WEEKDAY(D446,3)</f>
        <v>45663</v>
      </c>
      <c r="F446" s="28" t="s">
        <v>164</v>
      </c>
      <c r="G446" s="28" t="n">
        <v>2025</v>
      </c>
      <c r="H446" s="28" t="s">
        <v>242</v>
      </c>
      <c r="I446" s="28" t="n">
        <v>13</v>
      </c>
      <c r="J446" s="28" t="s">
        <v>233</v>
      </c>
      <c r="K446" s="28" t="s">
        <v>234</v>
      </c>
      <c r="L446" s="28" t="n">
        <v>0.22</v>
      </c>
      <c r="M446" s="31" t="n">
        <v>21169.91</v>
      </c>
      <c r="N446" s="31" t="n">
        <v>21158.28</v>
      </c>
      <c r="O446" s="31" t="n">
        <v>21193.16</v>
      </c>
      <c r="P446" s="44" t="n">
        <f aca="false">ABS(M446-N446)</f>
        <v>11.630000000001</v>
      </c>
      <c r="Q446" s="44" t="n">
        <f aca="false">IF(O446="","",ABS(O446-M446))</f>
        <v>23.25</v>
      </c>
      <c r="R446" s="30" t="n">
        <f aca="false">P446*L446*Summary!$C$6</f>
        <v>51.1720000000045</v>
      </c>
      <c r="S446" s="31" t="n">
        <v>21193.74</v>
      </c>
      <c r="T446" s="28" t="s">
        <v>214</v>
      </c>
      <c r="U446" s="44" t="n">
        <f aca="false">IF(J446="BUY",S446-M446,M446-S446)</f>
        <v>23.8300000000017</v>
      </c>
      <c r="V446" s="45" t="n">
        <v>0</v>
      </c>
      <c r="W446" s="45" t="n">
        <v>0</v>
      </c>
      <c r="X446" s="45" t="n">
        <v>104.85</v>
      </c>
      <c r="Y446" s="32" t="n">
        <f aca="false">IFERROR(X446/R446,0)</f>
        <v>2.04897209411379</v>
      </c>
      <c r="Z446" s="28" t="str">
        <f aca="false">IF(X446&gt;0,"Win",IF(X446&lt;0,"Loss","Flat"))</f>
        <v>Win</v>
      </c>
      <c r="AA446" s="28" t="n">
        <f aca="false">ROUND((C446-B446)*1440,1)</f>
        <v>3.1</v>
      </c>
      <c r="AB446" s="28" t="str">
        <f aca="false">IF(AA446&lt;1,"a) &lt;1 min",IF(AA446&lt;10,"b) 1-10 min",IF(AA446&lt;60,"c) 10-60 min",IF(AA446&lt;240,"d) 1-4 h","e) 4 h+"))))</f>
        <v>b) 1-10 min</v>
      </c>
      <c r="AC446" s="28" t="str">
        <f aca="false">IF(P446&lt;10,"a) &lt;10",IF(P446&lt;20,"b) 10-20",IF(P446&lt;40,"c) 20-40",IF(P446&lt;80,"d) 40-80","e) 80+"))))</f>
        <v>b) 10-20</v>
      </c>
      <c r="AD446" s="30" t="n">
        <f aca="false">Summary!$C$5+SUM(X$2:X446)</f>
        <v>106655.69</v>
      </c>
      <c r="AE446" s="30" t="n">
        <f aca="false">MAX(AE445,AD446)</f>
        <v>106848.94</v>
      </c>
      <c r="AF446" s="30" t="n">
        <f aca="false">AE446-AD446</f>
        <v>193.25</v>
      </c>
      <c r="AG446" s="29" t="n">
        <f aca="false">IFERROR(AF446/AE446,0)</f>
        <v>0.00180862814362033</v>
      </c>
    </row>
    <row r="447" customFormat="false" ht="15" hidden="false" customHeight="false" outlineLevel="0" collapsed="false">
      <c r="A447" s="28" t="n">
        <v>446</v>
      </c>
      <c r="B447" s="43" t="n">
        <v>45670.2277777778</v>
      </c>
      <c r="C447" s="43" t="n">
        <v>45670.2510185185</v>
      </c>
      <c r="D447" s="42" t="n">
        <f aca="false">INT(C447)</f>
        <v>45670</v>
      </c>
      <c r="E447" s="42" t="n">
        <f aca="false">D447-WEEKDAY(D447,3)</f>
        <v>45670</v>
      </c>
      <c r="F447" s="28" t="s">
        <v>164</v>
      </c>
      <c r="G447" s="28" t="n">
        <v>2025</v>
      </c>
      <c r="H447" s="28" t="s">
        <v>240</v>
      </c>
      <c r="I447" s="28" t="n">
        <v>5</v>
      </c>
      <c r="J447" s="28" t="s">
        <v>236</v>
      </c>
      <c r="K447" s="28" t="s">
        <v>237</v>
      </c>
      <c r="L447" s="28" t="n">
        <v>0.23</v>
      </c>
      <c r="M447" s="31" t="n">
        <v>20701.72</v>
      </c>
      <c r="N447" s="31" t="n">
        <v>20725.94</v>
      </c>
      <c r="O447" s="31" t="n">
        <v>20653.28</v>
      </c>
      <c r="P447" s="44" t="n">
        <f aca="false">ABS(M447-N447)</f>
        <v>24.2199999999975</v>
      </c>
      <c r="Q447" s="44" t="n">
        <f aca="false">IF(O447="","",ABS(O447-M447))</f>
        <v>48.4400000000023</v>
      </c>
      <c r="R447" s="30" t="n">
        <f aca="false">P447*L447*Summary!$C$6</f>
        <v>111.411999999989</v>
      </c>
      <c r="S447" s="31" t="n">
        <v>20726.19</v>
      </c>
      <c r="T447" s="28" t="s">
        <v>241</v>
      </c>
      <c r="U447" s="44" t="n">
        <f aca="false">IF(J447="BUY",S447-M447,M447-S447)</f>
        <v>-24.4699999999975</v>
      </c>
      <c r="V447" s="45" t="n">
        <v>0</v>
      </c>
      <c r="W447" s="45" t="n">
        <v>0</v>
      </c>
      <c r="X447" s="45" t="n">
        <v>-112.56</v>
      </c>
      <c r="Y447" s="32" t="n">
        <f aca="false">IFERROR(X447/R447,0)</f>
        <v>-1.01030409650676</v>
      </c>
      <c r="Z447" s="28" t="str">
        <f aca="false">IF(X447&gt;0,"Win",IF(X447&lt;0,"Loss","Flat"))</f>
        <v>Loss</v>
      </c>
      <c r="AA447" s="28" t="n">
        <f aca="false">ROUND((C447-B447)*1440,1)</f>
        <v>33.5</v>
      </c>
      <c r="AB447" s="28" t="str">
        <f aca="false">IF(AA447&lt;1,"a) &lt;1 min",IF(AA447&lt;10,"b) 1-10 min",IF(AA447&lt;60,"c) 10-60 min",IF(AA447&lt;240,"d) 1-4 h","e) 4 h+"))))</f>
        <v>c) 10-60 min</v>
      </c>
      <c r="AC447" s="28" t="str">
        <f aca="false">IF(P447&lt;10,"a) &lt;10",IF(P447&lt;20,"b) 10-20",IF(P447&lt;40,"c) 20-40",IF(P447&lt;80,"d) 40-80","e) 80+"))))</f>
        <v>c) 20-40</v>
      </c>
      <c r="AD447" s="30" t="n">
        <f aca="false">Summary!$C$5+SUM(X$2:X447)</f>
        <v>106543.13</v>
      </c>
      <c r="AE447" s="30" t="n">
        <f aca="false">MAX(AE446,AD447)</f>
        <v>106848.94</v>
      </c>
      <c r="AF447" s="30" t="n">
        <f aca="false">AE447-AD447</f>
        <v>305.809999999998</v>
      </c>
      <c r="AG447" s="29" t="n">
        <f aca="false">IFERROR(AF447/AE447,0)</f>
        <v>0.00286207799534556</v>
      </c>
    </row>
    <row r="448" customFormat="false" ht="15" hidden="false" customHeight="false" outlineLevel="0" collapsed="false">
      <c r="A448" s="28" t="n">
        <v>447</v>
      </c>
      <c r="B448" s="43" t="n">
        <v>45671.0472222222</v>
      </c>
      <c r="C448" s="43" t="n">
        <v>45671.0840625</v>
      </c>
      <c r="D448" s="42" t="n">
        <f aca="false">INT(C448)</f>
        <v>45671</v>
      </c>
      <c r="E448" s="42" t="n">
        <f aca="false">D448-WEEKDAY(D448,3)</f>
        <v>45670</v>
      </c>
      <c r="F448" s="28" t="s">
        <v>164</v>
      </c>
      <c r="G448" s="28" t="n">
        <v>2025</v>
      </c>
      <c r="H448" s="28" t="s">
        <v>232</v>
      </c>
      <c r="I448" s="28" t="n">
        <v>1</v>
      </c>
      <c r="J448" s="28" t="s">
        <v>233</v>
      </c>
      <c r="K448" s="28" t="s">
        <v>234</v>
      </c>
      <c r="L448" s="28" t="n">
        <v>0.22</v>
      </c>
      <c r="M448" s="31" t="n">
        <v>20878.09</v>
      </c>
      <c r="N448" s="31" t="n">
        <v>20850.7</v>
      </c>
      <c r="O448" s="31" t="n">
        <v>20932.87</v>
      </c>
      <c r="P448" s="44" t="n">
        <f aca="false">ABS(M448-N448)</f>
        <v>27.3899999999994</v>
      </c>
      <c r="Q448" s="44" t="n">
        <f aca="false">IF(O448="","",ABS(O448-M448))</f>
        <v>54.7799999999988</v>
      </c>
      <c r="R448" s="30" t="n">
        <f aca="false">P448*L448*Summary!$C$6</f>
        <v>120.515999999997</v>
      </c>
      <c r="S448" s="31" t="n">
        <v>20876.42</v>
      </c>
      <c r="T448" s="28" t="s">
        <v>238</v>
      </c>
      <c r="U448" s="44" t="n">
        <f aca="false">IF(J448="BUY",S448-M448,M448-S448)</f>
        <v>-1.67000000000189</v>
      </c>
      <c r="V448" s="45" t="n">
        <v>0</v>
      </c>
      <c r="W448" s="45" t="n">
        <v>0</v>
      </c>
      <c r="X448" s="45" t="n">
        <v>-7.35</v>
      </c>
      <c r="Y448" s="32" t="n">
        <f aca="false">IFERROR(X448/R448,0)</f>
        <v>-0.060987752663548</v>
      </c>
      <c r="Z448" s="28" t="str">
        <f aca="false">IF(X448&gt;0,"Win",IF(X448&lt;0,"Loss","Flat"))</f>
        <v>Loss</v>
      </c>
      <c r="AA448" s="28" t="n">
        <f aca="false">ROUND((C448-B448)*1440,1)</f>
        <v>53.1</v>
      </c>
      <c r="AB448" s="28" t="str">
        <f aca="false">IF(AA448&lt;1,"a) &lt;1 min",IF(AA448&lt;10,"b) 1-10 min",IF(AA448&lt;60,"c) 10-60 min",IF(AA448&lt;240,"d) 1-4 h","e) 4 h+"))))</f>
        <v>c) 10-60 min</v>
      </c>
      <c r="AC448" s="28" t="str">
        <f aca="false">IF(P448&lt;10,"a) &lt;10",IF(P448&lt;20,"b) 10-20",IF(P448&lt;40,"c) 20-40",IF(P448&lt;80,"d) 40-80","e) 80+"))))</f>
        <v>c) 20-40</v>
      </c>
      <c r="AD448" s="30" t="n">
        <f aca="false">Summary!$C$5+SUM(X$2:X448)</f>
        <v>106535.78</v>
      </c>
      <c r="AE448" s="30" t="n">
        <f aca="false">MAX(AE447,AD448)</f>
        <v>106848.94</v>
      </c>
      <c r="AF448" s="30" t="n">
        <f aca="false">AE448-AD448</f>
        <v>313.160000000004</v>
      </c>
      <c r="AG448" s="29" t="n">
        <f aca="false">IFERROR(AF448/AE448,0)</f>
        <v>0.00293086669835006</v>
      </c>
    </row>
    <row r="449" customFormat="false" ht="15" hidden="false" customHeight="false" outlineLevel="0" collapsed="false">
      <c r="A449" s="28" t="n">
        <v>448</v>
      </c>
      <c r="B449" s="43" t="n">
        <v>45672.6465277778</v>
      </c>
      <c r="C449" s="43" t="n">
        <v>45672.6528240741</v>
      </c>
      <c r="D449" s="42" t="n">
        <f aca="false">INT(C449)</f>
        <v>45672</v>
      </c>
      <c r="E449" s="42" t="n">
        <f aca="false">D449-WEEKDAY(D449,3)</f>
        <v>45670</v>
      </c>
      <c r="F449" s="28" t="s">
        <v>164</v>
      </c>
      <c r="G449" s="28" t="n">
        <v>2025</v>
      </c>
      <c r="H449" s="28" t="s">
        <v>235</v>
      </c>
      <c r="I449" s="28" t="n">
        <v>15</v>
      </c>
      <c r="J449" s="28" t="s">
        <v>233</v>
      </c>
      <c r="K449" s="28" t="s">
        <v>234</v>
      </c>
      <c r="L449" s="28" t="n">
        <v>0.22</v>
      </c>
      <c r="M449" s="31" t="n">
        <v>21024.03</v>
      </c>
      <c r="N449" s="31" t="n">
        <v>20965.56</v>
      </c>
      <c r="O449" s="31" t="n">
        <v>21141.09</v>
      </c>
      <c r="P449" s="44" t="n">
        <f aca="false">ABS(M449-N449)</f>
        <v>58.4699999999975</v>
      </c>
      <c r="Q449" s="44" t="n">
        <f aca="false">IF(O449="","",ABS(O449-M449))</f>
        <v>117.060000000001</v>
      </c>
      <c r="R449" s="30" t="n">
        <f aca="false">P449*L449*Summary!$C$6</f>
        <v>257.267999999989</v>
      </c>
      <c r="S449" s="31" t="n">
        <v>21141.9</v>
      </c>
      <c r="T449" s="28" t="s">
        <v>214</v>
      </c>
      <c r="U449" s="44" t="n">
        <f aca="false">IF(J449="BUY",S449-M449,M449-S449)</f>
        <v>117.870000000003</v>
      </c>
      <c r="V449" s="45" t="n">
        <v>0</v>
      </c>
      <c r="W449" s="45" t="n">
        <v>0</v>
      </c>
      <c r="X449" s="45" t="n">
        <v>518.63</v>
      </c>
      <c r="Y449" s="32" t="n">
        <f aca="false">IFERROR(X449/R449,0)</f>
        <v>2.01591336660611</v>
      </c>
      <c r="Z449" s="28" t="str">
        <f aca="false">IF(X449&gt;0,"Win",IF(X449&lt;0,"Loss","Flat"))</f>
        <v>Win</v>
      </c>
      <c r="AA449" s="28" t="n">
        <f aca="false">ROUND((C449-B449)*1440,1)</f>
        <v>9.1</v>
      </c>
      <c r="AB449" s="28" t="str">
        <f aca="false">IF(AA449&lt;1,"a) &lt;1 min",IF(AA449&lt;10,"b) 1-10 min",IF(AA449&lt;60,"c) 10-60 min",IF(AA449&lt;240,"d) 1-4 h","e) 4 h+"))))</f>
        <v>b) 1-10 min</v>
      </c>
      <c r="AC449" s="28" t="str">
        <f aca="false">IF(P449&lt;10,"a) &lt;10",IF(P449&lt;20,"b) 10-20",IF(P449&lt;40,"c) 20-40",IF(P449&lt;80,"d) 40-80","e) 80+"))))</f>
        <v>d) 40-80</v>
      </c>
      <c r="AD449" s="30" t="n">
        <f aca="false">Summary!$C$5+SUM(X$2:X449)</f>
        <v>107054.41</v>
      </c>
      <c r="AE449" s="30" t="n">
        <f aca="false">MAX(AE448,AD449)</f>
        <v>107054.41</v>
      </c>
      <c r="AF449" s="30" t="n">
        <f aca="false">AE449-AD449</f>
        <v>0</v>
      </c>
      <c r="AG449" s="29" t="n">
        <f aca="false">IFERROR(AF449/AE449,0)</f>
        <v>0</v>
      </c>
    </row>
    <row r="450" customFormat="false" ht="15" hidden="false" customHeight="false" outlineLevel="0" collapsed="false">
      <c r="A450" s="28" t="n">
        <v>449</v>
      </c>
      <c r="B450" s="43" t="n">
        <v>45673.3770833333</v>
      </c>
      <c r="C450" s="43" t="n">
        <v>45673.3824768519</v>
      </c>
      <c r="D450" s="42" t="n">
        <f aca="false">INT(C450)</f>
        <v>45673</v>
      </c>
      <c r="E450" s="42" t="n">
        <f aca="false">D450-WEEKDAY(D450,3)</f>
        <v>45670</v>
      </c>
      <c r="F450" s="28" t="s">
        <v>164</v>
      </c>
      <c r="G450" s="28" t="n">
        <v>2025</v>
      </c>
      <c r="H450" s="28" t="s">
        <v>239</v>
      </c>
      <c r="I450" s="28" t="n">
        <v>9</v>
      </c>
      <c r="J450" s="28" t="s">
        <v>233</v>
      </c>
      <c r="K450" s="28" t="s">
        <v>234</v>
      </c>
      <c r="L450" s="28" t="n">
        <v>0.22</v>
      </c>
      <c r="M450" s="31" t="n">
        <v>21284.5</v>
      </c>
      <c r="N450" s="31" t="n">
        <v>21269.89</v>
      </c>
      <c r="O450" s="31" t="n">
        <v>21313.71</v>
      </c>
      <c r="P450" s="44" t="n">
        <f aca="false">ABS(M450-N450)</f>
        <v>14.6100000000006</v>
      </c>
      <c r="Q450" s="44" t="n">
        <f aca="false">IF(O450="","",ABS(O450-M450))</f>
        <v>29.2099999999991</v>
      </c>
      <c r="R450" s="30" t="n">
        <f aca="false">P450*L450*Summary!$C$6</f>
        <v>64.2840000000026</v>
      </c>
      <c r="S450" s="31" t="n">
        <v>21314.22</v>
      </c>
      <c r="T450" s="28" t="s">
        <v>214</v>
      </c>
      <c r="U450" s="44" t="n">
        <f aca="false">IF(J450="BUY",S450-M450,M450-S450)</f>
        <v>29.7200000000012</v>
      </c>
      <c r="V450" s="45" t="n">
        <v>0</v>
      </c>
      <c r="W450" s="45" t="n">
        <v>0</v>
      </c>
      <c r="X450" s="45" t="n">
        <v>130.77</v>
      </c>
      <c r="Y450" s="32" t="n">
        <f aca="false">IFERROR(X450/R450,0)</f>
        <v>2.03425424677983</v>
      </c>
      <c r="Z450" s="28" t="str">
        <f aca="false">IF(X450&gt;0,"Win",IF(X450&lt;0,"Loss","Flat"))</f>
        <v>Win</v>
      </c>
      <c r="AA450" s="28" t="n">
        <f aca="false">ROUND((C450-B450)*1440,1)</f>
        <v>7.8</v>
      </c>
      <c r="AB450" s="28" t="str">
        <f aca="false">IF(AA450&lt;1,"a) &lt;1 min",IF(AA450&lt;10,"b) 1-10 min",IF(AA450&lt;60,"c) 10-60 min",IF(AA450&lt;240,"d) 1-4 h","e) 4 h+"))))</f>
        <v>b) 1-10 min</v>
      </c>
      <c r="AC450" s="28" t="str">
        <f aca="false">IF(P450&lt;10,"a) &lt;10",IF(P450&lt;20,"b) 10-20",IF(P450&lt;40,"c) 20-40",IF(P450&lt;80,"d) 40-80","e) 80+"))))</f>
        <v>b) 10-20</v>
      </c>
      <c r="AD450" s="30" t="n">
        <f aca="false">Summary!$C$5+SUM(X$2:X450)</f>
        <v>107185.18</v>
      </c>
      <c r="AE450" s="30" t="n">
        <f aca="false">MAX(AE449,AD450)</f>
        <v>107185.18</v>
      </c>
      <c r="AF450" s="30" t="n">
        <f aca="false">AE450-AD450</f>
        <v>0</v>
      </c>
      <c r="AG450" s="29" t="n">
        <f aca="false">IFERROR(AF450/AE450,0)</f>
        <v>0</v>
      </c>
    </row>
    <row r="451" customFormat="false" ht="15" hidden="false" customHeight="false" outlineLevel="0" collapsed="false">
      <c r="A451" s="28" t="n">
        <v>450</v>
      </c>
      <c r="B451" s="43" t="n">
        <v>45674.6673611111</v>
      </c>
      <c r="C451" s="43" t="n">
        <v>45674.6753472222</v>
      </c>
      <c r="D451" s="42" t="n">
        <f aca="false">INT(C451)</f>
        <v>45674</v>
      </c>
      <c r="E451" s="42" t="n">
        <f aca="false">D451-WEEKDAY(D451,3)</f>
        <v>45670</v>
      </c>
      <c r="F451" s="28" t="s">
        <v>164</v>
      </c>
      <c r="G451" s="28" t="n">
        <v>2025</v>
      </c>
      <c r="H451" s="28" t="s">
        <v>242</v>
      </c>
      <c r="I451" s="28" t="n">
        <v>16</v>
      </c>
      <c r="J451" s="28" t="s">
        <v>233</v>
      </c>
      <c r="K451" s="28" t="s">
        <v>234</v>
      </c>
      <c r="L451" s="28" t="n">
        <v>0.22</v>
      </c>
      <c r="M451" s="31" t="n">
        <v>21401.35</v>
      </c>
      <c r="N451" s="31" t="n">
        <v>21378.28</v>
      </c>
      <c r="O451" s="31" t="n">
        <v>21448.49</v>
      </c>
      <c r="P451" s="44" t="n">
        <f aca="false">ABS(M451-N451)</f>
        <v>23.0699999999997</v>
      </c>
      <c r="Q451" s="44" t="n">
        <f aca="false">IF(O451="","",ABS(O451-M451))</f>
        <v>47.1400000000031</v>
      </c>
      <c r="R451" s="30" t="n">
        <f aca="false">P451*L451*Summary!$C$6</f>
        <v>101.507999999999</v>
      </c>
      <c r="S451" s="31" t="n">
        <v>21448.9</v>
      </c>
      <c r="T451" s="28" t="s">
        <v>214</v>
      </c>
      <c r="U451" s="44" t="n">
        <f aca="false">IF(J451="BUY",S451-M451,M451-S451)</f>
        <v>47.5500000000029</v>
      </c>
      <c r="V451" s="45" t="n">
        <v>0</v>
      </c>
      <c r="W451" s="45" t="n">
        <v>0</v>
      </c>
      <c r="X451" s="45" t="n">
        <v>209.22</v>
      </c>
      <c r="Y451" s="32" t="n">
        <f aca="false">IFERROR(X451/R451,0)</f>
        <v>2.06111833550068</v>
      </c>
      <c r="Z451" s="28" t="str">
        <f aca="false">IF(X451&gt;0,"Win",IF(X451&lt;0,"Loss","Flat"))</f>
        <v>Win</v>
      </c>
      <c r="AA451" s="28" t="n">
        <f aca="false">ROUND((C451-B451)*1440,1)</f>
        <v>11.5</v>
      </c>
      <c r="AB451" s="28" t="str">
        <f aca="false">IF(AA451&lt;1,"a) &lt;1 min",IF(AA451&lt;10,"b) 1-10 min",IF(AA451&lt;60,"c) 10-60 min",IF(AA451&lt;240,"d) 1-4 h","e) 4 h+"))))</f>
        <v>c) 10-60 min</v>
      </c>
      <c r="AC451" s="28" t="str">
        <f aca="false">IF(P451&lt;10,"a) &lt;10",IF(P451&lt;20,"b) 10-20",IF(P451&lt;40,"c) 20-40",IF(P451&lt;80,"d) 40-80","e) 80+"))))</f>
        <v>c) 20-40</v>
      </c>
      <c r="AD451" s="30" t="n">
        <f aca="false">Summary!$C$5+SUM(X$2:X451)</f>
        <v>107394.4</v>
      </c>
      <c r="AE451" s="30" t="n">
        <f aca="false">MAX(AE450,AD451)</f>
        <v>107394.4</v>
      </c>
      <c r="AF451" s="30" t="n">
        <f aca="false">AE451-AD451</f>
        <v>0</v>
      </c>
      <c r="AG451" s="29" t="n">
        <f aca="false">IFERROR(AF451/AE451,0)</f>
        <v>0</v>
      </c>
    </row>
    <row r="452" customFormat="false" ht="15" hidden="false" customHeight="false" outlineLevel="0" collapsed="false">
      <c r="A452" s="28" t="n">
        <v>451</v>
      </c>
      <c r="B452" s="43" t="n">
        <v>45677.6645833333</v>
      </c>
      <c r="C452" s="43" t="n">
        <v>45677.6754282407</v>
      </c>
      <c r="D452" s="42" t="n">
        <f aca="false">INT(C452)</f>
        <v>45677</v>
      </c>
      <c r="E452" s="42" t="n">
        <f aca="false">D452-WEEKDAY(D452,3)</f>
        <v>45677</v>
      </c>
      <c r="F452" s="28" t="s">
        <v>164</v>
      </c>
      <c r="G452" s="28" t="n">
        <v>2025</v>
      </c>
      <c r="H452" s="28" t="s">
        <v>240</v>
      </c>
      <c r="I452" s="28" t="n">
        <v>15</v>
      </c>
      <c r="J452" s="28" t="s">
        <v>233</v>
      </c>
      <c r="K452" s="28" t="s">
        <v>234</v>
      </c>
      <c r="L452" s="28" t="n">
        <v>0.22</v>
      </c>
      <c r="M452" s="31" t="n">
        <v>21526.84</v>
      </c>
      <c r="N452" s="31" t="n">
        <v>21508.02</v>
      </c>
      <c r="O452" s="31" t="n">
        <v>21566.13</v>
      </c>
      <c r="P452" s="44" t="n">
        <f aca="false">ABS(M452-N452)</f>
        <v>18.8199999999997</v>
      </c>
      <c r="Q452" s="44" t="n">
        <f aca="false">IF(O452="","",ABS(O452-M452))</f>
        <v>39.2900000000009</v>
      </c>
      <c r="R452" s="30" t="n">
        <f aca="false">P452*L452*Summary!$C$6</f>
        <v>82.8079999999987</v>
      </c>
      <c r="S452" s="31" t="n">
        <v>21526.77</v>
      </c>
      <c r="T452" s="28" t="s">
        <v>238</v>
      </c>
      <c r="U452" s="44" t="n">
        <f aca="false">IF(J452="BUY",S452-M452,M452-S452)</f>
        <v>-0.069999999999709</v>
      </c>
      <c r="V452" s="45" t="n">
        <v>0</v>
      </c>
      <c r="W452" s="45" t="n">
        <v>0</v>
      </c>
      <c r="X452" s="45" t="n">
        <v>-0.31</v>
      </c>
      <c r="Y452" s="32" t="n">
        <f aca="false">IFERROR(X452/R452,0)</f>
        <v>-0.00374359965220757</v>
      </c>
      <c r="Z452" s="28" t="str">
        <f aca="false">IF(X452&gt;0,"Win",IF(X452&lt;0,"Loss","Flat"))</f>
        <v>Loss</v>
      </c>
      <c r="AA452" s="28" t="n">
        <f aca="false">ROUND((C452-B452)*1440,1)</f>
        <v>15.6</v>
      </c>
      <c r="AB452" s="28" t="str">
        <f aca="false">IF(AA452&lt;1,"a) &lt;1 min",IF(AA452&lt;10,"b) 1-10 min",IF(AA452&lt;60,"c) 10-60 min",IF(AA452&lt;240,"d) 1-4 h","e) 4 h+"))))</f>
        <v>c) 10-60 min</v>
      </c>
      <c r="AC452" s="28" t="str">
        <f aca="false">IF(P452&lt;10,"a) &lt;10",IF(P452&lt;20,"b) 10-20",IF(P452&lt;40,"c) 20-40",IF(P452&lt;80,"d) 40-80","e) 80+"))))</f>
        <v>b) 10-20</v>
      </c>
      <c r="AD452" s="30" t="n">
        <f aca="false">Summary!$C$5+SUM(X$2:X452)</f>
        <v>107394.09</v>
      </c>
      <c r="AE452" s="30" t="n">
        <f aca="false">MAX(AE451,AD452)</f>
        <v>107394.4</v>
      </c>
      <c r="AF452" s="30" t="n">
        <f aca="false">AE452-AD452</f>
        <v>0.309999999997672</v>
      </c>
      <c r="AG452" s="29" t="n">
        <f aca="false">IFERROR(AF452/AE452,0)</f>
        <v>2.88655646847202E-006</v>
      </c>
    </row>
    <row r="453" customFormat="false" ht="15" hidden="false" customHeight="false" outlineLevel="0" collapsed="false">
      <c r="A453" s="28" t="n">
        <v>452</v>
      </c>
      <c r="B453" s="43" t="n">
        <v>45678.1243055556</v>
      </c>
      <c r="C453" s="43" t="n">
        <v>45678.1265162037</v>
      </c>
      <c r="D453" s="42" t="n">
        <f aca="false">INT(C453)</f>
        <v>45678</v>
      </c>
      <c r="E453" s="42" t="n">
        <f aca="false">D453-WEEKDAY(D453,3)</f>
        <v>45677</v>
      </c>
      <c r="F453" s="28" t="s">
        <v>164</v>
      </c>
      <c r="G453" s="28" t="n">
        <v>2025</v>
      </c>
      <c r="H453" s="28" t="s">
        <v>232</v>
      </c>
      <c r="I453" s="28" t="n">
        <v>2</v>
      </c>
      <c r="J453" s="28" t="s">
        <v>236</v>
      </c>
      <c r="K453" s="28" t="s">
        <v>237</v>
      </c>
      <c r="L453" s="28" t="n">
        <v>0.22</v>
      </c>
      <c r="M453" s="31" t="n">
        <v>21336.48</v>
      </c>
      <c r="N453" s="31" t="n">
        <v>21426.95</v>
      </c>
      <c r="O453" s="31" t="n">
        <v>21155.54</v>
      </c>
      <c r="P453" s="44" t="n">
        <f aca="false">ABS(M453-N453)</f>
        <v>90.4700000000012</v>
      </c>
      <c r="Q453" s="44" t="n">
        <f aca="false">IF(O453="","",ABS(O453-M453))</f>
        <v>180.939999999999</v>
      </c>
      <c r="R453" s="30" t="n">
        <f aca="false">P453*L453*Summary!$C$6</f>
        <v>398.068000000005</v>
      </c>
      <c r="S453" s="31" t="n">
        <v>21337.38</v>
      </c>
      <c r="T453" s="28" t="s">
        <v>238</v>
      </c>
      <c r="U453" s="44" t="n">
        <f aca="false">IF(J453="BUY",S453-M453,M453-S453)</f>
        <v>-0.900000000001455</v>
      </c>
      <c r="V453" s="45" t="n">
        <v>0</v>
      </c>
      <c r="W453" s="45" t="n">
        <v>0</v>
      </c>
      <c r="X453" s="45" t="n">
        <v>-3.96</v>
      </c>
      <c r="Y453" s="32" t="n">
        <f aca="false">IFERROR(X453/R453,0)</f>
        <v>-0.00994804907704198</v>
      </c>
      <c r="Z453" s="28" t="str">
        <f aca="false">IF(X453&gt;0,"Win",IF(X453&lt;0,"Loss","Flat"))</f>
        <v>Loss</v>
      </c>
      <c r="AA453" s="28" t="n">
        <f aca="false">ROUND((C453-B453)*1440,1)</f>
        <v>3.2</v>
      </c>
      <c r="AB453" s="28" t="str">
        <f aca="false">IF(AA453&lt;1,"a) &lt;1 min",IF(AA453&lt;10,"b) 1-10 min",IF(AA453&lt;60,"c) 10-60 min",IF(AA453&lt;240,"d) 1-4 h","e) 4 h+"))))</f>
        <v>b) 1-10 min</v>
      </c>
      <c r="AC453" s="28" t="str">
        <f aca="false">IF(P453&lt;10,"a) &lt;10",IF(P453&lt;20,"b) 10-20",IF(P453&lt;40,"c) 20-40",IF(P453&lt;80,"d) 40-80","e) 80+"))))</f>
        <v>e) 80+</v>
      </c>
      <c r="AD453" s="30" t="n">
        <f aca="false">Summary!$C$5+SUM(X$2:X453)</f>
        <v>107390.13</v>
      </c>
      <c r="AE453" s="30" t="n">
        <f aca="false">MAX(AE452,AD453)</f>
        <v>107394.4</v>
      </c>
      <c r="AF453" s="30" t="n">
        <f aca="false">AE453-AD453</f>
        <v>4.26999999998952</v>
      </c>
      <c r="AG453" s="29" t="n">
        <f aca="false">IFERROR(AF453/AE453,0)</f>
        <v>3.97599874852834E-005</v>
      </c>
    </row>
    <row r="454" customFormat="false" ht="15" hidden="false" customHeight="false" outlineLevel="0" collapsed="false">
      <c r="A454" s="28" t="n">
        <v>453</v>
      </c>
      <c r="B454" s="43" t="n">
        <v>45679.0423611111</v>
      </c>
      <c r="C454" s="43" t="n">
        <v>45679.0451273148</v>
      </c>
      <c r="D454" s="42" t="n">
        <f aca="false">INT(C454)</f>
        <v>45679</v>
      </c>
      <c r="E454" s="42" t="n">
        <f aca="false">D454-WEEKDAY(D454,3)</f>
        <v>45677</v>
      </c>
      <c r="F454" s="28" t="s">
        <v>164</v>
      </c>
      <c r="G454" s="28" t="n">
        <v>2025</v>
      </c>
      <c r="H454" s="28" t="s">
        <v>235</v>
      </c>
      <c r="I454" s="28" t="n">
        <v>1</v>
      </c>
      <c r="J454" s="28" t="s">
        <v>233</v>
      </c>
      <c r="K454" s="28" t="s">
        <v>234</v>
      </c>
      <c r="L454" s="28" t="n">
        <v>0.22</v>
      </c>
      <c r="M454" s="31" t="n">
        <v>21638.3</v>
      </c>
      <c r="N454" s="31" t="n">
        <v>21613.5</v>
      </c>
      <c r="O454" s="31" t="n">
        <v>21687.89</v>
      </c>
      <c r="P454" s="44" t="n">
        <f aca="false">ABS(M454-N454)</f>
        <v>24.7999999999993</v>
      </c>
      <c r="Q454" s="44" t="n">
        <f aca="false">IF(O454="","",ABS(O454-M454))</f>
        <v>49.5900000000001</v>
      </c>
      <c r="R454" s="30" t="n">
        <f aca="false">P454*L454*Summary!$C$6</f>
        <v>109.119999999997</v>
      </c>
      <c r="S454" s="31" t="n">
        <v>21636.95</v>
      </c>
      <c r="T454" s="28" t="s">
        <v>238</v>
      </c>
      <c r="U454" s="44" t="n">
        <f aca="false">IF(J454="BUY",S454-M454,M454-S454)</f>
        <v>-1.34999999999854</v>
      </c>
      <c r="V454" s="45" t="n">
        <v>0</v>
      </c>
      <c r="W454" s="45" t="n">
        <v>0</v>
      </c>
      <c r="X454" s="45" t="n">
        <v>-5.94</v>
      </c>
      <c r="Y454" s="32" t="n">
        <f aca="false">IFERROR(X454/R454,0)</f>
        <v>-0.0544354838709693</v>
      </c>
      <c r="Z454" s="28" t="str">
        <f aca="false">IF(X454&gt;0,"Win",IF(X454&lt;0,"Loss","Flat"))</f>
        <v>Loss</v>
      </c>
      <c r="AA454" s="28" t="n">
        <f aca="false">ROUND((C454-B454)*1440,1)</f>
        <v>4</v>
      </c>
      <c r="AB454" s="28" t="str">
        <f aca="false">IF(AA454&lt;1,"a) &lt;1 min",IF(AA454&lt;10,"b) 1-10 min",IF(AA454&lt;60,"c) 10-60 min",IF(AA454&lt;240,"d) 1-4 h","e) 4 h+"))))</f>
        <v>b) 1-10 min</v>
      </c>
      <c r="AC454" s="28" t="str">
        <f aca="false">IF(P454&lt;10,"a) &lt;10",IF(P454&lt;20,"b) 10-20",IF(P454&lt;40,"c) 20-40",IF(P454&lt;80,"d) 40-80","e) 80+"))))</f>
        <v>c) 20-40</v>
      </c>
      <c r="AD454" s="30" t="n">
        <f aca="false">Summary!$C$5+SUM(X$2:X454)</f>
        <v>107384.19</v>
      </c>
      <c r="AE454" s="30" t="n">
        <f aca="false">MAX(AE453,AD454)</f>
        <v>107394.4</v>
      </c>
      <c r="AF454" s="30" t="n">
        <f aca="false">AE454-AD454</f>
        <v>10.2099999999919</v>
      </c>
      <c r="AG454" s="29" t="n">
        <f aca="false">IFERROR(AF454/AE454,0)</f>
        <v>9.5070134010636E-005</v>
      </c>
    </row>
    <row r="455" customFormat="false" ht="15" hidden="false" customHeight="false" outlineLevel="0" collapsed="false">
      <c r="A455" s="28" t="n">
        <v>454</v>
      </c>
      <c r="B455" s="43" t="n">
        <v>45681.1784722222</v>
      </c>
      <c r="C455" s="43" t="n">
        <v>45681.1821643519</v>
      </c>
      <c r="D455" s="42" t="n">
        <f aca="false">INT(C455)</f>
        <v>45681</v>
      </c>
      <c r="E455" s="42" t="n">
        <f aca="false">D455-WEEKDAY(D455,3)</f>
        <v>45677</v>
      </c>
      <c r="F455" s="28" t="s">
        <v>164</v>
      </c>
      <c r="G455" s="28" t="n">
        <v>2025</v>
      </c>
      <c r="H455" s="28" t="s">
        <v>242</v>
      </c>
      <c r="I455" s="28" t="n">
        <v>4</v>
      </c>
      <c r="J455" s="28" t="s">
        <v>233</v>
      </c>
      <c r="K455" s="28" t="s">
        <v>234</v>
      </c>
      <c r="L455" s="28" t="n">
        <v>0.22</v>
      </c>
      <c r="M455" s="31" t="n">
        <v>21907.67</v>
      </c>
      <c r="N455" s="31" t="n">
        <v>21896.01</v>
      </c>
      <c r="O455" s="31" t="n">
        <v>21930.99</v>
      </c>
      <c r="P455" s="44" t="n">
        <f aca="false">ABS(M455-N455)</f>
        <v>11.6599999999999</v>
      </c>
      <c r="Q455" s="44" t="n">
        <f aca="false">IF(O455="","",ABS(O455-M455))</f>
        <v>23.3200000000033</v>
      </c>
      <c r="R455" s="30" t="n">
        <f aca="false">P455*L455*Summary!$C$6</f>
        <v>51.3039999999994</v>
      </c>
      <c r="S455" s="31" t="n">
        <v>21907.41</v>
      </c>
      <c r="T455" s="28" t="s">
        <v>238</v>
      </c>
      <c r="U455" s="44" t="n">
        <f aca="false">IF(J455="BUY",S455-M455,M455-S455)</f>
        <v>-0.259999999998399</v>
      </c>
      <c r="V455" s="45" t="n">
        <v>0</v>
      </c>
      <c r="W455" s="45" t="n">
        <v>0</v>
      </c>
      <c r="X455" s="45" t="n">
        <v>-1.14</v>
      </c>
      <c r="Y455" s="32" t="n">
        <f aca="false">IFERROR(X455/R455,0)</f>
        <v>-0.0222204896304384</v>
      </c>
      <c r="Z455" s="28" t="str">
        <f aca="false">IF(X455&gt;0,"Win",IF(X455&lt;0,"Loss","Flat"))</f>
        <v>Loss</v>
      </c>
      <c r="AA455" s="28" t="n">
        <f aca="false">ROUND((C455-B455)*1440,1)</f>
        <v>5.3</v>
      </c>
      <c r="AB455" s="28" t="str">
        <f aca="false">IF(AA455&lt;1,"a) &lt;1 min",IF(AA455&lt;10,"b) 1-10 min",IF(AA455&lt;60,"c) 10-60 min",IF(AA455&lt;240,"d) 1-4 h","e) 4 h+"))))</f>
        <v>b) 1-10 min</v>
      </c>
      <c r="AC455" s="28" t="str">
        <f aca="false">IF(P455&lt;10,"a) &lt;10",IF(P455&lt;20,"b) 10-20",IF(P455&lt;40,"c) 20-40",IF(P455&lt;80,"d) 40-80","e) 80+"))))</f>
        <v>b) 10-20</v>
      </c>
      <c r="AD455" s="30" t="n">
        <f aca="false">Summary!$C$5+SUM(X$2:X455)</f>
        <v>107383.05</v>
      </c>
      <c r="AE455" s="30" t="n">
        <f aca="false">MAX(AE454,AD455)</f>
        <v>107394.4</v>
      </c>
      <c r="AF455" s="30" t="n">
        <f aca="false">AE455-AD455</f>
        <v>11.3499999999913</v>
      </c>
      <c r="AG455" s="29" t="n">
        <f aca="false">IFERROR(AF455/AE455,0)</f>
        <v>0.000105685212636704</v>
      </c>
    </row>
    <row r="456" customFormat="false" ht="15" hidden="false" customHeight="false" outlineLevel="0" collapsed="false">
      <c r="A456" s="28" t="n">
        <v>455</v>
      </c>
      <c r="B456" s="43" t="n">
        <v>45684.0423611111</v>
      </c>
      <c r="C456" s="43" t="n">
        <v>45684.1207638889</v>
      </c>
      <c r="D456" s="42" t="n">
        <f aca="false">INT(C456)</f>
        <v>45684</v>
      </c>
      <c r="E456" s="42" t="n">
        <f aca="false">D456-WEEKDAY(D456,3)</f>
        <v>45684</v>
      </c>
      <c r="F456" s="28" t="s">
        <v>164</v>
      </c>
      <c r="G456" s="28" t="n">
        <v>2025</v>
      </c>
      <c r="H456" s="28" t="s">
        <v>240</v>
      </c>
      <c r="I456" s="28" t="n">
        <v>1</v>
      </c>
      <c r="J456" s="28" t="s">
        <v>236</v>
      </c>
      <c r="K456" s="28" t="s">
        <v>237</v>
      </c>
      <c r="L456" s="28" t="n">
        <v>0.22</v>
      </c>
      <c r="M456" s="31" t="n">
        <v>21558.12</v>
      </c>
      <c r="N456" s="31" t="n">
        <v>21609.57</v>
      </c>
      <c r="O456" s="31" t="n">
        <v>21455.23</v>
      </c>
      <c r="P456" s="44" t="n">
        <f aca="false">ABS(M456-N456)</f>
        <v>51.4500000000007</v>
      </c>
      <c r="Q456" s="44" t="n">
        <f aca="false">IF(O456="","",ABS(O456-M456))</f>
        <v>102.889999999999</v>
      </c>
      <c r="R456" s="30" t="n">
        <f aca="false">P456*L456*Summary!$C$6</f>
        <v>226.380000000003</v>
      </c>
      <c r="S456" s="31" t="n">
        <v>21454.27</v>
      </c>
      <c r="T456" s="28" t="s">
        <v>214</v>
      </c>
      <c r="U456" s="44" t="n">
        <f aca="false">IF(J456="BUY",S456-M456,M456-S456)</f>
        <v>103.849999999999</v>
      </c>
      <c r="V456" s="45" t="n">
        <v>0</v>
      </c>
      <c r="W456" s="45" t="n">
        <v>0</v>
      </c>
      <c r="X456" s="45" t="n">
        <v>456.94</v>
      </c>
      <c r="Y456" s="32" t="n">
        <f aca="false">IFERROR(X456/R456,0)</f>
        <v>2.01846452866858</v>
      </c>
      <c r="Z456" s="28" t="str">
        <f aca="false">IF(X456&gt;0,"Win",IF(X456&lt;0,"Loss","Flat"))</f>
        <v>Win</v>
      </c>
      <c r="AA456" s="28" t="n">
        <f aca="false">ROUND((C456-B456)*1440,1)</f>
        <v>112.9</v>
      </c>
      <c r="AB456" s="28" t="str">
        <f aca="false">IF(AA456&lt;1,"a) &lt;1 min",IF(AA456&lt;10,"b) 1-10 min",IF(AA456&lt;60,"c) 10-60 min",IF(AA456&lt;240,"d) 1-4 h","e) 4 h+"))))</f>
        <v>d) 1-4 h</v>
      </c>
      <c r="AC456" s="28" t="str">
        <f aca="false">IF(P456&lt;10,"a) &lt;10",IF(P456&lt;20,"b) 10-20",IF(P456&lt;40,"c) 20-40",IF(P456&lt;80,"d) 40-80","e) 80+"))))</f>
        <v>d) 40-80</v>
      </c>
      <c r="AD456" s="30" t="n">
        <f aca="false">Summary!$C$5+SUM(X$2:X456)</f>
        <v>107839.99</v>
      </c>
      <c r="AE456" s="30" t="n">
        <f aca="false">MAX(AE455,AD456)</f>
        <v>107839.99</v>
      </c>
      <c r="AF456" s="30" t="n">
        <f aca="false">AE456-AD456</f>
        <v>0</v>
      </c>
      <c r="AG456" s="29" t="n">
        <f aca="false">IFERROR(AF456/AE456,0)</f>
        <v>0</v>
      </c>
    </row>
    <row r="457" customFormat="false" ht="15" hidden="false" customHeight="false" outlineLevel="0" collapsed="false">
      <c r="A457" s="28" t="n">
        <v>456</v>
      </c>
      <c r="B457" s="43" t="n">
        <v>45686.3340277778</v>
      </c>
      <c r="C457" s="43" t="n">
        <v>45686.3374074074</v>
      </c>
      <c r="D457" s="42" t="n">
        <f aca="false">INT(C457)</f>
        <v>45686</v>
      </c>
      <c r="E457" s="42" t="n">
        <f aca="false">D457-WEEKDAY(D457,3)</f>
        <v>45684</v>
      </c>
      <c r="F457" s="28" t="s">
        <v>164</v>
      </c>
      <c r="G457" s="28" t="n">
        <v>2025</v>
      </c>
      <c r="H457" s="28" t="s">
        <v>235</v>
      </c>
      <c r="I457" s="28" t="n">
        <v>8</v>
      </c>
      <c r="J457" s="28" t="s">
        <v>233</v>
      </c>
      <c r="K457" s="28" t="s">
        <v>234</v>
      </c>
      <c r="L457" s="28" t="n">
        <v>0.22</v>
      </c>
      <c r="M457" s="31" t="n">
        <v>21520.33</v>
      </c>
      <c r="N457" s="31" t="n">
        <v>21502.18</v>
      </c>
      <c r="O457" s="31" t="n">
        <v>21556.63</v>
      </c>
      <c r="P457" s="44" t="n">
        <f aca="false">ABS(M457-N457)</f>
        <v>18.1500000000015</v>
      </c>
      <c r="Q457" s="44" t="n">
        <f aca="false">IF(O457="","",ABS(O457-M457))</f>
        <v>36.2999999999993</v>
      </c>
      <c r="R457" s="30" t="n">
        <f aca="false">P457*L457*Summary!$C$6</f>
        <v>79.8600000000064</v>
      </c>
      <c r="S457" s="31" t="n">
        <v>21520.03</v>
      </c>
      <c r="T457" s="28" t="s">
        <v>238</v>
      </c>
      <c r="U457" s="44" t="n">
        <f aca="false">IF(J457="BUY",S457-M457,M457-S457)</f>
        <v>-0.30000000000291</v>
      </c>
      <c r="V457" s="45" t="n">
        <v>0</v>
      </c>
      <c r="W457" s="45" t="n">
        <v>0</v>
      </c>
      <c r="X457" s="45" t="n">
        <v>-1.32</v>
      </c>
      <c r="Y457" s="32" t="n">
        <f aca="false">IFERROR(X457/R457,0)</f>
        <v>-0.0165289256198334</v>
      </c>
      <c r="Z457" s="28" t="str">
        <f aca="false">IF(X457&gt;0,"Win",IF(X457&lt;0,"Loss","Flat"))</f>
        <v>Loss</v>
      </c>
      <c r="AA457" s="28" t="n">
        <f aca="false">ROUND((C457-B457)*1440,1)</f>
        <v>4.9</v>
      </c>
      <c r="AB457" s="28" t="str">
        <f aca="false">IF(AA457&lt;1,"a) &lt;1 min",IF(AA457&lt;10,"b) 1-10 min",IF(AA457&lt;60,"c) 10-60 min",IF(AA457&lt;240,"d) 1-4 h","e) 4 h+"))))</f>
        <v>b) 1-10 min</v>
      </c>
      <c r="AC457" s="28" t="str">
        <f aca="false">IF(P457&lt;10,"a) &lt;10",IF(P457&lt;20,"b) 10-20",IF(P457&lt;40,"c) 20-40",IF(P457&lt;80,"d) 40-80","e) 80+"))))</f>
        <v>b) 10-20</v>
      </c>
      <c r="AD457" s="30" t="n">
        <f aca="false">Summary!$C$5+SUM(X$2:X457)</f>
        <v>107838.67</v>
      </c>
      <c r="AE457" s="30" t="n">
        <f aca="false">MAX(AE456,AD457)</f>
        <v>107839.99</v>
      </c>
      <c r="AF457" s="30" t="n">
        <f aca="false">AE457-AD457</f>
        <v>1.32000000000699</v>
      </c>
      <c r="AG457" s="29" t="n">
        <f aca="false">IFERROR(AF457/AE457,0)</f>
        <v>1.22403572181988E-005</v>
      </c>
    </row>
    <row r="458" customFormat="false" ht="15" hidden="false" customHeight="false" outlineLevel="0" collapsed="false">
      <c r="A458" s="28" t="n">
        <v>457</v>
      </c>
      <c r="B458" s="43" t="n">
        <v>45687.4305555556</v>
      </c>
      <c r="C458" s="43" t="n">
        <v>45687.4391435185</v>
      </c>
      <c r="D458" s="42" t="n">
        <f aca="false">INT(C458)</f>
        <v>45687</v>
      </c>
      <c r="E458" s="42" t="n">
        <f aca="false">D458-WEEKDAY(D458,3)</f>
        <v>45684</v>
      </c>
      <c r="F458" s="28" t="s">
        <v>164</v>
      </c>
      <c r="G458" s="28" t="n">
        <v>2025</v>
      </c>
      <c r="H458" s="28" t="s">
        <v>239</v>
      </c>
      <c r="I458" s="28" t="n">
        <v>10</v>
      </c>
      <c r="J458" s="28" t="s">
        <v>233</v>
      </c>
      <c r="K458" s="28" t="s">
        <v>234</v>
      </c>
      <c r="L458" s="28" t="n">
        <v>0.22</v>
      </c>
      <c r="M458" s="31" t="n">
        <v>21579.28</v>
      </c>
      <c r="N458" s="31" t="n">
        <v>21566.84</v>
      </c>
      <c r="O458" s="31" t="n">
        <v>21604.16</v>
      </c>
      <c r="P458" s="44" t="n">
        <f aca="false">ABS(M458-N458)</f>
        <v>12.4399999999987</v>
      </c>
      <c r="Q458" s="44" t="n">
        <f aca="false">IF(O458="","",ABS(O458-M458))</f>
        <v>24.880000000001</v>
      </c>
      <c r="R458" s="30" t="n">
        <f aca="false">P458*L458*Summary!$C$6</f>
        <v>54.7359999999942</v>
      </c>
      <c r="S458" s="31" t="n">
        <v>21566.73</v>
      </c>
      <c r="T458" s="28" t="s">
        <v>241</v>
      </c>
      <c r="U458" s="44" t="n">
        <f aca="false">IF(J458="BUY",S458-M458,M458-S458)</f>
        <v>-12.5499999999993</v>
      </c>
      <c r="V458" s="45" t="n">
        <v>0</v>
      </c>
      <c r="W458" s="45" t="n">
        <v>0</v>
      </c>
      <c r="X458" s="45" t="n">
        <v>-55.22</v>
      </c>
      <c r="Y458" s="32" t="n">
        <f aca="false">IFERROR(X458/R458,0)</f>
        <v>-1.00884244373001</v>
      </c>
      <c r="Z458" s="28" t="str">
        <f aca="false">IF(X458&gt;0,"Win",IF(X458&lt;0,"Loss","Flat"))</f>
        <v>Loss</v>
      </c>
      <c r="AA458" s="28" t="n">
        <f aca="false">ROUND((C458-B458)*1440,1)</f>
        <v>12.4</v>
      </c>
      <c r="AB458" s="28" t="str">
        <f aca="false">IF(AA458&lt;1,"a) &lt;1 min",IF(AA458&lt;10,"b) 1-10 min",IF(AA458&lt;60,"c) 10-60 min",IF(AA458&lt;240,"d) 1-4 h","e) 4 h+"))))</f>
        <v>c) 10-60 min</v>
      </c>
      <c r="AC458" s="28" t="str">
        <f aca="false">IF(P458&lt;10,"a) &lt;10",IF(P458&lt;20,"b) 10-20",IF(P458&lt;40,"c) 20-40",IF(P458&lt;80,"d) 40-80","e) 80+"))))</f>
        <v>b) 10-20</v>
      </c>
      <c r="AD458" s="30" t="n">
        <f aca="false">Summary!$C$5+SUM(X$2:X458)</f>
        <v>107783.45</v>
      </c>
      <c r="AE458" s="30" t="n">
        <f aca="false">MAX(AE457,AD458)</f>
        <v>107839.99</v>
      </c>
      <c r="AF458" s="30" t="n">
        <f aca="false">AE458-AD458</f>
        <v>56.5400000000082</v>
      </c>
      <c r="AG458" s="29" t="n">
        <f aca="false">IFERROR(AF458/AE458,0)</f>
        <v>0.000524295300843483</v>
      </c>
    </row>
    <row r="459" customFormat="false" ht="15" hidden="false" customHeight="false" outlineLevel="0" collapsed="false">
      <c r="A459" s="28" t="n">
        <v>458</v>
      </c>
      <c r="B459" s="43" t="n">
        <v>45688.1569444445</v>
      </c>
      <c r="C459" s="43" t="n">
        <v>45688.1672453704</v>
      </c>
      <c r="D459" s="42" t="n">
        <f aca="false">INT(C459)</f>
        <v>45688</v>
      </c>
      <c r="E459" s="42" t="n">
        <f aca="false">D459-WEEKDAY(D459,3)</f>
        <v>45684</v>
      </c>
      <c r="F459" s="28" t="s">
        <v>164</v>
      </c>
      <c r="G459" s="28" t="n">
        <v>2025</v>
      </c>
      <c r="H459" s="28" t="s">
        <v>242</v>
      </c>
      <c r="I459" s="28" t="n">
        <v>3</v>
      </c>
      <c r="J459" s="28" t="s">
        <v>233</v>
      </c>
      <c r="K459" s="28" t="s">
        <v>234</v>
      </c>
      <c r="L459" s="28" t="n">
        <v>0.22</v>
      </c>
      <c r="M459" s="31" t="n">
        <v>21644.2</v>
      </c>
      <c r="N459" s="31" t="n">
        <v>21632.93</v>
      </c>
      <c r="O459" s="31" t="n">
        <v>21666.74</v>
      </c>
      <c r="P459" s="44" t="n">
        <f aca="false">ABS(M459-N459)</f>
        <v>11.2700000000004</v>
      </c>
      <c r="Q459" s="44" t="n">
        <f aca="false">IF(O459="","",ABS(O459-M459))</f>
        <v>22.5400000000009</v>
      </c>
      <c r="R459" s="30" t="n">
        <f aca="false">P459*L459*Summary!$C$6</f>
        <v>49.5880000000019</v>
      </c>
      <c r="S459" s="31" t="n">
        <v>21667.12</v>
      </c>
      <c r="T459" s="28" t="s">
        <v>214</v>
      </c>
      <c r="U459" s="44" t="n">
        <f aca="false">IF(J459="BUY",S459-M459,M459-S459)</f>
        <v>22.9199999999983</v>
      </c>
      <c r="V459" s="45" t="n">
        <v>0</v>
      </c>
      <c r="W459" s="45" t="n">
        <v>0</v>
      </c>
      <c r="X459" s="45" t="n">
        <v>100.85</v>
      </c>
      <c r="Y459" s="32" t="n">
        <f aca="false">IFERROR(X459/R459,0)</f>
        <v>2.03375816729846</v>
      </c>
      <c r="Z459" s="28" t="str">
        <f aca="false">IF(X459&gt;0,"Win",IF(X459&lt;0,"Loss","Flat"))</f>
        <v>Win</v>
      </c>
      <c r="AA459" s="28" t="n">
        <f aca="false">ROUND((C459-B459)*1440,1)</f>
        <v>14.8</v>
      </c>
      <c r="AB459" s="28" t="str">
        <f aca="false">IF(AA459&lt;1,"a) &lt;1 min",IF(AA459&lt;10,"b) 1-10 min",IF(AA459&lt;60,"c) 10-60 min",IF(AA459&lt;240,"d) 1-4 h","e) 4 h+"))))</f>
        <v>c) 10-60 min</v>
      </c>
      <c r="AC459" s="28" t="str">
        <f aca="false">IF(P459&lt;10,"a) &lt;10",IF(P459&lt;20,"b) 10-20",IF(P459&lt;40,"c) 20-40",IF(P459&lt;80,"d) 40-80","e) 80+"))))</f>
        <v>b) 10-20</v>
      </c>
      <c r="AD459" s="30" t="n">
        <f aca="false">Summary!$C$5+SUM(X$2:X459)</f>
        <v>107884.3</v>
      </c>
      <c r="AE459" s="30" t="n">
        <f aca="false">MAX(AE458,AD459)</f>
        <v>107884.3</v>
      </c>
      <c r="AF459" s="30" t="n">
        <f aca="false">AE459-AD459</f>
        <v>0</v>
      </c>
      <c r="AG459" s="29" t="n">
        <f aca="false">IFERROR(AF459/AE459,0)</f>
        <v>0</v>
      </c>
    </row>
    <row r="460" customFormat="false" ht="15" hidden="false" customHeight="false" outlineLevel="0" collapsed="false">
      <c r="A460" s="28" t="n">
        <v>459</v>
      </c>
      <c r="B460" s="43" t="n">
        <v>45691.0423611111</v>
      </c>
      <c r="C460" s="43" t="n">
        <v>45691.0930902778</v>
      </c>
      <c r="D460" s="42" t="n">
        <f aca="false">INT(C460)</f>
        <v>45691</v>
      </c>
      <c r="E460" s="42" t="n">
        <f aca="false">D460-WEEKDAY(D460,3)</f>
        <v>45691</v>
      </c>
      <c r="F460" s="28" t="s">
        <v>165</v>
      </c>
      <c r="G460" s="28" t="n">
        <v>2025</v>
      </c>
      <c r="H460" s="28" t="s">
        <v>240</v>
      </c>
      <c r="I460" s="28" t="n">
        <v>1</v>
      </c>
      <c r="J460" s="28" t="s">
        <v>236</v>
      </c>
      <c r="K460" s="28" t="s">
        <v>237</v>
      </c>
      <c r="L460" s="28" t="n">
        <v>0.17</v>
      </c>
      <c r="M460" s="31" t="n">
        <v>20874.19</v>
      </c>
      <c r="N460" s="31" t="n">
        <v>21031.82</v>
      </c>
      <c r="O460" s="31" t="n">
        <v>20558.93</v>
      </c>
      <c r="P460" s="44" t="n">
        <f aca="false">ABS(M460-N460)</f>
        <v>157.630000000001</v>
      </c>
      <c r="Q460" s="44" t="n">
        <f aca="false">IF(O460="","",ABS(O460-M460))</f>
        <v>315.259999999998</v>
      </c>
      <c r="R460" s="30" t="n">
        <f aca="false">P460*L460*Summary!$C$6</f>
        <v>535.942000000004</v>
      </c>
      <c r="S460" s="31" t="n">
        <v>21032.2</v>
      </c>
      <c r="T460" s="28" t="s">
        <v>241</v>
      </c>
      <c r="U460" s="44" t="n">
        <f aca="false">IF(J460="BUY",S460-M460,M460-S460)</f>
        <v>-158.010000000002</v>
      </c>
      <c r="V460" s="45" t="n">
        <v>0</v>
      </c>
      <c r="W460" s="45" t="n">
        <v>0</v>
      </c>
      <c r="X460" s="45" t="n">
        <v>-537.23</v>
      </c>
      <c r="Y460" s="32" t="n">
        <f aca="false">IFERROR(X460/R460,0)</f>
        <v>-1.00240324512726</v>
      </c>
      <c r="Z460" s="28" t="str">
        <f aca="false">IF(X460&gt;0,"Win",IF(X460&lt;0,"Loss","Flat"))</f>
        <v>Loss</v>
      </c>
      <c r="AA460" s="28" t="n">
        <f aca="false">ROUND((C460-B460)*1440,1)</f>
        <v>73.1</v>
      </c>
      <c r="AB460" s="28" t="str">
        <f aca="false">IF(AA460&lt;1,"a) &lt;1 min",IF(AA460&lt;10,"b) 1-10 min",IF(AA460&lt;60,"c) 10-60 min",IF(AA460&lt;240,"d) 1-4 h","e) 4 h+"))))</f>
        <v>d) 1-4 h</v>
      </c>
      <c r="AC460" s="28" t="str">
        <f aca="false">IF(P460&lt;10,"a) &lt;10",IF(P460&lt;20,"b) 10-20",IF(P460&lt;40,"c) 20-40",IF(P460&lt;80,"d) 40-80","e) 80+"))))</f>
        <v>e) 80+</v>
      </c>
      <c r="AD460" s="30" t="n">
        <f aca="false">Summary!$C$5+SUM(X$2:X460)</f>
        <v>107347.07</v>
      </c>
      <c r="AE460" s="30" t="n">
        <f aca="false">MAX(AE459,AD460)</f>
        <v>107884.3</v>
      </c>
      <c r="AF460" s="30" t="n">
        <f aca="false">AE460-AD460</f>
        <v>537.229999999996</v>
      </c>
      <c r="AG460" s="29" t="n">
        <f aca="false">IFERROR(AF460/AE460,0)</f>
        <v>0.00497968657163272</v>
      </c>
    </row>
    <row r="461" customFormat="false" ht="15" hidden="false" customHeight="false" outlineLevel="0" collapsed="false">
      <c r="A461" s="28" t="n">
        <v>460</v>
      </c>
      <c r="B461" s="43" t="n">
        <v>45692.0423611111</v>
      </c>
      <c r="C461" s="43" t="n">
        <v>45692.1261458333</v>
      </c>
      <c r="D461" s="42" t="n">
        <f aca="false">INT(C461)</f>
        <v>45692</v>
      </c>
      <c r="E461" s="42" t="n">
        <f aca="false">D461-WEEKDAY(D461,3)</f>
        <v>45691</v>
      </c>
      <c r="F461" s="28" t="s">
        <v>165</v>
      </c>
      <c r="G461" s="28" t="n">
        <v>2025</v>
      </c>
      <c r="H461" s="28" t="s">
        <v>232</v>
      </c>
      <c r="I461" s="28" t="n">
        <v>1</v>
      </c>
      <c r="J461" s="28" t="s">
        <v>233</v>
      </c>
      <c r="K461" s="28" t="s">
        <v>234</v>
      </c>
      <c r="L461" s="28" t="n">
        <v>0.22</v>
      </c>
      <c r="M461" s="31" t="n">
        <v>21472.45</v>
      </c>
      <c r="N461" s="31" t="n">
        <v>21422.66</v>
      </c>
      <c r="O461" s="31" t="n">
        <v>21572.03</v>
      </c>
      <c r="P461" s="44" t="n">
        <f aca="false">ABS(M461-N461)</f>
        <v>49.7900000000009</v>
      </c>
      <c r="Q461" s="44" t="n">
        <f aca="false">IF(O461="","",ABS(O461-M461))</f>
        <v>99.5799999999981</v>
      </c>
      <c r="R461" s="30" t="n">
        <f aca="false">P461*L461*Summary!$C$6</f>
        <v>219.076000000004</v>
      </c>
      <c r="S461" s="31" t="n">
        <v>21422.53</v>
      </c>
      <c r="T461" s="28" t="s">
        <v>241</v>
      </c>
      <c r="U461" s="44" t="n">
        <f aca="false">IF(J461="BUY",S461-M461,M461-S461)</f>
        <v>-49.9200000000019</v>
      </c>
      <c r="V461" s="45" t="n">
        <v>0</v>
      </c>
      <c r="W461" s="45" t="n">
        <v>0</v>
      </c>
      <c r="X461" s="45" t="n">
        <v>-219.65</v>
      </c>
      <c r="Y461" s="32" t="n">
        <f aca="false">IFERROR(X461/R461,0)</f>
        <v>-1.00262009530937</v>
      </c>
      <c r="Z461" s="28" t="str">
        <f aca="false">IF(X461&gt;0,"Win",IF(X461&lt;0,"Loss","Flat"))</f>
        <v>Loss</v>
      </c>
      <c r="AA461" s="28" t="n">
        <f aca="false">ROUND((C461-B461)*1440,1)</f>
        <v>120.7</v>
      </c>
      <c r="AB461" s="28" t="str">
        <f aca="false">IF(AA461&lt;1,"a) &lt;1 min",IF(AA461&lt;10,"b) 1-10 min",IF(AA461&lt;60,"c) 10-60 min",IF(AA461&lt;240,"d) 1-4 h","e) 4 h+"))))</f>
        <v>d) 1-4 h</v>
      </c>
      <c r="AC461" s="28" t="str">
        <f aca="false">IF(P461&lt;10,"a) &lt;10",IF(P461&lt;20,"b) 10-20",IF(P461&lt;40,"c) 20-40",IF(P461&lt;80,"d) 40-80","e) 80+"))))</f>
        <v>d) 40-80</v>
      </c>
      <c r="AD461" s="30" t="n">
        <f aca="false">Summary!$C$5+SUM(X$2:X461)</f>
        <v>107127.42</v>
      </c>
      <c r="AE461" s="30" t="n">
        <f aca="false">MAX(AE460,AD461)</f>
        <v>107884.3</v>
      </c>
      <c r="AF461" s="30" t="n">
        <f aca="false">AE461-AD461</f>
        <v>756.880000000005</v>
      </c>
      <c r="AG461" s="29" t="n">
        <f aca="false">IFERROR(AF461/AE461,0)</f>
        <v>0.00701566400301068</v>
      </c>
    </row>
    <row r="462" customFormat="false" ht="15" hidden="false" customHeight="false" outlineLevel="0" collapsed="false">
      <c r="A462" s="28" t="n">
        <v>461</v>
      </c>
      <c r="B462" s="43" t="n">
        <v>45693.7854166667</v>
      </c>
      <c r="C462" s="43" t="n">
        <v>45693.7920138889</v>
      </c>
      <c r="D462" s="42" t="n">
        <f aca="false">INT(C462)</f>
        <v>45693</v>
      </c>
      <c r="E462" s="42" t="n">
        <f aca="false">D462-WEEKDAY(D462,3)</f>
        <v>45691</v>
      </c>
      <c r="F462" s="28" t="s">
        <v>165</v>
      </c>
      <c r="G462" s="28" t="n">
        <v>2025</v>
      </c>
      <c r="H462" s="28" t="s">
        <v>235</v>
      </c>
      <c r="I462" s="28" t="n">
        <v>18</v>
      </c>
      <c r="J462" s="28" t="s">
        <v>233</v>
      </c>
      <c r="K462" s="28" t="s">
        <v>234</v>
      </c>
      <c r="L462" s="28" t="n">
        <v>0.22</v>
      </c>
      <c r="M462" s="31" t="n">
        <v>21588.95</v>
      </c>
      <c r="N462" s="31" t="n">
        <v>21570.06</v>
      </c>
      <c r="O462" s="31" t="n">
        <v>21626.73</v>
      </c>
      <c r="P462" s="44" t="n">
        <f aca="false">ABS(M462-N462)</f>
        <v>18.8899999999994</v>
      </c>
      <c r="Q462" s="44" t="n">
        <f aca="false">IF(O462="","",ABS(O462-M462))</f>
        <v>37.7799999999988</v>
      </c>
      <c r="R462" s="30" t="n">
        <f aca="false">P462*L462*Summary!$C$6</f>
        <v>83.1159999999974</v>
      </c>
      <c r="S462" s="31" t="n">
        <v>21627.02</v>
      </c>
      <c r="T462" s="28" t="s">
        <v>214</v>
      </c>
      <c r="U462" s="44" t="n">
        <f aca="false">IF(J462="BUY",S462-M462,M462-S462)</f>
        <v>38.0699999999997</v>
      </c>
      <c r="V462" s="45" t="n">
        <v>0</v>
      </c>
      <c r="W462" s="45" t="n">
        <v>0</v>
      </c>
      <c r="X462" s="45" t="n">
        <v>167.51</v>
      </c>
      <c r="Y462" s="32" t="n">
        <f aca="false">IFERROR(X462/R462,0)</f>
        <v>2.01537610087113</v>
      </c>
      <c r="Z462" s="28" t="str">
        <f aca="false">IF(X462&gt;0,"Win",IF(X462&lt;0,"Loss","Flat"))</f>
        <v>Win</v>
      </c>
      <c r="AA462" s="28" t="n">
        <f aca="false">ROUND((C462-B462)*1440,1)</f>
        <v>9.5</v>
      </c>
      <c r="AB462" s="28" t="str">
        <f aca="false">IF(AA462&lt;1,"a) &lt;1 min",IF(AA462&lt;10,"b) 1-10 min",IF(AA462&lt;60,"c) 10-60 min",IF(AA462&lt;240,"d) 1-4 h","e) 4 h+"))))</f>
        <v>b) 1-10 min</v>
      </c>
      <c r="AC462" s="28" t="str">
        <f aca="false">IF(P462&lt;10,"a) &lt;10",IF(P462&lt;20,"b) 10-20",IF(P462&lt;40,"c) 20-40",IF(P462&lt;80,"d) 40-80","e) 80+"))))</f>
        <v>b) 10-20</v>
      </c>
      <c r="AD462" s="30" t="n">
        <f aca="false">Summary!$C$5+SUM(X$2:X462)</f>
        <v>107294.93</v>
      </c>
      <c r="AE462" s="30" t="n">
        <f aca="false">MAX(AE461,AD462)</f>
        <v>107884.3</v>
      </c>
      <c r="AF462" s="30" t="n">
        <f aca="false">AE462-AD462</f>
        <v>589.37000000001</v>
      </c>
      <c r="AG462" s="29" t="n">
        <f aca="false">IFERROR(AF462/AE462,0)</f>
        <v>0.00546298210212246</v>
      </c>
    </row>
    <row r="463" customFormat="false" ht="15" hidden="false" customHeight="false" outlineLevel="0" collapsed="false">
      <c r="A463" s="28" t="n">
        <v>462</v>
      </c>
      <c r="B463" s="43" t="n">
        <v>45694.0854166667</v>
      </c>
      <c r="C463" s="43" t="n">
        <v>45694.0893981482</v>
      </c>
      <c r="D463" s="42" t="n">
        <f aca="false">INT(C463)</f>
        <v>45694</v>
      </c>
      <c r="E463" s="42" t="n">
        <f aca="false">D463-WEEKDAY(D463,3)</f>
        <v>45691</v>
      </c>
      <c r="F463" s="28" t="s">
        <v>165</v>
      </c>
      <c r="G463" s="28" t="n">
        <v>2025</v>
      </c>
      <c r="H463" s="28" t="s">
        <v>239</v>
      </c>
      <c r="I463" s="28" t="n">
        <v>2</v>
      </c>
      <c r="J463" s="28" t="s">
        <v>233</v>
      </c>
      <c r="K463" s="28" t="s">
        <v>234</v>
      </c>
      <c r="L463" s="28" t="n">
        <v>0.22</v>
      </c>
      <c r="M463" s="31" t="n">
        <v>21682.08</v>
      </c>
      <c r="N463" s="31" t="n">
        <v>21673.97</v>
      </c>
      <c r="O463" s="31" t="n">
        <v>21698.3</v>
      </c>
      <c r="P463" s="44" t="n">
        <f aca="false">ABS(M463-N463)</f>
        <v>8.11000000000058</v>
      </c>
      <c r="Q463" s="44" t="n">
        <f aca="false">IF(O463="","",ABS(O463-M463))</f>
        <v>16.2199999999975</v>
      </c>
      <c r="R463" s="30" t="n">
        <f aca="false">P463*L463*Summary!$C$6</f>
        <v>35.6840000000026</v>
      </c>
      <c r="S463" s="31" t="n">
        <v>21681.99</v>
      </c>
      <c r="T463" s="28" t="s">
        <v>238</v>
      </c>
      <c r="U463" s="44" t="n">
        <f aca="false">IF(J463="BUY",S463-M463,M463-S463)</f>
        <v>-0.0900000000001455</v>
      </c>
      <c r="V463" s="45" t="n">
        <v>0</v>
      </c>
      <c r="W463" s="45" t="n">
        <v>0</v>
      </c>
      <c r="X463" s="45" t="n">
        <v>-0.4</v>
      </c>
      <c r="Y463" s="32" t="n">
        <f aca="false">IFERROR(X463/R463,0)</f>
        <v>-0.0112095056607996</v>
      </c>
      <c r="Z463" s="28" t="str">
        <f aca="false">IF(X463&gt;0,"Win",IF(X463&lt;0,"Loss","Flat"))</f>
        <v>Loss</v>
      </c>
      <c r="AA463" s="28" t="n">
        <f aca="false">ROUND((C463-B463)*1440,1)</f>
        <v>5.7</v>
      </c>
      <c r="AB463" s="28" t="str">
        <f aca="false">IF(AA463&lt;1,"a) &lt;1 min",IF(AA463&lt;10,"b) 1-10 min",IF(AA463&lt;60,"c) 10-60 min",IF(AA463&lt;240,"d) 1-4 h","e) 4 h+"))))</f>
        <v>b) 1-10 min</v>
      </c>
      <c r="AC463" s="28" t="str">
        <f aca="false">IF(P463&lt;10,"a) &lt;10",IF(P463&lt;20,"b) 10-20",IF(P463&lt;40,"c) 20-40",IF(P463&lt;80,"d) 40-80","e) 80+"))))</f>
        <v>a) &lt;10</v>
      </c>
      <c r="AD463" s="30" t="n">
        <f aca="false">Summary!$C$5+SUM(X$2:X463)</f>
        <v>107294.53</v>
      </c>
      <c r="AE463" s="30" t="n">
        <f aca="false">MAX(AE462,AD463)</f>
        <v>107884.3</v>
      </c>
      <c r="AF463" s="30" t="n">
        <f aca="false">AE463-AD463</f>
        <v>589.770000000004</v>
      </c>
      <c r="AG463" s="29" t="n">
        <f aca="false">IFERROR(AF463/AE463,0)</f>
        <v>0.00546668977784538</v>
      </c>
    </row>
    <row r="464" customFormat="false" ht="15" hidden="false" customHeight="false" outlineLevel="0" collapsed="false">
      <c r="A464" s="28" t="n">
        <v>463</v>
      </c>
      <c r="B464" s="43" t="n">
        <v>45695.15</v>
      </c>
      <c r="C464" s="43" t="n">
        <v>45695.1522453704</v>
      </c>
      <c r="D464" s="42" t="n">
        <f aca="false">INT(C464)</f>
        <v>45695</v>
      </c>
      <c r="E464" s="42" t="n">
        <f aca="false">D464-WEEKDAY(D464,3)</f>
        <v>45691</v>
      </c>
      <c r="F464" s="28" t="s">
        <v>165</v>
      </c>
      <c r="G464" s="28" t="n">
        <v>2025</v>
      </c>
      <c r="H464" s="28" t="s">
        <v>242</v>
      </c>
      <c r="I464" s="28" t="n">
        <v>3</v>
      </c>
      <c r="J464" s="28" t="s">
        <v>233</v>
      </c>
      <c r="K464" s="28" t="s">
        <v>234</v>
      </c>
      <c r="L464" s="28" t="n">
        <v>0.22</v>
      </c>
      <c r="M464" s="31" t="n">
        <v>21780</v>
      </c>
      <c r="N464" s="31" t="n">
        <v>21774.16</v>
      </c>
      <c r="O464" s="31" t="n">
        <v>21791.67</v>
      </c>
      <c r="P464" s="44" t="n">
        <f aca="false">ABS(M464-N464)</f>
        <v>5.84000000000015</v>
      </c>
      <c r="Q464" s="44" t="n">
        <f aca="false">IF(O464="","",ABS(O464-M464))</f>
        <v>11.6699999999983</v>
      </c>
      <c r="R464" s="30" t="n">
        <f aca="false">P464*L464*Summary!$C$6</f>
        <v>25.6960000000006</v>
      </c>
      <c r="S464" s="31" t="n">
        <v>21791.81</v>
      </c>
      <c r="T464" s="28" t="s">
        <v>214</v>
      </c>
      <c r="U464" s="44" t="n">
        <f aca="false">IF(J464="BUY",S464-M464,M464-S464)</f>
        <v>11.8100000000013</v>
      </c>
      <c r="V464" s="45" t="n">
        <v>0</v>
      </c>
      <c r="W464" s="45" t="n">
        <v>0</v>
      </c>
      <c r="X464" s="45" t="n">
        <v>51.96</v>
      </c>
      <c r="Y464" s="32" t="n">
        <f aca="false">IFERROR(X464/R464,0)</f>
        <v>2.022104607721</v>
      </c>
      <c r="Z464" s="28" t="str">
        <f aca="false">IF(X464&gt;0,"Win",IF(X464&lt;0,"Loss","Flat"))</f>
        <v>Win</v>
      </c>
      <c r="AA464" s="28" t="n">
        <f aca="false">ROUND((C464-B464)*1440,1)</f>
        <v>3.2</v>
      </c>
      <c r="AB464" s="28" t="str">
        <f aca="false">IF(AA464&lt;1,"a) &lt;1 min",IF(AA464&lt;10,"b) 1-10 min",IF(AA464&lt;60,"c) 10-60 min",IF(AA464&lt;240,"d) 1-4 h","e) 4 h+"))))</f>
        <v>b) 1-10 min</v>
      </c>
      <c r="AC464" s="28" t="str">
        <f aca="false">IF(P464&lt;10,"a) &lt;10",IF(P464&lt;20,"b) 10-20",IF(P464&lt;40,"c) 20-40",IF(P464&lt;80,"d) 40-80","e) 80+"))))</f>
        <v>a) &lt;10</v>
      </c>
      <c r="AD464" s="30" t="n">
        <f aca="false">Summary!$C$5+SUM(X$2:X464)</f>
        <v>107346.49</v>
      </c>
      <c r="AE464" s="30" t="n">
        <f aca="false">MAX(AE463,AD464)</f>
        <v>107884.3</v>
      </c>
      <c r="AF464" s="30" t="n">
        <f aca="false">AE464-AD464</f>
        <v>537.809999999998</v>
      </c>
      <c r="AG464" s="29" t="n">
        <f aca="false">IFERROR(AF464/AE464,0)</f>
        <v>0.00498506270143105</v>
      </c>
    </row>
    <row r="465" customFormat="false" ht="15" hidden="false" customHeight="false" outlineLevel="0" collapsed="false">
      <c r="A465" s="28" t="n">
        <v>464</v>
      </c>
      <c r="B465" s="43" t="n">
        <v>45695.7180555556</v>
      </c>
      <c r="C465" s="43" t="n">
        <v>45695.723912037</v>
      </c>
      <c r="D465" s="42" t="n">
        <f aca="false">INT(C465)</f>
        <v>45695</v>
      </c>
      <c r="E465" s="42" t="n">
        <f aca="false">D465-WEEKDAY(D465,3)</f>
        <v>45691</v>
      </c>
      <c r="F465" s="28" t="s">
        <v>165</v>
      </c>
      <c r="G465" s="28" t="n">
        <v>2025</v>
      </c>
      <c r="H465" s="28" t="s">
        <v>242</v>
      </c>
      <c r="I465" s="28" t="n">
        <v>17</v>
      </c>
      <c r="J465" s="28" t="s">
        <v>236</v>
      </c>
      <c r="K465" s="28" t="s">
        <v>237</v>
      </c>
      <c r="L465" s="28" t="n">
        <v>0.22</v>
      </c>
      <c r="M465" s="31" t="n">
        <v>21598.9</v>
      </c>
      <c r="N465" s="31" t="n">
        <v>21664.34</v>
      </c>
      <c r="O465" s="31" t="n">
        <v>21468.01</v>
      </c>
      <c r="P465" s="44" t="n">
        <f aca="false">ABS(M465-N465)</f>
        <v>65.4399999999987</v>
      </c>
      <c r="Q465" s="44" t="n">
        <f aca="false">IF(O465="","",ABS(O465-M465))</f>
        <v>130.890000000003</v>
      </c>
      <c r="R465" s="30" t="n">
        <f aca="false">P465*L465*Summary!$C$6</f>
        <v>287.935999999994</v>
      </c>
      <c r="S465" s="31" t="n">
        <v>21664.45</v>
      </c>
      <c r="T465" s="28" t="s">
        <v>241</v>
      </c>
      <c r="U465" s="44" t="n">
        <f aca="false">IF(J465="BUY",S465-M465,M465-S465)</f>
        <v>-65.5499999999993</v>
      </c>
      <c r="V465" s="45" t="n">
        <v>0</v>
      </c>
      <c r="W465" s="45" t="n">
        <v>0</v>
      </c>
      <c r="X465" s="45" t="n">
        <v>-288.42</v>
      </c>
      <c r="Y465" s="32" t="n">
        <f aca="false">IFERROR(X465/R465,0)</f>
        <v>-1.00168092909537</v>
      </c>
      <c r="Z465" s="28" t="str">
        <f aca="false">IF(X465&gt;0,"Win",IF(X465&lt;0,"Loss","Flat"))</f>
        <v>Loss</v>
      </c>
      <c r="AA465" s="28" t="n">
        <f aca="false">ROUND((C465-B465)*1440,1)</f>
        <v>8.4</v>
      </c>
      <c r="AB465" s="28" t="str">
        <f aca="false">IF(AA465&lt;1,"a) &lt;1 min",IF(AA465&lt;10,"b) 1-10 min",IF(AA465&lt;60,"c) 10-60 min",IF(AA465&lt;240,"d) 1-4 h","e) 4 h+"))))</f>
        <v>b) 1-10 min</v>
      </c>
      <c r="AC465" s="28" t="str">
        <f aca="false">IF(P465&lt;10,"a) &lt;10",IF(P465&lt;20,"b) 10-20",IF(P465&lt;40,"c) 20-40",IF(P465&lt;80,"d) 40-80","e) 80+"))))</f>
        <v>d) 40-80</v>
      </c>
      <c r="AD465" s="30" t="n">
        <f aca="false">Summary!$C$5+SUM(X$2:X465)</f>
        <v>107058.07</v>
      </c>
      <c r="AE465" s="30" t="n">
        <f aca="false">MAX(AE464,AD465)</f>
        <v>107884.3</v>
      </c>
      <c r="AF465" s="30" t="n">
        <f aca="false">AE465-AD465</f>
        <v>826.229999999996</v>
      </c>
      <c r="AG465" s="29" t="n">
        <f aca="false">IFERROR(AF465/AE465,0)</f>
        <v>0.00765848228148114</v>
      </c>
    </row>
    <row r="466" customFormat="false" ht="15" hidden="false" customHeight="false" outlineLevel="0" collapsed="false">
      <c r="A466" s="28" t="n">
        <v>465</v>
      </c>
      <c r="B466" s="43" t="n">
        <v>45698.0423611111</v>
      </c>
      <c r="C466" s="43" t="n">
        <v>45698.0469444445</v>
      </c>
      <c r="D466" s="42" t="n">
        <f aca="false">INT(C466)</f>
        <v>45698</v>
      </c>
      <c r="E466" s="42" t="n">
        <f aca="false">D466-WEEKDAY(D466,3)</f>
        <v>45698</v>
      </c>
      <c r="F466" s="28" t="s">
        <v>165</v>
      </c>
      <c r="G466" s="28" t="n">
        <v>2025</v>
      </c>
      <c r="H466" s="28" t="s">
        <v>240</v>
      </c>
      <c r="I466" s="28" t="n">
        <v>1</v>
      </c>
      <c r="J466" s="28" t="s">
        <v>236</v>
      </c>
      <c r="K466" s="28" t="s">
        <v>237</v>
      </c>
      <c r="L466" s="28" t="n">
        <v>0.22</v>
      </c>
      <c r="M466" s="31" t="n">
        <v>21414.63</v>
      </c>
      <c r="N466" s="31" t="n">
        <v>21457.12</v>
      </c>
      <c r="O466" s="31" t="n">
        <v>21329.66</v>
      </c>
      <c r="P466" s="44" t="n">
        <f aca="false">ABS(M466-N466)</f>
        <v>42.489999999998</v>
      </c>
      <c r="Q466" s="44" t="n">
        <f aca="false">IF(O466="","",ABS(O466-M466))</f>
        <v>84.9700000000012</v>
      </c>
      <c r="R466" s="30" t="n">
        <f aca="false">P466*L466*Summary!$C$6</f>
        <v>186.955999999991</v>
      </c>
      <c r="S466" s="31" t="n">
        <v>21457.42</v>
      </c>
      <c r="T466" s="28" t="s">
        <v>241</v>
      </c>
      <c r="U466" s="44" t="n">
        <f aca="false">IF(J466="BUY",S466-M466,M466-S466)</f>
        <v>-42.7899999999972</v>
      </c>
      <c r="V466" s="45" t="n">
        <v>0</v>
      </c>
      <c r="W466" s="45" t="n">
        <v>0</v>
      </c>
      <c r="X466" s="45" t="n">
        <v>-188.28</v>
      </c>
      <c r="Y466" s="32" t="n">
        <f aca="false">IFERROR(X466/R466,0)</f>
        <v>-1.00708188022855</v>
      </c>
      <c r="Z466" s="28" t="str">
        <f aca="false">IF(X466&gt;0,"Win",IF(X466&lt;0,"Loss","Flat"))</f>
        <v>Loss</v>
      </c>
      <c r="AA466" s="28" t="n">
        <f aca="false">ROUND((C466-B466)*1440,1)</f>
        <v>6.6</v>
      </c>
      <c r="AB466" s="28" t="str">
        <f aca="false">IF(AA466&lt;1,"a) &lt;1 min",IF(AA466&lt;10,"b) 1-10 min",IF(AA466&lt;60,"c) 10-60 min",IF(AA466&lt;240,"d) 1-4 h","e) 4 h+"))))</f>
        <v>b) 1-10 min</v>
      </c>
      <c r="AC466" s="28" t="str">
        <f aca="false">IF(P466&lt;10,"a) &lt;10",IF(P466&lt;20,"b) 10-20",IF(P466&lt;40,"c) 20-40",IF(P466&lt;80,"d) 40-80","e) 80+"))))</f>
        <v>d) 40-80</v>
      </c>
      <c r="AD466" s="30" t="n">
        <f aca="false">Summary!$C$5+SUM(X$2:X466)</f>
        <v>106869.79</v>
      </c>
      <c r="AE466" s="30" t="n">
        <f aca="false">MAX(AE465,AD466)</f>
        <v>107884.3</v>
      </c>
      <c r="AF466" s="30" t="n">
        <f aca="false">AE466-AD466</f>
        <v>1014.51000000001</v>
      </c>
      <c r="AG466" s="29" t="n">
        <f aca="false">IFERROR(AF466/AE466,0)</f>
        <v>0.00940368524428494</v>
      </c>
    </row>
    <row r="467" customFormat="false" ht="15" hidden="false" customHeight="false" outlineLevel="0" collapsed="false">
      <c r="A467" s="28" t="n">
        <v>466</v>
      </c>
      <c r="B467" s="43" t="n">
        <v>45700.6465277778</v>
      </c>
      <c r="C467" s="43" t="n">
        <v>45700.6583101852</v>
      </c>
      <c r="D467" s="42" t="n">
        <f aca="false">INT(C467)</f>
        <v>45700</v>
      </c>
      <c r="E467" s="42" t="n">
        <f aca="false">D467-WEEKDAY(D467,3)</f>
        <v>45698</v>
      </c>
      <c r="F467" s="28" t="s">
        <v>165</v>
      </c>
      <c r="G467" s="28" t="n">
        <v>2025</v>
      </c>
      <c r="H467" s="28" t="s">
        <v>235</v>
      </c>
      <c r="I467" s="28" t="n">
        <v>15</v>
      </c>
      <c r="J467" s="28" t="s">
        <v>236</v>
      </c>
      <c r="K467" s="28" t="s">
        <v>237</v>
      </c>
      <c r="L467" s="28" t="n">
        <v>0.22</v>
      </c>
      <c r="M467" s="31" t="n">
        <v>21495.28</v>
      </c>
      <c r="N467" s="31" t="n">
        <v>21561.81</v>
      </c>
      <c r="O467" s="31" t="n">
        <v>21370.5</v>
      </c>
      <c r="P467" s="44" t="n">
        <f aca="false">ABS(M467-N467)</f>
        <v>66.5300000000025</v>
      </c>
      <c r="Q467" s="44" t="n">
        <f aca="false">IF(O467="","",ABS(O467-M467))</f>
        <v>124.779999999999</v>
      </c>
      <c r="R467" s="30" t="n">
        <f aca="false">P467*L467*Summary!$C$6</f>
        <v>292.732000000011</v>
      </c>
      <c r="S467" s="31" t="n">
        <v>21495.5</v>
      </c>
      <c r="T467" s="28" t="s">
        <v>238</v>
      </c>
      <c r="U467" s="44" t="n">
        <f aca="false">IF(J467="BUY",S467-M467,M467-S467)</f>
        <v>-0.220000000001164</v>
      </c>
      <c r="V467" s="45" t="n">
        <v>0</v>
      </c>
      <c r="W467" s="45" t="n">
        <v>0</v>
      </c>
      <c r="X467" s="45" t="n">
        <v>-0.97</v>
      </c>
      <c r="Y467" s="32" t="n">
        <f aca="false">IFERROR(X467/R467,0)</f>
        <v>-0.00331361108454137</v>
      </c>
      <c r="Z467" s="28" t="str">
        <f aca="false">IF(X467&gt;0,"Win",IF(X467&lt;0,"Loss","Flat"))</f>
        <v>Loss</v>
      </c>
      <c r="AA467" s="28" t="n">
        <f aca="false">ROUND((C467-B467)*1440,1)</f>
        <v>17</v>
      </c>
      <c r="AB467" s="28" t="str">
        <f aca="false">IF(AA467&lt;1,"a) &lt;1 min",IF(AA467&lt;10,"b) 1-10 min",IF(AA467&lt;60,"c) 10-60 min",IF(AA467&lt;240,"d) 1-4 h","e) 4 h+"))))</f>
        <v>c) 10-60 min</v>
      </c>
      <c r="AC467" s="28" t="str">
        <f aca="false">IF(P467&lt;10,"a) &lt;10",IF(P467&lt;20,"b) 10-20",IF(P467&lt;40,"c) 20-40",IF(P467&lt;80,"d) 40-80","e) 80+"))))</f>
        <v>d) 40-80</v>
      </c>
      <c r="AD467" s="30" t="n">
        <f aca="false">Summary!$C$5+SUM(X$2:X467)</f>
        <v>106868.82</v>
      </c>
      <c r="AE467" s="30" t="n">
        <f aca="false">MAX(AE466,AD467)</f>
        <v>107884.3</v>
      </c>
      <c r="AF467" s="30" t="n">
        <f aca="false">AE467-AD467</f>
        <v>1015.48</v>
      </c>
      <c r="AG467" s="29" t="n">
        <f aca="false">IFERROR(AF467/AE467,0)</f>
        <v>0.00941267635791302</v>
      </c>
    </row>
    <row r="468" customFormat="false" ht="15" hidden="false" customHeight="false" outlineLevel="0" collapsed="false">
      <c r="A468" s="28" t="n">
        <v>467</v>
      </c>
      <c r="B468" s="43" t="n">
        <v>45701.0423611111</v>
      </c>
      <c r="C468" s="43" t="n">
        <v>45701.113587963</v>
      </c>
      <c r="D468" s="42" t="n">
        <f aca="false">INT(C468)</f>
        <v>45701</v>
      </c>
      <c r="E468" s="42" t="n">
        <f aca="false">D468-WEEKDAY(D468,3)</f>
        <v>45698</v>
      </c>
      <c r="F468" s="28" t="s">
        <v>165</v>
      </c>
      <c r="G468" s="28" t="n">
        <v>2025</v>
      </c>
      <c r="H468" s="28" t="s">
        <v>239</v>
      </c>
      <c r="I468" s="28" t="n">
        <v>1</v>
      </c>
      <c r="J468" s="28" t="s">
        <v>233</v>
      </c>
      <c r="K468" s="28" t="s">
        <v>234</v>
      </c>
      <c r="L468" s="28" t="n">
        <v>0.22</v>
      </c>
      <c r="M468" s="31" t="n">
        <v>21769.1</v>
      </c>
      <c r="N468" s="31" t="n">
        <v>21746.28</v>
      </c>
      <c r="O468" s="31" t="n">
        <v>21814.75</v>
      </c>
      <c r="P468" s="44" t="n">
        <f aca="false">ABS(M468-N468)</f>
        <v>22.8199999999997</v>
      </c>
      <c r="Q468" s="44" t="n">
        <f aca="false">IF(O468="","",ABS(O468-M468))</f>
        <v>45.6500000000015</v>
      </c>
      <c r="R468" s="30" t="n">
        <f aca="false">P468*L468*Summary!$C$6</f>
        <v>100.407999999999</v>
      </c>
      <c r="S468" s="31" t="n">
        <v>21815.99</v>
      </c>
      <c r="T468" s="28" t="s">
        <v>214</v>
      </c>
      <c r="U468" s="44" t="n">
        <f aca="false">IF(J468="BUY",S468-M468,M468-S468)</f>
        <v>46.8900000000031</v>
      </c>
      <c r="V468" s="45" t="n">
        <v>0</v>
      </c>
      <c r="W468" s="45" t="n">
        <v>0</v>
      </c>
      <c r="X468" s="45" t="n">
        <v>206.32</v>
      </c>
      <c r="Y468" s="32" t="n">
        <f aca="false">IFERROR(X468/R468,0)</f>
        <v>2.0548163492949</v>
      </c>
      <c r="Z468" s="28" t="str">
        <f aca="false">IF(X468&gt;0,"Win",IF(X468&lt;0,"Loss","Flat"))</f>
        <v>Win</v>
      </c>
      <c r="AA468" s="28" t="n">
        <f aca="false">ROUND((C468-B468)*1440,1)</f>
        <v>102.6</v>
      </c>
      <c r="AB468" s="28" t="str">
        <f aca="false">IF(AA468&lt;1,"a) &lt;1 min",IF(AA468&lt;10,"b) 1-10 min",IF(AA468&lt;60,"c) 10-60 min",IF(AA468&lt;240,"d) 1-4 h","e) 4 h+"))))</f>
        <v>d) 1-4 h</v>
      </c>
      <c r="AC468" s="28" t="str">
        <f aca="false">IF(P468&lt;10,"a) &lt;10",IF(P468&lt;20,"b) 10-20",IF(P468&lt;40,"c) 20-40",IF(P468&lt;80,"d) 40-80","e) 80+"))))</f>
        <v>c) 20-40</v>
      </c>
      <c r="AD468" s="30" t="n">
        <f aca="false">Summary!$C$5+SUM(X$2:X468)</f>
        <v>107075.14</v>
      </c>
      <c r="AE468" s="30" t="n">
        <f aca="false">MAX(AE467,AD468)</f>
        <v>107884.3</v>
      </c>
      <c r="AF468" s="30" t="n">
        <f aca="false">AE468-AD468</f>
        <v>809.160000000004</v>
      </c>
      <c r="AG468" s="29" t="n">
        <f aca="false">IFERROR(AF468/AE468,0)</f>
        <v>0.00750025722000331</v>
      </c>
    </row>
    <row r="469" customFormat="false" ht="15" hidden="false" customHeight="false" outlineLevel="0" collapsed="false">
      <c r="A469" s="28" t="n">
        <v>468</v>
      </c>
      <c r="B469" s="43" t="n">
        <v>45702.1479166667</v>
      </c>
      <c r="C469" s="43" t="n">
        <v>45702.1944444445</v>
      </c>
      <c r="D469" s="42" t="n">
        <f aca="false">INT(C469)</f>
        <v>45702</v>
      </c>
      <c r="E469" s="42" t="n">
        <f aca="false">D469-WEEKDAY(D469,3)</f>
        <v>45698</v>
      </c>
      <c r="F469" s="28" t="s">
        <v>165</v>
      </c>
      <c r="G469" s="28" t="n">
        <v>2025</v>
      </c>
      <c r="H469" s="28" t="s">
        <v>242</v>
      </c>
      <c r="I469" s="28" t="n">
        <v>3</v>
      </c>
      <c r="J469" s="28" t="s">
        <v>233</v>
      </c>
      <c r="K469" s="28" t="s">
        <v>234</v>
      </c>
      <c r="L469" s="28" t="n">
        <v>0.21</v>
      </c>
      <c r="M469" s="31" t="n">
        <v>22041.48</v>
      </c>
      <c r="N469" s="31" t="n">
        <v>22031.57</v>
      </c>
      <c r="O469" s="31" t="n">
        <v>22061.29</v>
      </c>
      <c r="P469" s="44" t="n">
        <f aca="false">ABS(M469-N469)</f>
        <v>9.90999999999985</v>
      </c>
      <c r="Q469" s="44" t="n">
        <f aca="false">IF(O469="","",ABS(O469-M469))</f>
        <v>19.8100000000013</v>
      </c>
      <c r="R469" s="30" t="n">
        <f aca="false">P469*L469*Summary!$C$6</f>
        <v>41.6219999999994</v>
      </c>
      <c r="S469" s="31" t="n">
        <v>22062.33</v>
      </c>
      <c r="T469" s="28" t="s">
        <v>214</v>
      </c>
      <c r="U469" s="44" t="n">
        <f aca="false">IF(J469="BUY",S469-M469,M469-S469)</f>
        <v>20.8500000000022</v>
      </c>
      <c r="V469" s="45" t="n">
        <v>0</v>
      </c>
      <c r="W469" s="45" t="n">
        <v>0</v>
      </c>
      <c r="X469" s="45" t="n">
        <v>87.57</v>
      </c>
      <c r="Y469" s="32" t="n">
        <f aca="false">IFERROR(X469/R469,0)</f>
        <v>2.10393541876895</v>
      </c>
      <c r="Z469" s="28" t="str">
        <f aca="false">IF(X469&gt;0,"Win",IF(X469&lt;0,"Loss","Flat"))</f>
        <v>Win</v>
      </c>
      <c r="AA469" s="28" t="n">
        <f aca="false">ROUND((C469-B469)*1440,1)</f>
        <v>67</v>
      </c>
      <c r="AB469" s="28" t="str">
        <f aca="false">IF(AA469&lt;1,"a) &lt;1 min",IF(AA469&lt;10,"b) 1-10 min",IF(AA469&lt;60,"c) 10-60 min",IF(AA469&lt;240,"d) 1-4 h","e) 4 h+"))))</f>
        <v>d) 1-4 h</v>
      </c>
      <c r="AC469" s="28" t="str">
        <f aca="false">IF(P469&lt;10,"a) &lt;10",IF(P469&lt;20,"b) 10-20",IF(P469&lt;40,"c) 20-40",IF(P469&lt;80,"d) 40-80","e) 80+"))))</f>
        <v>a) &lt;10</v>
      </c>
      <c r="AD469" s="30" t="n">
        <f aca="false">Summary!$C$5+SUM(X$2:X469)</f>
        <v>107162.71</v>
      </c>
      <c r="AE469" s="30" t="n">
        <f aca="false">MAX(AE468,AD469)</f>
        <v>107884.3</v>
      </c>
      <c r="AF469" s="30" t="n">
        <f aca="false">AE469-AD469</f>
        <v>721.589999999997</v>
      </c>
      <c r="AG469" s="29" t="n">
        <f aca="false">IFERROR(AF469/AE469,0)</f>
        <v>0.00668855431235126</v>
      </c>
    </row>
    <row r="470" customFormat="false" ht="15" hidden="false" customHeight="false" outlineLevel="0" collapsed="false">
      <c r="A470" s="28" t="n">
        <v>469</v>
      </c>
      <c r="B470" s="43" t="n">
        <v>45705.0423611111</v>
      </c>
      <c r="C470" s="43" t="n">
        <v>45705.0444328704</v>
      </c>
      <c r="D470" s="42" t="n">
        <f aca="false">INT(C470)</f>
        <v>45705</v>
      </c>
      <c r="E470" s="42" t="n">
        <f aca="false">D470-WEEKDAY(D470,3)</f>
        <v>45705</v>
      </c>
      <c r="F470" s="28" t="s">
        <v>165</v>
      </c>
      <c r="G470" s="28" t="n">
        <v>2025</v>
      </c>
      <c r="H470" s="28" t="s">
        <v>240</v>
      </c>
      <c r="I470" s="28" t="n">
        <v>1</v>
      </c>
      <c r="J470" s="28" t="s">
        <v>233</v>
      </c>
      <c r="K470" s="28" t="s">
        <v>234</v>
      </c>
      <c r="L470" s="28" t="n">
        <v>0.21</v>
      </c>
      <c r="M470" s="31" t="n">
        <v>22147.71</v>
      </c>
      <c r="N470" s="31" t="n">
        <v>22133.07</v>
      </c>
      <c r="O470" s="31" t="n">
        <v>22176.99</v>
      </c>
      <c r="P470" s="44" t="n">
        <f aca="false">ABS(M470-N470)</f>
        <v>14.6399999999994</v>
      </c>
      <c r="Q470" s="44" t="n">
        <f aca="false">IF(O470="","",ABS(O470-M470))</f>
        <v>29.2800000000025</v>
      </c>
      <c r="R470" s="30" t="n">
        <f aca="false">P470*L470*Summary!$C$6</f>
        <v>61.4879999999976</v>
      </c>
      <c r="S470" s="31" t="n">
        <v>22132.5</v>
      </c>
      <c r="T470" s="28" t="s">
        <v>241</v>
      </c>
      <c r="U470" s="44" t="n">
        <f aca="false">IF(J470="BUY",S470-M470,M470-S470)</f>
        <v>-15.2099999999991</v>
      </c>
      <c r="V470" s="45" t="n">
        <v>0</v>
      </c>
      <c r="W470" s="45" t="n">
        <v>0</v>
      </c>
      <c r="X470" s="45" t="n">
        <v>-63.88</v>
      </c>
      <c r="Y470" s="32" t="n">
        <f aca="false">IFERROR(X470/R470,0)</f>
        <v>-1.03890189955768</v>
      </c>
      <c r="Z470" s="28" t="str">
        <f aca="false">IF(X470&gt;0,"Win",IF(X470&lt;0,"Loss","Flat"))</f>
        <v>Loss</v>
      </c>
      <c r="AA470" s="28" t="n">
        <f aca="false">ROUND((C470-B470)*1440,1)</f>
        <v>3</v>
      </c>
      <c r="AB470" s="28" t="str">
        <f aca="false">IF(AA470&lt;1,"a) &lt;1 min",IF(AA470&lt;10,"b) 1-10 min",IF(AA470&lt;60,"c) 10-60 min",IF(AA470&lt;240,"d) 1-4 h","e) 4 h+"))))</f>
        <v>b) 1-10 min</v>
      </c>
      <c r="AC470" s="28" t="str">
        <f aca="false">IF(P470&lt;10,"a) &lt;10",IF(P470&lt;20,"b) 10-20",IF(P470&lt;40,"c) 20-40",IF(P470&lt;80,"d) 40-80","e) 80+"))))</f>
        <v>b) 10-20</v>
      </c>
      <c r="AD470" s="30" t="n">
        <f aca="false">Summary!$C$5+SUM(X$2:X470)</f>
        <v>107098.83</v>
      </c>
      <c r="AE470" s="30" t="n">
        <f aca="false">MAX(AE469,AD470)</f>
        <v>107884.3</v>
      </c>
      <c r="AF470" s="30" t="n">
        <f aca="false">AE470-AD470</f>
        <v>785.470000000001</v>
      </c>
      <c r="AG470" s="29" t="n">
        <f aca="false">IFERROR(AF470/AE470,0)</f>
        <v>0.00728067012531018</v>
      </c>
    </row>
    <row r="471" customFormat="false" ht="15" hidden="false" customHeight="false" outlineLevel="0" collapsed="false">
      <c r="A471" s="28" t="n">
        <v>470</v>
      </c>
      <c r="B471" s="43" t="n">
        <v>45706.3611111111</v>
      </c>
      <c r="C471" s="43" t="n">
        <v>45706.3750694445</v>
      </c>
      <c r="D471" s="42" t="n">
        <f aca="false">INT(C471)</f>
        <v>45706</v>
      </c>
      <c r="E471" s="42" t="n">
        <f aca="false">D471-WEEKDAY(D471,3)</f>
        <v>45705</v>
      </c>
      <c r="F471" s="28" t="s">
        <v>165</v>
      </c>
      <c r="G471" s="28" t="n">
        <v>2025</v>
      </c>
      <c r="H471" s="28" t="s">
        <v>232</v>
      </c>
      <c r="I471" s="28" t="n">
        <v>8</v>
      </c>
      <c r="J471" s="28" t="s">
        <v>233</v>
      </c>
      <c r="K471" s="28" t="s">
        <v>234</v>
      </c>
      <c r="L471" s="28" t="n">
        <v>0.21</v>
      </c>
      <c r="M471" s="31" t="n">
        <v>22212.18</v>
      </c>
      <c r="N471" s="31" t="n">
        <v>22203.64</v>
      </c>
      <c r="O471" s="31" t="n">
        <v>22229.26</v>
      </c>
      <c r="P471" s="44" t="n">
        <f aca="false">ABS(M471-N471)</f>
        <v>8.54000000000087</v>
      </c>
      <c r="Q471" s="44" t="n">
        <f aca="false">IF(O471="","",ABS(O471-M471))</f>
        <v>17.0799999999981</v>
      </c>
      <c r="R471" s="30" t="n">
        <f aca="false">P471*L471*Summary!$C$6</f>
        <v>35.8680000000037</v>
      </c>
      <c r="S471" s="31" t="n">
        <v>22229.92</v>
      </c>
      <c r="T471" s="28" t="s">
        <v>214</v>
      </c>
      <c r="U471" s="44" t="n">
        <f aca="false">IF(J471="BUY",S471-M471,M471-S471)</f>
        <v>17.739999999998</v>
      </c>
      <c r="V471" s="45" t="n">
        <v>0</v>
      </c>
      <c r="W471" s="45" t="n">
        <v>0</v>
      </c>
      <c r="X471" s="45" t="n">
        <v>74.51</v>
      </c>
      <c r="Y471" s="32" t="n">
        <f aca="false">IFERROR(X471/R471,0)</f>
        <v>2.07733913237405</v>
      </c>
      <c r="Z471" s="28" t="str">
        <f aca="false">IF(X471&gt;0,"Win",IF(X471&lt;0,"Loss","Flat"))</f>
        <v>Win</v>
      </c>
      <c r="AA471" s="28" t="n">
        <f aca="false">ROUND((C471-B471)*1440,1)</f>
        <v>20.1</v>
      </c>
      <c r="AB471" s="28" t="str">
        <f aca="false">IF(AA471&lt;1,"a) &lt;1 min",IF(AA471&lt;10,"b) 1-10 min",IF(AA471&lt;60,"c) 10-60 min",IF(AA471&lt;240,"d) 1-4 h","e) 4 h+"))))</f>
        <v>c) 10-60 min</v>
      </c>
      <c r="AC471" s="28" t="str">
        <f aca="false">IF(P471&lt;10,"a) &lt;10",IF(P471&lt;20,"b) 10-20",IF(P471&lt;40,"c) 20-40",IF(P471&lt;80,"d) 40-80","e) 80+"))))</f>
        <v>a) &lt;10</v>
      </c>
      <c r="AD471" s="30" t="n">
        <f aca="false">Summary!$C$5+SUM(X$2:X471)</f>
        <v>107173.34</v>
      </c>
      <c r="AE471" s="30" t="n">
        <f aca="false">MAX(AE470,AD471)</f>
        <v>107884.3</v>
      </c>
      <c r="AF471" s="30" t="n">
        <f aca="false">AE471-AD471</f>
        <v>710.960000000006</v>
      </c>
      <c r="AG471" s="29" t="n">
        <f aca="false">IFERROR(AF471/AE471,0)</f>
        <v>0.00659002283001332</v>
      </c>
    </row>
    <row r="472" customFormat="false" ht="15" hidden="false" customHeight="false" outlineLevel="0" collapsed="false">
      <c r="A472" s="28" t="n">
        <v>471</v>
      </c>
      <c r="B472" s="43" t="n">
        <v>45706.7</v>
      </c>
      <c r="C472" s="43" t="n">
        <v>45706.7036689815</v>
      </c>
      <c r="D472" s="42" t="n">
        <f aca="false">INT(C472)</f>
        <v>45706</v>
      </c>
      <c r="E472" s="42" t="n">
        <f aca="false">D472-WEEKDAY(D472,3)</f>
        <v>45705</v>
      </c>
      <c r="F472" s="28" t="s">
        <v>165</v>
      </c>
      <c r="G472" s="28" t="n">
        <v>2025</v>
      </c>
      <c r="H472" s="28" t="s">
        <v>232</v>
      </c>
      <c r="I472" s="28" t="n">
        <v>16</v>
      </c>
      <c r="J472" s="28" t="s">
        <v>236</v>
      </c>
      <c r="K472" s="28" t="s">
        <v>237</v>
      </c>
      <c r="L472" s="28" t="n">
        <v>0.21</v>
      </c>
      <c r="M472" s="31" t="n">
        <v>22099.53</v>
      </c>
      <c r="N472" s="31" t="n">
        <v>22136.36</v>
      </c>
      <c r="O472" s="31" t="n">
        <v>22025.87</v>
      </c>
      <c r="P472" s="44" t="n">
        <f aca="false">ABS(M472-N472)</f>
        <v>36.8300000000017</v>
      </c>
      <c r="Q472" s="44" t="n">
        <f aca="false">IF(O472="","",ABS(O472-M472))</f>
        <v>73.6599999999999</v>
      </c>
      <c r="R472" s="30" t="n">
        <f aca="false">P472*L472*Summary!$C$6</f>
        <v>154.686000000007</v>
      </c>
      <c r="S472" s="31" t="n">
        <v>22136.5</v>
      </c>
      <c r="T472" s="28" t="s">
        <v>241</v>
      </c>
      <c r="U472" s="44" t="n">
        <f aca="false">IF(J472="BUY",S472-M472,M472-S472)</f>
        <v>-36.9700000000012</v>
      </c>
      <c r="V472" s="45" t="n">
        <v>0</v>
      </c>
      <c r="W472" s="45" t="n">
        <v>0</v>
      </c>
      <c r="X472" s="45" t="n">
        <v>-155.27</v>
      </c>
      <c r="Y472" s="32" t="n">
        <f aca="false">IFERROR(X472/R472,0)</f>
        <v>-1.00377539014515</v>
      </c>
      <c r="Z472" s="28" t="str">
        <f aca="false">IF(X472&gt;0,"Win",IF(X472&lt;0,"Loss","Flat"))</f>
        <v>Loss</v>
      </c>
      <c r="AA472" s="28" t="n">
        <f aca="false">ROUND((C472-B472)*1440,1)</f>
        <v>5.3</v>
      </c>
      <c r="AB472" s="28" t="str">
        <f aca="false">IF(AA472&lt;1,"a) &lt;1 min",IF(AA472&lt;10,"b) 1-10 min",IF(AA472&lt;60,"c) 10-60 min",IF(AA472&lt;240,"d) 1-4 h","e) 4 h+"))))</f>
        <v>b) 1-10 min</v>
      </c>
      <c r="AC472" s="28" t="str">
        <f aca="false">IF(P472&lt;10,"a) &lt;10",IF(P472&lt;20,"b) 10-20",IF(P472&lt;40,"c) 20-40",IF(P472&lt;80,"d) 40-80","e) 80+"))))</f>
        <v>c) 20-40</v>
      </c>
      <c r="AD472" s="30" t="n">
        <f aca="false">Summary!$C$5+SUM(X$2:X472)</f>
        <v>107018.07</v>
      </c>
      <c r="AE472" s="30" t="n">
        <f aca="false">MAX(AE471,AD472)</f>
        <v>107884.3</v>
      </c>
      <c r="AF472" s="30" t="n">
        <f aca="false">AE472-AD472</f>
        <v>866.229999999996</v>
      </c>
      <c r="AG472" s="29" t="n">
        <f aca="false">IFERROR(AF472/AE472,0)</f>
        <v>0.0080292498537785</v>
      </c>
    </row>
    <row r="473" customFormat="false" ht="15" hidden="false" customHeight="false" outlineLevel="0" collapsed="false">
      <c r="A473" s="28" t="n">
        <v>472</v>
      </c>
      <c r="B473" s="43" t="n">
        <v>45708.7027777778</v>
      </c>
      <c r="C473" s="43" t="n">
        <v>45708.7064236111</v>
      </c>
      <c r="D473" s="42" t="n">
        <f aca="false">INT(C473)</f>
        <v>45708</v>
      </c>
      <c r="E473" s="42" t="n">
        <f aca="false">D473-WEEKDAY(D473,3)</f>
        <v>45705</v>
      </c>
      <c r="F473" s="28" t="s">
        <v>165</v>
      </c>
      <c r="G473" s="28" t="n">
        <v>2025</v>
      </c>
      <c r="H473" s="28" t="s">
        <v>239</v>
      </c>
      <c r="I473" s="28" t="n">
        <v>16</v>
      </c>
      <c r="J473" s="28" t="s">
        <v>236</v>
      </c>
      <c r="K473" s="28" t="s">
        <v>237</v>
      </c>
      <c r="L473" s="28" t="n">
        <v>0.21</v>
      </c>
      <c r="M473" s="31" t="n">
        <v>22038.01</v>
      </c>
      <c r="N473" s="31" t="n">
        <v>22075.57</v>
      </c>
      <c r="O473" s="31" t="n">
        <v>21962.89</v>
      </c>
      <c r="P473" s="44" t="n">
        <f aca="false">ABS(M473-N473)</f>
        <v>37.5600000000013</v>
      </c>
      <c r="Q473" s="44" t="n">
        <f aca="false">IF(O473="","",ABS(O473-M473))</f>
        <v>75.119999999999</v>
      </c>
      <c r="R473" s="30" t="n">
        <f aca="false">P473*L473*Summary!$C$6</f>
        <v>157.752000000006</v>
      </c>
      <c r="S473" s="31" t="n">
        <v>21959.34</v>
      </c>
      <c r="T473" s="28" t="s">
        <v>214</v>
      </c>
      <c r="U473" s="44" t="n">
        <f aca="false">IF(J473="BUY",S473-M473,M473-S473)</f>
        <v>78.6699999999983</v>
      </c>
      <c r="V473" s="45" t="n">
        <v>0</v>
      </c>
      <c r="W473" s="45" t="n">
        <v>0</v>
      </c>
      <c r="X473" s="45" t="n">
        <v>330.41</v>
      </c>
      <c r="Y473" s="32" t="n">
        <f aca="false">IFERROR(X473/R473,0)</f>
        <v>2.09449008570407</v>
      </c>
      <c r="Z473" s="28" t="str">
        <f aca="false">IF(X473&gt;0,"Win",IF(X473&lt;0,"Loss","Flat"))</f>
        <v>Win</v>
      </c>
      <c r="AA473" s="28" t="n">
        <f aca="false">ROUND((C473-B473)*1440,1)</f>
        <v>5.3</v>
      </c>
      <c r="AB473" s="28" t="str">
        <f aca="false">IF(AA473&lt;1,"a) &lt;1 min",IF(AA473&lt;10,"b) 1-10 min",IF(AA473&lt;60,"c) 10-60 min",IF(AA473&lt;240,"d) 1-4 h","e) 4 h+"))))</f>
        <v>b) 1-10 min</v>
      </c>
      <c r="AC473" s="28" t="str">
        <f aca="false">IF(P473&lt;10,"a) &lt;10",IF(P473&lt;20,"b) 10-20",IF(P473&lt;40,"c) 20-40",IF(P473&lt;80,"d) 40-80","e) 80+"))))</f>
        <v>c) 20-40</v>
      </c>
      <c r="AD473" s="30" t="n">
        <f aca="false">Summary!$C$5+SUM(X$2:X473)</f>
        <v>107348.48</v>
      </c>
      <c r="AE473" s="30" t="n">
        <f aca="false">MAX(AE472,AD473)</f>
        <v>107884.3</v>
      </c>
      <c r="AF473" s="30" t="n">
        <f aca="false">AE473-AD473</f>
        <v>535.820000000007</v>
      </c>
      <c r="AG473" s="29" t="n">
        <f aca="false">IFERROR(AF473/AE473,0)</f>
        <v>0.00496661701470934</v>
      </c>
    </row>
    <row r="474" customFormat="false" ht="15" hidden="false" customHeight="false" outlineLevel="0" collapsed="false">
      <c r="A474" s="28" t="n">
        <v>473</v>
      </c>
      <c r="B474" s="43" t="n">
        <v>45709.6361111111</v>
      </c>
      <c r="C474" s="43" t="n">
        <v>45709.6399421296</v>
      </c>
      <c r="D474" s="42" t="n">
        <f aca="false">INT(C474)</f>
        <v>45709</v>
      </c>
      <c r="E474" s="42" t="n">
        <f aca="false">D474-WEEKDAY(D474,3)</f>
        <v>45705</v>
      </c>
      <c r="F474" s="28" t="s">
        <v>165</v>
      </c>
      <c r="G474" s="28" t="n">
        <v>2025</v>
      </c>
      <c r="H474" s="28" t="s">
        <v>242</v>
      </c>
      <c r="I474" s="28" t="n">
        <v>15</v>
      </c>
      <c r="J474" s="28" t="s">
        <v>233</v>
      </c>
      <c r="K474" s="28" t="s">
        <v>234</v>
      </c>
      <c r="L474" s="28" t="n">
        <v>0.21</v>
      </c>
      <c r="M474" s="31" t="n">
        <v>22156.82</v>
      </c>
      <c r="N474" s="31" t="n">
        <v>22148.1</v>
      </c>
      <c r="O474" s="31" t="n">
        <v>22174.26</v>
      </c>
      <c r="P474" s="44" t="n">
        <f aca="false">ABS(M474-N474)</f>
        <v>8.72000000000116</v>
      </c>
      <c r="Q474" s="44" t="n">
        <f aca="false">IF(O474="","",ABS(O474-M474))</f>
        <v>17.4399999999987</v>
      </c>
      <c r="R474" s="30" t="n">
        <f aca="false">P474*L474*Summary!$C$6</f>
        <v>36.6240000000049</v>
      </c>
      <c r="S474" s="31" t="n">
        <v>22148.03</v>
      </c>
      <c r="T474" s="28" t="s">
        <v>241</v>
      </c>
      <c r="U474" s="44" t="n">
        <f aca="false">IF(J474="BUY",S474-M474,M474-S474)</f>
        <v>-8.79000000000087</v>
      </c>
      <c r="V474" s="45" t="n">
        <v>0</v>
      </c>
      <c r="W474" s="45" t="n">
        <v>0</v>
      </c>
      <c r="X474" s="45" t="n">
        <v>-36.92</v>
      </c>
      <c r="Y474" s="32" t="n">
        <f aca="false">IFERROR(X474/R474,0)</f>
        <v>-1.00808213193521</v>
      </c>
      <c r="Z474" s="28" t="str">
        <f aca="false">IF(X474&gt;0,"Win",IF(X474&lt;0,"Loss","Flat"))</f>
        <v>Loss</v>
      </c>
      <c r="AA474" s="28" t="n">
        <f aca="false">ROUND((C474-B474)*1440,1)</f>
        <v>5.5</v>
      </c>
      <c r="AB474" s="28" t="str">
        <f aca="false">IF(AA474&lt;1,"a) &lt;1 min",IF(AA474&lt;10,"b) 1-10 min",IF(AA474&lt;60,"c) 10-60 min",IF(AA474&lt;240,"d) 1-4 h","e) 4 h+"))))</f>
        <v>b) 1-10 min</v>
      </c>
      <c r="AC474" s="28" t="str">
        <f aca="false">IF(P474&lt;10,"a) &lt;10",IF(P474&lt;20,"b) 10-20",IF(P474&lt;40,"c) 20-40",IF(P474&lt;80,"d) 40-80","e) 80+"))))</f>
        <v>a) &lt;10</v>
      </c>
      <c r="AD474" s="30" t="n">
        <f aca="false">Summary!$C$5+SUM(X$2:X474)</f>
        <v>107311.56</v>
      </c>
      <c r="AE474" s="30" t="n">
        <f aca="false">MAX(AE473,AD474)</f>
        <v>107884.3</v>
      </c>
      <c r="AF474" s="30" t="n">
        <f aca="false">AE474-AD474</f>
        <v>572.740000000005</v>
      </c>
      <c r="AG474" s="29" t="n">
        <f aca="false">IFERROR(AF474/AE474,0)</f>
        <v>0.00530883548393979</v>
      </c>
    </row>
    <row r="475" customFormat="false" ht="15" hidden="false" customHeight="false" outlineLevel="0" collapsed="false">
      <c r="A475" s="28" t="n">
        <v>474</v>
      </c>
      <c r="B475" s="43" t="n">
        <v>45709.7395833333</v>
      </c>
      <c r="C475" s="43" t="n">
        <v>45709.7406365741</v>
      </c>
      <c r="D475" s="42" t="n">
        <f aca="false">INT(C475)</f>
        <v>45709</v>
      </c>
      <c r="E475" s="42" t="n">
        <f aca="false">D475-WEEKDAY(D475,3)</f>
        <v>45705</v>
      </c>
      <c r="F475" s="28" t="s">
        <v>165</v>
      </c>
      <c r="G475" s="28" t="n">
        <v>2025</v>
      </c>
      <c r="H475" s="28" t="s">
        <v>242</v>
      </c>
      <c r="I475" s="28" t="n">
        <v>17</v>
      </c>
      <c r="J475" s="28" t="s">
        <v>236</v>
      </c>
      <c r="K475" s="28" t="s">
        <v>237</v>
      </c>
      <c r="L475" s="28" t="n">
        <v>0.22</v>
      </c>
      <c r="M475" s="31" t="n">
        <v>21876.5</v>
      </c>
      <c r="N475" s="31" t="n">
        <v>21911.4</v>
      </c>
      <c r="O475" s="31" t="n">
        <v>21803.58</v>
      </c>
      <c r="P475" s="44" t="n">
        <f aca="false">ABS(M475-N475)</f>
        <v>34.9000000000015</v>
      </c>
      <c r="Q475" s="44" t="n">
        <f aca="false">IF(O475="","",ABS(O475-M475))</f>
        <v>72.9199999999983</v>
      </c>
      <c r="R475" s="30" t="n">
        <f aca="false">P475*L475*Summary!$C$6</f>
        <v>153.560000000006</v>
      </c>
      <c r="S475" s="31" t="n">
        <v>21912.59</v>
      </c>
      <c r="T475" s="28" t="s">
        <v>241</v>
      </c>
      <c r="U475" s="44" t="n">
        <f aca="false">IF(J475="BUY",S475-M475,M475-S475)</f>
        <v>-36.0900000000001</v>
      </c>
      <c r="V475" s="45" t="n">
        <v>0</v>
      </c>
      <c r="W475" s="45" t="n">
        <v>0</v>
      </c>
      <c r="X475" s="45" t="n">
        <v>-158.8</v>
      </c>
      <c r="Y475" s="32" t="n">
        <f aca="false">IFERROR(X475/R475,0)</f>
        <v>-1.03412346965351</v>
      </c>
      <c r="Z475" s="28" t="str">
        <f aca="false">IF(X475&gt;0,"Win",IF(X475&lt;0,"Loss","Flat"))</f>
        <v>Loss</v>
      </c>
      <c r="AA475" s="28" t="n">
        <f aca="false">ROUND((C475-B475)*1440,1)</f>
        <v>1.5</v>
      </c>
      <c r="AB475" s="28" t="str">
        <f aca="false">IF(AA475&lt;1,"a) &lt;1 min",IF(AA475&lt;10,"b) 1-10 min",IF(AA475&lt;60,"c) 10-60 min",IF(AA475&lt;240,"d) 1-4 h","e) 4 h+"))))</f>
        <v>b) 1-10 min</v>
      </c>
      <c r="AC475" s="28" t="str">
        <f aca="false">IF(P475&lt;10,"a) &lt;10",IF(P475&lt;20,"b) 10-20",IF(P475&lt;40,"c) 20-40",IF(P475&lt;80,"d) 40-80","e) 80+"))))</f>
        <v>c) 20-40</v>
      </c>
      <c r="AD475" s="30" t="n">
        <f aca="false">Summary!$C$5+SUM(X$2:X475)</f>
        <v>107152.76</v>
      </c>
      <c r="AE475" s="30" t="n">
        <f aca="false">MAX(AE474,AD475)</f>
        <v>107884.3</v>
      </c>
      <c r="AF475" s="30" t="n">
        <f aca="false">AE475-AD475</f>
        <v>731.540000000008</v>
      </c>
      <c r="AG475" s="29" t="n">
        <f aca="false">IFERROR(AF475/AE475,0)</f>
        <v>0.00678078274596033</v>
      </c>
    </row>
    <row r="476" customFormat="false" ht="15" hidden="false" customHeight="false" outlineLevel="0" collapsed="false">
      <c r="A476" s="28" t="n">
        <v>475</v>
      </c>
      <c r="B476" s="43" t="n">
        <v>45712.7034722222</v>
      </c>
      <c r="C476" s="43" t="n">
        <v>45712.7092708333</v>
      </c>
      <c r="D476" s="42" t="n">
        <f aca="false">INT(C476)</f>
        <v>45712</v>
      </c>
      <c r="E476" s="42" t="n">
        <f aca="false">D476-WEEKDAY(D476,3)</f>
        <v>45712</v>
      </c>
      <c r="F476" s="28" t="s">
        <v>165</v>
      </c>
      <c r="G476" s="28" t="n">
        <v>2025</v>
      </c>
      <c r="H476" s="28" t="s">
        <v>240</v>
      </c>
      <c r="I476" s="28" t="n">
        <v>16</v>
      </c>
      <c r="J476" s="28" t="s">
        <v>236</v>
      </c>
      <c r="K476" s="28" t="s">
        <v>237</v>
      </c>
      <c r="L476" s="28" t="n">
        <v>0.22</v>
      </c>
      <c r="M476" s="31" t="n">
        <v>21564.49</v>
      </c>
      <c r="N476" s="31" t="n">
        <v>21607.88</v>
      </c>
      <c r="O476" s="31" t="n">
        <v>21477.71</v>
      </c>
      <c r="P476" s="44" t="n">
        <f aca="false">ABS(M476-N476)</f>
        <v>43.3899999999994</v>
      </c>
      <c r="Q476" s="44" t="n">
        <f aca="false">IF(O476="","",ABS(O476-M476))</f>
        <v>86.7800000000025</v>
      </c>
      <c r="R476" s="30" t="n">
        <f aca="false">P476*L476*Summary!$C$6</f>
        <v>190.915999999997</v>
      </c>
      <c r="S476" s="31" t="n">
        <v>21476.75</v>
      </c>
      <c r="T476" s="28" t="s">
        <v>214</v>
      </c>
      <c r="U476" s="44" t="n">
        <f aca="false">IF(J476="BUY",S476-M476,M476-S476)</f>
        <v>87.7400000000016</v>
      </c>
      <c r="V476" s="45" t="n">
        <v>0</v>
      </c>
      <c r="W476" s="45" t="n">
        <v>0</v>
      </c>
      <c r="X476" s="45" t="n">
        <v>386.06</v>
      </c>
      <c r="Y476" s="32" t="n">
        <f aca="false">IFERROR(X476/R476,0)</f>
        <v>2.02214586519729</v>
      </c>
      <c r="Z476" s="28" t="str">
        <f aca="false">IF(X476&gt;0,"Win",IF(X476&lt;0,"Loss","Flat"))</f>
        <v>Win</v>
      </c>
      <c r="AA476" s="28" t="n">
        <f aca="false">ROUND((C476-B476)*1440,1)</f>
        <v>8.4</v>
      </c>
      <c r="AB476" s="28" t="str">
        <f aca="false">IF(AA476&lt;1,"a) &lt;1 min",IF(AA476&lt;10,"b) 1-10 min",IF(AA476&lt;60,"c) 10-60 min",IF(AA476&lt;240,"d) 1-4 h","e) 4 h+"))))</f>
        <v>b) 1-10 min</v>
      </c>
      <c r="AC476" s="28" t="str">
        <f aca="false">IF(P476&lt;10,"a) &lt;10",IF(P476&lt;20,"b) 10-20",IF(P476&lt;40,"c) 20-40",IF(P476&lt;80,"d) 40-80","e) 80+"))))</f>
        <v>d) 40-80</v>
      </c>
      <c r="AD476" s="30" t="n">
        <f aca="false">Summary!$C$5+SUM(X$2:X476)</f>
        <v>107538.82</v>
      </c>
      <c r="AE476" s="30" t="n">
        <f aca="false">MAX(AE475,AD476)</f>
        <v>107884.3</v>
      </c>
      <c r="AF476" s="30" t="n">
        <f aca="false">AE476-AD476</f>
        <v>345.479999999996</v>
      </c>
      <c r="AG476" s="29" t="n">
        <f aca="false">IFERROR(AF476/AE476,0)</f>
        <v>0.00320231952193225</v>
      </c>
    </row>
    <row r="477" customFormat="false" ht="15" hidden="false" customHeight="false" outlineLevel="0" collapsed="false">
      <c r="A477" s="28" t="n">
        <v>476</v>
      </c>
      <c r="B477" s="43" t="n">
        <v>45713.0659722222</v>
      </c>
      <c r="C477" s="43" t="n">
        <v>45713.0790277778</v>
      </c>
      <c r="D477" s="42" t="n">
        <f aca="false">INT(C477)</f>
        <v>45713</v>
      </c>
      <c r="E477" s="42" t="n">
        <f aca="false">D477-WEEKDAY(D477,3)</f>
        <v>45712</v>
      </c>
      <c r="F477" s="28" t="s">
        <v>165</v>
      </c>
      <c r="G477" s="28" t="n">
        <v>2025</v>
      </c>
      <c r="H477" s="28" t="s">
        <v>232</v>
      </c>
      <c r="I477" s="28" t="n">
        <v>1</v>
      </c>
      <c r="J477" s="28" t="s">
        <v>236</v>
      </c>
      <c r="K477" s="28" t="s">
        <v>237</v>
      </c>
      <c r="L477" s="28" t="n">
        <v>0.22</v>
      </c>
      <c r="M477" s="31" t="n">
        <v>21338.08</v>
      </c>
      <c r="N477" s="31" t="n">
        <v>21351.56</v>
      </c>
      <c r="O477" s="31" t="n">
        <v>21311.11</v>
      </c>
      <c r="P477" s="44" t="n">
        <f aca="false">ABS(M477-N477)</f>
        <v>13.4799999999996</v>
      </c>
      <c r="Q477" s="44" t="n">
        <f aca="false">IF(O477="","",ABS(O477-M477))</f>
        <v>26.9700000000012</v>
      </c>
      <c r="R477" s="30" t="n">
        <f aca="false">P477*L477*Summary!$C$6</f>
        <v>59.3119999999981</v>
      </c>
      <c r="S477" s="31" t="n">
        <v>21310.65</v>
      </c>
      <c r="T477" s="28" t="s">
        <v>214</v>
      </c>
      <c r="U477" s="44" t="n">
        <f aca="false">IF(J477="BUY",S477-M477,M477-S477)</f>
        <v>27.4300000000003</v>
      </c>
      <c r="V477" s="45" t="n">
        <v>0</v>
      </c>
      <c r="W477" s="45" t="n">
        <v>0</v>
      </c>
      <c r="X477" s="45" t="n">
        <v>120.69</v>
      </c>
      <c r="Y477" s="32" t="n">
        <f aca="false">IFERROR(X477/R477,0)</f>
        <v>2.03483274885359</v>
      </c>
      <c r="Z477" s="28" t="str">
        <f aca="false">IF(X477&gt;0,"Win",IF(X477&lt;0,"Loss","Flat"))</f>
        <v>Win</v>
      </c>
      <c r="AA477" s="28" t="n">
        <f aca="false">ROUND((C477-B477)*1440,1)</f>
        <v>18.8</v>
      </c>
      <c r="AB477" s="28" t="str">
        <f aca="false">IF(AA477&lt;1,"a) &lt;1 min",IF(AA477&lt;10,"b) 1-10 min",IF(AA477&lt;60,"c) 10-60 min",IF(AA477&lt;240,"d) 1-4 h","e) 4 h+"))))</f>
        <v>c) 10-60 min</v>
      </c>
      <c r="AC477" s="28" t="str">
        <f aca="false">IF(P477&lt;10,"a) &lt;10",IF(P477&lt;20,"b) 10-20",IF(P477&lt;40,"c) 20-40",IF(P477&lt;80,"d) 40-80","e) 80+"))))</f>
        <v>b) 10-20</v>
      </c>
      <c r="AD477" s="30" t="n">
        <f aca="false">Summary!$C$5+SUM(X$2:X477)</f>
        <v>107659.51</v>
      </c>
      <c r="AE477" s="30" t="n">
        <f aca="false">MAX(AE476,AD477)</f>
        <v>107884.3</v>
      </c>
      <c r="AF477" s="30" t="n">
        <f aca="false">AE477-AD477</f>
        <v>224.790000000008</v>
      </c>
      <c r="AG477" s="29" t="n">
        <f aca="false">IFERROR(AF477/AE477,0)</f>
        <v>0.00208362106441816</v>
      </c>
    </row>
    <row r="478" customFormat="false" ht="15" hidden="false" customHeight="false" outlineLevel="0" collapsed="false">
      <c r="A478" s="28" t="n">
        <v>477</v>
      </c>
      <c r="B478" s="43" t="n">
        <v>45715.7055555556</v>
      </c>
      <c r="C478" s="43" t="n">
        <v>45715.7087152778</v>
      </c>
      <c r="D478" s="42" t="n">
        <f aca="false">INT(C478)</f>
        <v>45715</v>
      </c>
      <c r="E478" s="42" t="n">
        <f aca="false">D478-WEEKDAY(D478,3)</f>
        <v>45712</v>
      </c>
      <c r="F478" s="28" t="s">
        <v>165</v>
      </c>
      <c r="G478" s="28" t="n">
        <v>2025</v>
      </c>
      <c r="H478" s="28" t="s">
        <v>239</v>
      </c>
      <c r="I478" s="28" t="n">
        <v>16</v>
      </c>
      <c r="J478" s="28" t="s">
        <v>236</v>
      </c>
      <c r="K478" s="28" t="s">
        <v>237</v>
      </c>
      <c r="L478" s="28" t="n">
        <v>0.23</v>
      </c>
      <c r="M478" s="31" t="n">
        <v>21003.6</v>
      </c>
      <c r="N478" s="31" t="n">
        <v>21071.52</v>
      </c>
      <c r="O478" s="31" t="n">
        <v>20867.76</v>
      </c>
      <c r="P478" s="44" t="n">
        <f aca="false">ABS(M478-N478)</f>
        <v>67.9200000000019</v>
      </c>
      <c r="Q478" s="44" t="n">
        <f aca="false">IF(O478="","",ABS(O478-M478))</f>
        <v>135.84</v>
      </c>
      <c r="R478" s="30" t="n">
        <f aca="false">P478*L478*Summary!$C$6</f>
        <v>312.432000000009</v>
      </c>
      <c r="S478" s="31" t="n">
        <v>20865.64</v>
      </c>
      <c r="T478" s="28" t="s">
        <v>214</v>
      </c>
      <c r="U478" s="44" t="n">
        <f aca="false">IF(J478="BUY",S478-M478,M478-S478)</f>
        <v>137.959999999999</v>
      </c>
      <c r="V478" s="45" t="n">
        <v>0</v>
      </c>
      <c r="W478" s="45" t="n">
        <v>0</v>
      </c>
      <c r="X478" s="45" t="n">
        <v>634.62</v>
      </c>
      <c r="Y478" s="32" t="n">
        <f aca="false">IFERROR(X478/R478,0)</f>
        <v>2.03122599477641</v>
      </c>
      <c r="Z478" s="28" t="str">
        <f aca="false">IF(X478&gt;0,"Win",IF(X478&lt;0,"Loss","Flat"))</f>
        <v>Win</v>
      </c>
      <c r="AA478" s="28" t="n">
        <f aca="false">ROUND((C478-B478)*1440,1)</f>
        <v>4.5</v>
      </c>
      <c r="AB478" s="28" t="str">
        <f aca="false">IF(AA478&lt;1,"a) &lt;1 min",IF(AA478&lt;10,"b) 1-10 min",IF(AA478&lt;60,"c) 10-60 min",IF(AA478&lt;240,"d) 1-4 h","e) 4 h+"))))</f>
        <v>b) 1-10 min</v>
      </c>
      <c r="AC478" s="28" t="str">
        <f aca="false">IF(P478&lt;10,"a) &lt;10",IF(P478&lt;20,"b) 10-20",IF(P478&lt;40,"c) 20-40",IF(P478&lt;80,"d) 40-80","e) 80+"))))</f>
        <v>d) 40-80</v>
      </c>
      <c r="AD478" s="30" t="n">
        <f aca="false">Summary!$C$5+SUM(X$2:X478)</f>
        <v>108294.13</v>
      </c>
      <c r="AE478" s="30" t="n">
        <f aca="false">MAX(AE477,AD478)</f>
        <v>108294.13</v>
      </c>
      <c r="AF478" s="30" t="n">
        <f aca="false">AE478-AD478</f>
        <v>0</v>
      </c>
      <c r="AG478" s="29" t="n">
        <f aca="false">IFERROR(AF478/AE478,0)</f>
        <v>0</v>
      </c>
    </row>
    <row r="479" customFormat="false" ht="15" hidden="false" customHeight="false" outlineLevel="0" collapsed="false">
      <c r="A479" s="28" t="n">
        <v>478</v>
      </c>
      <c r="B479" s="43" t="n">
        <v>45716.1472222222</v>
      </c>
      <c r="C479" s="43" t="n">
        <v>45716.1474305556</v>
      </c>
      <c r="D479" s="42" t="n">
        <f aca="false">INT(C479)</f>
        <v>45716</v>
      </c>
      <c r="E479" s="42" t="n">
        <f aca="false">D479-WEEKDAY(D479,3)</f>
        <v>45712</v>
      </c>
      <c r="F479" s="28" t="s">
        <v>165</v>
      </c>
      <c r="G479" s="28" t="n">
        <v>2025</v>
      </c>
      <c r="H479" s="28" t="s">
        <v>242</v>
      </c>
      <c r="I479" s="28" t="n">
        <v>3</v>
      </c>
      <c r="J479" s="28" t="s">
        <v>236</v>
      </c>
      <c r="K479" s="28" t="s">
        <v>237</v>
      </c>
      <c r="L479" s="28" t="n">
        <v>0.23</v>
      </c>
      <c r="M479" s="31" t="n">
        <v>20493.25</v>
      </c>
      <c r="N479" s="31" t="n">
        <v>20523.78</v>
      </c>
      <c r="O479" s="31" t="n">
        <v>20432.19</v>
      </c>
      <c r="P479" s="44" t="n">
        <f aca="false">ABS(M479-N479)</f>
        <v>30.5299999999988</v>
      </c>
      <c r="Q479" s="44" t="n">
        <f aca="false">IF(O479="","",ABS(O479-M479))</f>
        <v>61.0600000000013</v>
      </c>
      <c r="R479" s="30" t="n">
        <f aca="false">P479*L479*Summary!$C$6</f>
        <v>140.437999999995</v>
      </c>
      <c r="S479" s="31" t="n">
        <v>20523.92</v>
      </c>
      <c r="T479" s="28" t="s">
        <v>241</v>
      </c>
      <c r="U479" s="44" t="n">
        <f aca="false">IF(J479="BUY",S479-M479,M479-S479)</f>
        <v>-30.6699999999983</v>
      </c>
      <c r="V479" s="45" t="n">
        <v>0</v>
      </c>
      <c r="W479" s="45" t="n">
        <v>0</v>
      </c>
      <c r="X479" s="45" t="n">
        <v>-141.08</v>
      </c>
      <c r="Y479" s="32" t="n">
        <f aca="false">IFERROR(X479/R479,0)</f>
        <v>-1.00457141229586</v>
      </c>
      <c r="Z479" s="28" t="str">
        <f aca="false">IF(X479&gt;0,"Win",IF(X479&lt;0,"Loss","Flat"))</f>
        <v>Loss</v>
      </c>
      <c r="AA479" s="28" t="n">
        <f aca="false">ROUND((C479-B479)*1440,1)</f>
        <v>0.3</v>
      </c>
      <c r="AB479" s="28" t="str">
        <f aca="false">IF(AA479&lt;1,"a) &lt;1 min",IF(AA479&lt;10,"b) 1-10 min",IF(AA479&lt;60,"c) 10-60 min",IF(AA479&lt;240,"d) 1-4 h","e) 4 h+"))))</f>
        <v>a) &lt;1 min</v>
      </c>
      <c r="AC479" s="28" t="str">
        <f aca="false">IF(P479&lt;10,"a) &lt;10",IF(P479&lt;20,"b) 10-20",IF(P479&lt;40,"c) 20-40",IF(P479&lt;80,"d) 40-80","e) 80+"))))</f>
        <v>c) 20-40</v>
      </c>
      <c r="AD479" s="30" t="n">
        <f aca="false">Summary!$C$5+SUM(X$2:X479)</f>
        <v>108153.05</v>
      </c>
      <c r="AE479" s="30" t="n">
        <f aca="false">MAX(AE478,AD479)</f>
        <v>108294.13</v>
      </c>
      <c r="AF479" s="30" t="n">
        <f aca="false">AE479-AD479</f>
        <v>141.080000000002</v>
      </c>
      <c r="AG479" s="29" t="n">
        <f aca="false">IFERROR(AF479/AE479,0)</f>
        <v>0.00130274835764415</v>
      </c>
    </row>
    <row r="480" customFormat="false" ht="15" hidden="false" customHeight="false" outlineLevel="0" collapsed="false">
      <c r="A480" s="28" t="n">
        <v>479</v>
      </c>
      <c r="B480" s="43" t="n">
        <v>45719.0423611111</v>
      </c>
      <c r="C480" s="43" t="n">
        <v>45719.0576273148</v>
      </c>
      <c r="D480" s="42" t="n">
        <f aca="false">INT(C480)</f>
        <v>45719</v>
      </c>
      <c r="E480" s="42" t="n">
        <f aca="false">D480-WEEKDAY(D480,3)</f>
        <v>45719</v>
      </c>
      <c r="F480" s="28" t="s">
        <v>166</v>
      </c>
      <c r="G480" s="28" t="n">
        <v>2025</v>
      </c>
      <c r="H480" s="28" t="s">
        <v>240</v>
      </c>
      <c r="I480" s="28" t="n">
        <v>1</v>
      </c>
      <c r="J480" s="28" t="s">
        <v>233</v>
      </c>
      <c r="K480" s="28" t="s">
        <v>234</v>
      </c>
      <c r="L480" s="28" t="n">
        <v>0.23</v>
      </c>
      <c r="M480" s="31" t="n">
        <v>20943.23</v>
      </c>
      <c r="N480" s="31" t="n">
        <v>20899.1</v>
      </c>
      <c r="O480" s="31" t="n">
        <v>21031.48</v>
      </c>
      <c r="P480" s="44" t="n">
        <f aca="false">ABS(M480-N480)</f>
        <v>44.130000000001</v>
      </c>
      <c r="Q480" s="44" t="n">
        <f aca="false">IF(O480="","",ABS(O480-M480))</f>
        <v>88.25</v>
      </c>
      <c r="R480" s="30" t="n">
        <f aca="false">P480*L480*Summary!$C$6</f>
        <v>202.998000000005</v>
      </c>
      <c r="S480" s="31" t="n">
        <v>20942.9</v>
      </c>
      <c r="T480" s="28" t="s">
        <v>238</v>
      </c>
      <c r="U480" s="44" t="n">
        <f aca="false">IF(J480="BUY",S480-M480,M480-S480)</f>
        <v>-0.329999999998108</v>
      </c>
      <c r="V480" s="45" t="n">
        <v>0</v>
      </c>
      <c r="W480" s="45" t="n">
        <v>0</v>
      </c>
      <c r="X480" s="45" t="n">
        <v>-1.52</v>
      </c>
      <c r="Y480" s="32" t="n">
        <f aca="false">IFERROR(X480/R480,0)</f>
        <v>-0.00748775850008357</v>
      </c>
      <c r="Z480" s="28" t="str">
        <f aca="false">IF(X480&gt;0,"Win",IF(X480&lt;0,"Loss","Flat"))</f>
        <v>Loss</v>
      </c>
      <c r="AA480" s="28" t="n">
        <f aca="false">ROUND((C480-B480)*1440,1)</f>
        <v>22</v>
      </c>
      <c r="AB480" s="28" t="str">
        <f aca="false">IF(AA480&lt;1,"a) &lt;1 min",IF(AA480&lt;10,"b) 1-10 min",IF(AA480&lt;60,"c) 10-60 min",IF(AA480&lt;240,"d) 1-4 h","e) 4 h+"))))</f>
        <v>c) 10-60 min</v>
      </c>
      <c r="AC480" s="28" t="str">
        <f aca="false">IF(P480&lt;10,"a) &lt;10",IF(P480&lt;20,"b) 10-20",IF(P480&lt;40,"c) 20-40",IF(P480&lt;80,"d) 40-80","e) 80+"))))</f>
        <v>d) 40-80</v>
      </c>
      <c r="AD480" s="30" t="n">
        <f aca="false">Summary!$C$5+SUM(X$2:X480)</f>
        <v>108151.53</v>
      </c>
      <c r="AE480" s="30" t="n">
        <f aca="false">MAX(AE479,AD480)</f>
        <v>108294.13</v>
      </c>
      <c r="AF480" s="30" t="n">
        <f aca="false">AE480-AD480</f>
        <v>142.600000000006</v>
      </c>
      <c r="AG480" s="29" t="n">
        <f aca="false">IFERROR(AF480/AE480,0)</f>
        <v>0.00131678420612461</v>
      </c>
    </row>
    <row r="481" customFormat="false" ht="15" hidden="false" customHeight="false" outlineLevel="0" collapsed="false">
      <c r="A481" s="28" t="n">
        <v>480</v>
      </c>
      <c r="B481" s="43" t="n">
        <v>45719.9256944444</v>
      </c>
      <c r="C481" s="43" t="n">
        <v>45719.9552893519</v>
      </c>
      <c r="D481" s="42" t="n">
        <f aca="false">INT(C481)</f>
        <v>45719</v>
      </c>
      <c r="E481" s="42" t="n">
        <f aca="false">D481-WEEKDAY(D481,3)</f>
        <v>45719</v>
      </c>
      <c r="F481" s="28" t="s">
        <v>166</v>
      </c>
      <c r="G481" s="28" t="n">
        <v>2025</v>
      </c>
      <c r="H481" s="28" t="s">
        <v>240</v>
      </c>
      <c r="I481" s="28" t="n">
        <v>22</v>
      </c>
      <c r="J481" s="28" t="s">
        <v>236</v>
      </c>
      <c r="K481" s="28" t="s">
        <v>237</v>
      </c>
      <c r="L481" s="28" t="n">
        <v>0.23</v>
      </c>
      <c r="M481" s="31" t="n">
        <v>20402.05</v>
      </c>
      <c r="N481" s="31" t="n">
        <v>20466.53</v>
      </c>
      <c r="O481" s="31" t="n">
        <v>20266.26</v>
      </c>
      <c r="P481" s="44" t="n">
        <f aca="false">ABS(M481-N481)</f>
        <v>64.4799999999996</v>
      </c>
      <c r="Q481" s="44" t="n">
        <f aca="false">IF(O481="","",ABS(O481-M481))</f>
        <v>135.790000000001</v>
      </c>
      <c r="R481" s="30" t="n">
        <f aca="false">P481*L481*Summary!$C$6</f>
        <v>296.607999999998</v>
      </c>
      <c r="S481" s="31" t="n">
        <v>20402.36</v>
      </c>
      <c r="T481" s="28" t="s">
        <v>238</v>
      </c>
      <c r="U481" s="44" t="n">
        <f aca="false">IF(J481="BUY",S481-M481,M481-S481)</f>
        <v>-0.31000000000131</v>
      </c>
      <c r="V481" s="45" t="n">
        <v>0</v>
      </c>
      <c r="W481" s="45" t="n">
        <v>0</v>
      </c>
      <c r="X481" s="45" t="n">
        <v>-1.43</v>
      </c>
      <c r="Y481" s="32" t="n">
        <f aca="false">IFERROR(X481/R481,0)</f>
        <v>-0.00482117812061714</v>
      </c>
      <c r="Z481" s="28" t="str">
        <f aca="false">IF(X481&gt;0,"Win",IF(X481&lt;0,"Loss","Flat"))</f>
        <v>Loss</v>
      </c>
      <c r="AA481" s="28" t="n">
        <f aca="false">ROUND((C481-B481)*1440,1)</f>
        <v>42.6</v>
      </c>
      <c r="AB481" s="28" t="str">
        <f aca="false">IF(AA481&lt;1,"a) &lt;1 min",IF(AA481&lt;10,"b) 1-10 min",IF(AA481&lt;60,"c) 10-60 min",IF(AA481&lt;240,"d) 1-4 h","e) 4 h+"))))</f>
        <v>c) 10-60 min</v>
      </c>
      <c r="AC481" s="28" t="str">
        <f aca="false">IF(P481&lt;10,"a) &lt;10",IF(P481&lt;20,"b) 10-20",IF(P481&lt;40,"c) 20-40",IF(P481&lt;80,"d) 40-80","e) 80+"))))</f>
        <v>d) 40-80</v>
      </c>
      <c r="AD481" s="30" t="n">
        <f aca="false">Summary!$C$5+SUM(X$2:X481)</f>
        <v>108150.1</v>
      </c>
      <c r="AE481" s="30" t="n">
        <f aca="false">MAX(AE480,AD481)</f>
        <v>108294.13</v>
      </c>
      <c r="AF481" s="30" t="n">
        <f aca="false">AE481-AD481</f>
        <v>144.029999999999</v>
      </c>
      <c r="AG481" s="29" t="n">
        <f aca="false">IFERROR(AF481/AE481,0)</f>
        <v>0.00132998898462917</v>
      </c>
    </row>
    <row r="482" customFormat="false" ht="15" hidden="false" customHeight="false" outlineLevel="0" collapsed="false">
      <c r="A482" s="28" t="n">
        <v>481</v>
      </c>
      <c r="B482" s="43" t="n">
        <v>45720.6034722222</v>
      </c>
      <c r="C482" s="43" t="n">
        <v>45720.6067592593</v>
      </c>
      <c r="D482" s="42" t="n">
        <f aca="false">INT(C482)</f>
        <v>45720</v>
      </c>
      <c r="E482" s="42" t="n">
        <f aca="false">D482-WEEKDAY(D482,3)</f>
        <v>45719</v>
      </c>
      <c r="F482" s="28" t="s">
        <v>166</v>
      </c>
      <c r="G482" s="28" t="n">
        <v>2025</v>
      </c>
      <c r="H482" s="28" t="s">
        <v>232</v>
      </c>
      <c r="I482" s="28" t="n">
        <v>14</v>
      </c>
      <c r="J482" s="28" t="s">
        <v>236</v>
      </c>
      <c r="K482" s="28" t="s">
        <v>237</v>
      </c>
      <c r="L482" s="28" t="n">
        <v>0.24</v>
      </c>
      <c r="M482" s="31" t="n">
        <v>20272.09</v>
      </c>
      <c r="N482" s="31" t="n">
        <v>20310.46</v>
      </c>
      <c r="O482" s="31" t="n">
        <v>20195.35</v>
      </c>
      <c r="P482" s="44" t="n">
        <f aca="false">ABS(M482-N482)</f>
        <v>38.369999999999</v>
      </c>
      <c r="Q482" s="44" t="n">
        <f aca="false">IF(O482="","",ABS(O482-M482))</f>
        <v>76.7400000000016</v>
      </c>
      <c r="R482" s="30" t="n">
        <f aca="false">P482*L482*Summary!$C$6</f>
        <v>184.175999999995</v>
      </c>
      <c r="S482" s="31" t="n">
        <v>20311.61</v>
      </c>
      <c r="T482" s="28" t="s">
        <v>241</v>
      </c>
      <c r="U482" s="44" t="n">
        <f aca="false">IF(J482="BUY",S482-M482,M482-S482)</f>
        <v>-39.5200000000004</v>
      </c>
      <c r="V482" s="45" t="n">
        <v>0</v>
      </c>
      <c r="W482" s="45" t="n">
        <v>0</v>
      </c>
      <c r="X482" s="45" t="n">
        <v>-189.7</v>
      </c>
      <c r="Y482" s="32" t="n">
        <f aca="false">IFERROR(X482/R482,0)</f>
        <v>-1.02999305012599</v>
      </c>
      <c r="Z482" s="28" t="str">
        <f aca="false">IF(X482&gt;0,"Win",IF(X482&lt;0,"Loss","Flat"))</f>
        <v>Loss</v>
      </c>
      <c r="AA482" s="28" t="n">
        <f aca="false">ROUND((C482-B482)*1440,1)</f>
        <v>4.7</v>
      </c>
      <c r="AB482" s="28" t="str">
        <f aca="false">IF(AA482&lt;1,"a) &lt;1 min",IF(AA482&lt;10,"b) 1-10 min",IF(AA482&lt;60,"c) 10-60 min",IF(AA482&lt;240,"d) 1-4 h","e) 4 h+"))))</f>
        <v>b) 1-10 min</v>
      </c>
      <c r="AC482" s="28" t="str">
        <f aca="false">IF(P482&lt;10,"a) &lt;10",IF(P482&lt;20,"b) 10-20",IF(P482&lt;40,"c) 20-40",IF(P482&lt;80,"d) 40-80","e) 80+"))))</f>
        <v>c) 20-40</v>
      </c>
      <c r="AD482" s="30" t="n">
        <f aca="false">Summary!$C$5+SUM(X$2:X482)</f>
        <v>107960.4</v>
      </c>
      <c r="AE482" s="30" t="n">
        <f aca="false">MAX(AE481,AD482)</f>
        <v>108294.13</v>
      </c>
      <c r="AF482" s="30" t="n">
        <f aca="false">AE482-AD482</f>
        <v>333.730000000011</v>
      </c>
      <c r="AG482" s="29" t="n">
        <f aca="false">IFERROR(AF482/AE482,0)</f>
        <v>0.00308169981143032</v>
      </c>
    </row>
    <row r="483" customFormat="false" ht="15" hidden="false" customHeight="false" outlineLevel="0" collapsed="false">
      <c r="A483" s="28" t="n">
        <v>482</v>
      </c>
      <c r="B483" s="43" t="n">
        <v>45722.7951388889</v>
      </c>
      <c r="C483" s="43" t="n">
        <v>45722.8131134259</v>
      </c>
      <c r="D483" s="42" t="n">
        <f aca="false">INT(C483)</f>
        <v>45722</v>
      </c>
      <c r="E483" s="42" t="n">
        <f aca="false">D483-WEEKDAY(D483,3)</f>
        <v>45719</v>
      </c>
      <c r="F483" s="28" t="s">
        <v>166</v>
      </c>
      <c r="G483" s="28" t="n">
        <v>2025</v>
      </c>
      <c r="H483" s="28" t="s">
        <v>239</v>
      </c>
      <c r="I483" s="28" t="n">
        <v>19</v>
      </c>
      <c r="J483" s="28" t="s">
        <v>236</v>
      </c>
      <c r="K483" s="28" t="s">
        <v>237</v>
      </c>
      <c r="L483" s="28" t="n">
        <v>0.24</v>
      </c>
      <c r="M483" s="31" t="n">
        <v>20151.7</v>
      </c>
      <c r="N483" s="31" t="n">
        <v>20205.04</v>
      </c>
      <c r="O483" s="31" t="n">
        <v>20046.91</v>
      </c>
      <c r="P483" s="44" t="n">
        <f aca="false">ABS(M483-N483)</f>
        <v>53.3400000000001</v>
      </c>
      <c r="Q483" s="44" t="n">
        <f aca="false">IF(O483="","",ABS(O483-M483))</f>
        <v>104.790000000001</v>
      </c>
      <c r="R483" s="30" t="n">
        <f aca="false">P483*L483*Summary!$C$6</f>
        <v>256.032000000001</v>
      </c>
      <c r="S483" s="31" t="n">
        <v>20151.7</v>
      </c>
      <c r="T483" s="28" t="s">
        <v>238</v>
      </c>
      <c r="U483" s="44" t="n">
        <f aca="false">IF(J483="BUY",S483-M483,M483-S483)</f>
        <v>0</v>
      </c>
      <c r="V483" s="45" t="n">
        <v>0</v>
      </c>
      <c r="W483" s="45" t="n">
        <v>0</v>
      </c>
      <c r="X483" s="45" t="n">
        <v>0</v>
      </c>
      <c r="Y483" s="32" t="n">
        <f aca="false">IFERROR(X483/R483,0)</f>
        <v>0</v>
      </c>
      <c r="Z483" s="28" t="str">
        <f aca="false">IF(X483&gt;0,"Win",IF(X483&lt;0,"Loss","Flat"))</f>
        <v>Flat</v>
      </c>
      <c r="AA483" s="28" t="n">
        <f aca="false">ROUND((C483-B483)*1440,1)</f>
        <v>25.9</v>
      </c>
      <c r="AB483" s="28" t="str">
        <f aca="false">IF(AA483&lt;1,"a) &lt;1 min",IF(AA483&lt;10,"b) 1-10 min",IF(AA483&lt;60,"c) 10-60 min",IF(AA483&lt;240,"d) 1-4 h","e) 4 h+"))))</f>
        <v>c) 10-60 min</v>
      </c>
      <c r="AC483" s="28" t="str">
        <f aca="false">IF(P483&lt;10,"a) &lt;10",IF(P483&lt;20,"b) 10-20",IF(P483&lt;40,"c) 20-40",IF(P483&lt;80,"d) 40-80","e) 80+"))))</f>
        <v>d) 40-80</v>
      </c>
      <c r="AD483" s="30" t="n">
        <f aca="false">Summary!$C$5+SUM(X$2:X483)</f>
        <v>107960.4</v>
      </c>
      <c r="AE483" s="30" t="n">
        <f aca="false">MAX(AE482,AD483)</f>
        <v>108294.13</v>
      </c>
      <c r="AF483" s="30" t="n">
        <f aca="false">AE483-AD483</f>
        <v>333.730000000011</v>
      </c>
      <c r="AG483" s="29" t="n">
        <f aca="false">IFERROR(AF483/AE483,0)</f>
        <v>0.00308169981143032</v>
      </c>
    </row>
    <row r="484" customFormat="false" ht="15" hidden="false" customHeight="false" outlineLevel="0" collapsed="false">
      <c r="A484" s="28" t="n">
        <v>483</v>
      </c>
      <c r="B484" s="43" t="n">
        <v>45723.7305555556</v>
      </c>
      <c r="C484" s="43" t="n">
        <v>45723.7404513889</v>
      </c>
      <c r="D484" s="42" t="n">
        <f aca="false">INT(C484)</f>
        <v>45723</v>
      </c>
      <c r="E484" s="42" t="n">
        <f aca="false">D484-WEEKDAY(D484,3)</f>
        <v>45719</v>
      </c>
      <c r="F484" s="28" t="s">
        <v>166</v>
      </c>
      <c r="G484" s="28" t="n">
        <v>2025</v>
      </c>
      <c r="H484" s="28" t="s">
        <v>242</v>
      </c>
      <c r="I484" s="28" t="n">
        <v>17</v>
      </c>
      <c r="J484" s="28" t="s">
        <v>236</v>
      </c>
      <c r="K484" s="28" t="s">
        <v>237</v>
      </c>
      <c r="L484" s="28" t="n">
        <v>0.24</v>
      </c>
      <c r="M484" s="31" t="n">
        <v>19954.41</v>
      </c>
      <c r="N484" s="31" t="n">
        <v>20018.2</v>
      </c>
      <c r="O484" s="31" t="n">
        <v>19826.82</v>
      </c>
      <c r="P484" s="44" t="n">
        <f aca="false">ABS(M484-N484)</f>
        <v>63.7900000000009</v>
      </c>
      <c r="Q484" s="44" t="n">
        <f aca="false">IF(O484="","",ABS(O484-M484))</f>
        <v>127.59</v>
      </c>
      <c r="R484" s="30" t="n">
        <f aca="false">P484*L484*Summary!$C$6</f>
        <v>306.192000000004</v>
      </c>
      <c r="S484" s="31" t="n">
        <v>19954.6</v>
      </c>
      <c r="T484" s="28" t="s">
        <v>238</v>
      </c>
      <c r="U484" s="44" t="n">
        <f aca="false">IF(J484="BUY",S484-M484,M484-S484)</f>
        <v>-0.18999999999869</v>
      </c>
      <c r="V484" s="45" t="n">
        <v>0</v>
      </c>
      <c r="W484" s="45" t="n">
        <v>0</v>
      </c>
      <c r="X484" s="45" t="n">
        <v>-0.91</v>
      </c>
      <c r="Y484" s="32" t="n">
        <f aca="false">IFERROR(X484/R484,0)</f>
        <v>-0.00297199143021368</v>
      </c>
      <c r="Z484" s="28" t="str">
        <f aca="false">IF(X484&gt;0,"Win",IF(X484&lt;0,"Loss","Flat"))</f>
        <v>Loss</v>
      </c>
      <c r="AA484" s="28" t="n">
        <f aca="false">ROUND((C484-B484)*1440,1)</f>
        <v>14.3</v>
      </c>
      <c r="AB484" s="28" t="str">
        <f aca="false">IF(AA484&lt;1,"a) &lt;1 min",IF(AA484&lt;10,"b) 1-10 min",IF(AA484&lt;60,"c) 10-60 min",IF(AA484&lt;240,"d) 1-4 h","e) 4 h+"))))</f>
        <v>c) 10-60 min</v>
      </c>
      <c r="AC484" s="28" t="str">
        <f aca="false">IF(P484&lt;10,"a) &lt;10",IF(P484&lt;20,"b) 10-20",IF(P484&lt;40,"c) 20-40",IF(P484&lt;80,"d) 40-80","e) 80+"))))</f>
        <v>d) 40-80</v>
      </c>
      <c r="AD484" s="30" t="n">
        <f aca="false">Summary!$C$5+SUM(X$2:X484)</f>
        <v>107959.49</v>
      </c>
      <c r="AE484" s="30" t="n">
        <f aca="false">MAX(AE483,AD484)</f>
        <v>108294.13</v>
      </c>
      <c r="AF484" s="30" t="n">
        <f aca="false">AE484-AD484</f>
        <v>334.639999999999</v>
      </c>
      <c r="AG484" s="29" t="n">
        <f aca="false">IFERROR(AF484/AE484,0)</f>
        <v>0.00309010285229679</v>
      </c>
    </row>
    <row r="485" customFormat="false" ht="15" hidden="false" customHeight="false" outlineLevel="0" collapsed="false">
      <c r="A485" s="28" t="n">
        <v>484</v>
      </c>
      <c r="B485" s="43" t="n">
        <v>45726.7048611111</v>
      </c>
      <c r="C485" s="43" t="n">
        <v>45726.7396064815</v>
      </c>
      <c r="D485" s="42" t="n">
        <f aca="false">INT(C485)</f>
        <v>45726</v>
      </c>
      <c r="E485" s="42" t="n">
        <f aca="false">D485-WEEKDAY(D485,3)</f>
        <v>45726</v>
      </c>
      <c r="F485" s="28" t="s">
        <v>166</v>
      </c>
      <c r="G485" s="28" t="n">
        <v>2025</v>
      </c>
      <c r="H485" s="28" t="s">
        <v>240</v>
      </c>
      <c r="I485" s="28" t="n">
        <v>16</v>
      </c>
      <c r="J485" s="28" t="s">
        <v>236</v>
      </c>
      <c r="K485" s="28" t="s">
        <v>237</v>
      </c>
      <c r="L485" s="28" t="n">
        <v>0.24</v>
      </c>
      <c r="M485" s="31" t="n">
        <v>19734.13</v>
      </c>
      <c r="N485" s="31" t="n">
        <v>19807.07</v>
      </c>
      <c r="O485" s="31" t="n">
        <v>19585.22</v>
      </c>
      <c r="P485" s="44" t="n">
        <f aca="false">ABS(M485-N485)</f>
        <v>72.9399999999987</v>
      </c>
      <c r="Q485" s="44" t="n">
        <f aca="false">IF(O485="","",ABS(O485-M485))</f>
        <v>148.91</v>
      </c>
      <c r="R485" s="30" t="n">
        <f aca="false">P485*L485*Summary!$C$6</f>
        <v>350.111999999994</v>
      </c>
      <c r="S485" s="31" t="n">
        <v>19584.89</v>
      </c>
      <c r="T485" s="28" t="s">
        <v>214</v>
      </c>
      <c r="U485" s="44" t="n">
        <f aca="false">IF(J485="BUY",S485-M485,M485-S485)</f>
        <v>149.240000000002</v>
      </c>
      <c r="V485" s="45" t="n">
        <v>0</v>
      </c>
      <c r="W485" s="45" t="n">
        <v>0</v>
      </c>
      <c r="X485" s="45" t="n">
        <v>716.35</v>
      </c>
      <c r="Y485" s="32" t="n">
        <f aca="false">IFERROR(X485/R485,0)</f>
        <v>2.04605954665939</v>
      </c>
      <c r="Z485" s="28" t="str">
        <f aca="false">IF(X485&gt;0,"Win",IF(X485&lt;0,"Loss","Flat"))</f>
        <v>Win</v>
      </c>
      <c r="AA485" s="28" t="n">
        <f aca="false">ROUND((C485-B485)*1440,1)</f>
        <v>50</v>
      </c>
      <c r="AB485" s="28" t="str">
        <f aca="false">IF(AA485&lt;1,"a) &lt;1 min",IF(AA485&lt;10,"b) 1-10 min",IF(AA485&lt;60,"c) 10-60 min",IF(AA485&lt;240,"d) 1-4 h","e) 4 h+"))))</f>
        <v>c) 10-60 min</v>
      </c>
      <c r="AC485" s="28" t="str">
        <f aca="false">IF(P485&lt;10,"a) &lt;10",IF(P485&lt;20,"b) 10-20",IF(P485&lt;40,"c) 20-40",IF(P485&lt;80,"d) 40-80","e) 80+"))))</f>
        <v>d) 40-80</v>
      </c>
      <c r="AD485" s="30" t="n">
        <f aca="false">Summary!$C$5+SUM(X$2:X485)</f>
        <v>108675.84</v>
      </c>
      <c r="AE485" s="30" t="n">
        <f aca="false">MAX(AE484,AD485)</f>
        <v>108675.84</v>
      </c>
      <c r="AF485" s="30" t="n">
        <f aca="false">AE485-AD485</f>
        <v>0</v>
      </c>
      <c r="AG485" s="29" t="n">
        <f aca="false">IFERROR(AF485/AE485,0)</f>
        <v>0</v>
      </c>
    </row>
    <row r="486" customFormat="false" ht="15" hidden="false" customHeight="false" outlineLevel="0" collapsed="false">
      <c r="A486" s="28" t="n">
        <v>485</v>
      </c>
      <c r="B486" s="43" t="n">
        <v>45727.1048611111</v>
      </c>
      <c r="C486" s="43" t="n">
        <v>45727.1138078704</v>
      </c>
      <c r="D486" s="42" t="n">
        <f aca="false">INT(C486)</f>
        <v>45727</v>
      </c>
      <c r="E486" s="42" t="n">
        <f aca="false">D486-WEEKDAY(D486,3)</f>
        <v>45726</v>
      </c>
      <c r="F486" s="28" t="s">
        <v>166</v>
      </c>
      <c r="G486" s="28" t="n">
        <v>2025</v>
      </c>
      <c r="H486" s="28" t="s">
        <v>232</v>
      </c>
      <c r="I486" s="28" t="n">
        <v>2</v>
      </c>
      <c r="J486" s="28" t="s">
        <v>236</v>
      </c>
      <c r="K486" s="28" t="s">
        <v>237</v>
      </c>
      <c r="L486" s="28" t="n">
        <v>0.25</v>
      </c>
      <c r="M486" s="31" t="n">
        <v>19234.32</v>
      </c>
      <c r="N486" s="31" t="n">
        <v>19270.75</v>
      </c>
      <c r="O486" s="31" t="n">
        <v>19161.46</v>
      </c>
      <c r="P486" s="44" t="n">
        <f aca="false">ABS(M486-N486)</f>
        <v>36.4300000000003</v>
      </c>
      <c r="Q486" s="44" t="n">
        <f aca="false">IF(O486="","",ABS(O486-M486))</f>
        <v>72.8600000000006</v>
      </c>
      <c r="R486" s="30" t="n">
        <f aca="false">P486*L486*Summary!$C$6</f>
        <v>182.150000000001</v>
      </c>
      <c r="S486" s="31" t="n">
        <v>19271.07</v>
      </c>
      <c r="T486" s="28" t="s">
        <v>241</v>
      </c>
      <c r="U486" s="44" t="n">
        <f aca="false">IF(J486="BUY",S486-M486,M486-S486)</f>
        <v>-36.75</v>
      </c>
      <c r="V486" s="45" t="n">
        <v>0</v>
      </c>
      <c r="W486" s="45" t="n">
        <v>0</v>
      </c>
      <c r="X486" s="45" t="n">
        <v>-183.75</v>
      </c>
      <c r="Y486" s="32" t="n">
        <f aca="false">IFERROR(X486/R486,0)</f>
        <v>-1.0087839692561</v>
      </c>
      <c r="Z486" s="28" t="str">
        <f aca="false">IF(X486&gt;0,"Win",IF(X486&lt;0,"Loss","Flat"))</f>
        <v>Loss</v>
      </c>
      <c r="AA486" s="28" t="n">
        <f aca="false">ROUND((C486-B486)*1440,1)</f>
        <v>12.9</v>
      </c>
      <c r="AB486" s="28" t="str">
        <f aca="false">IF(AA486&lt;1,"a) &lt;1 min",IF(AA486&lt;10,"b) 1-10 min",IF(AA486&lt;60,"c) 10-60 min",IF(AA486&lt;240,"d) 1-4 h","e) 4 h+"))))</f>
        <v>c) 10-60 min</v>
      </c>
      <c r="AC486" s="28" t="str">
        <f aca="false">IF(P486&lt;10,"a) &lt;10",IF(P486&lt;20,"b) 10-20",IF(P486&lt;40,"c) 20-40",IF(P486&lt;80,"d) 40-80","e) 80+"))))</f>
        <v>c) 20-40</v>
      </c>
      <c r="AD486" s="30" t="n">
        <f aca="false">Summary!$C$5+SUM(X$2:X486)</f>
        <v>108492.09</v>
      </c>
      <c r="AE486" s="30" t="n">
        <f aca="false">MAX(AE485,AD486)</f>
        <v>108675.84</v>
      </c>
      <c r="AF486" s="30" t="n">
        <f aca="false">AE486-AD486</f>
        <v>183.75</v>
      </c>
      <c r="AG486" s="29" t="n">
        <f aca="false">IFERROR(AF486/AE486,0)</f>
        <v>0.00169080818698986</v>
      </c>
    </row>
    <row r="487" customFormat="false" ht="15" hidden="false" customHeight="false" outlineLevel="0" collapsed="false">
      <c r="A487" s="28" t="n">
        <v>486</v>
      </c>
      <c r="B487" s="43" t="n">
        <v>45728.6465277778</v>
      </c>
      <c r="C487" s="43" t="n">
        <v>45728.6474884259</v>
      </c>
      <c r="D487" s="42" t="n">
        <f aca="false">INT(C487)</f>
        <v>45728</v>
      </c>
      <c r="E487" s="42" t="n">
        <f aca="false">D487-WEEKDAY(D487,3)</f>
        <v>45726</v>
      </c>
      <c r="F487" s="28" t="s">
        <v>166</v>
      </c>
      <c r="G487" s="28" t="n">
        <v>2025</v>
      </c>
      <c r="H487" s="28" t="s">
        <v>235</v>
      </c>
      <c r="I487" s="28" t="n">
        <v>15</v>
      </c>
      <c r="J487" s="28" t="s">
        <v>233</v>
      </c>
      <c r="K487" s="28" t="s">
        <v>234</v>
      </c>
      <c r="L487" s="28" t="n">
        <v>0.24</v>
      </c>
      <c r="M487" s="31" t="n">
        <v>19727.33</v>
      </c>
      <c r="N487" s="31" t="n">
        <v>19670.76</v>
      </c>
      <c r="O487" s="31" t="n">
        <v>19833.12</v>
      </c>
      <c r="P487" s="44" t="n">
        <f aca="false">ABS(M487-N487)</f>
        <v>56.5700000000034</v>
      </c>
      <c r="Q487" s="44" t="n">
        <f aca="false">IF(O487="","",ABS(O487-M487))</f>
        <v>105.789999999997</v>
      </c>
      <c r="R487" s="30" t="n">
        <f aca="false">P487*L487*Summary!$C$6</f>
        <v>271.536000000016</v>
      </c>
      <c r="S487" s="31" t="n">
        <v>19667.9</v>
      </c>
      <c r="T487" s="28" t="s">
        <v>241</v>
      </c>
      <c r="U487" s="44" t="n">
        <f aca="false">IF(J487="BUY",S487-M487,M487-S487)</f>
        <v>-59.4300000000003</v>
      </c>
      <c r="V487" s="45" t="n">
        <v>0</v>
      </c>
      <c r="W487" s="45" t="n">
        <v>0</v>
      </c>
      <c r="X487" s="45" t="n">
        <v>-285.26</v>
      </c>
      <c r="Y487" s="32" t="n">
        <f aca="false">IFERROR(X487/R487,0)</f>
        <v>-1.05054210123145</v>
      </c>
      <c r="Z487" s="28" t="str">
        <f aca="false">IF(X487&gt;0,"Win",IF(X487&lt;0,"Loss","Flat"))</f>
        <v>Loss</v>
      </c>
      <c r="AA487" s="28" t="n">
        <f aca="false">ROUND((C487-B487)*1440,1)</f>
        <v>1.4</v>
      </c>
      <c r="AB487" s="28" t="str">
        <f aca="false">IF(AA487&lt;1,"a) &lt;1 min",IF(AA487&lt;10,"b) 1-10 min",IF(AA487&lt;60,"c) 10-60 min",IF(AA487&lt;240,"d) 1-4 h","e) 4 h+"))))</f>
        <v>b) 1-10 min</v>
      </c>
      <c r="AC487" s="28" t="str">
        <f aca="false">IF(P487&lt;10,"a) &lt;10",IF(P487&lt;20,"b) 10-20",IF(P487&lt;40,"c) 20-40",IF(P487&lt;80,"d) 40-80","e) 80+"))))</f>
        <v>d) 40-80</v>
      </c>
      <c r="AD487" s="30" t="n">
        <f aca="false">Summary!$C$5+SUM(X$2:X487)</f>
        <v>108206.83</v>
      </c>
      <c r="AE487" s="30" t="n">
        <f aca="false">MAX(AE486,AD487)</f>
        <v>108675.84</v>
      </c>
      <c r="AF487" s="30" t="n">
        <f aca="false">AE487-AD487</f>
        <v>469.009999999995</v>
      </c>
      <c r="AG487" s="29" t="n">
        <f aca="false">IFERROR(AF487/AE487,0)</f>
        <v>0.00431567862737472</v>
      </c>
    </row>
    <row r="488" customFormat="false" ht="15" hidden="false" customHeight="false" outlineLevel="0" collapsed="false">
      <c r="A488" s="28" t="n">
        <v>487</v>
      </c>
      <c r="B488" s="43" t="n">
        <v>45729.70625</v>
      </c>
      <c r="C488" s="43" t="n">
        <v>45729.7118981482</v>
      </c>
      <c r="D488" s="42" t="n">
        <f aca="false">INT(C488)</f>
        <v>45729</v>
      </c>
      <c r="E488" s="42" t="n">
        <f aca="false">D488-WEEKDAY(D488,3)</f>
        <v>45726</v>
      </c>
      <c r="F488" s="28" t="s">
        <v>166</v>
      </c>
      <c r="G488" s="28" t="n">
        <v>2025</v>
      </c>
      <c r="H488" s="28" t="s">
        <v>239</v>
      </c>
      <c r="I488" s="28" t="n">
        <v>16</v>
      </c>
      <c r="J488" s="28" t="s">
        <v>236</v>
      </c>
      <c r="K488" s="28" t="s">
        <v>237</v>
      </c>
      <c r="L488" s="28" t="n">
        <v>0.25</v>
      </c>
      <c r="M488" s="31" t="n">
        <v>19350.89</v>
      </c>
      <c r="N488" s="31" t="n">
        <v>19415.02</v>
      </c>
      <c r="O488" s="31" t="n">
        <v>19222.62</v>
      </c>
      <c r="P488" s="44" t="n">
        <f aca="false">ABS(M488-N488)</f>
        <v>64.130000000001</v>
      </c>
      <c r="Q488" s="44" t="n">
        <f aca="false">IF(O488="","",ABS(O488-M488))</f>
        <v>128.27</v>
      </c>
      <c r="R488" s="30" t="n">
        <f aca="false">P488*L488*Summary!$C$6</f>
        <v>320.650000000005</v>
      </c>
      <c r="S488" s="31" t="n">
        <v>19415.39</v>
      </c>
      <c r="T488" s="28" t="s">
        <v>241</v>
      </c>
      <c r="U488" s="44" t="n">
        <f aca="false">IF(J488="BUY",S488-M488,M488-S488)</f>
        <v>-64.5</v>
      </c>
      <c r="V488" s="45" t="n">
        <v>0</v>
      </c>
      <c r="W488" s="45" t="n">
        <v>0</v>
      </c>
      <c r="X488" s="45" t="n">
        <v>-322.5</v>
      </c>
      <c r="Y488" s="32" t="n">
        <f aca="false">IFERROR(X488/R488,0)</f>
        <v>-1.00576953064087</v>
      </c>
      <c r="Z488" s="28" t="str">
        <f aca="false">IF(X488&gt;0,"Win",IF(X488&lt;0,"Loss","Flat"))</f>
        <v>Loss</v>
      </c>
      <c r="AA488" s="28" t="n">
        <f aca="false">ROUND((C488-B488)*1440,1)</f>
        <v>8.1</v>
      </c>
      <c r="AB488" s="28" t="str">
        <f aca="false">IF(AA488&lt;1,"a) &lt;1 min",IF(AA488&lt;10,"b) 1-10 min",IF(AA488&lt;60,"c) 10-60 min",IF(AA488&lt;240,"d) 1-4 h","e) 4 h+"))))</f>
        <v>b) 1-10 min</v>
      </c>
      <c r="AC488" s="28" t="str">
        <f aca="false">IF(P488&lt;10,"a) &lt;10",IF(P488&lt;20,"b) 10-20",IF(P488&lt;40,"c) 20-40",IF(P488&lt;80,"d) 40-80","e) 80+"))))</f>
        <v>d) 40-80</v>
      </c>
      <c r="AD488" s="30" t="n">
        <f aca="false">Summary!$C$5+SUM(X$2:X488)</f>
        <v>107884.33</v>
      </c>
      <c r="AE488" s="30" t="n">
        <f aca="false">MAX(AE487,AD488)</f>
        <v>108675.84</v>
      </c>
      <c r="AF488" s="30" t="n">
        <f aca="false">AE488-AD488</f>
        <v>791.509999999995</v>
      </c>
      <c r="AG488" s="29" t="n">
        <f aca="false">IFERROR(AF488/AE488,0)</f>
        <v>0.00728321952698958</v>
      </c>
    </row>
    <row r="489" customFormat="false" ht="15" hidden="false" customHeight="false" outlineLevel="0" collapsed="false">
      <c r="A489" s="28" t="n">
        <v>488</v>
      </c>
      <c r="B489" s="43" t="n">
        <v>45730.7791666667</v>
      </c>
      <c r="C489" s="43" t="n">
        <v>45730.7823263889</v>
      </c>
      <c r="D489" s="42" t="n">
        <f aca="false">INT(C489)</f>
        <v>45730</v>
      </c>
      <c r="E489" s="42" t="n">
        <f aca="false">D489-WEEKDAY(D489,3)</f>
        <v>45726</v>
      </c>
      <c r="F489" s="28" t="s">
        <v>166</v>
      </c>
      <c r="G489" s="28" t="n">
        <v>2025</v>
      </c>
      <c r="H489" s="28" t="s">
        <v>242</v>
      </c>
      <c r="I489" s="28" t="n">
        <v>18</v>
      </c>
      <c r="J489" s="28" t="s">
        <v>233</v>
      </c>
      <c r="K489" s="28" t="s">
        <v>234</v>
      </c>
      <c r="L489" s="28" t="n">
        <v>0.24</v>
      </c>
      <c r="M489" s="31" t="n">
        <v>19676.22</v>
      </c>
      <c r="N489" s="31" t="n">
        <v>19651.31</v>
      </c>
      <c r="O489" s="31" t="n">
        <v>19723.47</v>
      </c>
      <c r="P489" s="44" t="n">
        <f aca="false">ABS(M489-N489)</f>
        <v>24.9099999999999</v>
      </c>
      <c r="Q489" s="44" t="n">
        <f aca="false">IF(O489="","",ABS(O489-M489))</f>
        <v>47.25</v>
      </c>
      <c r="R489" s="30" t="n">
        <f aca="false">P489*L489*Summary!$C$6</f>
        <v>119.567999999999</v>
      </c>
      <c r="S489" s="31" t="n">
        <v>19651.22</v>
      </c>
      <c r="T489" s="28" t="s">
        <v>241</v>
      </c>
      <c r="U489" s="44" t="n">
        <f aca="false">IF(J489="BUY",S489-M489,M489-S489)</f>
        <v>-25</v>
      </c>
      <c r="V489" s="45" t="n">
        <v>0</v>
      </c>
      <c r="W489" s="45" t="n">
        <v>0</v>
      </c>
      <c r="X489" s="45" t="n">
        <v>-120</v>
      </c>
      <c r="Y489" s="32" t="n">
        <f aca="false">IFERROR(X489/R489,0)</f>
        <v>-1.00361300682457</v>
      </c>
      <c r="Z489" s="28" t="str">
        <f aca="false">IF(X489&gt;0,"Win",IF(X489&lt;0,"Loss","Flat"))</f>
        <v>Loss</v>
      </c>
      <c r="AA489" s="28" t="n">
        <f aca="false">ROUND((C489-B489)*1440,1)</f>
        <v>4.6</v>
      </c>
      <c r="AB489" s="28" t="str">
        <f aca="false">IF(AA489&lt;1,"a) &lt;1 min",IF(AA489&lt;10,"b) 1-10 min",IF(AA489&lt;60,"c) 10-60 min",IF(AA489&lt;240,"d) 1-4 h","e) 4 h+"))))</f>
        <v>b) 1-10 min</v>
      </c>
      <c r="AC489" s="28" t="str">
        <f aca="false">IF(P489&lt;10,"a) &lt;10",IF(P489&lt;20,"b) 10-20",IF(P489&lt;40,"c) 20-40",IF(P489&lt;80,"d) 40-80","e) 80+"))))</f>
        <v>c) 20-40</v>
      </c>
      <c r="AD489" s="30" t="n">
        <f aca="false">Summary!$C$5+SUM(X$2:X489)</f>
        <v>107764.33</v>
      </c>
      <c r="AE489" s="30" t="n">
        <f aca="false">MAX(AE488,AD489)</f>
        <v>108675.84</v>
      </c>
      <c r="AF489" s="30" t="n">
        <f aca="false">AE489-AD489</f>
        <v>911.509999999995</v>
      </c>
      <c r="AG489" s="29" t="n">
        <f aca="false">IFERROR(AF489/AE489,0)</f>
        <v>0.00838742079196255</v>
      </c>
    </row>
    <row r="490" customFormat="false" ht="15" hidden="false" customHeight="false" outlineLevel="0" collapsed="false">
      <c r="A490" s="28" t="n">
        <v>489</v>
      </c>
      <c r="B490" s="43" t="n">
        <v>45733.6520833333</v>
      </c>
      <c r="C490" s="43" t="n">
        <v>45733.6859606481</v>
      </c>
      <c r="D490" s="42" t="n">
        <f aca="false">INT(C490)</f>
        <v>45733</v>
      </c>
      <c r="E490" s="42" t="n">
        <f aca="false">D490-WEEKDAY(D490,3)</f>
        <v>45733</v>
      </c>
      <c r="F490" s="28" t="s">
        <v>166</v>
      </c>
      <c r="G490" s="28" t="n">
        <v>2025</v>
      </c>
      <c r="H490" s="28" t="s">
        <v>240</v>
      </c>
      <c r="I490" s="28" t="n">
        <v>15</v>
      </c>
      <c r="J490" s="28" t="s">
        <v>233</v>
      </c>
      <c r="K490" s="28" t="s">
        <v>234</v>
      </c>
      <c r="L490" s="28" t="n">
        <v>0.24</v>
      </c>
      <c r="M490" s="31" t="n">
        <v>19727.25</v>
      </c>
      <c r="N490" s="31" t="n">
        <v>19685.48</v>
      </c>
      <c r="O490" s="31" t="n">
        <v>19810.79</v>
      </c>
      <c r="P490" s="44" t="n">
        <f aca="false">ABS(M490-N490)</f>
        <v>41.7700000000004</v>
      </c>
      <c r="Q490" s="44" t="n">
        <f aca="false">IF(O490="","",ABS(O490-M490))</f>
        <v>83.5400000000009</v>
      </c>
      <c r="R490" s="30" t="n">
        <f aca="false">P490*L490*Summary!$C$6</f>
        <v>200.496000000002</v>
      </c>
      <c r="S490" s="31" t="n">
        <v>19685.32</v>
      </c>
      <c r="T490" s="28" t="s">
        <v>241</v>
      </c>
      <c r="U490" s="44" t="n">
        <f aca="false">IF(J490="BUY",S490-M490,M490-S490)</f>
        <v>-41.9300000000003</v>
      </c>
      <c r="V490" s="45" t="n">
        <v>0</v>
      </c>
      <c r="W490" s="45" t="n">
        <v>0</v>
      </c>
      <c r="X490" s="45" t="n">
        <v>-201.26</v>
      </c>
      <c r="Y490" s="32" t="n">
        <f aca="false">IFERROR(X490/R490,0)</f>
        <v>-1.0038105498364</v>
      </c>
      <c r="Z490" s="28" t="str">
        <f aca="false">IF(X490&gt;0,"Win",IF(X490&lt;0,"Loss","Flat"))</f>
        <v>Loss</v>
      </c>
      <c r="AA490" s="28" t="n">
        <f aca="false">ROUND((C490-B490)*1440,1)</f>
        <v>48.8</v>
      </c>
      <c r="AB490" s="28" t="str">
        <f aca="false">IF(AA490&lt;1,"a) &lt;1 min",IF(AA490&lt;10,"b) 1-10 min",IF(AA490&lt;60,"c) 10-60 min",IF(AA490&lt;240,"d) 1-4 h","e) 4 h+"))))</f>
        <v>c) 10-60 min</v>
      </c>
      <c r="AC490" s="28" t="str">
        <f aca="false">IF(P490&lt;10,"a) &lt;10",IF(P490&lt;20,"b) 10-20",IF(P490&lt;40,"c) 20-40",IF(P490&lt;80,"d) 40-80","e) 80+"))))</f>
        <v>d) 40-80</v>
      </c>
      <c r="AD490" s="30" t="n">
        <f aca="false">Summary!$C$5+SUM(X$2:X490)</f>
        <v>107563.07</v>
      </c>
      <c r="AE490" s="30" t="n">
        <f aca="false">MAX(AE489,AD490)</f>
        <v>108675.84</v>
      </c>
      <c r="AF490" s="30" t="n">
        <f aca="false">AE490-AD490</f>
        <v>1112.76999999999</v>
      </c>
      <c r="AG490" s="29" t="n">
        <f aca="false">IFERROR(AF490/AE490,0)</f>
        <v>0.0102393503468663</v>
      </c>
    </row>
    <row r="491" customFormat="false" ht="15" hidden="false" customHeight="false" outlineLevel="0" collapsed="false">
      <c r="A491" s="28" t="n">
        <v>490</v>
      </c>
      <c r="B491" s="43" t="n">
        <v>45734.6979166667</v>
      </c>
      <c r="C491" s="43" t="n">
        <v>45734.7131597222</v>
      </c>
      <c r="D491" s="42" t="n">
        <f aca="false">INT(C491)</f>
        <v>45734</v>
      </c>
      <c r="E491" s="42" t="n">
        <f aca="false">D491-WEEKDAY(D491,3)</f>
        <v>45733</v>
      </c>
      <c r="F491" s="28" t="s">
        <v>166</v>
      </c>
      <c r="G491" s="28" t="n">
        <v>2025</v>
      </c>
      <c r="H491" s="28" t="s">
        <v>232</v>
      </c>
      <c r="I491" s="28" t="n">
        <v>16</v>
      </c>
      <c r="J491" s="28" t="s">
        <v>236</v>
      </c>
      <c r="K491" s="28" t="s">
        <v>237</v>
      </c>
      <c r="L491" s="28" t="n">
        <v>0.24</v>
      </c>
      <c r="M491" s="31" t="n">
        <v>19495.57</v>
      </c>
      <c r="N491" s="31" t="n">
        <v>19558.92</v>
      </c>
      <c r="O491" s="31" t="n">
        <v>19366.02</v>
      </c>
      <c r="P491" s="44" t="n">
        <f aca="false">ABS(M491-N491)</f>
        <v>63.3499999999985</v>
      </c>
      <c r="Q491" s="44" t="n">
        <f aca="false">IF(O491="","",ABS(O491-M491))</f>
        <v>129.549999999999</v>
      </c>
      <c r="R491" s="30" t="n">
        <f aca="false">P491*L491*Summary!$C$6</f>
        <v>304.079999999993</v>
      </c>
      <c r="S491" s="31" t="n">
        <v>19495.69</v>
      </c>
      <c r="T491" s="28" t="s">
        <v>238</v>
      </c>
      <c r="U491" s="44" t="n">
        <f aca="false">IF(J491="BUY",S491-M491,M491-S491)</f>
        <v>-0.119999999998981</v>
      </c>
      <c r="V491" s="45" t="n">
        <v>0</v>
      </c>
      <c r="W491" s="45" t="n">
        <v>0</v>
      </c>
      <c r="X491" s="45" t="n">
        <v>-0.58</v>
      </c>
      <c r="Y491" s="32" t="n">
        <f aca="false">IFERROR(X491/R491,0)</f>
        <v>-0.00190739279137074</v>
      </c>
      <c r="Z491" s="28" t="str">
        <f aca="false">IF(X491&gt;0,"Win",IF(X491&lt;0,"Loss","Flat"))</f>
        <v>Loss</v>
      </c>
      <c r="AA491" s="28" t="n">
        <f aca="false">ROUND((C491-B491)*1440,1)</f>
        <v>22</v>
      </c>
      <c r="AB491" s="28" t="str">
        <f aca="false">IF(AA491&lt;1,"a) &lt;1 min",IF(AA491&lt;10,"b) 1-10 min",IF(AA491&lt;60,"c) 10-60 min",IF(AA491&lt;240,"d) 1-4 h","e) 4 h+"))))</f>
        <v>c) 10-60 min</v>
      </c>
      <c r="AC491" s="28" t="str">
        <f aca="false">IF(P491&lt;10,"a) &lt;10",IF(P491&lt;20,"b) 10-20",IF(P491&lt;40,"c) 20-40",IF(P491&lt;80,"d) 40-80","e) 80+"))))</f>
        <v>d) 40-80</v>
      </c>
      <c r="AD491" s="30" t="n">
        <f aca="false">Summary!$C$5+SUM(X$2:X491)</f>
        <v>107562.49</v>
      </c>
      <c r="AE491" s="30" t="n">
        <f aca="false">MAX(AE490,AD491)</f>
        <v>108675.84</v>
      </c>
      <c r="AF491" s="30" t="n">
        <f aca="false">AE491-AD491</f>
        <v>1113.34999999999</v>
      </c>
      <c r="AG491" s="29" t="n">
        <f aca="false">IFERROR(AF491/AE491,0)</f>
        <v>0.010244687319647</v>
      </c>
    </row>
    <row r="492" customFormat="false" ht="15" hidden="false" customHeight="false" outlineLevel="0" collapsed="false">
      <c r="A492" s="28" t="n">
        <v>491</v>
      </c>
      <c r="B492" s="43" t="n">
        <v>45735.9208333333</v>
      </c>
      <c r="C492" s="43" t="n">
        <v>45735.9254513889</v>
      </c>
      <c r="D492" s="42" t="n">
        <f aca="false">INT(C492)</f>
        <v>45735</v>
      </c>
      <c r="E492" s="42" t="n">
        <f aca="false">D492-WEEKDAY(D492,3)</f>
        <v>45733</v>
      </c>
      <c r="F492" s="28" t="s">
        <v>166</v>
      </c>
      <c r="G492" s="28" t="n">
        <v>2025</v>
      </c>
      <c r="H492" s="28" t="s">
        <v>235</v>
      </c>
      <c r="I492" s="28" t="n">
        <v>22</v>
      </c>
      <c r="J492" s="28" t="s">
        <v>233</v>
      </c>
      <c r="K492" s="28" t="s">
        <v>234</v>
      </c>
      <c r="L492" s="28" t="n">
        <v>0.24</v>
      </c>
      <c r="M492" s="31" t="n">
        <v>19858.11</v>
      </c>
      <c r="N492" s="31" t="n">
        <v>19815.68</v>
      </c>
      <c r="O492" s="31" t="n">
        <v>19939.63</v>
      </c>
      <c r="P492" s="44" t="n">
        <f aca="false">ABS(M492-N492)</f>
        <v>42.4300000000003</v>
      </c>
      <c r="Q492" s="44" t="n">
        <f aca="false">IF(O492="","",ABS(O492-M492))</f>
        <v>81.5200000000004</v>
      </c>
      <c r="R492" s="30" t="n">
        <f aca="false">P492*L492*Summary!$C$6</f>
        <v>203.664000000001</v>
      </c>
      <c r="S492" s="31" t="n">
        <v>19858.04</v>
      </c>
      <c r="T492" s="28" t="s">
        <v>238</v>
      </c>
      <c r="U492" s="44" t="n">
        <f aca="false">IF(J492="BUY",S492-M492,M492-S492)</f>
        <v>-0.069999999999709</v>
      </c>
      <c r="V492" s="45" t="n">
        <v>0</v>
      </c>
      <c r="W492" s="45" t="n">
        <v>0</v>
      </c>
      <c r="X492" s="45" t="n">
        <v>-0.34</v>
      </c>
      <c r="Y492" s="32" t="n">
        <f aca="false">IFERROR(X492/R492,0)</f>
        <v>-0.00166941629350301</v>
      </c>
      <c r="Z492" s="28" t="str">
        <f aca="false">IF(X492&gt;0,"Win",IF(X492&lt;0,"Loss","Flat"))</f>
        <v>Loss</v>
      </c>
      <c r="AA492" s="28" t="n">
        <f aca="false">ROUND((C492-B492)*1440,1)</f>
        <v>6.7</v>
      </c>
      <c r="AB492" s="28" t="str">
        <f aca="false">IF(AA492&lt;1,"a) &lt;1 min",IF(AA492&lt;10,"b) 1-10 min",IF(AA492&lt;60,"c) 10-60 min",IF(AA492&lt;240,"d) 1-4 h","e) 4 h+"))))</f>
        <v>b) 1-10 min</v>
      </c>
      <c r="AC492" s="28" t="str">
        <f aca="false">IF(P492&lt;10,"a) &lt;10",IF(P492&lt;20,"b) 10-20",IF(P492&lt;40,"c) 20-40",IF(P492&lt;80,"d) 40-80","e) 80+"))))</f>
        <v>d) 40-80</v>
      </c>
      <c r="AD492" s="30" t="n">
        <f aca="false">Summary!$C$5+SUM(X$2:X492)</f>
        <v>107562.15</v>
      </c>
      <c r="AE492" s="30" t="n">
        <f aca="false">MAX(AE491,AD492)</f>
        <v>108675.84</v>
      </c>
      <c r="AF492" s="30" t="n">
        <f aca="false">AE492-AD492</f>
        <v>1113.69</v>
      </c>
      <c r="AG492" s="29" t="n">
        <f aca="false">IFERROR(AF492/AE492,0)</f>
        <v>0.0102478158898979</v>
      </c>
    </row>
    <row r="493" customFormat="false" ht="15" hidden="false" customHeight="false" outlineLevel="0" collapsed="false">
      <c r="A493" s="28" t="n">
        <v>492</v>
      </c>
      <c r="B493" s="43" t="n">
        <v>45737.6534722222</v>
      </c>
      <c r="C493" s="43" t="n">
        <v>45737.6720949074</v>
      </c>
      <c r="D493" s="42" t="n">
        <f aca="false">INT(C493)</f>
        <v>45737</v>
      </c>
      <c r="E493" s="42" t="n">
        <f aca="false">D493-WEEKDAY(D493,3)</f>
        <v>45733</v>
      </c>
      <c r="F493" s="28" t="s">
        <v>166</v>
      </c>
      <c r="G493" s="28" t="n">
        <v>2025</v>
      </c>
      <c r="H493" s="28" t="s">
        <v>242</v>
      </c>
      <c r="I493" s="28" t="n">
        <v>15</v>
      </c>
      <c r="J493" s="28" t="s">
        <v>236</v>
      </c>
      <c r="K493" s="28" t="s">
        <v>237</v>
      </c>
      <c r="L493" s="28" t="n">
        <v>0.24</v>
      </c>
      <c r="M493" s="31" t="n">
        <v>19508.55</v>
      </c>
      <c r="N493" s="31" t="n">
        <v>19537.25</v>
      </c>
      <c r="O493" s="31" t="n">
        <v>19451.15</v>
      </c>
      <c r="P493" s="44" t="n">
        <f aca="false">ABS(M493-N493)</f>
        <v>28.7000000000007</v>
      </c>
      <c r="Q493" s="44" t="n">
        <f aca="false">IF(O493="","",ABS(O493-M493))</f>
        <v>57.3999999999978</v>
      </c>
      <c r="R493" s="30" t="n">
        <f aca="false">P493*L493*Summary!$C$6</f>
        <v>137.760000000004</v>
      </c>
      <c r="S493" s="31" t="n">
        <v>19450.99</v>
      </c>
      <c r="T493" s="28" t="s">
        <v>214</v>
      </c>
      <c r="U493" s="44" t="n">
        <f aca="false">IF(J493="BUY",S493-M493,M493-S493)</f>
        <v>57.5599999999977</v>
      </c>
      <c r="V493" s="45" t="n">
        <v>0</v>
      </c>
      <c r="W493" s="45" t="n">
        <v>0</v>
      </c>
      <c r="X493" s="45" t="n">
        <v>276.29</v>
      </c>
      <c r="Y493" s="32" t="n">
        <f aca="false">IFERROR(X493/R493,0)</f>
        <v>2.00558943089426</v>
      </c>
      <c r="Z493" s="28" t="str">
        <f aca="false">IF(X493&gt;0,"Win",IF(X493&lt;0,"Loss","Flat"))</f>
        <v>Win</v>
      </c>
      <c r="AA493" s="28" t="n">
        <f aca="false">ROUND((C493-B493)*1440,1)</f>
        <v>26.8</v>
      </c>
      <c r="AB493" s="28" t="str">
        <f aca="false">IF(AA493&lt;1,"a) &lt;1 min",IF(AA493&lt;10,"b) 1-10 min",IF(AA493&lt;60,"c) 10-60 min",IF(AA493&lt;240,"d) 1-4 h","e) 4 h+"))))</f>
        <v>c) 10-60 min</v>
      </c>
      <c r="AC493" s="28" t="str">
        <f aca="false">IF(P493&lt;10,"a) &lt;10",IF(P493&lt;20,"b) 10-20",IF(P493&lt;40,"c) 20-40",IF(P493&lt;80,"d) 40-80","e) 80+"))))</f>
        <v>c) 20-40</v>
      </c>
      <c r="AD493" s="30" t="n">
        <f aca="false">Summary!$C$5+SUM(X$2:X493)</f>
        <v>107838.44</v>
      </c>
      <c r="AE493" s="30" t="n">
        <f aca="false">MAX(AE492,AD493)</f>
        <v>108675.84</v>
      </c>
      <c r="AF493" s="30" t="n">
        <f aca="false">AE493-AD493</f>
        <v>837.399999999994</v>
      </c>
      <c r="AG493" s="29" t="n">
        <f aca="false">IFERROR(AF493/AE493,0)</f>
        <v>0.00770548449406965</v>
      </c>
    </row>
    <row r="494" customFormat="false" ht="15" hidden="false" customHeight="false" outlineLevel="0" collapsed="false">
      <c r="A494" s="28" t="n">
        <v>493</v>
      </c>
      <c r="B494" s="43" t="n">
        <v>45740.0465277778</v>
      </c>
      <c r="C494" s="43" t="n">
        <v>45740.4271064815</v>
      </c>
      <c r="D494" s="42" t="n">
        <f aca="false">INT(C494)</f>
        <v>45740</v>
      </c>
      <c r="E494" s="42" t="n">
        <f aca="false">D494-WEEKDAY(D494,3)</f>
        <v>45740</v>
      </c>
      <c r="F494" s="28" t="s">
        <v>166</v>
      </c>
      <c r="G494" s="28" t="n">
        <v>2025</v>
      </c>
      <c r="H494" s="28" t="s">
        <v>240</v>
      </c>
      <c r="I494" s="28" t="n">
        <v>1</v>
      </c>
      <c r="J494" s="28" t="s">
        <v>233</v>
      </c>
      <c r="K494" s="28" t="s">
        <v>234</v>
      </c>
      <c r="L494" s="28" t="n">
        <v>0.24</v>
      </c>
      <c r="M494" s="31" t="n">
        <v>19879.74</v>
      </c>
      <c r="N494" s="31" t="n">
        <v>19839.71</v>
      </c>
      <c r="O494" s="31" t="n">
        <v>19959.8</v>
      </c>
      <c r="P494" s="44" t="n">
        <f aca="false">ABS(M494-N494)</f>
        <v>40.0300000000025</v>
      </c>
      <c r="Q494" s="44" t="n">
        <f aca="false">IF(O494="","",ABS(O494-M494))</f>
        <v>80.0599999999977</v>
      </c>
      <c r="R494" s="30" t="n">
        <f aca="false">P494*L494*Summary!$C$6</f>
        <v>192.144000000012</v>
      </c>
      <c r="S494" s="31" t="n">
        <v>19960.15</v>
      </c>
      <c r="T494" s="28" t="s">
        <v>214</v>
      </c>
      <c r="U494" s="44" t="n">
        <f aca="false">IF(J494="BUY",S494-M494,M494-S494)</f>
        <v>80.4099999999999</v>
      </c>
      <c r="V494" s="45" t="n">
        <v>0</v>
      </c>
      <c r="W494" s="45" t="n">
        <v>0</v>
      </c>
      <c r="X494" s="45" t="n">
        <v>385.97</v>
      </c>
      <c r="Y494" s="32" t="n">
        <f aca="false">IFERROR(X494/R494,0)</f>
        <v>2.00875385127808</v>
      </c>
      <c r="Z494" s="28" t="str">
        <f aca="false">IF(X494&gt;0,"Win",IF(X494&lt;0,"Loss","Flat"))</f>
        <v>Win</v>
      </c>
      <c r="AA494" s="28" t="n">
        <f aca="false">ROUND((C494-B494)*1440,1)</f>
        <v>548</v>
      </c>
      <c r="AB494" s="28" t="str">
        <f aca="false">IF(AA494&lt;1,"a) &lt;1 min",IF(AA494&lt;10,"b) 1-10 min",IF(AA494&lt;60,"c) 10-60 min",IF(AA494&lt;240,"d) 1-4 h","e) 4 h+"))))</f>
        <v>e) 4 h+</v>
      </c>
      <c r="AC494" s="28" t="str">
        <f aca="false">IF(P494&lt;10,"a) &lt;10",IF(P494&lt;20,"b) 10-20",IF(P494&lt;40,"c) 20-40",IF(P494&lt;80,"d) 40-80","e) 80+"))))</f>
        <v>d) 40-80</v>
      </c>
      <c r="AD494" s="30" t="n">
        <f aca="false">Summary!$C$5+SUM(X$2:X494)</f>
        <v>108224.41</v>
      </c>
      <c r="AE494" s="30" t="n">
        <f aca="false">MAX(AE493,AD494)</f>
        <v>108675.84</v>
      </c>
      <c r="AF494" s="30" t="n">
        <f aca="false">AE494-AD494</f>
        <v>451.429999999993</v>
      </c>
      <c r="AG494" s="29" t="n">
        <f aca="false">IFERROR(AF494/AE494,0)</f>
        <v>0.00415391314205617</v>
      </c>
    </row>
    <row r="495" customFormat="false" ht="15" hidden="false" customHeight="false" outlineLevel="0" collapsed="false">
      <c r="A495" s="28" t="n">
        <v>494</v>
      </c>
      <c r="B495" s="43" t="n">
        <v>45741.6222222222</v>
      </c>
      <c r="C495" s="43" t="n">
        <v>45741.6271759259</v>
      </c>
      <c r="D495" s="42" t="n">
        <f aca="false">INT(C495)</f>
        <v>45741</v>
      </c>
      <c r="E495" s="42" t="n">
        <f aca="false">D495-WEEKDAY(D495,3)</f>
        <v>45740</v>
      </c>
      <c r="F495" s="28" t="s">
        <v>166</v>
      </c>
      <c r="G495" s="28" t="n">
        <v>2025</v>
      </c>
      <c r="H495" s="28" t="s">
        <v>232</v>
      </c>
      <c r="I495" s="28" t="n">
        <v>14</v>
      </c>
      <c r="J495" s="28" t="s">
        <v>233</v>
      </c>
      <c r="K495" s="28" t="s">
        <v>234</v>
      </c>
      <c r="L495" s="28" t="n">
        <v>0.24</v>
      </c>
      <c r="M495" s="31" t="n">
        <v>20205.11</v>
      </c>
      <c r="N495" s="31" t="n">
        <v>20198.25</v>
      </c>
      <c r="O495" s="31" t="n">
        <v>20218.83</v>
      </c>
      <c r="P495" s="44" t="n">
        <f aca="false">ABS(M495-N495)</f>
        <v>6.86000000000058</v>
      </c>
      <c r="Q495" s="44" t="n">
        <f aca="false">IF(O495="","",ABS(O495-M495))</f>
        <v>13.7200000000012</v>
      </c>
      <c r="R495" s="30" t="n">
        <f aca="false">P495*L495*Summary!$C$6</f>
        <v>32.9280000000028</v>
      </c>
      <c r="S495" s="31" t="n">
        <v>20205.04</v>
      </c>
      <c r="T495" s="28" t="s">
        <v>238</v>
      </c>
      <c r="U495" s="44" t="n">
        <f aca="false">IF(J495="BUY",S495-M495,M495-S495)</f>
        <v>-0.069999999999709</v>
      </c>
      <c r="V495" s="45" t="n">
        <v>0</v>
      </c>
      <c r="W495" s="45" t="n">
        <v>0</v>
      </c>
      <c r="X495" s="45" t="n">
        <v>-0.34</v>
      </c>
      <c r="Y495" s="32" t="n">
        <f aca="false">IFERROR(X495/R495,0)</f>
        <v>-0.0103255587949457</v>
      </c>
      <c r="Z495" s="28" t="str">
        <f aca="false">IF(X495&gt;0,"Win",IF(X495&lt;0,"Loss","Flat"))</f>
        <v>Loss</v>
      </c>
      <c r="AA495" s="28" t="n">
        <f aca="false">ROUND((C495-B495)*1440,1)</f>
        <v>7.1</v>
      </c>
      <c r="AB495" s="28" t="str">
        <f aca="false">IF(AA495&lt;1,"a) &lt;1 min",IF(AA495&lt;10,"b) 1-10 min",IF(AA495&lt;60,"c) 10-60 min",IF(AA495&lt;240,"d) 1-4 h","e) 4 h+"))))</f>
        <v>b) 1-10 min</v>
      </c>
      <c r="AC495" s="28" t="str">
        <f aca="false">IF(P495&lt;10,"a) &lt;10",IF(P495&lt;20,"b) 10-20",IF(P495&lt;40,"c) 20-40",IF(P495&lt;80,"d) 40-80","e) 80+"))))</f>
        <v>a) &lt;10</v>
      </c>
      <c r="AD495" s="30" t="n">
        <f aca="false">Summary!$C$5+SUM(X$2:X495)</f>
        <v>108224.07</v>
      </c>
      <c r="AE495" s="30" t="n">
        <f aca="false">MAX(AE494,AD495)</f>
        <v>108675.84</v>
      </c>
      <c r="AF495" s="30" t="n">
        <f aca="false">AE495-AD495</f>
        <v>451.76999999999</v>
      </c>
      <c r="AG495" s="29" t="n">
        <f aca="false">IFERROR(AF495/AE495,0)</f>
        <v>0.00415704171230689</v>
      </c>
    </row>
    <row r="496" customFormat="false" ht="15" hidden="false" customHeight="false" outlineLevel="0" collapsed="false">
      <c r="A496" s="28" t="n">
        <v>495</v>
      </c>
      <c r="B496" s="43" t="n">
        <v>45742.0465277778</v>
      </c>
      <c r="C496" s="43" t="n">
        <v>45742.0579166667</v>
      </c>
      <c r="D496" s="42" t="n">
        <f aca="false">INT(C496)</f>
        <v>45742</v>
      </c>
      <c r="E496" s="42" t="n">
        <f aca="false">D496-WEEKDAY(D496,3)</f>
        <v>45740</v>
      </c>
      <c r="F496" s="28" t="s">
        <v>166</v>
      </c>
      <c r="G496" s="28" t="n">
        <v>2025</v>
      </c>
      <c r="H496" s="28" t="s">
        <v>235</v>
      </c>
      <c r="I496" s="28" t="n">
        <v>1</v>
      </c>
      <c r="J496" s="28" t="s">
        <v>233</v>
      </c>
      <c r="K496" s="28" t="s">
        <v>234</v>
      </c>
      <c r="L496" s="28" t="n">
        <v>0.23</v>
      </c>
      <c r="M496" s="31" t="n">
        <v>20313.29</v>
      </c>
      <c r="N496" s="31" t="n">
        <v>20304.78</v>
      </c>
      <c r="O496" s="31" t="n">
        <v>20330.32</v>
      </c>
      <c r="P496" s="44" t="n">
        <f aca="false">ABS(M496-N496)</f>
        <v>8.51000000000204</v>
      </c>
      <c r="Q496" s="44" t="n">
        <f aca="false">IF(O496="","",ABS(O496-M496))</f>
        <v>17.0299999999988</v>
      </c>
      <c r="R496" s="30" t="n">
        <f aca="false">P496*L496*Summary!$C$6</f>
        <v>39.1460000000094</v>
      </c>
      <c r="S496" s="31" t="n">
        <v>20313.29</v>
      </c>
      <c r="T496" s="28" t="s">
        <v>238</v>
      </c>
      <c r="U496" s="44" t="n">
        <f aca="false">IF(J496="BUY",S496-M496,M496-S496)</f>
        <v>0</v>
      </c>
      <c r="V496" s="45" t="n">
        <v>0</v>
      </c>
      <c r="W496" s="45" t="n">
        <v>0</v>
      </c>
      <c r="X496" s="45" t="n">
        <v>0</v>
      </c>
      <c r="Y496" s="32" t="n">
        <f aca="false">IFERROR(X496/R496,0)</f>
        <v>0</v>
      </c>
      <c r="Z496" s="28" t="str">
        <f aca="false">IF(X496&gt;0,"Win",IF(X496&lt;0,"Loss","Flat"))</f>
        <v>Flat</v>
      </c>
      <c r="AA496" s="28" t="n">
        <f aca="false">ROUND((C496-B496)*1440,1)</f>
        <v>16.4</v>
      </c>
      <c r="AB496" s="28" t="str">
        <f aca="false">IF(AA496&lt;1,"a) &lt;1 min",IF(AA496&lt;10,"b) 1-10 min",IF(AA496&lt;60,"c) 10-60 min",IF(AA496&lt;240,"d) 1-4 h","e) 4 h+"))))</f>
        <v>c) 10-60 min</v>
      </c>
      <c r="AC496" s="28" t="str">
        <f aca="false">IF(P496&lt;10,"a) &lt;10",IF(P496&lt;20,"b) 10-20",IF(P496&lt;40,"c) 20-40",IF(P496&lt;80,"d) 40-80","e) 80+"))))</f>
        <v>a) &lt;10</v>
      </c>
      <c r="AD496" s="30" t="n">
        <f aca="false">Summary!$C$5+SUM(X$2:X496)</f>
        <v>108224.07</v>
      </c>
      <c r="AE496" s="30" t="n">
        <f aca="false">MAX(AE495,AD496)</f>
        <v>108675.84</v>
      </c>
      <c r="AF496" s="30" t="n">
        <f aca="false">AE496-AD496</f>
        <v>451.76999999999</v>
      </c>
      <c r="AG496" s="29" t="n">
        <f aca="false">IFERROR(AF496/AE496,0)</f>
        <v>0.00415704171230689</v>
      </c>
    </row>
    <row r="497" customFormat="false" ht="15" hidden="false" customHeight="false" outlineLevel="0" collapsed="false">
      <c r="A497" s="28" t="n">
        <v>496</v>
      </c>
      <c r="B497" s="43" t="n">
        <v>45742.7222222222</v>
      </c>
      <c r="C497" s="43" t="n">
        <v>45742.7273611111</v>
      </c>
      <c r="D497" s="42" t="n">
        <f aca="false">INT(C497)</f>
        <v>45742</v>
      </c>
      <c r="E497" s="42" t="n">
        <f aca="false">D497-WEEKDAY(D497,3)</f>
        <v>45740</v>
      </c>
      <c r="F497" s="28" t="s">
        <v>166</v>
      </c>
      <c r="G497" s="28" t="n">
        <v>2025</v>
      </c>
      <c r="H497" s="28" t="s">
        <v>235</v>
      </c>
      <c r="I497" s="28" t="n">
        <v>17</v>
      </c>
      <c r="J497" s="28" t="s">
        <v>236</v>
      </c>
      <c r="K497" s="28" t="s">
        <v>237</v>
      </c>
      <c r="L497" s="28" t="n">
        <v>0.24</v>
      </c>
      <c r="M497" s="31" t="n">
        <v>20078.63</v>
      </c>
      <c r="N497" s="31" t="n">
        <v>20115.35</v>
      </c>
      <c r="O497" s="31" t="n">
        <v>20005.33</v>
      </c>
      <c r="P497" s="44" t="n">
        <f aca="false">ABS(M497-N497)</f>
        <v>36.7199999999975</v>
      </c>
      <c r="Q497" s="44" t="n">
        <f aca="false">IF(O497="","",ABS(O497-M497))</f>
        <v>73.2999999999993</v>
      </c>
      <c r="R497" s="30" t="n">
        <f aca="false">P497*L497*Summary!$C$6</f>
        <v>176.255999999988</v>
      </c>
      <c r="S497" s="31" t="n">
        <v>20078.7</v>
      </c>
      <c r="T497" s="28" t="s">
        <v>238</v>
      </c>
      <c r="U497" s="44" t="n">
        <f aca="false">IF(J497="BUY",S497-M497,M497-S497)</f>
        <v>-0.069999999999709</v>
      </c>
      <c r="V497" s="45" t="n">
        <v>0</v>
      </c>
      <c r="W497" s="45" t="n">
        <v>0</v>
      </c>
      <c r="X497" s="45" t="n">
        <v>-0.34</v>
      </c>
      <c r="Y497" s="32" t="n">
        <f aca="false">IFERROR(X497/R497,0)</f>
        <v>-0.00192901234567914</v>
      </c>
      <c r="Z497" s="28" t="str">
        <f aca="false">IF(X497&gt;0,"Win",IF(X497&lt;0,"Loss","Flat"))</f>
        <v>Loss</v>
      </c>
      <c r="AA497" s="28" t="n">
        <f aca="false">ROUND((C497-B497)*1440,1)</f>
        <v>7.4</v>
      </c>
      <c r="AB497" s="28" t="str">
        <f aca="false">IF(AA497&lt;1,"a) &lt;1 min",IF(AA497&lt;10,"b) 1-10 min",IF(AA497&lt;60,"c) 10-60 min",IF(AA497&lt;240,"d) 1-4 h","e) 4 h+"))))</f>
        <v>b) 1-10 min</v>
      </c>
      <c r="AC497" s="28" t="str">
        <f aca="false">IF(P497&lt;10,"a) &lt;10",IF(P497&lt;20,"b) 10-20",IF(P497&lt;40,"c) 20-40",IF(P497&lt;80,"d) 40-80","e) 80+"))))</f>
        <v>c) 20-40</v>
      </c>
      <c r="AD497" s="30" t="n">
        <f aca="false">Summary!$C$5+SUM(X$2:X497)</f>
        <v>108223.73</v>
      </c>
      <c r="AE497" s="30" t="n">
        <f aca="false">MAX(AE496,AD497)</f>
        <v>108675.84</v>
      </c>
      <c r="AF497" s="30" t="n">
        <f aca="false">AE497-AD497</f>
        <v>452.110000000001</v>
      </c>
      <c r="AG497" s="29" t="n">
        <f aca="false">IFERROR(AF497/AE497,0)</f>
        <v>0.00416017028255775</v>
      </c>
    </row>
    <row r="498" customFormat="false" ht="15" hidden="false" customHeight="false" outlineLevel="0" collapsed="false">
      <c r="A498" s="28" t="n">
        <v>497</v>
      </c>
      <c r="B498" s="43" t="n">
        <v>45743.0461342593</v>
      </c>
      <c r="C498" s="43" t="n">
        <v>45743.0539351852</v>
      </c>
      <c r="D498" s="42" t="n">
        <f aca="false">INT(C498)</f>
        <v>45743</v>
      </c>
      <c r="E498" s="42" t="n">
        <f aca="false">D498-WEEKDAY(D498,3)</f>
        <v>45740</v>
      </c>
      <c r="F498" s="28" t="s">
        <v>166</v>
      </c>
      <c r="G498" s="28" t="n">
        <v>2025</v>
      </c>
      <c r="H498" s="28" t="s">
        <v>239</v>
      </c>
      <c r="I498" s="28" t="n">
        <v>1</v>
      </c>
      <c r="J498" s="28" t="s">
        <v>236</v>
      </c>
      <c r="K498" s="28" t="s">
        <v>237</v>
      </c>
      <c r="L498" s="28" t="n">
        <v>0.24</v>
      </c>
      <c r="M498" s="31" t="n">
        <v>19880.79</v>
      </c>
      <c r="N498" s="31" t="n">
        <v>19907.83</v>
      </c>
      <c r="O498" s="31" t="n">
        <v>19826.71</v>
      </c>
      <c r="P498" s="44" t="n">
        <f aca="false">ABS(M498-N498)</f>
        <v>27.0400000000009</v>
      </c>
      <c r="Q498" s="44" t="n">
        <f aca="false">IF(O498="","",ABS(O498-M498))</f>
        <v>54.0800000000017</v>
      </c>
      <c r="R498" s="30" t="n">
        <f aca="false">P498*L498*Summary!$C$6</f>
        <v>129.792000000004</v>
      </c>
      <c r="S498" s="31" t="n">
        <v>19826.03</v>
      </c>
      <c r="T498" s="28" t="s">
        <v>214</v>
      </c>
      <c r="U498" s="44" t="n">
        <f aca="false">IF(J498="BUY",S498-M498,M498-S498)</f>
        <v>54.760000000002</v>
      </c>
      <c r="V498" s="45" t="n">
        <v>0</v>
      </c>
      <c r="W498" s="45" t="n">
        <v>0</v>
      </c>
      <c r="X498" s="45" t="n">
        <v>262.85</v>
      </c>
      <c r="Y498" s="32" t="n">
        <f aca="false">IFERROR(X498/R498,0)</f>
        <v>2.02516333826424</v>
      </c>
      <c r="Z498" s="28" t="str">
        <f aca="false">IF(X498&gt;0,"Win",IF(X498&lt;0,"Loss","Flat"))</f>
        <v>Win</v>
      </c>
      <c r="AA498" s="28" t="n">
        <f aca="false">ROUND((C498-B498)*1440,1)</f>
        <v>11.2</v>
      </c>
      <c r="AB498" s="28" t="str">
        <f aca="false">IF(AA498&lt;1,"a) &lt;1 min",IF(AA498&lt;10,"b) 1-10 min",IF(AA498&lt;60,"c) 10-60 min",IF(AA498&lt;240,"d) 1-4 h","e) 4 h+"))))</f>
        <v>c) 10-60 min</v>
      </c>
      <c r="AC498" s="28" t="str">
        <f aca="false">IF(P498&lt;10,"a) &lt;10",IF(P498&lt;20,"b) 10-20",IF(P498&lt;40,"c) 20-40",IF(P498&lt;80,"d) 40-80","e) 80+"))))</f>
        <v>c) 20-40</v>
      </c>
      <c r="AD498" s="30" t="n">
        <f aca="false">Summary!$C$5+SUM(X$2:X498)</f>
        <v>108486.58</v>
      </c>
      <c r="AE498" s="30" t="n">
        <f aca="false">MAX(AE497,AD498)</f>
        <v>108675.84</v>
      </c>
      <c r="AF498" s="30" t="n">
        <f aca="false">AE498-AD498</f>
        <v>189.259999999995</v>
      </c>
      <c r="AG498" s="29" t="n">
        <f aca="false">IFERROR(AF498/AE498,0)</f>
        <v>0.00174150942840649</v>
      </c>
    </row>
    <row r="499" customFormat="false" ht="15" hidden="false" customHeight="false" outlineLevel="0" collapsed="false">
      <c r="A499" s="28" t="n">
        <v>498</v>
      </c>
      <c r="B499" s="43" t="n">
        <v>45744.4152777778</v>
      </c>
      <c r="C499" s="43" t="n">
        <v>45744.4192824074</v>
      </c>
      <c r="D499" s="42" t="n">
        <f aca="false">INT(C499)</f>
        <v>45744</v>
      </c>
      <c r="E499" s="42" t="n">
        <f aca="false">D499-WEEKDAY(D499,3)</f>
        <v>45740</v>
      </c>
      <c r="F499" s="28" t="s">
        <v>166</v>
      </c>
      <c r="G499" s="28" t="n">
        <v>2025</v>
      </c>
      <c r="H499" s="28" t="s">
        <v>242</v>
      </c>
      <c r="I499" s="28" t="n">
        <v>9</v>
      </c>
      <c r="J499" s="28" t="s">
        <v>236</v>
      </c>
      <c r="K499" s="28" t="s">
        <v>237</v>
      </c>
      <c r="L499" s="28" t="n">
        <v>0.24</v>
      </c>
      <c r="M499" s="31" t="n">
        <v>19742</v>
      </c>
      <c r="N499" s="31" t="n">
        <v>19754.67</v>
      </c>
      <c r="O499" s="31" t="n">
        <v>19716.66</v>
      </c>
      <c r="P499" s="44" t="n">
        <f aca="false">ABS(M499-N499)</f>
        <v>12.6699999999983</v>
      </c>
      <c r="Q499" s="44" t="n">
        <f aca="false">IF(O499="","",ABS(O499-M499))</f>
        <v>25.3400000000001</v>
      </c>
      <c r="R499" s="30" t="n">
        <f aca="false">P499*L499*Summary!$C$6</f>
        <v>60.8159999999916</v>
      </c>
      <c r="S499" s="31" t="n">
        <v>19742.15</v>
      </c>
      <c r="T499" s="28" t="s">
        <v>238</v>
      </c>
      <c r="U499" s="44" t="n">
        <f aca="false">IF(J499="BUY",S499-M499,M499-S499)</f>
        <v>-0.150000000001455</v>
      </c>
      <c r="V499" s="45" t="n">
        <v>0</v>
      </c>
      <c r="W499" s="45" t="n">
        <v>0</v>
      </c>
      <c r="X499" s="45" t="n">
        <v>-0.72</v>
      </c>
      <c r="Y499" s="32" t="n">
        <f aca="false">IFERROR(X499/R499,0)</f>
        <v>-0.0118389897395439</v>
      </c>
      <c r="Z499" s="28" t="str">
        <f aca="false">IF(X499&gt;0,"Win",IF(X499&lt;0,"Loss","Flat"))</f>
        <v>Loss</v>
      </c>
      <c r="AA499" s="28" t="n">
        <f aca="false">ROUND((C499-B499)*1440,1)</f>
        <v>5.8</v>
      </c>
      <c r="AB499" s="28" t="str">
        <f aca="false">IF(AA499&lt;1,"a) &lt;1 min",IF(AA499&lt;10,"b) 1-10 min",IF(AA499&lt;60,"c) 10-60 min",IF(AA499&lt;240,"d) 1-4 h","e) 4 h+"))))</f>
        <v>b) 1-10 min</v>
      </c>
      <c r="AC499" s="28" t="str">
        <f aca="false">IF(P499&lt;10,"a) &lt;10",IF(P499&lt;20,"b) 10-20",IF(P499&lt;40,"c) 20-40",IF(P499&lt;80,"d) 40-80","e) 80+"))))</f>
        <v>b) 10-20</v>
      </c>
      <c r="AD499" s="30" t="n">
        <f aca="false">Summary!$C$5+SUM(X$2:X499)</f>
        <v>108485.86</v>
      </c>
      <c r="AE499" s="30" t="n">
        <f aca="false">MAX(AE498,AD499)</f>
        <v>108675.84</v>
      </c>
      <c r="AF499" s="30" t="n">
        <f aca="false">AE499-AD499</f>
        <v>189.979999999996</v>
      </c>
      <c r="AG499" s="29" t="n">
        <f aca="false">IFERROR(AF499/AE499,0)</f>
        <v>0.00174813463599634</v>
      </c>
    </row>
    <row r="500" customFormat="false" ht="15" hidden="false" customHeight="false" outlineLevel="0" collapsed="false">
      <c r="A500" s="28" t="n">
        <v>499</v>
      </c>
      <c r="B500" s="43" t="n">
        <v>45747.0451388889</v>
      </c>
      <c r="C500" s="43" t="n">
        <v>45747.1039699074</v>
      </c>
      <c r="D500" s="42" t="n">
        <f aca="false">INT(C500)</f>
        <v>45747</v>
      </c>
      <c r="E500" s="42" t="n">
        <f aca="false">D500-WEEKDAY(D500,3)</f>
        <v>45747</v>
      </c>
      <c r="F500" s="28" t="s">
        <v>166</v>
      </c>
      <c r="G500" s="28" t="n">
        <v>2025</v>
      </c>
      <c r="H500" s="28" t="s">
        <v>240</v>
      </c>
      <c r="I500" s="28" t="n">
        <v>1</v>
      </c>
      <c r="J500" s="28" t="s">
        <v>236</v>
      </c>
      <c r="K500" s="28" t="s">
        <v>237</v>
      </c>
      <c r="L500" s="28" t="n">
        <v>0.25</v>
      </c>
      <c r="M500" s="31" t="n">
        <v>19118.43</v>
      </c>
      <c r="N500" s="31" t="n">
        <v>19155.15</v>
      </c>
      <c r="O500" s="31" t="n">
        <v>19044.99</v>
      </c>
      <c r="P500" s="44" t="n">
        <f aca="false">ABS(M500-N500)</f>
        <v>36.7200000000012</v>
      </c>
      <c r="Q500" s="44" t="n">
        <f aca="false">IF(O500="","",ABS(O500-M500))</f>
        <v>73.4399999999987</v>
      </c>
      <c r="R500" s="30" t="n">
        <f aca="false">P500*L500*Summary!$C$6</f>
        <v>183.600000000006</v>
      </c>
      <c r="S500" s="31" t="n">
        <v>19043.13</v>
      </c>
      <c r="T500" s="28" t="s">
        <v>214</v>
      </c>
      <c r="U500" s="44" t="n">
        <f aca="false">IF(J500="BUY",S500-M500,M500-S500)</f>
        <v>75.2999999999993</v>
      </c>
      <c r="V500" s="45" t="n">
        <v>0</v>
      </c>
      <c r="W500" s="45" t="n">
        <v>0</v>
      </c>
      <c r="X500" s="45" t="n">
        <v>376.5</v>
      </c>
      <c r="Y500" s="32" t="n">
        <f aca="false">IFERROR(X500/R500,0)</f>
        <v>2.05065359477118</v>
      </c>
      <c r="Z500" s="28" t="str">
        <f aca="false">IF(X500&gt;0,"Win",IF(X500&lt;0,"Loss","Flat"))</f>
        <v>Win</v>
      </c>
      <c r="AA500" s="28" t="n">
        <f aca="false">ROUND((C500-B500)*1440,1)</f>
        <v>84.7</v>
      </c>
      <c r="AB500" s="28" t="str">
        <f aca="false">IF(AA500&lt;1,"a) &lt;1 min",IF(AA500&lt;10,"b) 1-10 min",IF(AA500&lt;60,"c) 10-60 min",IF(AA500&lt;240,"d) 1-4 h","e) 4 h+"))))</f>
        <v>d) 1-4 h</v>
      </c>
      <c r="AC500" s="28" t="str">
        <f aca="false">IF(P500&lt;10,"a) &lt;10",IF(P500&lt;20,"b) 10-20",IF(P500&lt;40,"c) 20-40",IF(P500&lt;80,"d) 40-80","e) 80+"))))</f>
        <v>c) 20-40</v>
      </c>
      <c r="AD500" s="30" t="n">
        <f aca="false">Summary!$C$5+SUM(X$2:X500)</f>
        <v>108862.36</v>
      </c>
      <c r="AE500" s="30" t="n">
        <f aca="false">MAX(AE499,AD500)</f>
        <v>108862.36</v>
      </c>
      <c r="AF500" s="30" t="n">
        <f aca="false">AE500-AD500</f>
        <v>0</v>
      </c>
      <c r="AG500" s="29" t="n">
        <f aca="false">IFERROR(AF500/AE500,0)</f>
        <v>0</v>
      </c>
    </row>
    <row r="501" customFormat="false" ht="15" hidden="false" customHeight="false" outlineLevel="0" collapsed="false">
      <c r="A501" s="28" t="n">
        <v>500</v>
      </c>
      <c r="B501" s="43" t="n">
        <v>45748.5236111111</v>
      </c>
      <c r="C501" s="43" t="n">
        <v>45748.5418981482</v>
      </c>
      <c r="D501" s="42" t="n">
        <f aca="false">INT(C501)</f>
        <v>45748</v>
      </c>
      <c r="E501" s="42" t="n">
        <f aca="false">D501-WEEKDAY(D501,3)</f>
        <v>45747</v>
      </c>
      <c r="F501" s="28" t="s">
        <v>167</v>
      </c>
      <c r="G501" s="28" t="n">
        <v>2025</v>
      </c>
      <c r="H501" s="28" t="s">
        <v>232</v>
      </c>
      <c r="I501" s="28" t="n">
        <v>12</v>
      </c>
      <c r="J501" s="28" t="s">
        <v>233</v>
      </c>
      <c r="K501" s="28" t="s">
        <v>234</v>
      </c>
      <c r="L501" s="28" t="n">
        <v>0.25</v>
      </c>
      <c r="M501" s="31" t="n">
        <v>19322.61</v>
      </c>
      <c r="N501" s="31" t="n">
        <v>19306.79</v>
      </c>
      <c r="O501" s="31" t="n">
        <v>19354.25</v>
      </c>
      <c r="P501" s="44" t="n">
        <f aca="false">ABS(M501-N501)</f>
        <v>15.8199999999997</v>
      </c>
      <c r="Q501" s="44" t="n">
        <f aca="false">IF(O501="","",ABS(O501-M501))</f>
        <v>31.6399999999994</v>
      </c>
      <c r="R501" s="30" t="n">
        <f aca="false">P501*L501*Summary!$C$6</f>
        <v>79.0999999999985</v>
      </c>
      <c r="S501" s="31" t="n">
        <v>19306.59</v>
      </c>
      <c r="T501" s="28" t="s">
        <v>241</v>
      </c>
      <c r="U501" s="44" t="n">
        <f aca="false">IF(J501="BUY",S501-M501,M501-S501)</f>
        <v>-16.0200000000004</v>
      </c>
      <c r="V501" s="45" t="n">
        <v>0</v>
      </c>
      <c r="W501" s="45" t="n">
        <v>0</v>
      </c>
      <c r="X501" s="45" t="n">
        <v>-80.1</v>
      </c>
      <c r="Y501" s="32" t="n">
        <f aca="false">IFERROR(X501/R501,0)</f>
        <v>-1.01264222503162</v>
      </c>
      <c r="Z501" s="28" t="str">
        <f aca="false">IF(X501&gt;0,"Win",IF(X501&lt;0,"Loss","Flat"))</f>
        <v>Loss</v>
      </c>
      <c r="AA501" s="28" t="n">
        <f aca="false">ROUND((C501-B501)*1440,1)</f>
        <v>26.3</v>
      </c>
      <c r="AB501" s="28" t="str">
        <f aca="false">IF(AA501&lt;1,"a) &lt;1 min",IF(AA501&lt;10,"b) 1-10 min",IF(AA501&lt;60,"c) 10-60 min",IF(AA501&lt;240,"d) 1-4 h","e) 4 h+"))))</f>
        <v>c) 10-60 min</v>
      </c>
      <c r="AC501" s="28" t="str">
        <f aca="false">IF(P501&lt;10,"a) &lt;10",IF(P501&lt;20,"b) 10-20",IF(P501&lt;40,"c) 20-40",IF(P501&lt;80,"d) 40-80","e) 80+"))))</f>
        <v>b) 10-20</v>
      </c>
      <c r="AD501" s="30" t="n">
        <f aca="false">Summary!$C$5+SUM(X$2:X501)</f>
        <v>108782.26</v>
      </c>
      <c r="AE501" s="30" t="n">
        <f aca="false">MAX(AE500,AD501)</f>
        <v>108862.36</v>
      </c>
      <c r="AF501" s="30" t="n">
        <f aca="false">AE501-AD501</f>
        <v>80.1000000000058</v>
      </c>
      <c r="AG501" s="29" t="n">
        <f aca="false">IFERROR(AF501/AE501,0)</f>
        <v>0.000735791507735142</v>
      </c>
    </row>
    <row r="502" customFormat="false" ht="15" hidden="false" customHeight="false" outlineLevel="0" collapsed="false">
      <c r="A502" s="28" t="n">
        <v>501</v>
      </c>
      <c r="B502" s="43" t="n">
        <v>45749.0493171296</v>
      </c>
      <c r="C502" s="43" t="n">
        <v>45749.0503240741</v>
      </c>
      <c r="D502" s="42" t="n">
        <f aca="false">INT(C502)</f>
        <v>45749</v>
      </c>
      <c r="E502" s="42" t="n">
        <f aca="false">D502-WEEKDAY(D502,3)</f>
        <v>45747</v>
      </c>
      <c r="F502" s="28" t="s">
        <v>167</v>
      </c>
      <c r="G502" s="28" t="n">
        <v>2025</v>
      </c>
      <c r="H502" s="28" t="s">
        <v>235</v>
      </c>
      <c r="I502" s="28" t="n">
        <v>1</v>
      </c>
      <c r="J502" s="28" t="s">
        <v>233</v>
      </c>
      <c r="K502" s="28" t="s">
        <v>234</v>
      </c>
      <c r="L502" s="28" t="n">
        <v>0.25</v>
      </c>
      <c r="M502" s="31" t="n">
        <v>19511.72</v>
      </c>
      <c r="N502" s="31" t="n">
        <v>19486.85</v>
      </c>
      <c r="O502" s="31" t="n">
        <v>19561.46</v>
      </c>
      <c r="P502" s="44" t="n">
        <f aca="false">ABS(M502-N502)</f>
        <v>24.8700000000026</v>
      </c>
      <c r="Q502" s="44" t="n">
        <f aca="false">IF(O502="","",ABS(O502-M502))</f>
        <v>49.739999999998</v>
      </c>
      <c r="R502" s="30" t="n">
        <f aca="false">P502*L502*Summary!$C$6</f>
        <v>124.350000000013</v>
      </c>
      <c r="S502" s="31" t="n">
        <v>19486.83</v>
      </c>
      <c r="T502" s="28" t="s">
        <v>241</v>
      </c>
      <c r="U502" s="44" t="n">
        <f aca="false">IF(J502="BUY",S502-M502,M502-S502)</f>
        <v>-24.8899999999994</v>
      </c>
      <c r="V502" s="45" t="n">
        <v>0</v>
      </c>
      <c r="W502" s="45" t="n">
        <v>0</v>
      </c>
      <c r="X502" s="45" t="n">
        <v>-124.45</v>
      </c>
      <c r="Y502" s="32" t="n">
        <f aca="false">IFERROR(X502/R502,0)</f>
        <v>-1.00080418174497</v>
      </c>
      <c r="Z502" s="28" t="str">
        <f aca="false">IF(X502&gt;0,"Win",IF(X502&lt;0,"Loss","Flat"))</f>
        <v>Loss</v>
      </c>
      <c r="AA502" s="28" t="n">
        <f aca="false">ROUND((C502-B502)*1440,1)</f>
        <v>1.5</v>
      </c>
      <c r="AB502" s="28" t="str">
        <f aca="false">IF(AA502&lt;1,"a) &lt;1 min",IF(AA502&lt;10,"b) 1-10 min",IF(AA502&lt;60,"c) 10-60 min",IF(AA502&lt;240,"d) 1-4 h","e) 4 h+"))))</f>
        <v>b) 1-10 min</v>
      </c>
      <c r="AC502" s="28" t="str">
        <f aca="false">IF(P502&lt;10,"a) &lt;10",IF(P502&lt;20,"b) 10-20",IF(P502&lt;40,"c) 20-40",IF(P502&lt;80,"d) 40-80","e) 80+"))))</f>
        <v>c) 20-40</v>
      </c>
      <c r="AD502" s="30" t="n">
        <f aca="false">Summary!$C$5+SUM(X$2:X502)</f>
        <v>108657.81</v>
      </c>
      <c r="AE502" s="30" t="n">
        <f aca="false">MAX(AE501,AD502)</f>
        <v>108862.36</v>
      </c>
      <c r="AF502" s="30" t="n">
        <f aca="false">AE502-AD502</f>
        <v>204.550000000003</v>
      </c>
      <c r="AG502" s="29" t="n">
        <f aca="false">IFERROR(AF502/AE502,0)</f>
        <v>0.00187897818860443</v>
      </c>
    </row>
    <row r="503" customFormat="false" ht="15" hidden="false" customHeight="false" outlineLevel="0" collapsed="false">
      <c r="A503" s="28" t="n">
        <v>502</v>
      </c>
      <c r="B503" s="43" t="n">
        <v>45750.0680555556</v>
      </c>
      <c r="C503" s="43" t="n">
        <v>45751.5560300926</v>
      </c>
      <c r="D503" s="42" t="n">
        <f aca="false">INT(C503)</f>
        <v>45751</v>
      </c>
      <c r="E503" s="42" t="n">
        <f aca="false">D503-WEEKDAY(D503,3)</f>
        <v>45747</v>
      </c>
      <c r="F503" s="28" t="s">
        <v>167</v>
      </c>
      <c r="G503" s="28" t="n">
        <v>2025</v>
      </c>
      <c r="H503" s="28" t="s">
        <v>239</v>
      </c>
      <c r="I503" s="28" t="n">
        <v>1</v>
      </c>
      <c r="J503" s="28" t="s">
        <v>236</v>
      </c>
      <c r="K503" s="28" t="s">
        <v>237</v>
      </c>
      <c r="L503" s="28" t="n">
        <v>0.08</v>
      </c>
      <c r="M503" s="31" t="n">
        <v>18772.93</v>
      </c>
      <c r="N503" s="31" t="n">
        <v>19080.79</v>
      </c>
      <c r="O503" s="31" t="n">
        <v>18157.21</v>
      </c>
      <c r="P503" s="44" t="n">
        <f aca="false">ABS(M503-N503)</f>
        <v>307.860000000001</v>
      </c>
      <c r="Q503" s="44" t="n">
        <f aca="false">IF(O503="","",ABS(O503-M503))</f>
        <v>615.720000000001</v>
      </c>
      <c r="R503" s="30" t="n">
        <f aca="false">P503*L503*Summary!$C$6</f>
        <v>492.576000000001</v>
      </c>
      <c r="S503" s="31" t="n">
        <v>18155.91</v>
      </c>
      <c r="T503" s="28" t="s">
        <v>214</v>
      </c>
      <c r="U503" s="44" t="n">
        <f aca="false">IF(J503="BUY",S503-M503,M503-S503)</f>
        <v>617.02</v>
      </c>
      <c r="V503" s="45" t="n">
        <v>0</v>
      </c>
      <c r="W503" s="45" t="n">
        <v>-1.1</v>
      </c>
      <c r="X503" s="45" t="n">
        <v>986.13</v>
      </c>
      <c r="Y503" s="32" t="n">
        <f aca="false">IFERROR(X503/R503,0)</f>
        <v>2.00198548041317</v>
      </c>
      <c r="Z503" s="28" t="str">
        <f aca="false">IF(X503&gt;0,"Win",IF(X503&lt;0,"Loss","Flat"))</f>
        <v>Win</v>
      </c>
      <c r="AA503" s="28" t="n">
        <f aca="false">ROUND((C503-B503)*1440,1)</f>
        <v>2142.7</v>
      </c>
      <c r="AB503" s="28" t="str">
        <f aca="false">IF(AA503&lt;1,"a) &lt;1 min",IF(AA503&lt;10,"b) 1-10 min",IF(AA503&lt;60,"c) 10-60 min",IF(AA503&lt;240,"d) 1-4 h","e) 4 h+"))))</f>
        <v>e) 4 h+</v>
      </c>
      <c r="AC503" s="28" t="str">
        <f aca="false">IF(P503&lt;10,"a) &lt;10",IF(P503&lt;20,"b) 10-20",IF(P503&lt;40,"c) 20-40",IF(P503&lt;80,"d) 40-80","e) 80+"))))</f>
        <v>e) 80+</v>
      </c>
      <c r="AD503" s="30" t="n">
        <f aca="false">Summary!$C$5+SUM(X$2:X503)</f>
        <v>109643.94</v>
      </c>
      <c r="AE503" s="30" t="n">
        <f aca="false">MAX(AE502,AD503)</f>
        <v>109643.94</v>
      </c>
      <c r="AF503" s="30" t="n">
        <f aca="false">AE503-AD503</f>
        <v>0</v>
      </c>
      <c r="AG503" s="29" t="n">
        <f aca="false">IFERROR(AF503/AE503,0)</f>
        <v>0</v>
      </c>
    </row>
    <row r="504" customFormat="false" ht="15" hidden="false" customHeight="false" outlineLevel="0" collapsed="false">
      <c r="A504" s="28" t="n">
        <v>503</v>
      </c>
      <c r="B504" s="43" t="n">
        <v>45754.0486111111</v>
      </c>
      <c r="C504" s="43" t="n">
        <v>45754.1104976852</v>
      </c>
      <c r="D504" s="42" t="n">
        <f aca="false">INT(C504)</f>
        <v>45754</v>
      </c>
      <c r="E504" s="42" t="n">
        <f aca="false">D504-WEEKDAY(D504,3)</f>
        <v>45754</v>
      </c>
      <c r="F504" s="28" t="s">
        <v>167</v>
      </c>
      <c r="G504" s="28" t="n">
        <v>2025</v>
      </c>
      <c r="H504" s="28" t="s">
        <v>240</v>
      </c>
      <c r="I504" s="28" t="n">
        <v>1</v>
      </c>
      <c r="J504" s="28" t="s">
        <v>236</v>
      </c>
      <c r="K504" s="28" t="s">
        <v>237</v>
      </c>
      <c r="L504" s="28" t="n">
        <v>0.12</v>
      </c>
      <c r="M504" s="31" t="n">
        <v>16596.23</v>
      </c>
      <c r="N504" s="31" t="n">
        <v>16812.17</v>
      </c>
      <c r="O504" s="31" t="n">
        <v>16164.36</v>
      </c>
      <c r="P504" s="44" t="n">
        <f aca="false">ABS(M504-N504)</f>
        <v>215.939999999999</v>
      </c>
      <c r="Q504" s="44" t="n">
        <f aca="false">IF(O504="","",ABS(O504-M504))</f>
        <v>431.869999999999</v>
      </c>
      <c r="R504" s="30" t="n">
        <f aca="false">P504*L504*Summary!$C$6</f>
        <v>518.255999999997</v>
      </c>
      <c r="S504" s="31" t="n">
        <v>16596.91</v>
      </c>
      <c r="T504" s="28" t="s">
        <v>238</v>
      </c>
      <c r="U504" s="44" t="n">
        <f aca="false">IF(J504="BUY",S504-M504,M504-S504)</f>
        <v>-0.680000000000291</v>
      </c>
      <c r="V504" s="45" t="n">
        <v>0</v>
      </c>
      <c r="W504" s="45" t="n">
        <v>0</v>
      </c>
      <c r="X504" s="45" t="n">
        <v>-1.63</v>
      </c>
      <c r="Y504" s="32" t="n">
        <f aca="false">IFERROR(X504/R504,0)</f>
        <v>-0.00314516378006238</v>
      </c>
      <c r="Z504" s="28" t="str">
        <f aca="false">IF(X504&gt;0,"Win",IF(X504&lt;0,"Loss","Flat"))</f>
        <v>Loss</v>
      </c>
      <c r="AA504" s="28" t="n">
        <f aca="false">ROUND((C504-B504)*1440,1)</f>
        <v>89.1</v>
      </c>
      <c r="AB504" s="28" t="str">
        <f aca="false">IF(AA504&lt;1,"a) &lt;1 min",IF(AA504&lt;10,"b) 1-10 min",IF(AA504&lt;60,"c) 10-60 min",IF(AA504&lt;240,"d) 1-4 h","e) 4 h+"))))</f>
        <v>d) 1-4 h</v>
      </c>
      <c r="AC504" s="28" t="str">
        <f aca="false">IF(P504&lt;10,"a) &lt;10",IF(P504&lt;20,"b) 10-20",IF(P504&lt;40,"c) 20-40",IF(P504&lt;80,"d) 40-80","e) 80+"))))</f>
        <v>e) 80+</v>
      </c>
      <c r="AD504" s="30" t="n">
        <f aca="false">Summary!$C$5+SUM(X$2:X504)</f>
        <v>109642.31</v>
      </c>
      <c r="AE504" s="30" t="n">
        <f aca="false">MAX(AE503,AD504)</f>
        <v>109643.94</v>
      </c>
      <c r="AF504" s="30" t="n">
        <f aca="false">AE504-AD504</f>
        <v>1.63000000000466</v>
      </c>
      <c r="AG504" s="29" t="n">
        <f aca="false">IFERROR(AF504/AE504,0)</f>
        <v>1.48663026885449E-005</v>
      </c>
    </row>
    <row r="505" customFormat="false" ht="15" hidden="false" customHeight="false" outlineLevel="0" collapsed="false">
      <c r="A505" s="28" t="n">
        <v>504</v>
      </c>
      <c r="B505" s="43" t="n">
        <v>45756.095150463</v>
      </c>
      <c r="C505" s="43" t="n">
        <v>45756.0969328704</v>
      </c>
      <c r="D505" s="42" t="n">
        <f aca="false">INT(C505)</f>
        <v>45756</v>
      </c>
      <c r="E505" s="42" t="n">
        <f aca="false">D505-WEEKDAY(D505,3)</f>
        <v>45754</v>
      </c>
      <c r="F505" s="28" t="s">
        <v>167</v>
      </c>
      <c r="G505" s="28" t="n">
        <v>2025</v>
      </c>
      <c r="H505" s="28" t="s">
        <v>235</v>
      </c>
      <c r="I505" s="28" t="n">
        <v>2</v>
      </c>
      <c r="J505" s="28" t="s">
        <v>236</v>
      </c>
      <c r="K505" s="28" t="s">
        <v>237</v>
      </c>
      <c r="L505" s="28" t="n">
        <v>0.29</v>
      </c>
      <c r="M505" s="31" t="n">
        <v>16825.43</v>
      </c>
      <c r="N505" s="31" t="n">
        <v>16854.62</v>
      </c>
      <c r="O505" s="31" t="n">
        <v>16767.04</v>
      </c>
      <c r="P505" s="44" t="n">
        <f aca="false">ABS(M505-N505)</f>
        <v>29.1899999999987</v>
      </c>
      <c r="Q505" s="44" t="n">
        <f aca="false">IF(O505="","",ABS(O505-M505))</f>
        <v>58.3899999999994</v>
      </c>
      <c r="R505" s="30" t="n">
        <f aca="false">P505*L505*Summary!$C$6</f>
        <v>169.301999999992</v>
      </c>
      <c r="S505" s="31" t="n">
        <v>16825.79</v>
      </c>
      <c r="T505" s="28" t="s">
        <v>238</v>
      </c>
      <c r="U505" s="44" t="n">
        <f aca="false">IF(J505="BUY",S505-M505,M505-S505)</f>
        <v>-0.360000000000582</v>
      </c>
      <c r="V505" s="45" t="n">
        <v>0</v>
      </c>
      <c r="W505" s="45" t="n">
        <v>0</v>
      </c>
      <c r="X505" s="45" t="n">
        <v>-2.09</v>
      </c>
      <c r="Y505" s="32" t="n">
        <f aca="false">IFERROR(X505/R505,0)</f>
        <v>-0.0123448039597884</v>
      </c>
      <c r="Z505" s="28" t="str">
        <f aca="false">IF(X505&gt;0,"Win",IF(X505&lt;0,"Loss","Flat"))</f>
        <v>Loss</v>
      </c>
      <c r="AA505" s="28" t="n">
        <f aca="false">ROUND((C505-B505)*1440,1)</f>
        <v>2.6</v>
      </c>
      <c r="AB505" s="28" t="str">
        <f aca="false">IF(AA505&lt;1,"a) &lt;1 min",IF(AA505&lt;10,"b) 1-10 min",IF(AA505&lt;60,"c) 10-60 min",IF(AA505&lt;240,"d) 1-4 h","e) 4 h+"))))</f>
        <v>b) 1-10 min</v>
      </c>
      <c r="AC505" s="28" t="str">
        <f aca="false">IF(P505&lt;10,"a) &lt;10",IF(P505&lt;20,"b) 10-20",IF(P505&lt;40,"c) 20-40",IF(P505&lt;80,"d) 40-80","e) 80+"))))</f>
        <v>c) 20-40</v>
      </c>
      <c r="AD505" s="30" t="n">
        <f aca="false">Summary!$C$5+SUM(X$2:X505)</f>
        <v>109640.22</v>
      </c>
      <c r="AE505" s="30" t="n">
        <f aca="false">MAX(AE504,AD505)</f>
        <v>109643.94</v>
      </c>
      <c r="AF505" s="30" t="n">
        <f aca="false">AE505-AD505</f>
        <v>3.72000000000116</v>
      </c>
      <c r="AG505" s="29" t="n">
        <f aca="false">IFERROR(AF505/AE505,0)</f>
        <v>3.39280036817462E-005</v>
      </c>
    </row>
    <row r="506" customFormat="false" ht="15" hidden="false" customHeight="false" outlineLevel="0" collapsed="false">
      <c r="A506" s="28" t="n">
        <v>505</v>
      </c>
      <c r="B506" s="43" t="n">
        <v>45756.8500115741</v>
      </c>
      <c r="C506" s="43" t="n">
        <v>45756.8945023148</v>
      </c>
      <c r="D506" s="42" t="n">
        <f aca="false">INT(C506)</f>
        <v>45756</v>
      </c>
      <c r="E506" s="42" t="n">
        <f aca="false">D506-WEEKDAY(D506,3)</f>
        <v>45754</v>
      </c>
      <c r="F506" s="28" t="s">
        <v>167</v>
      </c>
      <c r="G506" s="28" t="n">
        <v>2025</v>
      </c>
      <c r="H506" s="28" t="s">
        <v>235</v>
      </c>
      <c r="I506" s="28" t="n">
        <v>20</v>
      </c>
      <c r="J506" s="28" t="s">
        <v>233</v>
      </c>
      <c r="K506" s="28" t="s">
        <v>234</v>
      </c>
      <c r="L506" s="28" t="n">
        <v>0.07</v>
      </c>
      <c r="M506" s="31" t="n">
        <v>18218.71</v>
      </c>
      <c r="N506" s="31" t="n">
        <v>17850.15</v>
      </c>
      <c r="O506" s="31" t="n">
        <v>18955.83</v>
      </c>
      <c r="P506" s="44" t="n">
        <f aca="false">ABS(M506-N506)</f>
        <v>368.559999999998</v>
      </c>
      <c r="Q506" s="44" t="n">
        <f aca="false">IF(O506="","",ABS(O506-M506))</f>
        <v>737.120000000003</v>
      </c>
      <c r="R506" s="30" t="n">
        <f aca="false">P506*L506*Summary!$C$6</f>
        <v>515.983999999997</v>
      </c>
      <c r="S506" s="31" t="n">
        <v>18956.99</v>
      </c>
      <c r="T506" s="28" t="s">
        <v>214</v>
      </c>
      <c r="U506" s="44" t="n">
        <f aca="false">IF(J506="BUY",S506-M506,M506-S506)</f>
        <v>738.280000000003</v>
      </c>
      <c r="V506" s="45" t="n">
        <v>0</v>
      </c>
      <c r="W506" s="45" t="n">
        <v>0</v>
      </c>
      <c r="X506" s="45" t="n">
        <v>1033.59</v>
      </c>
      <c r="Y506" s="32" t="n">
        <f aca="false">IFERROR(X506/R506,0)</f>
        <v>2.00314350832585</v>
      </c>
      <c r="Z506" s="28" t="str">
        <f aca="false">IF(X506&gt;0,"Win",IF(X506&lt;0,"Loss","Flat"))</f>
        <v>Win</v>
      </c>
      <c r="AA506" s="28" t="n">
        <f aca="false">ROUND((C506-B506)*1440,1)</f>
        <v>64.1</v>
      </c>
      <c r="AB506" s="28" t="str">
        <f aca="false">IF(AA506&lt;1,"a) &lt;1 min",IF(AA506&lt;10,"b) 1-10 min",IF(AA506&lt;60,"c) 10-60 min",IF(AA506&lt;240,"d) 1-4 h","e) 4 h+"))))</f>
        <v>d) 1-4 h</v>
      </c>
      <c r="AC506" s="28" t="str">
        <f aca="false">IF(P506&lt;10,"a) &lt;10",IF(P506&lt;20,"b) 10-20",IF(P506&lt;40,"c) 20-40",IF(P506&lt;80,"d) 40-80","e) 80+"))))</f>
        <v>e) 80+</v>
      </c>
      <c r="AD506" s="30" t="n">
        <f aca="false">Summary!$C$5+SUM(X$2:X506)</f>
        <v>110673.81</v>
      </c>
      <c r="AE506" s="30" t="n">
        <f aca="false">MAX(AE505,AD506)</f>
        <v>110673.81</v>
      </c>
      <c r="AF506" s="30" t="n">
        <f aca="false">AE506-AD506</f>
        <v>0</v>
      </c>
      <c r="AG506" s="29" t="n">
        <f aca="false">IFERROR(AF506/AE506,0)</f>
        <v>0</v>
      </c>
    </row>
    <row r="507" customFormat="false" ht="15" hidden="false" customHeight="false" outlineLevel="0" collapsed="false">
      <c r="A507" s="28" t="n">
        <v>506</v>
      </c>
      <c r="B507" s="43" t="n">
        <v>45757.0840277778</v>
      </c>
      <c r="C507" s="43" t="n">
        <v>45757.0854398148</v>
      </c>
      <c r="D507" s="42" t="n">
        <f aca="false">INT(C507)</f>
        <v>45757</v>
      </c>
      <c r="E507" s="42" t="n">
        <f aca="false">D507-WEEKDAY(D507,3)</f>
        <v>45754</v>
      </c>
      <c r="F507" s="28" t="s">
        <v>167</v>
      </c>
      <c r="G507" s="28" t="n">
        <v>2025</v>
      </c>
      <c r="H507" s="28" t="s">
        <v>239</v>
      </c>
      <c r="I507" s="28" t="n">
        <v>2</v>
      </c>
      <c r="J507" s="28" t="s">
        <v>233</v>
      </c>
      <c r="K507" s="28" t="s">
        <v>234</v>
      </c>
      <c r="L507" s="28" t="n">
        <v>0.25</v>
      </c>
      <c r="M507" s="31" t="n">
        <v>19224.5</v>
      </c>
      <c r="N507" s="31" t="n">
        <v>19203.5</v>
      </c>
      <c r="O507" s="31" t="n">
        <v>19266.5</v>
      </c>
      <c r="P507" s="44" t="n">
        <f aca="false">ABS(M507-N507)</f>
        <v>21</v>
      </c>
      <c r="Q507" s="44" t="n">
        <f aca="false">IF(O507="","",ABS(O507-M507))</f>
        <v>42</v>
      </c>
      <c r="R507" s="30" t="n">
        <f aca="false">P507*L507*Summary!$C$6</f>
        <v>105</v>
      </c>
      <c r="S507" s="31" t="n">
        <v>19203.45</v>
      </c>
      <c r="T507" s="28" t="s">
        <v>241</v>
      </c>
      <c r="U507" s="44" t="n">
        <f aca="false">IF(J507="BUY",S507-M507,M507-S507)</f>
        <v>-21.0499999999993</v>
      </c>
      <c r="V507" s="45" t="n">
        <v>0</v>
      </c>
      <c r="W507" s="45" t="n">
        <v>0</v>
      </c>
      <c r="X507" s="45" t="n">
        <v>-105.25</v>
      </c>
      <c r="Y507" s="32" t="n">
        <f aca="false">IFERROR(X507/R507,0)</f>
        <v>-1.00238095238095</v>
      </c>
      <c r="Z507" s="28" t="str">
        <f aca="false">IF(X507&gt;0,"Win",IF(X507&lt;0,"Loss","Flat"))</f>
        <v>Loss</v>
      </c>
      <c r="AA507" s="28" t="n">
        <f aca="false">ROUND((C507-B507)*1440,1)</f>
        <v>2</v>
      </c>
      <c r="AB507" s="28" t="str">
        <f aca="false">IF(AA507&lt;1,"a) &lt;1 min",IF(AA507&lt;10,"b) 1-10 min",IF(AA507&lt;60,"c) 10-60 min",IF(AA507&lt;240,"d) 1-4 h","e) 4 h+"))))</f>
        <v>b) 1-10 min</v>
      </c>
      <c r="AC507" s="28" t="str">
        <f aca="false">IF(P507&lt;10,"a) &lt;10",IF(P507&lt;20,"b) 10-20",IF(P507&lt;40,"c) 20-40",IF(P507&lt;80,"d) 40-80","e) 80+"))))</f>
        <v>c) 20-40</v>
      </c>
      <c r="AD507" s="30" t="n">
        <f aca="false">Summary!$C$5+SUM(X$2:X507)</f>
        <v>110568.56</v>
      </c>
      <c r="AE507" s="30" t="n">
        <f aca="false">MAX(AE506,AD507)</f>
        <v>110673.81</v>
      </c>
      <c r="AF507" s="30" t="n">
        <f aca="false">AE507-AD507</f>
        <v>105.25</v>
      </c>
      <c r="AG507" s="29" t="n">
        <f aca="false">IFERROR(AF507/AE507,0)</f>
        <v>0.000950992831998826</v>
      </c>
    </row>
    <row r="508" customFormat="false" ht="15" hidden="false" customHeight="false" outlineLevel="0" collapsed="false">
      <c r="A508" s="28" t="n">
        <v>507</v>
      </c>
      <c r="B508" s="43" t="n">
        <v>45761.0458333333</v>
      </c>
      <c r="C508" s="43" t="n">
        <v>45761.0542939815</v>
      </c>
      <c r="D508" s="42" t="n">
        <f aca="false">INT(C508)</f>
        <v>45761</v>
      </c>
      <c r="E508" s="42" t="n">
        <f aca="false">D508-WEEKDAY(D508,3)</f>
        <v>45761</v>
      </c>
      <c r="F508" s="28" t="s">
        <v>167</v>
      </c>
      <c r="G508" s="28" t="n">
        <v>2025</v>
      </c>
      <c r="H508" s="28" t="s">
        <v>240</v>
      </c>
      <c r="I508" s="28" t="n">
        <v>1</v>
      </c>
      <c r="J508" s="28" t="s">
        <v>233</v>
      </c>
      <c r="K508" s="28" t="s">
        <v>234</v>
      </c>
      <c r="L508" s="28" t="n">
        <v>0.26</v>
      </c>
      <c r="M508" s="31" t="n">
        <v>18905.01</v>
      </c>
      <c r="N508" s="31" t="n">
        <v>18836.27</v>
      </c>
      <c r="O508" s="31" t="n">
        <v>19042.49</v>
      </c>
      <c r="P508" s="44" t="n">
        <f aca="false">ABS(M508-N508)</f>
        <v>68.739999999998</v>
      </c>
      <c r="Q508" s="44" t="n">
        <f aca="false">IF(O508="","",ABS(O508-M508))</f>
        <v>137.480000000003</v>
      </c>
      <c r="R508" s="30" t="n">
        <f aca="false">P508*L508*Summary!$C$6</f>
        <v>357.447999999989</v>
      </c>
      <c r="S508" s="31" t="n">
        <v>18835.04</v>
      </c>
      <c r="T508" s="28" t="s">
        <v>241</v>
      </c>
      <c r="U508" s="44" t="n">
        <f aca="false">IF(J508="BUY",S508-M508,M508-S508)</f>
        <v>-69.9699999999975</v>
      </c>
      <c r="V508" s="45" t="n">
        <v>0</v>
      </c>
      <c r="W508" s="45" t="n">
        <v>0</v>
      </c>
      <c r="X508" s="45" t="n">
        <v>-363.84</v>
      </c>
      <c r="Y508" s="32" t="n">
        <f aca="false">IFERROR(X508/R508,0)</f>
        <v>-1.01788232134467</v>
      </c>
      <c r="Z508" s="28" t="str">
        <f aca="false">IF(X508&gt;0,"Win",IF(X508&lt;0,"Loss","Flat"))</f>
        <v>Loss</v>
      </c>
      <c r="AA508" s="28" t="n">
        <f aca="false">ROUND((C508-B508)*1440,1)</f>
        <v>12.2</v>
      </c>
      <c r="AB508" s="28" t="str">
        <f aca="false">IF(AA508&lt;1,"a) &lt;1 min",IF(AA508&lt;10,"b) 1-10 min",IF(AA508&lt;60,"c) 10-60 min",IF(AA508&lt;240,"d) 1-4 h","e) 4 h+"))))</f>
        <v>c) 10-60 min</v>
      </c>
      <c r="AC508" s="28" t="str">
        <f aca="false">IF(P508&lt;10,"a) &lt;10",IF(P508&lt;20,"b) 10-20",IF(P508&lt;40,"c) 20-40",IF(P508&lt;80,"d) 40-80","e) 80+"))))</f>
        <v>d) 40-80</v>
      </c>
      <c r="AD508" s="30" t="n">
        <f aca="false">Summary!$C$5+SUM(X$2:X508)</f>
        <v>110204.72</v>
      </c>
      <c r="AE508" s="30" t="n">
        <f aca="false">MAX(AE507,AD508)</f>
        <v>110673.81</v>
      </c>
      <c r="AF508" s="30" t="n">
        <f aca="false">AE508-AD508</f>
        <v>469.089999999997</v>
      </c>
      <c r="AG508" s="29" t="n">
        <f aca="false">IFERROR(AF508/AE508,0)</f>
        <v>0.00423849147327626</v>
      </c>
    </row>
    <row r="509" customFormat="false" ht="15" hidden="false" customHeight="false" outlineLevel="0" collapsed="false">
      <c r="A509" s="28" t="n">
        <v>508</v>
      </c>
      <c r="B509" s="43" t="n">
        <v>45763.0465277778</v>
      </c>
      <c r="C509" s="43" t="n">
        <v>45763.3362152778</v>
      </c>
      <c r="D509" s="42" t="n">
        <f aca="false">INT(C509)</f>
        <v>45763</v>
      </c>
      <c r="E509" s="42" t="n">
        <f aca="false">D509-WEEKDAY(D509,3)</f>
        <v>45761</v>
      </c>
      <c r="F509" s="28" t="s">
        <v>167</v>
      </c>
      <c r="G509" s="28" t="n">
        <v>2025</v>
      </c>
      <c r="H509" s="28" t="s">
        <v>235</v>
      </c>
      <c r="I509" s="28" t="n">
        <v>1</v>
      </c>
      <c r="J509" s="28" t="s">
        <v>236</v>
      </c>
      <c r="K509" s="28" t="s">
        <v>237</v>
      </c>
      <c r="L509" s="28" t="n">
        <v>0.26</v>
      </c>
      <c r="M509" s="31" t="n">
        <v>18602.36</v>
      </c>
      <c r="N509" s="31" t="n">
        <v>18658.4</v>
      </c>
      <c r="O509" s="31" t="n">
        <v>18490.28</v>
      </c>
      <c r="P509" s="44" t="n">
        <f aca="false">ABS(M509-N509)</f>
        <v>56.0400000000009</v>
      </c>
      <c r="Q509" s="44" t="n">
        <f aca="false">IF(O509="","",ABS(O509-M509))</f>
        <v>112.080000000002</v>
      </c>
      <c r="R509" s="30" t="n">
        <f aca="false">P509*L509*Summary!$C$6</f>
        <v>291.408000000005</v>
      </c>
      <c r="S509" s="31" t="n">
        <v>18489.88</v>
      </c>
      <c r="T509" s="28" t="s">
        <v>214</v>
      </c>
      <c r="U509" s="44" t="n">
        <f aca="false">IF(J509="BUY",S509-M509,M509-S509)</f>
        <v>112.48</v>
      </c>
      <c r="V509" s="45" t="n">
        <v>0</v>
      </c>
      <c r="W509" s="45" t="n">
        <v>0</v>
      </c>
      <c r="X509" s="45" t="n">
        <v>584.9</v>
      </c>
      <c r="Y509" s="32" t="n">
        <f aca="false">IFERROR(X509/R509,0)</f>
        <v>2.00715148520285</v>
      </c>
      <c r="Z509" s="28" t="str">
        <f aca="false">IF(X509&gt;0,"Win",IF(X509&lt;0,"Loss","Flat"))</f>
        <v>Win</v>
      </c>
      <c r="AA509" s="28" t="n">
        <f aca="false">ROUND((C509-B509)*1440,1)</f>
        <v>417.2</v>
      </c>
      <c r="AB509" s="28" t="str">
        <f aca="false">IF(AA509&lt;1,"a) &lt;1 min",IF(AA509&lt;10,"b) 1-10 min",IF(AA509&lt;60,"c) 10-60 min",IF(AA509&lt;240,"d) 1-4 h","e) 4 h+"))))</f>
        <v>e) 4 h+</v>
      </c>
      <c r="AC509" s="28" t="str">
        <f aca="false">IF(P509&lt;10,"a) &lt;10",IF(P509&lt;20,"b) 10-20",IF(P509&lt;40,"c) 20-40",IF(P509&lt;80,"d) 40-80","e) 80+"))))</f>
        <v>d) 40-80</v>
      </c>
      <c r="AD509" s="30" t="n">
        <f aca="false">Summary!$C$5+SUM(X$2:X509)</f>
        <v>110789.62</v>
      </c>
      <c r="AE509" s="30" t="n">
        <f aca="false">MAX(AE508,AD509)</f>
        <v>110789.62</v>
      </c>
      <c r="AF509" s="30" t="n">
        <f aca="false">AE509-AD509</f>
        <v>0</v>
      </c>
      <c r="AG509" s="29" t="n">
        <f aca="false">IFERROR(AF509/AE509,0)</f>
        <v>0</v>
      </c>
    </row>
    <row r="510" customFormat="false" ht="15" hidden="false" customHeight="false" outlineLevel="0" collapsed="false">
      <c r="A510" s="28" t="n">
        <v>509</v>
      </c>
      <c r="B510" s="43" t="n">
        <v>45768.0472222222</v>
      </c>
      <c r="C510" s="43" t="n">
        <v>45768.0865509259</v>
      </c>
      <c r="D510" s="42" t="n">
        <f aca="false">INT(C510)</f>
        <v>45768</v>
      </c>
      <c r="E510" s="42" t="n">
        <f aca="false">D510-WEEKDAY(D510,3)</f>
        <v>45768</v>
      </c>
      <c r="F510" s="28" t="s">
        <v>167</v>
      </c>
      <c r="G510" s="28" t="n">
        <v>2025</v>
      </c>
      <c r="H510" s="28" t="s">
        <v>240</v>
      </c>
      <c r="I510" s="28" t="n">
        <v>1</v>
      </c>
      <c r="J510" s="28" t="s">
        <v>236</v>
      </c>
      <c r="K510" s="28" t="s">
        <v>237</v>
      </c>
      <c r="L510" s="28" t="n">
        <v>0.27</v>
      </c>
      <c r="M510" s="31" t="n">
        <v>18139</v>
      </c>
      <c r="N510" s="31" t="n">
        <v>18195.28</v>
      </c>
      <c r="O510" s="31" t="n">
        <v>18026.44</v>
      </c>
      <c r="P510" s="44" t="n">
        <f aca="false">ABS(M510-N510)</f>
        <v>56.2799999999988</v>
      </c>
      <c r="Q510" s="44" t="n">
        <f aca="false">IF(O510="","",ABS(O510-M510))</f>
        <v>112.560000000001</v>
      </c>
      <c r="R510" s="30" t="n">
        <f aca="false">P510*L510*Summary!$C$6</f>
        <v>303.911999999994</v>
      </c>
      <c r="S510" s="31" t="n">
        <v>18196.22</v>
      </c>
      <c r="T510" s="28" t="s">
        <v>241</v>
      </c>
      <c r="U510" s="44" t="n">
        <f aca="false">IF(J510="BUY",S510-M510,M510-S510)</f>
        <v>-57.2200000000012</v>
      </c>
      <c r="V510" s="45" t="n">
        <v>0</v>
      </c>
      <c r="W510" s="45" t="n">
        <v>0</v>
      </c>
      <c r="X510" s="45" t="n">
        <v>-308.99</v>
      </c>
      <c r="Y510" s="32" t="n">
        <f aca="false">IFERROR(X510/R510,0)</f>
        <v>-1.01670878412174</v>
      </c>
      <c r="Z510" s="28" t="str">
        <f aca="false">IF(X510&gt;0,"Win",IF(X510&lt;0,"Loss","Flat"))</f>
        <v>Loss</v>
      </c>
      <c r="AA510" s="28" t="n">
        <f aca="false">ROUND((C510-B510)*1440,1)</f>
        <v>56.6</v>
      </c>
      <c r="AB510" s="28" t="str">
        <f aca="false">IF(AA510&lt;1,"a) &lt;1 min",IF(AA510&lt;10,"b) 1-10 min",IF(AA510&lt;60,"c) 10-60 min",IF(AA510&lt;240,"d) 1-4 h","e) 4 h+"))))</f>
        <v>c) 10-60 min</v>
      </c>
      <c r="AC510" s="28" t="str">
        <f aca="false">IF(P510&lt;10,"a) &lt;10",IF(P510&lt;20,"b) 10-20",IF(P510&lt;40,"c) 20-40",IF(P510&lt;80,"d) 40-80","e) 80+"))))</f>
        <v>d) 40-80</v>
      </c>
      <c r="AD510" s="30" t="n">
        <f aca="false">Summary!$C$5+SUM(X$2:X510)</f>
        <v>110480.63</v>
      </c>
      <c r="AE510" s="30" t="n">
        <f aca="false">MAX(AE509,AD510)</f>
        <v>110789.62</v>
      </c>
      <c r="AF510" s="30" t="n">
        <f aca="false">AE510-AD510</f>
        <v>308.989999999991</v>
      </c>
      <c r="AG510" s="29" t="n">
        <f aca="false">IFERROR(AF510/AE510,0)</f>
        <v>0.00278897968961344</v>
      </c>
    </row>
    <row r="511" customFormat="false" ht="15" hidden="false" customHeight="false" outlineLevel="0" collapsed="false">
      <c r="A511" s="28" t="n">
        <v>510</v>
      </c>
      <c r="B511" s="43" t="n">
        <v>45769.7541666667</v>
      </c>
      <c r="C511" s="43" t="n">
        <v>45769.7711342593</v>
      </c>
      <c r="D511" s="42" t="n">
        <f aca="false">INT(C511)</f>
        <v>45769</v>
      </c>
      <c r="E511" s="42" t="n">
        <f aca="false">D511-WEEKDAY(D511,3)</f>
        <v>45768</v>
      </c>
      <c r="F511" s="28" t="s">
        <v>167</v>
      </c>
      <c r="G511" s="28" t="n">
        <v>2025</v>
      </c>
      <c r="H511" s="28" t="s">
        <v>232</v>
      </c>
      <c r="I511" s="28" t="n">
        <v>18</v>
      </c>
      <c r="J511" s="28" t="s">
        <v>233</v>
      </c>
      <c r="K511" s="28" t="s">
        <v>234</v>
      </c>
      <c r="L511" s="28" t="n">
        <v>0.27</v>
      </c>
      <c r="M511" s="31" t="n">
        <v>18253.3</v>
      </c>
      <c r="N511" s="31" t="n">
        <v>18225.81</v>
      </c>
      <c r="O511" s="31" t="n">
        <v>18304.71</v>
      </c>
      <c r="P511" s="44" t="n">
        <f aca="false">ABS(M511-N511)</f>
        <v>27.489999999998</v>
      </c>
      <c r="Q511" s="44" t="n">
        <f aca="false">IF(O511="","",ABS(O511-M511))</f>
        <v>51.4099999999999</v>
      </c>
      <c r="R511" s="30" t="n">
        <f aca="false">P511*L511*Summary!$C$6</f>
        <v>148.445999999989</v>
      </c>
      <c r="S511" s="31" t="n">
        <v>18225.74</v>
      </c>
      <c r="T511" s="28" t="s">
        <v>241</v>
      </c>
      <c r="U511" s="44" t="n">
        <f aca="false">IF(J511="BUY",S511-M511,M511-S511)</f>
        <v>-27.5599999999977</v>
      </c>
      <c r="V511" s="45" t="n">
        <v>0</v>
      </c>
      <c r="W511" s="45" t="n">
        <v>0</v>
      </c>
      <c r="X511" s="45" t="n">
        <v>-148.82</v>
      </c>
      <c r="Y511" s="32" t="n">
        <f aca="false">IFERROR(X511/R511,0)</f>
        <v>-1.00251943467666</v>
      </c>
      <c r="Z511" s="28" t="str">
        <f aca="false">IF(X511&gt;0,"Win",IF(X511&lt;0,"Loss","Flat"))</f>
        <v>Loss</v>
      </c>
      <c r="AA511" s="28" t="n">
        <f aca="false">ROUND((C511-B511)*1440,1)</f>
        <v>24.4</v>
      </c>
      <c r="AB511" s="28" t="str">
        <f aca="false">IF(AA511&lt;1,"a) &lt;1 min",IF(AA511&lt;10,"b) 1-10 min",IF(AA511&lt;60,"c) 10-60 min",IF(AA511&lt;240,"d) 1-4 h","e) 4 h+"))))</f>
        <v>c) 10-60 min</v>
      </c>
      <c r="AC511" s="28" t="str">
        <f aca="false">IF(P511&lt;10,"a) &lt;10",IF(P511&lt;20,"b) 10-20",IF(P511&lt;40,"c) 20-40",IF(P511&lt;80,"d) 40-80","e) 80+"))))</f>
        <v>c) 20-40</v>
      </c>
      <c r="AD511" s="30" t="n">
        <f aca="false">Summary!$C$5+SUM(X$2:X511)</f>
        <v>110331.81</v>
      </c>
      <c r="AE511" s="30" t="n">
        <f aca="false">MAX(AE510,AD511)</f>
        <v>110789.62</v>
      </c>
      <c r="AF511" s="30" t="n">
        <f aca="false">AE511-AD511</f>
        <v>457.809999999998</v>
      </c>
      <c r="AG511" s="29" t="n">
        <f aca="false">IFERROR(AF511/AE511,0)</f>
        <v>0.00413224632415923</v>
      </c>
    </row>
    <row r="512" customFormat="false" ht="15" hidden="false" customHeight="false" outlineLevel="0" collapsed="false">
      <c r="A512" s="28" t="n">
        <v>511</v>
      </c>
      <c r="B512" s="43" t="n">
        <v>45770.0458333333</v>
      </c>
      <c r="C512" s="43" t="n">
        <v>45770.5741087963</v>
      </c>
      <c r="D512" s="42" t="n">
        <f aca="false">INT(C512)</f>
        <v>45770</v>
      </c>
      <c r="E512" s="42" t="n">
        <f aca="false">D512-WEEKDAY(D512,3)</f>
        <v>45768</v>
      </c>
      <c r="F512" s="28" t="s">
        <v>167</v>
      </c>
      <c r="G512" s="28" t="n">
        <v>2025</v>
      </c>
      <c r="H512" s="28" t="s">
        <v>235</v>
      </c>
      <c r="I512" s="28" t="n">
        <v>1</v>
      </c>
      <c r="J512" s="28" t="s">
        <v>233</v>
      </c>
      <c r="K512" s="28" t="s">
        <v>234</v>
      </c>
      <c r="L512" s="28" t="n">
        <v>0.26</v>
      </c>
      <c r="M512" s="31" t="n">
        <v>18601.31</v>
      </c>
      <c r="N512" s="31" t="n">
        <v>18504.28</v>
      </c>
      <c r="O512" s="31" t="n">
        <v>18795.37</v>
      </c>
      <c r="P512" s="44" t="n">
        <f aca="false">ABS(M512-N512)</f>
        <v>97.0300000000025</v>
      </c>
      <c r="Q512" s="44" t="n">
        <f aca="false">IF(O512="","",ABS(O512-M512))</f>
        <v>194.059999999998</v>
      </c>
      <c r="R512" s="30" t="n">
        <f aca="false">P512*L512*Summary!$C$6</f>
        <v>504.556000000013</v>
      </c>
      <c r="S512" s="31" t="n">
        <v>18797.57</v>
      </c>
      <c r="T512" s="28" t="s">
        <v>214</v>
      </c>
      <c r="U512" s="44" t="n">
        <f aca="false">IF(J512="BUY",S512-M512,M512-S512)</f>
        <v>196.259999999998</v>
      </c>
      <c r="V512" s="45" t="n">
        <v>0</v>
      </c>
      <c r="W512" s="45" t="n">
        <v>0</v>
      </c>
      <c r="X512" s="45" t="n">
        <v>1020.55</v>
      </c>
      <c r="Y512" s="32" t="n">
        <f aca="false">IFERROR(X512/R512,0)</f>
        <v>2.02266943609822</v>
      </c>
      <c r="Z512" s="28" t="str">
        <f aca="false">IF(X512&gt;0,"Win",IF(X512&lt;0,"Loss","Flat"))</f>
        <v>Win</v>
      </c>
      <c r="AA512" s="28" t="n">
        <f aca="false">ROUND((C512-B512)*1440,1)</f>
        <v>760.7</v>
      </c>
      <c r="AB512" s="28" t="str">
        <f aca="false">IF(AA512&lt;1,"a) &lt;1 min",IF(AA512&lt;10,"b) 1-10 min",IF(AA512&lt;60,"c) 10-60 min",IF(AA512&lt;240,"d) 1-4 h","e) 4 h+"))))</f>
        <v>e) 4 h+</v>
      </c>
      <c r="AC512" s="28" t="str">
        <f aca="false">IF(P512&lt;10,"a) &lt;10",IF(P512&lt;20,"b) 10-20",IF(P512&lt;40,"c) 20-40",IF(P512&lt;80,"d) 40-80","e) 80+"))))</f>
        <v>e) 80+</v>
      </c>
      <c r="AD512" s="30" t="n">
        <f aca="false">Summary!$C$5+SUM(X$2:X512)</f>
        <v>111352.36</v>
      </c>
      <c r="AE512" s="30" t="n">
        <f aca="false">MAX(AE511,AD512)</f>
        <v>111352.36</v>
      </c>
      <c r="AF512" s="30" t="n">
        <f aca="false">AE512-AD512</f>
        <v>0</v>
      </c>
      <c r="AG512" s="29" t="n">
        <f aca="false">IFERROR(AF512/AE512,0)</f>
        <v>0</v>
      </c>
    </row>
    <row r="513" customFormat="false" ht="15" hidden="false" customHeight="false" outlineLevel="0" collapsed="false">
      <c r="A513" s="28" t="n">
        <v>512</v>
      </c>
      <c r="B513" s="43" t="n">
        <v>45771.4840277778</v>
      </c>
      <c r="C513" s="43" t="n">
        <v>45771.4969675926</v>
      </c>
      <c r="D513" s="42" t="n">
        <f aca="false">INT(C513)</f>
        <v>45771</v>
      </c>
      <c r="E513" s="42" t="n">
        <f aca="false">D513-WEEKDAY(D513,3)</f>
        <v>45768</v>
      </c>
      <c r="F513" s="28" t="s">
        <v>167</v>
      </c>
      <c r="G513" s="28" t="n">
        <v>2025</v>
      </c>
      <c r="H513" s="28" t="s">
        <v>239</v>
      </c>
      <c r="I513" s="28" t="n">
        <v>11</v>
      </c>
      <c r="J513" s="28" t="s">
        <v>236</v>
      </c>
      <c r="K513" s="28" t="s">
        <v>237</v>
      </c>
      <c r="L513" s="28" t="n">
        <v>0.27</v>
      </c>
      <c r="M513" s="31" t="n">
        <v>18509.62</v>
      </c>
      <c r="N513" s="31" t="n">
        <v>18527.21</v>
      </c>
      <c r="O513" s="31" t="n">
        <v>18474.43</v>
      </c>
      <c r="P513" s="44" t="n">
        <f aca="false">ABS(M513-N513)</f>
        <v>17.5900000000001</v>
      </c>
      <c r="Q513" s="44" t="n">
        <f aca="false">IF(O513="","",ABS(O513-M513))</f>
        <v>35.1899999999987</v>
      </c>
      <c r="R513" s="30" t="n">
        <f aca="false">P513*L513*Summary!$C$6</f>
        <v>94.9860000000008</v>
      </c>
      <c r="S513" s="31" t="n">
        <v>18509.78</v>
      </c>
      <c r="T513" s="28" t="s">
        <v>238</v>
      </c>
      <c r="U513" s="44" t="n">
        <f aca="false">IF(J513="BUY",S513-M513,M513-S513)</f>
        <v>-0.159999999999854</v>
      </c>
      <c r="V513" s="45" t="n">
        <v>0</v>
      </c>
      <c r="W513" s="45" t="n">
        <v>0</v>
      </c>
      <c r="X513" s="45" t="n">
        <v>-0.86</v>
      </c>
      <c r="Y513" s="32" t="n">
        <f aca="false">IFERROR(X513/R513,0)</f>
        <v>-0.00905396584759852</v>
      </c>
      <c r="Z513" s="28" t="str">
        <f aca="false">IF(X513&gt;0,"Win",IF(X513&lt;0,"Loss","Flat"))</f>
        <v>Loss</v>
      </c>
      <c r="AA513" s="28" t="n">
        <f aca="false">ROUND((C513-B513)*1440,1)</f>
        <v>18.6</v>
      </c>
      <c r="AB513" s="28" t="str">
        <f aca="false">IF(AA513&lt;1,"a) &lt;1 min",IF(AA513&lt;10,"b) 1-10 min",IF(AA513&lt;60,"c) 10-60 min",IF(AA513&lt;240,"d) 1-4 h","e) 4 h+"))))</f>
        <v>c) 10-60 min</v>
      </c>
      <c r="AC513" s="28" t="str">
        <f aca="false">IF(P513&lt;10,"a) &lt;10",IF(P513&lt;20,"b) 10-20",IF(P513&lt;40,"c) 20-40",IF(P513&lt;80,"d) 40-80","e) 80+"))))</f>
        <v>b) 10-20</v>
      </c>
      <c r="AD513" s="30" t="n">
        <f aca="false">Summary!$C$5+SUM(X$2:X513)</f>
        <v>111351.5</v>
      </c>
      <c r="AE513" s="30" t="n">
        <f aca="false">MAX(AE512,AD513)</f>
        <v>111352.36</v>
      </c>
      <c r="AF513" s="30" t="n">
        <f aca="false">AE513-AD513</f>
        <v>0.860000000000582</v>
      </c>
      <c r="AG513" s="29" t="n">
        <f aca="false">IFERROR(AF513/AE513,0)</f>
        <v>7.72323101190296E-006</v>
      </c>
    </row>
    <row r="514" customFormat="false" ht="15" hidden="false" customHeight="false" outlineLevel="0" collapsed="false">
      <c r="A514" s="28" t="n">
        <v>513</v>
      </c>
      <c r="B514" s="43" t="n">
        <v>45771.7347222222</v>
      </c>
      <c r="C514" s="43" t="n">
        <v>45771.7384837963</v>
      </c>
      <c r="D514" s="42" t="n">
        <f aca="false">INT(C514)</f>
        <v>45771</v>
      </c>
      <c r="E514" s="42" t="n">
        <f aca="false">D514-WEEKDAY(D514,3)</f>
        <v>45768</v>
      </c>
      <c r="F514" s="28" t="s">
        <v>167</v>
      </c>
      <c r="G514" s="28" t="n">
        <v>2025</v>
      </c>
      <c r="H514" s="28" t="s">
        <v>239</v>
      </c>
      <c r="I514" s="28" t="n">
        <v>17</v>
      </c>
      <c r="J514" s="28" t="s">
        <v>233</v>
      </c>
      <c r="K514" s="28" t="s">
        <v>234</v>
      </c>
      <c r="L514" s="28" t="n">
        <v>0.26</v>
      </c>
      <c r="M514" s="31" t="n">
        <v>19060.4</v>
      </c>
      <c r="N514" s="31" t="n">
        <v>19030.69</v>
      </c>
      <c r="O514" s="31" t="n">
        <v>19119.82</v>
      </c>
      <c r="P514" s="44" t="n">
        <f aca="false">ABS(M514-N514)</f>
        <v>29.7100000000028</v>
      </c>
      <c r="Q514" s="44" t="n">
        <f aca="false">IF(O514="","",ABS(O514-M514))</f>
        <v>59.4199999999983</v>
      </c>
      <c r="R514" s="30" t="n">
        <f aca="false">P514*L514*Summary!$C$6</f>
        <v>154.492000000014</v>
      </c>
      <c r="S514" s="31" t="n">
        <v>19030.63</v>
      </c>
      <c r="T514" s="28" t="s">
        <v>241</v>
      </c>
      <c r="U514" s="44" t="n">
        <f aca="false">IF(J514="BUY",S514-M514,M514-S514)</f>
        <v>-29.7700000000004</v>
      </c>
      <c r="V514" s="45" t="n">
        <v>0</v>
      </c>
      <c r="W514" s="45" t="n">
        <v>0</v>
      </c>
      <c r="X514" s="45" t="n">
        <v>-154.8</v>
      </c>
      <c r="Y514" s="32" t="n">
        <f aca="false">IFERROR(X514/R514,0)</f>
        <v>-1.00199363073807</v>
      </c>
      <c r="Z514" s="28" t="str">
        <f aca="false">IF(X514&gt;0,"Win",IF(X514&lt;0,"Loss","Flat"))</f>
        <v>Loss</v>
      </c>
      <c r="AA514" s="28" t="n">
        <f aca="false">ROUND((C514-B514)*1440,1)</f>
        <v>5.4</v>
      </c>
      <c r="AB514" s="28" t="str">
        <f aca="false">IF(AA514&lt;1,"a) &lt;1 min",IF(AA514&lt;10,"b) 1-10 min",IF(AA514&lt;60,"c) 10-60 min",IF(AA514&lt;240,"d) 1-4 h","e) 4 h+"))))</f>
        <v>b) 1-10 min</v>
      </c>
      <c r="AC514" s="28" t="str">
        <f aca="false">IF(P514&lt;10,"a) &lt;10",IF(P514&lt;20,"b) 10-20",IF(P514&lt;40,"c) 20-40",IF(P514&lt;80,"d) 40-80","e) 80+"))))</f>
        <v>c) 20-40</v>
      </c>
      <c r="AD514" s="30" t="n">
        <f aca="false">Summary!$C$5+SUM(X$2:X514)</f>
        <v>111196.7</v>
      </c>
      <c r="AE514" s="30" t="n">
        <f aca="false">MAX(AE513,AD514)</f>
        <v>111352.36</v>
      </c>
      <c r="AF514" s="30" t="n">
        <f aca="false">AE514-AD514</f>
        <v>155.660000000004</v>
      </c>
      <c r="AG514" s="29" t="n">
        <f aca="false">IFERROR(AF514/AE514,0)</f>
        <v>0.00139790481315352</v>
      </c>
    </row>
    <row r="515" customFormat="false" ht="15" hidden="false" customHeight="false" outlineLevel="0" collapsed="false">
      <c r="A515" s="28" t="n">
        <v>514</v>
      </c>
      <c r="B515" s="43" t="n">
        <v>45772.0611111111</v>
      </c>
      <c r="C515" s="43" t="n">
        <v>45772.0634259259</v>
      </c>
      <c r="D515" s="42" t="n">
        <f aca="false">INT(C515)</f>
        <v>45772</v>
      </c>
      <c r="E515" s="42" t="n">
        <f aca="false">D515-WEEKDAY(D515,3)</f>
        <v>45768</v>
      </c>
      <c r="F515" s="28" t="s">
        <v>167</v>
      </c>
      <c r="G515" s="28" t="n">
        <v>2025</v>
      </c>
      <c r="H515" s="28" t="s">
        <v>242</v>
      </c>
      <c r="I515" s="28" t="n">
        <v>1</v>
      </c>
      <c r="J515" s="28" t="s">
        <v>233</v>
      </c>
      <c r="K515" s="28" t="s">
        <v>234</v>
      </c>
      <c r="L515" s="28" t="n">
        <v>0.25</v>
      </c>
      <c r="M515" s="31" t="n">
        <v>19296.1</v>
      </c>
      <c r="N515" s="31" t="n">
        <v>19284.24</v>
      </c>
      <c r="O515" s="31" t="n">
        <v>19319.81</v>
      </c>
      <c r="P515" s="44" t="n">
        <f aca="false">ABS(M515-N515)</f>
        <v>11.8599999999969</v>
      </c>
      <c r="Q515" s="44" t="n">
        <f aca="false">IF(O515="","",ABS(O515-M515))</f>
        <v>23.7100000000028</v>
      </c>
      <c r="R515" s="30" t="n">
        <f aca="false">P515*L515*Summary!$C$6</f>
        <v>59.2999999999847</v>
      </c>
      <c r="S515" s="31" t="n">
        <v>19283.55</v>
      </c>
      <c r="T515" s="28" t="s">
        <v>241</v>
      </c>
      <c r="U515" s="44" t="n">
        <f aca="false">IF(J515="BUY",S515-M515,M515-S515)</f>
        <v>-12.5499999999993</v>
      </c>
      <c r="V515" s="45" t="n">
        <v>0</v>
      </c>
      <c r="W515" s="45" t="n">
        <v>0</v>
      </c>
      <c r="X515" s="45" t="n">
        <v>-62.75</v>
      </c>
      <c r="Y515" s="32" t="n">
        <f aca="false">IFERROR(X515/R515,0)</f>
        <v>-1.0581787521082</v>
      </c>
      <c r="Z515" s="28" t="str">
        <f aca="false">IF(X515&gt;0,"Win",IF(X515&lt;0,"Loss","Flat"))</f>
        <v>Loss</v>
      </c>
      <c r="AA515" s="28" t="n">
        <f aca="false">ROUND((C515-B515)*1440,1)</f>
        <v>3.3</v>
      </c>
      <c r="AB515" s="28" t="str">
        <f aca="false">IF(AA515&lt;1,"a) &lt;1 min",IF(AA515&lt;10,"b) 1-10 min",IF(AA515&lt;60,"c) 10-60 min",IF(AA515&lt;240,"d) 1-4 h","e) 4 h+"))))</f>
        <v>b) 1-10 min</v>
      </c>
      <c r="AC515" s="28" t="str">
        <f aca="false">IF(P515&lt;10,"a) &lt;10",IF(P515&lt;20,"b) 10-20",IF(P515&lt;40,"c) 20-40",IF(P515&lt;80,"d) 40-80","e) 80+"))))</f>
        <v>b) 10-20</v>
      </c>
      <c r="AD515" s="30" t="n">
        <f aca="false">Summary!$C$5+SUM(X$2:X515)</f>
        <v>111133.95</v>
      </c>
      <c r="AE515" s="30" t="n">
        <f aca="false">MAX(AE514,AD515)</f>
        <v>111352.36</v>
      </c>
      <c r="AF515" s="30" t="n">
        <f aca="false">AE515-AD515</f>
        <v>218.410000000004</v>
      </c>
      <c r="AG515" s="29" t="n">
        <f aca="false">IFERROR(AF515/AE515,0)</f>
        <v>0.00196143126198676</v>
      </c>
    </row>
    <row r="516" customFormat="false" ht="15" hidden="false" customHeight="false" outlineLevel="0" collapsed="false">
      <c r="A516" s="28" t="n">
        <v>515</v>
      </c>
      <c r="B516" s="43" t="n">
        <v>45775.6784722222</v>
      </c>
      <c r="C516" s="43" t="n">
        <v>45775.6861226852</v>
      </c>
      <c r="D516" s="42" t="n">
        <f aca="false">INT(C516)</f>
        <v>45775</v>
      </c>
      <c r="E516" s="42" t="n">
        <f aca="false">D516-WEEKDAY(D516,3)</f>
        <v>45775</v>
      </c>
      <c r="F516" s="28" t="s">
        <v>167</v>
      </c>
      <c r="G516" s="28" t="n">
        <v>2025</v>
      </c>
      <c r="H516" s="28" t="s">
        <v>240</v>
      </c>
      <c r="I516" s="28" t="n">
        <v>16</v>
      </c>
      <c r="J516" s="28" t="s">
        <v>233</v>
      </c>
      <c r="K516" s="28" t="s">
        <v>234</v>
      </c>
      <c r="L516" s="28" t="n">
        <v>0.25</v>
      </c>
      <c r="M516" s="31" t="n">
        <v>19457.03</v>
      </c>
      <c r="N516" s="31" t="n">
        <v>19446.67</v>
      </c>
      <c r="O516" s="31" t="n">
        <v>19477.75</v>
      </c>
      <c r="P516" s="44" t="n">
        <f aca="false">ABS(M516-N516)</f>
        <v>10.3600000000006</v>
      </c>
      <c r="Q516" s="44" t="n">
        <f aca="false">IF(O516="","",ABS(O516-M516))</f>
        <v>20.7200000000012</v>
      </c>
      <c r="R516" s="30" t="n">
        <f aca="false">P516*L516*Summary!$C$6</f>
        <v>51.8000000000029</v>
      </c>
      <c r="S516" s="31" t="n">
        <v>19446.43</v>
      </c>
      <c r="T516" s="28" t="s">
        <v>241</v>
      </c>
      <c r="U516" s="44" t="n">
        <f aca="false">IF(J516="BUY",S516-M516,M516-S516)</f>
        <v>-10.5999999999985</v>
      </c>
      <c r="V516" s="45" t="n">
        <v>0</v>
      </c>
      <c r="W516" s="45" t="n">
        <v>0</v>
      </c>
      <c r="X516" s="45" t="n">
        <v>-53</v>
      </c>
      <c r="Y516" s="32" t="n">
        <f aca="false">IFERROR(X516/R516,0)</f>
        <v>-1.02316602316597</v>
      </c>
      <c r="Z516" s="28" t="str">
        <f aca="false">IF(X516&gt;0,"Win",IF(X516&lt;0,"Loss","Flat"))</f>
        <v>Loss</v>
      </c>
      <c r="AA516" s="28" t="n">
        <f aca="false">ROUND((C516-B516)*1440,1)</f>
        <v>11</v>
      </c>
      <c r="AB516" s="28" t="str">
        <f aca="false">IF(AA516&lt;1,"a) &lt;1 min",IF(AA516&lt;10,"b) 1-10 min",IF(AA516&lt;60,"c) 10-60 min",IF(AA516&lt;240,"d) 1-4 h","e) 4 h+"))))</f>
        <v>c) 10-60 min</v>
      </c>
      <c r="AC516" s="28" t="str">
        <f aca="false">IF(P516&lt;10,"a) &lt;10",IF(P516&lt;20,"b) 10-20",IF(P516&lt;40,"c) 20-40",IF(P516&lt;80,"d) 40-80","e) 80+"))))</f>
        <v>b) 10-20</v>
      </c>
      <c r="AD516" s="30" t="n">
        <f aca="false">Summary!$C$5+SUM(X$2:X516)</f>
        <v>111080.95</v>
      </c>
      <c r="AE516" s="30" t="n">
        <f aca="false">MAX(AE515,AD516)</f>
        <v>111352.36</v>
      </c>
      <c r="AF516" s="30" t="n">
        <f aca="false">AE516-AD516</f>
        <v>271.410000000004</v>
      </c>
      <c r="AG516" s="29" t="n">
        <f aca="false">IFERROR(AF516/AE516,0)</f>
        <v>0.00243739782434789</v>
      </c>
    </row>
    <row r="517" customFormat="false" ht="15" hidden="false" customHeight="false" outlineLevel="0" collapsed="false">
      <c r="A517" s="28" t="n">
        <v>516</v>
      </c>
      <c r="B517" s="43" t="n">
        <v>45776.2270833333</v>
      </c>
      <c r="C517" s="43" t="n">
        <v>45776.2275810185</v>
      </c>
      <c r="D517" s="42" t="n">
        <f aca="false">INT(C517)</f>
        <v>45776</v>
      </c>
      <c r="E517" s="42" t="n">
        <f aca="false">D517-WEEKDAY(D517,3)</f>
        <v>45775</v>
      </c>
      <c r="F517" s="28" t="s">
        <v>167</v>
      </c>
      <c r="G517" s="28" t="n">
        <v>2025</v>
      </c>
      <c r="H517" s="28" t="s">
        <v>232</v>
      </c>
      <c r="I517" s="28" t="n">
        <v>5</v>
      </c>
      <c r="J517" s="28" t="s">
        <v>233</v>
      </c>
      <c r="K517" s="28" t="s">
        <v>234</v>
      </c>
      <c r="L517" s="28" t="n">
        <v>0.25</v>
      </c>
      <c r="M517" s="31" t="n">
        <v>19524.89</v>
      </c>
      <c r="N517" s="31" t="n">
        <v>19513.74</v>
      </c>
      <c r="O517" s="31" t="n">
        <v>19547.18</v>
      </c>
      <c r="P517" s="44" t="n">
        <f aca="false">ABS(M517-N517)</f>
        <v>11.1499999999978</v>
      </c>
      <c r="Q517" s="44" t="n">
        <f aca="false">IF(O517="","",ABS(O517-M517))</f>
        <v>22.2900000000009</v>
      </c>
      <c r="R517" s="30" t="n">
        <f aca="false">P517*L517*Summary!$C$6</f>
        <v>55.7499999999891</v>
      </c>
      <c r="S517" s="31" t="n">
        <v>19513.61</v>
      </c>
      <c r="T517" s="28" t="s">
        <v>241</v>
      </c>
      <c r="U517" s="44" t="n">
        <f aca="false">IF(J517="BUY",S517-M517,M517-S517)</f>
        <v>-11.2799999999988</v>
      </c>
      <c r="V517" s="45" t="n">
        <v>0</v>
      </c>
      <c r="W517" s="45" t="n">
        <v>0</v>
      </c>
      <c r="X517" s="45" t="n">
        <v>-56.4</v>
      </c>
      <c r="Y517" s="32" t="n">
        <f aca="false">IFERROR(X517/R517,0)</f>
        <v>-1.01165919282531</v>
      </c>
      <c r="Z517" s="28" t="str">
        <f aca="false">IF(X517&gt;0,"Win",IF(X517&lt;0,"Loss","Flat"))</f>
        <v>Loss</v>
      </c>
      <c r="AA517" s="28" t="n">
        <f aca="false">ROUND((C517-B517)*1440,1)</f>
        <v>0.7</v>
      </c>
      <c r="AB517" s="28" t="str">
        <f aca="false">IF(AA517&lt;1,"a) &lt;1 min",IF(AA517&lt;10,"b) 1-10 min",IF(AA517&lt;60,"c) 10-60 min",IF(AA517&lt;240,"d) 1-4 h","e) 4 h+"))))</f>
        <v>a) &lt;1 min</v>
      </c>
      <c r="AC517" s="28" t="str">
        <f aca="false">IF(P517&lt;10,"a) &lt;10",IF(P517&lt;20,"b) 10-20",IF(P517&lt;40,"c) 20-40",IF(P517&lt;80,"d) 40-80","e) 80+"))))</f>
        <v>b) 10-20</v>
      </c>
      <c r="AD517" s="30" t="n">
        <f aca="false">Summary!$C$5+SUM(X$2:X517)</f>
        <v>111024.55</v>
      </c>
      <c r="AE517" s="30" t="n">
        <f aca="false">MAX(AE516,AD517)</f>
        <v>111352.36</v>
      </c>
      <c r="AF517" s="30" t="n">
        <f aca="false">AE517-AD517</f>
        <v>327.809999999998</v>
      </c>
      <c r="AG517" s="29" t="n">
        <f aca="false">IFERROR(AF517/AE517,0)</f>
        <v>0.00294389809070951</v>
      </c>
    </row>
    <row r="518" customFormat="false" ht="15" hidden="false" customHeight="false" outlineLevel="0" collapsed="false">
      <c r="A518" s="28" t="n">
        <v>517</v>
      </c>
      <c r="B518" s="43" t="n">
        <v>45777.6506944444</v>
      </c>
      <c r="C518" s="43" t="n">
        <v>45777.6928472222</v>
      </c>
      <c r="D518" s="42" t="n">
        <f aca="false">INT(C518)</f>
        <v>45777</v>
      </c>
      <c r="E518" s="42" t="n">
        <f aca="false">D518-WEEKDAY(D518,3)</f>
        <v>45775</v>
      </c>
      <c r="F518" s="28" t="s">
        <v>167</v>
      </c>
      <c r="G518" s="28" t="n">
        <v>2025</v>
      </c>
      <c r="H518" s="28" t="s">
        <v>235</v>
      </c>
      <c r="I518" s="28" t="n">
        <v>15</v>
      </c>
      <c r="J518" s="28" t="s">
        <v>236</v>
      </c>
      <c r="K518" s="28" t="s">
        <v>237</v>
      </c>
      <c r="L518" s="28" t="n">
        <v>0.25</v>
      </c>
      <c r="M518" s="31" t="n">
        <v>19248.49</v>
      </c>
      <c r="N518" s="31" t="n">
        <v>19310.8</v>
      </c>
      <c r="O518" s="31" t="n">
        <v>19123.87</v>
      </c>
      <c r="P518" s="44" t="n">
        <f aca="false">ABS(M518-N518)</f>
        <v>62.3099999999977</v>
      </c>
      <c r="Q518" s="44" t="n">
        <f aca="false">IF(O518="","",ABS(O518-M518))</f>
        <v>124.620000000003</v>
      </c>
      <c r="R518" s="30" t="n">
        <f aca="false">P518*L518*Summary!$C$6</f>
        <v>311.549999999988</v>
      </c>
      <c r="S518" s="31" t="n">
        <v>19123.52</v>
      </c>
      <c r="T518" s="28" t="s">
        <v>214</v>
      </c>
      <c r="U518" s="44" t="n">
        <f aca="false">IF(J518="BUY",S518-M518,M518-S518)</f>
        <v>124.970000000001</v>
      </c>
      <c r="V518" s="45" t="n">
        <v>0</v>
      </c>
      <c r="W518" s="45" t="n">
        <v>0</v>
      </c>
      <c r="X518" s="45" t="n">
        <v>624.85</v>
      </c>
      <c r="Y518" s="32" t="n">
        <f aca="false">IFERROR(X518/R518,0)</f>
        <v>2.00561707591084</v>
      </c>
      <c r="Z518" s="28" t="str">
        <f aca="false">IF(X518&gt;0,"Win",IF(X518&lt;0,"Loss","Flat"))</f>
        <v>Win</v>
      </c>
      <c r="AA518" s="28" t="n">
        <f aca="false">ROUND((C518-B518)*1440,1)</f>
        <v>60.7</v>
      </c>
      <c r="AB518" s="28" t="str">
        <f aca="false">IF(AA518&lt;1,"a) &lt;1 min",IF(AA518&lt;10,"b) 1-10 min",IF(AA518&lt;60,"c) 10-60 min",IF(AA518&lt;240,"d) 1-4 h","e) 4 h+"))))</f>
        <v>d) 1-4 h</v>
      </c>
      <c r="AC518" s="28" t="str">
        <f aca="false">IF(P518&lt;10,"a) &lt;10",IF(P518&lt;20,"b) 10-20",IF(P518&lt;40,"c) 20-40",IF(P518&lt;80,"d) 40-80","e) 80+"))))</f>
        <v>d) 40-80</v>
      </c>
      <c r="AD518" s="30" t="n">
        <f aca="false">Summary!$C$5+SUM(X$2:X518)</f>
        <v>111649.4</v>
      </c>
      <c r="AE518" s="30" t="n">
        <f aca="false">MAX(AE517,AD518)</f>
        <v>111649.4</v>
      </c>
      <c r="AF518" s="30" t="n">
        <f aca="false">AE518-AD518</f>
        <v>0</v>
      </c>
      <c r="AG518" s="29" t="n">
        <f aca="false">IFERROR(AF518/AE518,0)</f>
        <v>0</v>
      </c>
    </row>
    <row r="519" customFormat="false" ht="15" hidden="false" customHeight="false" outlineLevel="0" collapsed="false">
      <c r="A519" s="28" t="n">
        <v>518</v>
      </c>
      <c r="B519" s="43" t="n">
        <v>45777.9555555556</v>
      </c>
      <c r="C519" s="43" t="n">
        <v>45777.9583796296</v>
      </c>
      <c r="D519" s="42" t="n">
        <f aca="false">INT(C519)</f>
        <v>45777</v>
      </c>
      <c r="E519" s="42" t="n">
        <f aca="false">D519-WEEKDAY(D519,3)</f>
        <v>45775</v>
      </c>
      <c r="F519" s="28" t="s">
        <v>167</v>
      </c>
      <c r="G519" s="28" t="n">
        <v>2025</v>
      </c>
      <c r="H519" s="28" t="s">
        <v>235</v>
      </c>
      <c r="I519" s="28" t="n">
        <v>22</v>
      </c>
      <c r="J519" s="28" t="s">
        <v>233</v>
      </c>
      <c r="K519" s="28" t="s">
        <v>234</v>
      </c>
      <c r="L519" s="28" t="n">
        <v>0.25</v>
      </c>
      <c r="M519" s="31" t="n">
        <v>19596.68</v>
      </c>
      <c r="N519" s="31" t="n">
        <v>19540.05</v>
      </c>
      <c r="O519" s="31" t="n">
        <v>19704.14</v>
      </c>
      <c r="P519" s="44" t="n">
        <f aca="false">ABS(M519-N519)</f>
        <v>56.630000000001</v>
      </c>
      <c r="Q519" s="44" t="n">
        <f aca="false">IF(O519="","",ABS(O519-M519))</f>
        <v>107.459999999999</v>
      </c>
      <c r="R519" s="30" t="n">
        <f aca="false">P519*L519*Summary!$C$6</f>
        <v>283.150000000005</v>
      </c>
      <c r="S519" s="31" t="n">
        <v>19539.59</v>
      </c>
      <c r="T519" s="28" t="s">
        <v>241</v>
      </c>
      <c r="U519" s="44" t="n">
        <f aca="false">IF(J519="BUY",S519-M519,M519-S519)</f>
        <v>-57.0900000000001</v>
      </c>
      <c r="V519" s="45" t="n">
        <v>0</v>
      </c>
      <c r="W519" s="45" t="n">
        <v>0</v>
      </c>
      <c r="X519" s="45" t="n">
        <v>-285.45</v>
      </c>
      <c r="Y519" s="32" t="n">
        <f aca="false">IFERROR(X519/R519,0)</f>
        <v>-1.0081229030549</v>
      </c>
      <c r="Z519" s="28" t="str">
        <f aca="false">IF(X519&gt;0,"Win",IF(X519&lt;0,"Loss","Flat"))</f>
        <v>Loss</v>
      </c>
      <c r="AA519" s="28" t="n">
        <f aca="false">ROUND((C519-B519)*1440,1)</f>
        <v>4.1</v>
      </c>
      <c r="AB519" s="28" t="str">
        <f aca="false">IF(AA519&lt;1,"a) &lt;1 min",IF(AA519&lt;10,"b) 1-10 min",IF(AA519&lt;60,"c) 10-60 min",IF(AA519&lt;240,"d) 1-4 h","e) 4 h+"))))</f>
        <v>b) 1-10 min</v>
      </c>
      <c r="AC519" s="28" t="str">
        <f aca="false">IF(P519&lt;10,"a) &lt;10",IF(P519&lt;20,"b) 10-20",IF(P519&lt;40,"c) 20-40",IF(P519&lt;80,"d) 40-80","e) 80+"))))</f>
        <v>d) 40-80</v>
      </c>
      <c r="AD519" s="30" t="n">
        <f aca="false">Summary!$C$5+SUM(X$2:X519)</f>
        <v>111363.95</v>
      </c>
      <c r="AE519" s="30" t="n">
        <f aca="false">MAX(AE518,AD519)</f>
        <v>111649.4</v>
      </c>
      <c r="AF519" s="30" t="n">
        <f aca="false">AE519-AD519</f>
        <v>285.449999999997</v>
      </c>
      <c r="AG519" s="29" t="n">
        <f aca="false">IFERROR(AF519/AE519,0)</f>
        <v>0.00255666398565507</v>
      </c>
    </row>
    <row r="520" customFormat="false" ht="15" hidden="false" customHeight="false" outlineLevel="0" collapsed="false">
      <c r="A520" s="28" t="n">
        <v>519</v>
      </c>
      <c r="B520" s="43" t="n">
        <v>45778.045150463</v>
      </c>
      <c r="C520" s="43" t="n">
        <v>45778.4916319445</v>
      </c>
      <c r="D520" s="42" t="n">
        <f aca="false">INT(C520)</f>
        <v>45778</v>
      </c>
      <c r="E520" s="42" t="n">
        <f aca="false">D520-WEEKDAY(D520,3)</f>
        <v>45775</v>
      </c>
      <c r="F520" s="28" t="s">
        <v>168</v>
      </c>
      <c r="G520" s="28" t="n">
        <v>2025</v>
      </c>
      <c r="H520" s="28" t="s">
        <v>239</v>
      </c>
      <c r="I520" s="28" t="n">
        <v>1</v>
      </c>
      <c r="J520" s="28" t="s">
        <v>233</v>
      </c>
      <c r="K520" s="28" t="s">
        <v>234</v>
      </c>
      <c r="L520" s="28" t="n">
        <v>0.25</v>
      </c>
      <c r="M520" s="31" t="n">
        <v>19770.12</v>
      </c>
      <c r="N520" s="31" t="n">
        <v>19712.5</v>
      </c>
      <c r="O520" s="31" t="n">
        <v>19885.37</v>
      </c>
      <c r="P520" s="44" t="n">
        <f aca="false">ABS(M520-N520)</f>
        <v>57.619999999999</v>
      </c>
      <c r="Q520" s="44" t="n">
        <f aca="false">IF(O520="","",ABS(O520-M520))</f>
        <v>115.25</v>
      </c>
      <c r="R520" s="30" t="n">
        <f aca="false">P520*L520*Summary!$C$6</f>
        <v>288.099999999995</v>
      </c>
      <c r="S520" s="31" t="n">
        <v>19885.95</v>
      </c>
      <c r="T520" s="28" t="s">
        <v>214</v>
      </c>
      <c r="U520" s="44" t="n">
        <f aca="false">IF(J520="BUY",S520-M520,M520-S520)</f>
        <v>115.830000000002</v>
      </c>
      <c r="V520" s="45" t="n">
        <v>0</v>
      </c>
      <c r="W520" s="45" t="n">
        <v>0</v>
      </c>
      <c r="X520" s="45" t="n">
        <v>579.15</v>
      </c>
      <c r="Y520" s="32" t="n">
        <f aca="false">IFERROR(X520/R520,0)</f>
        <v>2.01023950017359</v>
      </c>
      <c r="Z520" s="28" t="str">
        <f aca="false">IF(X520&gt;0,"Win",IF(X520&lt;0,"Loss","Flat"))</f>
        <v>Win</v>
      </c>
      <c r="AA520" s="28" t="n">
        <f aca="false">ROUND((C520-B520)*1440,1)</f>
        <v>642.9</v>
      </c>
      <c r="AB520" s="28" t="str">
        <f aca="false">IF(AA520&lt;1,"a) &lt;1 min",IF(AA520&lt;10,"b) 1-10 min",IF(AA520&lt;60,"c) 10-60 min",IF(AA520&lt;240,"d) 1-4 h","e) 4 h+"))))</f>
        <v>e) 4 h+</v>
      </c>
      <c r="AC520" s="28" t="str">
        <f aca="false">IF(P520&lt;10,"a) &lt;10",IF(P520&lt;20,"b) 10-20",IF(P520&lt;40,"c) 20-40",IF(P520&lt;80,"d) 40-80","e) 80+"))))</f>
        <v>d) 40-80</v>
      </c>
      <c r="AD520" s="30" t="n">
        <f aca="false">Summary!$C$5+SUM(X$2:X520)</f>
        <v>111943.1</v>
      </c>
      <c r="AE520" s="30" t="n">
        <f aca="false">MAX(AE519,AD520)</f>
        <v>111943.1</v>
      </c>
      <c r="AF520" s="30" t="n">
        <f aca="false">AE520-AD520</f>
        <v>0</v>
      </c>
      <c r="AG520" s="29" t="n">
        <f aca="false">IFERROR(AF520/AE520,0)</f>
        <v>0</v>
      </c>
    </row>
    <row r="521" customFormat="false" ht="15" hidden="false" customHeight="false" outlineLevel="0" collapsed="false">
      <c r="A521" s="28" t="n">
        <v>520</v>
      </c>
      <c r="B521" s="43" t="n">
        <v>45779.0472222222</v>
      </c>
      <c r="C521" s="43" t="n">
        <v>45779.0511574074</v>
      </c>
      <c r="D521" s="42" t="n">
        <f aca="false">INT(C521)</f>
        <v>45779</v>
      </c>
      <c r="E521" s="42" t="n">
        <f aca="false">D521-WEEKDAY(D521,3)</f>
        <v>45775</v>
      </c>
      <c r="F521" s="28" t="s">
        <v>168</v>
      </c>
      <c r="G521" s="28" t="n">
        <v>2025</v>
      </c>
      <c r="H521" s="28" t="s">
        <v>242</v>
      </c>
      <c r="I521" s="28" t="n">
        <v>1</v>
      </c>
      <c r="J521" s="28" t="s">
        <v>236</v>
      </c>
      <c r="K521" s="28" t="s">
        <v>237</v>
      </c>
      <c r="L521" s="28" t="n">
        <v>0.25</v>
      </c>
      <c r="M521" s="31" t="n">
        <v>19657.31</v>
      </c>
      <c r="N521" s="31" t="n">
        <v>19694.32</v>
      </c>
      <c r="O521" s="31" t="n">
        <v>19583.29</v>
      </c>
      <c r="P521" s="44" t="n">
        <f aca="false">ABS(M521-N521)</f>
        <v>37.0099999999984</v>
      </c>
      <c r="Q521" s="44" t="n">
        <f aca="false">IF(O521="","",ABS(O521-M521))</f>
        <v>74.0200000000004</v>
      </c>
      <c r="R521" s="30" t="n">
        <f aca="false">P521*L521*Summary!$C$6</f>
        <v>185.049999999992</v>
      </c>
      <c r="S521" s="31" t="n">
        <v>19694.41</v>
      </c>
      <c r="T521" s="28" t="s">
        <v>241</v>
      </c>
      <c r="U521" s="44" t="n">
        <f aca="false">IF(J521="BUY",S521-M521,M521-S521)</f>
        <v>-37.0999999999985</v>
      </c>
      <c r="V521" s="45" t="n">
        <v>0</v>
      </c>
      <c r="W521" s="45" t="n">
        <v>0</v>
      </c>
      <c r="X521" s="45" t="n">
        <v>-185.5</v>
      </c>
      <c r="Y521" s="32" t="n">
        <f aca="false">IFERROR(X521/R521,0)</f>
        <v>-1.00243177519594</v>
      </c>
      <c r="Z521" s="28" t="str">
        <f aca="false">IF(X521&gt;0,"Win",IF(X521&lt;0,"Loss","Flat"))</f>
        <v>Loss</v>
      </c>
      <c r="AA521" s="28" t="n">
        <f aca="false">ROUND((C521-B521)*1440,1)</f>
        <v>5.7</v>
      </c>
      <c r="AB521" s="28" t="str">
        <f aca="false">IF(AA521&lt;1,"a) &lt;1 min",IF(AA521&lt;10,"b) 1-10 min",IF(AA521&lt;60,"c) 10-60 min",IF(AA521&lt;240,"d) 1-4 h","e) 4 h+"))))</f>
        <v>b) 1-10 min</v>
      </c>
      <c r="AC521" s="28" t="str">
        <f aca="false">IF(P521&lt;10,"a) &lt;10",IF(P521&lt;20,"b) 10-20",IF(P521&lt;40,"c) 20-40",IF(P521&lt;80,"d) 40-80","e) 80+"))))</f>
        <v>c) 20-40</v>
      </c>
      <c r="AD521" s="30" t="n">
        <f aca="false">Summary!$C$5+SUM(X$2:X521)</f>
        <v>111757.6</v>
      </c>
      <c r="AE521" s="30" t="n">
        <f aca="false">MAX(AE520,AD521)</f>
        <v>111943.1</v>
      </c>
      <c r="AF521" s="30" t="n">
        <f aca="false">AE521-AD521</f>
        <v>185.5</v>
      </c>
      <c r="AG521" s="29" t="n">
        <f aca="false">IFERROR(AF521/AE521,0)</f>
        <v>0.00165709186184767</v>
      </c>
    </row>
    <row r="522" customFormat="false" ht="15" hidden="false" customHeight="false" outlineLevel="0" collapsed="false">
      <c r="A522" s="28" t="n">
        <v>521</v>
      </c>
      <c r="B522" s="43" t="n">
        <v>45779.6743055556</v>
      </c>
      <c r="C522" s="43" t="n">
        <v>45779.6818634259</v>
      </c>
      <c r="D522" s="42" t="n">
        <f aca="false">INT(C522)</f>
        <v>45779</v>
      </c>
      <c r="E522" s="42" t="n">
        <f aca="false">D522-WEEKDAY(D522,3)</f>
        <v>45775</v>
      </c>
      <c r="F522" s="28" t="s">
        <v>168</v>
      </c>
      <c r="G522" s="28" t="n">
        <v>2025</v>
      </c>
      <c r="H522" s="28" t="s">
        <v>242</v>
      </c>
      <c r="I522" s="28" t="n">
        <v>16</v>
      </c>
      <c r="J522" s="28" t="s">
        <v>233</v>
      </c>
      <c r="K522" s="28" t="s">
        <v>234</v>
      </c>
      <c r="L522" s="28" t="n">
        <v>0.25</v>
      </c>
      <c r="M522" s="31" t="n">
        <v>20034.1</v>
      </c>
      <c r="N522" s="31" t="n">
        <v>20009.22</v>
      </c>
      <c r="O522" s="31" t="n">
        <v>20083.85</v>
      </c>
      <c r="P522" s="44" t="n">
        <f aca="false">ABS(M522-N522)</f>
        <v>24.8799999999974</v>
      </c>
      <c r="Q522" s="44" t="n">
        <f aca="false">IF(O522="","",ABS(O522-M522))</f>
        <v>49.75</v>
      </c>
      <c r="R522" s="30" t="n">
        <f aca="false">P522*L522*Summary!$C$6</f>
        <v>124.399999999987</v>
      </c>
      <c r="S522" s="31" t="n">
        <v>20008.92</v>
      </c>
      <c r="T522" s="28" t="s">
        <v>241</v>
      </c>
      <c r="U522" s="44" t="n">
        <f aca="false">IF(J522="BUY",S522-M522,M522-S522)</f>
        <v>-25.1800000000003</v>
      </c>
      <c r="V522" s="45" t="n">
        <v>0</v>
      </c>
      <c r="W522" s="45" t="n">
        <v>0</v>
      </c>
      <c r="X522" s="45" t="n">
        <v>-125.9</v>
      </c>
      <c r="Y522" s="32" t="n">
        <f aca="false">IFERROR(X522/R522,0)</f>
        <v>-1.01205787781361</v>
      </c>
      <c r="Z522" s="28" t="str">
        <f aca="false">IF(X522&gt;0,"Win",IF(X522&lt;0,"Loss","Flat"))</f>
        <v>Loss</v>
      </c>
      <c r="AA522" s="28" t="n">
        <f aca="false">ROUND((C522-B522)*1440,1)</f>
        <v>10.9</v>
      </c>
      <c r="AB522" s="28" t="str">
        <f aca="false">IF(AA522&lt;1,"a) &lt;1 min",IF(AA522&lt;10,"b) 1-10 min",IF(AA522&lt;60,"c) 10-60 min",IF(AA522&lt;240,"d) 1-4 h","e) 4 h+"))))</f>
        <v>c) 10-60 min</v>
      </c>
      <c r="AC522" s="28" t="str">
        <f aca="false">IF(P522&lt;10,"a) &lt;10",IF(P522&lt;20,"b) 10-20",IF(P522&lt;40,"c) 20-40",IF(P522&lt;80,"d) 40-80","e) 80+"))))</f>
        <v>c) 20-40</v>
      </c>
      <c r="AD522" s="30" t="n">
        <f aca="false">Summary!$C$5+SUM(X$2:X522)</f>
        <v>111631.7</v>
      </c>
      <c r="AE522" s="30" t="n">
        <f aca="false">MAX(AE521,AD522)</f>
        <v>111943.1</v>
      </c>
      <c r="AF522" s="30" t="n">
        <f aca="false">AE522-AD522</f>
        <v>311.400000000009</v>
      </c>
      <c r="AG522" s="29" t="n">
        <f aca="false">IFERROR(AF522/AE522,0)</f>
        <v>0.00278177038156</v>
      </c>
    </row>
    <row r="523" customFormat="false" ht="15" hidden="false" customHeight="false" outlineLevel="0" collapsed="false">
      <c r="A523" s="28" t="n">
        <v>522</v>
      </c>
      <c r="B523" s="43" t="n">
        <v>45783.1951388889</v>
      </c>
      <c r="C523" s="43" t="n">
        <v>45783.2348611111</v>
      </c>
      <c r="D523" s="42" t="n">
        <f aca="false">INT(C523)</f>
        <v>45783</v>
      </c>
      <c r="E523" s="42" t="n">
        <f aca="false">D523-WEEKDAY(D523,3)</f>
        <v>45782</v>
      </c>
      <c r="F523" s="28" t="s">
        <v>168</v>
      </c>
      <c r="G523" s="28" t="n">
        <v>2025</v>
      </c>
      <c r="H523" s="28" t="s">
        <v>232</v>
      </c>
      <c r="I523" s="28" t="n">
        <v>4</v>
      </c>
      <c r="J523" s="28" t="s">
        <v>236</v>
      </c>
      <c r="K523" s="28" t="s">
        <v>237</v>
      </c>
      <c r="L523" s="28" t="n">
        <v>0.25</v>
      </c>
      <c r="M523" s="31" t="n">
        <v>19870.02</v>
      </c>
      <c r="N523" s="31" t="n">
        <v>19883.62</v>
      </c>
      <c r="O523" s="31" t="n">
        <v>19842.82</v>
      </c>
      <c r="P523" s="44" t="n">
        <f aca="false">ABS(M523-N523)</f>
        <v>13.5999999999985</v>
      </c>
      <c r="Q523" s="44" t="n">
        <f aca="false">IF(O523="","",ABS(O523-M523))</f>
        <v>27.2000000000007</v>
      </c>
      <c r="R523" s="30" t="n">
        <f aca="false">P523*L523*Summary!$C$6</f>
        <v>67.9999999999927</v>
      </c>
      <c r="S523" s="31" t="n">
        <v>19870.19</v>
      </c>
      <c r="T523" s="28" t="s">
        <v>238</v>
      </c>
      <c r="U523" s="44" t="n">
        <f aca="false">IF(J523="BUY",S523-M523,M523-S523)</f>
        <v>-0.169999999998254</v>
      </c>
      <c r="V523" s="45" t="n">
        <v>0</v>
      </c>
      <c r="W523" s="45" t="n">
        <v>0</v>
      </c>
      <c r="X523" s="45" t="n">
        <v>-0.85</v>
      </c>
      <c r="Y523" s="32" t="n">
        <f aca="false">IFERROR(X523/R523,0)</f>
        <v>-0.0125000000000013</v>
      </c>
      <c r="Z523" s="28" t="str">
        <f aca="false">IF(X523&gt;0,"Win",IF(X523&lt;0,"Loss","Flat"))</f>
        <v>Loss</v>
      </c>
      <c r="AA523" s="28" t="n">
        <f aca="false">ROUND((C523-B523)*1440,1)</f>
        <v>57.2</v>
      </c>
      <c r="AB523" s="28" t="str">
        <f aca="false">IF(AA523&lt;1,"a) &lt;1 min",IF(AA523&lt;10,"b) 1-10 min",IF(AA523&lt;60,"c) 10-60 min",IF(AA523&lt;240,"d) 1-4 h","e) 4 h+"))))</f>
        <v>c) 10-60 min</v>
      </c>
      <c r="AC523" s="28" t="str">
        <f aca="false">IF(P523&lt;10,"a) &lt;10",IF(P523&lt;20,"b) 10-20",IF(P523&lt;40,"c) 20-40",IF(P523&lt;80,"d) 40-80","e) 80+"))))</f>
        <v>b) 10-20</v>
      </c>
      <c r="AD523" s="30" t="n">
        <f aca="false">Summary!$C$5+SUM(X$2:X523)</f>
        <v>111630.85</v>
      </c>
      <c r="AE523" s="30" t="n">
        <f aca="false">MAX(AE522,AD523)</f>
        <v>111943.1</v>
      </c>
      <c r="AF523" s="30" t="n">
        <f aca="false">AE523-AD523</f>
        <v>312.25</v>
      </c>
      <c r="AG523" s="29" t="n">
        <f aca="false">IFERROR(AF523/AE523,0)</f>
        <v>0.00278936352486218</v>
      </c>
    </row>
    <row r="524" customFormat="false" ht="15" hidden="false" customHeight="false" outlineLevel="0" collapsed="false">
      <c r="A524" s="28" t="n">
        <v>523</v>
      </c>
      <c r="B524" s="43" t="n">
        <v>45784.0458333333</v>
      </c>
      <c r="C524" s="43" t="n">
        <v>45784.0507638889</v>
      </c>
      <c r="D524" s="42" t="n">
        <f aca="false">INT(C524)</f>
        <v>45784</v>
      </c>
      <c r="E524" s="42" t="n">
        <f aca="false">D524-WEEKDAY(D524,3)</f>
        <v>45782</v>
      </c>
      <c r="F524" s="28" t="s">
        <v>168</v>
      </c>
      <c r="G524" s="28" t="n">
        <v>2025</v>
      </c>
      <c r="H524" s="28" t="s">
        <v>235</v>
      </c>
      <c r="I524" s="28" t="n">
        <v>1</v>
      </c>
      <c r="J524" s="28" t="s">
        <v>233</v>
      </c>
      <c r="K524" s="28" t="s">
        <v>234</v>
      </c>
      <c r="L524" s="28" t="n">
        <v>0.25</v>
      </c>
      <c r="M524" s="31" t="n">
        <v>20008.18</v>
      </c>
      <c r="N524" s="31" t="n">
        <v>19950.72</v>
      </c>
      <c r="O524" s="31" t="n">
        <v>20123.09</v>
      </c>
      <c r="P524" s="44" t="n">
        <f aca="false">ABS(M524-N524)</f>
        <v>57.4599999999991</v>
      </c>
      <c r="Q524" s="44" t="n">
        <f aca="false">IF(O524="","",ABS(O524-M524))</f>
        <v>114.91</v>
      </c>
      <c r="R524" s="30" t="n">
        <f aca="false">P524*L524*Summary!$C$6</f>
        <v>287.299999999996</v>
      </c>
      <c r="S524" s="31" t="n">
        <v>19950.71</v>
      </c>
      <c r="T524" s="28" t="s">
        <v>241</v>
      </c>
      <c r="U524" s="44" t="n">
        <f aca="false">IF(J524="BUY",S524-M524,M524-S524)</f>
        <v>-57.4700000000012</v>
      </c>
      <c r="V524" s="45" t="n">
        <v>0</v>
      </c>
      <c r="W524" s="45" t="n">
        <v>0</v>
      </c>
      <c r="X524" s="45" t="n">
        <v>-287.35</v>
      </c>
      <c r="Y524" s="32" t="n">
        <f aca="false">IFERROR(X524/R524,0)</f>
        <v>-1.0001740341107</v>
      </c>
      <c r="Z524" s="28" t="str">
        <f aca="false">IF(X524&gt;0,"Win",IF(X524&lt;0,"Loss","Flat"))</f>
        <v>Loss</v>
      </c>
      <c r="AA524" s="28" t="n">
        <f aca="false">ROUND((C524-B524)*1440,1)</f>
        <v>7.1</v>
      </c>
      <c r="AB524" s="28" t="str">
        <f aca="false">IF(AA524&lt;1,"a) &lt;1 min",IF(AA524&lt;10,"b) 1-10 min",IF(AA524&lt;60,"c) 10-60 min",IF(AA524&lt;240,"d) 1-4 h","e) 4 h+"))))</f>
        <v>b) 1-10 min</v>
      </c>
      <c r="AC524" s="28" t="str">
        <f aca="false">IF(P524&lt;10,"a) &lt;10",IF(P524&lt;20,"b) 10-20",IF(P524&lt;40,"c) 20-40",IF(P524&lt;80,"d) 40-80","e) 80+"))))</f>
        <v>d) 40-80</v>
      </c>
      <c r="AD524" s="30" t="n">
        <f aca="false">Summary!$C$5+SUM(X$2:X524)</f>
        <v>111343.5</v>
      </c>
      <c r="AE524" s="30" t="n">
        <f aca="false">MAX(AE523,AD524)</f>
        <v>111943.1</v>
      </c>
      <c r="AF524" s="30" t="n">
        <f aca="false">AE524-AD524</f>
        <v>599.600000000006</v>
      </c>
      <c r="AG524" s="29" t="n">
        <f aca="false">IFERROR(AF524/AE524,0)</f>
        <v>0.00535629261651684</v>
      </c>
    </row>
    <row r="525" customFormat="false" ht="15" hidden="false" customHeight="false" outlineLevel="0" collapsed="false">
      <c r="A525" s="28" t="n">
        <v>524</v>
      </c>
      <c r="B525" s="43" t="n">
        <v>45784.8805555556</v>
      </c>
      <c r="C525" s="43" t="n">
        <v>45784.8969328704</v>
      </c>
      <c r="D525" s="42" t="n">
        <f aca="false">INT(C525)</f>
        <v>45784</v>
      </c>
      <c r="E525" s="42" t="n">
        <f aca="false">D525-WEEKDAY(D525,3)</f>
        <v>45782</v>
      </c>
      <c r="F525" s="28" t="s">
        <v>168</v>
      </c>
      <c r="G525" s="28" t="n">
        <v>2025</v>
      </c>
      <c r="H525" s="28" t="s">
        <v>235</v>
      </c>
      <c r="I525" s="28" t="n">
        <v>21</v>
      </c>
      <c r="J525" s="28" t="s">
        <v>236</v>
      </c>
      <c r="K525" s="28" t="s">
        <v>237</v>
      </c>
      <c r="L525" s="28" t="n">
        <v>0.25</v>
      </c>
      <c r="M525" s="31" t="n">
        <v>19647.61</v>
      </c>
      <c r="N525" s="31" t="n">
        <v>19710.5</v>
      </c>
      <c r="O525" s="31" t="n">
        <v>19521.83</v>
      </c>
      <c r="P525" s="44" t="n">
        <f aca="false">ABS(M525-N525)</f>
        <v>62.8899999999994</v>
      </c>
      <c r="Q525" s="44" t="n">
        <f aca="false">IF(O525="","",ABS(O525-M525))</f>
        <v>125.779999999999</v>
      </c>
      <c r="R525" s="30" t="n">
        <f aca="false">P525*L525*Summary!$C$6</f>
        <v>314.449999999997</v>
      </c>
      <c r="S525" s="31" t="n">
        <v>19710.59</v>
      </c>
      <c r="T525" s="28" t="s">
        <v>241</v>
      </c>
      <c r="U525" s="44" t="n">
        <f aca="false">IF(J525="BUY",S525-M525,M525-S525)</f>
        <v>-62.9799999999996</v>
      </c>
      <c r="V525" s="45" t="n">
        <v>0</v>
      </c>
      <c r="W525" s="45" t="n">
        <v>0</v>
      </c>
      <c r="X525" s="45" t="n">
        <v>-314.9</v>
      </c>
      <c r="Y525" s="32" t="n">
        <f aca="false">IFERROR(X525/R525,0)</f>
        <v>-1.00143107012245</v>
      </c>
      <c r="Z525" s="28" t="str">
        <f aca="false">IF(X525&gt;0,"Win",IF(X525&lt;0,"Loss","Flat"))</f>
        <v>Loss</v>
      </c>
      <c r="AA525" s="28" t="n">
        <f aca="false">ROUND((C525-B525)*1440,1)</f>
        <v>23.6</v>
      </c>
      <c r="AB525" s="28" t="str">
        <f aca="false">IF(AA525&lt;1,"a) &lt;1 min",IF(AA525&lt;10,"b) 1-10 min",IF(AA525&lt;60,"c) 10-60 min",IF(AA525&lt;240,"d) 1-4 h","e) 4 h+"))))</f>
        <v>c) 10-60 min</v>
      </c>
      <c r="AC525" s="28" t="str">
        <f aca="false">IF(P525&lt;10,"a) &lt;10",IF(P525&lt;20,"b) 10-20",IF(P525&lt;40,"c) 20-40",IF(P525&lt;80,"d) 40-80","e) 80+"))))</f>
        <v>d) 40-80</v>
      </c>
      <c r="AD525" s="30" t="n">
        <f aca="false">Summary!$C$5+SUM(X$2:X525)</f>
        <v>111028.6</v>
      </c>
      <c r="AE525" s="30" t="n">
        <f aca="false">MAX(AE524,AD525)</f>
        <v>111943.1</v>
      </c>
      <c r="AF525" s="30" t="n">
        <f aca="false">AE525-AD525</f>
        <v>914.5</v>
      </c>
      <c r="AG525" s="29" t="n">
        <f aca="false">IFERROR(AF525/AE525,0)</f>
        <v>0.00816932888226251</v>
      </c>
    </row>
    <row r="526" customFormat="false" ht="15" hidden="false" customHeight="false" outlineLevel="0" collapsed="false">
      <c r="A526" s="28" t="n">
        <v>525</v>
      </c>
      <c r="B526" s="43" t="n">
        <v>45785.2583333333</v>
      </c>
      <c r="C526" s="43" t="n">
        <v>45785.2650347222</v>
      </c>
      <c r="D526" s="42" t="n">
        <f aca="false">INT(C526)</f>
        <v>45785</v>
      </c>
      <c r="E526" s="42" t="n">
        <f aca="false">D526-WEEKDAY(D526,3)</f>
        <v>45782</v>
      </c>
      <c r="F526" s="28" t="s">
        <v>168</v>
      </c>
      <c r="G526" s="28" t="n">
        <v>2025</v>
      </c>
      <c r="H526" s="28" t="s">
        <v>239</v>
      </c>
      <c r="I526" s="28" t="n">
        <v>6</v>
      </c>
      <c r="J526" s="28" t="s">
        <v>233</v>
      </c>
      <c r="K526" s="28" t="s">
        <v>234</v>
      </c>
      <c r="L526" s="28" t="n">
        <v>0.24</v>
      </c>
      <c r="M526" s="31" t="n">
        <v>20043.79</v>
      </c>
      <c r="N526" s="31" t="n">
        <v>20032.35</v>
      </c>
      <c r="O526" s="31" t="n">
        <v>20066.67</v>
      </c>
      <c r="P526" s="44" t="n">
        <f aca="false">ABS(M526-N526)</f>
        <v>11.4400000000023</v>
      </c>
      <c r="Q526" s="44" t="n">
        <f aca="false">IF(O526="","",ABS(O526-M526))</f>
        <v>22.8799999999974</v>
      </c>
      <c r="R526" s="30" t="n">
        <f aca="false">P526*L526*Summary!$C$6</f>
        <v>54.9120000000112</v>
      </c>
      <c r="S526" s="31" t="n">
        <v>20066.81</v>
      </c>
      <c r="T526" s="28" t="s">
        <v>214</v>
      </c>
      <c r="U526" s="44" t="n">
        <f aca="false">IF(J526="BUY",S526-M526,M526-S526)</f>
        <v>23.0200000000004</v>
      </c>
      <c r="V526" s="45" t="n">
        <v>0</v>
      </c>
      <c r="W526" s="45" t="n">
        <v>0</v>
      </c>
      <c r="X526" s="45" t="n">
        <v>110.5</v>
      </c>
      <c r="Y526" s="32" t="n">
        <f aca="false">IFERROR(X526/R526,0)</f>
        <v>2.0123106060602</v>
      </c>
      <c r="Z526" s="28" t="str">
        <f aca="false">IF(X526&gt;0,"Win",IF(X526&lt;0,"Loss","Flat"))</f>
        <v>Win</v>
      </c>
      <c r="AA526" s="28" t="n">
        <f aca="false">ROUND((C526-B526)*1440,1)</f>
        <v>9.7</v>
      </c>
      <c r="AB526" s="28" t="str">
        <f aca="false">IF(AA526&lt;1,"a) &lt;1 min",IF(AA526&lt;10,"b) 1-10 min",IF(AA526&lt;60,"c) 10-60 min",IF(AA526&lt;240,"d) 1-4 h","e) 4 h+"))))</f>
        <v>b) 1-10 min</v>
      </c>
      <c r="AC526" s="28" t="str">
        <f aca="false">IF(P526&lt;10,"a) &lt;10",IF(P526&lt;20,"b) 10-20",IF(P526&lt;40,"c) 20-40",IF(P526&lt;80,"d) 40-80","e) 80+"))))</f>
        <v>b) 10-20</v>
      </c>
      <c r="AD526" s="30" t="n">
        <f aca="false">Summary!$C$5+SUM(X$2:X526)</f>
        <v>111139.1</v>
      </c>
      <c r="AE526" s="30" t="n">
        <f aca="false">MAX(AE525,AD526)</f>
        <v>111943.1</v>
      </c>
      <c r="AF526" s="30" t="n">
        <f aca="false">AE526-AD526</f>
        <v>804</v>
      </c>
      <c r="AG526" s="29" t="n">
        <f aca="false">IFERROR(AF526/AE526,0)</f>
        <v>0.0071822202529678</v>
      </c>
    </row>
    <row r="527" customFormat="false" ht="15" hidden="false" customHeight="false" outlineLevel="0" collapsed="false">
      <c r="A527" s="28" t="n">
        <v>526</v>
      </c>
      <c r="B527" s="43" t="n">
        <v>45789.0465277778</v>
      </c>
      <c r="C527" s="43" t="n">
        <v>45789.1733333333</v>
      </c>
      <c r="D527" s="42" t="n">
        <f aca="false">INT(C527)</f>
        <v>45789</v>
      </c>
      <c r="E527" s="42" t="n">
        <f aca="false">D527-WEEKDAY(D527,3)</f>
        <v>45789</v>
      </c>
      <c r="F527" s="28" t="s">
        <v>168</v>
      </c>
      <c r="G527" s="28" t="n">
        <v>2025</v>
      </c>
      <c r="H527" s="28" t="s">
        <v>240</v>
      </c>
      <c r="I527" s="28" t="n">
        <v>1</v>
      </c>
      <c r="J527" s="28" t="s">
        <v>233</v>
      </c>
      <c r="K527" s="28" t="s">
        <v>234</v>
      </c>
      <c r="L527" s="28" t="n">
        <v>0.24</v>
      </c>
      <c r="M527" s="31" t="n">
        <v>20331.11</v>
      </c>
      <c r="N527" s="31" t="n">
        <v>20265.16</v>
      </c>
      <c r="O527" s="31" t="n">
        <v>20463.01</v>
      </c>
      <c r="P527" s="44" t="n">
        <f aca="false">ABS(M527-N527)</f>
        <v>65.9500000000007</v>
      </c>
      <c r="Q527" s="44" t="n">
        <f aca="false">IF(O527="","",ABS(O527-M527))</f>
        <v>131.899999999998</v>
      </c>
      <c r="R527" s="30" t="n">
        <f aca="false">P527*L527*Summary!$C$6</f>
        <v>316.560000000003</v>
      </c>
      <c r="S527" s="31" t="n">
        <v>20463.28</v>
      </c>
      <c r="T527" s="28" t="s">
        <v>214</v>
      </c>
      <c r="U527" s="44" t="n">
        <f aca="false">IF(J527="BUY",S527-M527,M527-S527)</f>
        <v>132.169999999998</v>
      </c>
      <c r="V527" s="45" t="n">
        <v>0</v>
      </c>
      <c r="W527" s="45" t="n">
        <v>0</v>
      </c>
      <c r="X527" s="45" t="n">
        <v>634.42</v>
      </c>
      <c r="Y527" s="32" t="n">
        <f aca="false">IFERROR(X527/R527,0)</f>
        <v>2.00410664644931</v>
      </c>
      <c r="Z527" s="28" t="str">
        <f aca="false">IF(X527&gt;0,"Win",IF(X527&lt;0,"Loss","Flat"))</f>
        <v>Win</v>
      </c>
      <c r="AA527" s="28" t="n">
        <f aca="false">ROUND((C527-B527)*1440,1)</f>
        <v>182.6</v>
      </c>
      <c r="AB527" s="28" t="str">
        <f aca="false">IF(AA527&lt;1,"a) &lt;1 min",IF(AA527&lt;10,"b) 1-10 min",IF(AA527&lt;60,"c) 10-60 min",IF(AA527&lt;240,"d) 1-4 h","e) 4 h+"))))</f>
        <v>d) 1-4 h</v>
      </c>
      <c r="AC527" s="28" t="str">
        <f aca="false">IF(P527&lt;10,"a) &lt;10",IF(P527&lt;20,"b) 10-20",IF(P527&lt;40,"c) 20-40",IF(P527&lt;80,"d) 40-80","e) 80+"))))</f>
        <v>d) 40-80</v>
      </c>
      <c r="AD527" s="30" t="n">
        <f aca="false">Summary!$C$5+SUM(X$2:X527)</f>
        <v>111773.52</v>
      </c>
      <c r="AE527" s="30" t="n">
        <f aca="false">MAX(AE526,AD527)</f>
        <v>111943.1</v>
      </c>
      <c r="AF527" s="30" t="n">
        <f aca="false">AE527-AD527</f>
        <v>169.580000000002</v>
      </c>
      <c r="AG527" s="29" t="n">
        <f aca="false">IFERROR(AF527/AE527,0)</f>
        <v>0.00151487675435111</v>
      </c>
    </row>
    <row r="528" customFormat="false" ht="15" hidden="false" customHeight="false" outlineLevel="0" collapsed="false">
      <c r="A528" s="28" t="n">
        <v>527</v>
      </c>
      <c r="B528" s="43" t="n">
        <v>45790.6465277778</v>
      </c>
      <c r="C528" s="43" t="n">
        <v>45790.6472106482</v>
      </c>
      <c r="D528" s="42" t="n">
        <f aca="false">INT(C528)</f>
        <v>45790</v>
      </c>
      <c r="E528" s="42" t="n">
        <f aca="false">D528-WEEKDAY(D528,3)</f>
        <v>45789</v>
      </c>
      <c r="F528" s="28" t="s">
        <v>168</v>
      </c>
      <c r="G528" s="28" t="n">
        <v>2025</v>
      </c>
      <c r="H528" s="28" t="s">
        <v>232</v>
      </c>
      <c r="I528" s="28" t="n">
        <v>15</v>
      </c>
      <c r="J528" s="28" t="s">
        <v>233</v>
      </c>
      <c r="K528" s="28" t="s">
        <v>234</v>
      </c>
      <c r="L528" s="28" t="n">
        <v>0.24</v>
      </c>
      <c r="M528" s="31" t="n">
        <v>20948.92</v>
      </c>
      <c r="N528" s="31" t="n">
        <v>20920.39</v>
      </c>
      <c r="O528" s="31" t="n">
        <v>21005.98</v>
      </c>
      <c r="P528" s="44" t="n">
        <f aca="false">ABS(M528-N528)</f>
        <v>28.5299999999988</v>
      </c>
      <c r="Q528" s="44" t="n">
        <f aca="false">IF(O528="","",ABS(O528-M528))</f>
        <v>57.0600000000013</v>
      </c>
      <c r="R528" s="30" t="n">
        <f aca="false">P528*L528*Summary!$C$6</f>
        <v>136.943999999994</v>
      </c>
      <c r="S528" s="31" t="n">
        <v>20920.21</v>
      </c>
      <c r="T528" s="28" t="s">
        <v>241</v>
      </c>
      <c r="U528" s="44" t="n">
        <f aca="false">IF(J528="BUY",S528-M528,M528-S528)</f>
        <v>-28.7099999999991</v>
      </c>
      <c r="V528" s="45" t="n">
        <v>0</v>
      </c>
      <c r="W528" s="45" t="n">
        <v>0</v>
      </c>
      <c r="X528" s="45" t="n">
        <v>-137.81</v>
      </c>
      <c r="Y528" s="32" t="n">
        <f aca="false">IFERROR(X528/R528,0)</f>
        <v>-1.0063237527749</v>
      </c>
      <c r="Z528" s="28" t="str">
        <f aca="false">IF(X528&gt;0,"Win",IF(X528&lt;0,"Loss","Flat"))</f>
        <v>Loss</v>
      </c>
      <c r="AA528" s="28" t="n">
        <f aca="false">ROUND((C528-B528)*1440,1)</f>
        <v>1</v>
      </c>
      <c r="AB528" s="28" t="str">
        <f aca="false">IF(AA528&lt;1,"a) &lt;1 min",IF(AA528&lt;10,"b) 1-10 min",IF(AA528&lt;60,"c) 10-60 min",IF(AA528&lt;240,"d) 1-4 h","e) 4 h+"))))</f>
        <v>b) 1-10 min</v>
      </c>
      <c r="AC528" s="28" t="str">
        <f aca="false">IF(P528&lt;10,"a) &lt;10",IF(P528&lt;20,"b) 10-20",IF(P528&lt;40,"c) 20-40",IF(P528&lt;80,"d) 40-80","e) 80+"))))</f>
        <v>c) 20-40</v>
      </c>
      <c r="AD528" s="30" t="n">
        <f aca="false">Summary!$C$5+SUM(X$2:X528)</f>
        <v>111635.71</v>
      </c>
      <c r="AE528" s="30" t="n">
        <f aca="false">MAX(AE527,AD528)</f>
        <v>111943.1</v>
      </c>
      <c r="AF528" s="30" t="n">
        <f aca="false">AE528-AD528</f>
        <v>307.389999999999</v>
      </c>
      <c r="AG528" s="29" t="n">
        <f aca="false">IFERROR(AF528/AE528,0)</f>
        <v>0.00274594861139275</v>
      </c>
    </row>
    <row r="529" customFormat="false" ht="15" hidden="false" customHeight="false" outlineLevel="0" collapsed="false">
      <c r="A529" s="28" t="n">
        <v>528</v>
      </c>
      <c r="B529" s="43" t="n">
        <v>45791.4152777778</v>
      </c>
      <c r="C529" s="43" t="n">
        <v>45791.4173958333</v>
      </c>
      <c r="D529" s="42" t="n">
        <f aca="false">INT(C529)</f>
        <v>45791</v>
      </c>
      <c r="E529" s="42" t="n">
        <f aca="false">D529-WEEKDAY(D529,3)</f>
        <v>45789</v>
      </c>
      <c r="F529" s="28" t="s">
        <v>168</v>
      </c>
      <c r="G529" s="28" t="n">
        <v>2025</v>
      </c>
      <c r="H529" s="28" t="s">
        <v>235</v>
      </c>
      <c r="I529" s="28" t="n">
        <v>9</v>
      </c>
      <c r="J529" s="28" t="s">
        <v>233</v>
      </c>
      <c r="K529" s="28" t="s">
        <v>234</v>
      </c>
      <c r="L529" s="28" t="n">
        <v>0.23</v>
      </c>
      <c r="M529" s="31" t="n">
        <v>21268.39</v>
      </c>
      <c r="N529" s="31" t="n">
        <v>21257.1</v>
      </c>
      <c r="O529" s="31" t="n">
        <v>21290.96</v>
      </c>
      <c r="P529" s="44" t="n">
        <f aca="false">ABS(M529-N529)</f>
        <v>11.2900000000009</v>
      </c>
      <c r="Q529" s="44" t="n">
        <f aca="false">IF(O529="","",ABS(O529-M529))</f>
        <v>22.5699999999997</v>
      </c>
      <c r="R529" s="30" t="n">
        <f aca="false">P529*L529*Summary!$C$6</f>
        <v>51.934000000004</v>
      </c>
      <c r="S529" s="31" t="n">
        <v>21257.03</v>
      </c>
      <c r="T529" s="28" t="s">
        <v>241</v>
      </c>
      <c r="U529" s="44" t="n">
        <f aca="false">IF(J529="BUY",S529-M529,M529-S529)</f>
        <v>-11.3600000000006</v>
      </c>
      <c r="V529" s="45" t="n">
        <v>0</v>
      </c>
      <c r="W529" s="45" t="n">
        <v>0</v>
      </c>
      <c r="X529" s="45" t="n">
        <v>-52.26</v>
      </c>
      <c r="Y529" s="32" t="n">
        <f aca="false">IFERROR(X529/R529,0)</f>
        <v>-1.00627719798198</v>
      </c>
      <c r="Z529" s="28" t="str">
        <f aca="false">IF(X529&gt;0,"Win",IF(X529&lt;0,"Loss","Flat"))</f>
        <v>Loss</v>
      </c>
      <c r="AA529" s="28" t="n">
        <f aca="false">ROUND((C529-B529)*1440,1)</f>
        <v>3.1</v>
      </c>
      <c r="AB529" s="28" t="str">
        <f aca="false">IF(AA529&lt;1,"a) &lt;1 min",IF(AA529&lt;10,"b) 1-10 min",IF(AA529&lt;60,"c) 10-60 min",IF(AA529&lt;240,"d) 1-4 h","e) 4 h+"))))</f>
        <v>b) 1-10 min</v>
      </c>
      <c r="AC529" s="28" t="str">
        <f aca="false">IF(P529&lt;10,"a) &lt;10",IF(P529&lt;20,"b) 10-20",IF(P529&lt;40,"c) 20-40",IF(P529&lt;80,"d) 40-80","e) 80+"))))</f>
        <v>b) 10-20</v>
      </c>
      <c r="AD529" s="30" t="n">
        <f aca="false">Summary!$C$5+SUM(X$2:X529)</f>
        <v>111583.45</v>
      </c>
      <c r="AE529" s="30" t="n">
        <f aca="false">MAX(AE528,AD529)</f>
        <v>111943.1</v>
      </c>
      <c r="AF529" s="30" t="n">
        <f aca="false">AE529-AD529</f>
        <v>359.650000000009</v>
      </c>
      <c r="AG529" s="29" t="n">
        <f aca="false">IFERROR(AF529/AE529,0)</f>
        <v>0.00321279292783574</v>
      </c>
    </row>
    <row r="530" customFormat="false" ht="15" hidden="false" customHeight="false" outlineLevel="0" collapsed="false">
      <c r="A530" s="28" t="n">
        <v>529</v>
      </c>
      <c r="B530" s="43" t="n">
        <v>45792.4881944444</v>
      </c>
      <c r="C530" s="43" t="n">
        <v>45792.5015625</v>
      </c>
      <c r="D530" s="42" t="n">
        <f aca="false">INT(C530)</f>
        <v>45792</v>
      </c>
      <c r="E530" s="42" t="n">
        <f aca="false">D530-WEEKDAY(D530,3)</f>
        <v>45789</v>
      </c>
      <c r="F530" s="28" t="s">
        <v>168</v>
      </c>
      <c r="G530" s="28" t="n">
        <v>2025</v>
      </c>
      <c r="H530" s="28" t="s">
        <v>239</v>
      </c>
      <c r="I530" s="28" t="n">
        <v>11</v>
      </c>
      <c r="J530" s="28" t="s">
        <v>236</v>
      </c>
      <c r="K530" s="28" t="s">
        <v>237</v>
      </c>
      <c r="L530" s="28" t="n">
        <v>0.23</v>
      </c>
      <c r="M530" s="31" t="n">
        <v>21143.94</v>
      </c>
      <c r="N530" s="31" t="n">
        <v>21162.07</v>
      </c>
      <c r="O530" s="31" t="n">
        <v>21107.68</v>
      </c>
      <c r="P530" s="44" t="n">
        <f aca="false">ABS(M530-N530)</f>
        <v>18.130000000001</v>
      </c>
      <c r="Q530" s="44" t="n">
        <f aca="false">IF(O530="","",ABS(O530-M530))</f>
        <v>36.2599999999984</v>
      </c>
      <c r="R530" s="30" t="n">
        <f aca="false">P530*L530*Summary!$C$6</f>
        <v>83.3980000000047</v>
      </c>
      <c r="S530" s="31" t="n">
        <v>21144.4</v>
      </c>
      <c r="T530" s="28" t="s">
        <v>238</v>
      </c>
      <c r="U530" s="44" t="n">
        <f aca="false">IF(J530="BUY",S530-M530,M530-S530)</f>
        <v>-0.460000000002765</v>
      </c>
      <c r="V530" s="45" t="n">
        <v>0</v>
      </c>
      <c r="W530" s="45" t="n">
        <v>0</v>
      </c>
      <c r="X530" s="45" t="n">
        <v>-2.12</v>
      </c>
      <c r="Y530" s="32" t="n">
        <f aca="false">IFERROR(X530/R530,0)</f>
        <v>-0.0254202738674774</v>
      </c>
      <c r="Z530" s="28" t="str">
        <f aca="false">IF(X530&gt;0,"Win",IF(X530&lt;0,"Loss","Flat"))</f>
        <v>Loss</v>
      </c>
      <c r="AA530" s="28" t="n">
        <f aca="false">ROUND((C530-B530)*1440,1)</f>
        <v>19.3</v>
      </c>
      <c r="AB530" s="28" t="str">
        <f aca="false">IF(AA530&lt;1,"a) &lt;1 min",IF(AA530&lt;10,"b) 1-10 min",IF(AA530&lt;60,"c) 10-60 min",IF(AA530&lt;240,"d) 1-4 h","e) 4 h+"))))</f>
        <v>c) 10-60 min</v>
      </c>
      <c r="AC530" s="28" t="str">
        <f aca="false">IF(P530&lt;10,"a) &lt;10",IF(P530&lt;20,"b) 10-20",IF(P530&lt;40,"c) 20-40",IF(P530&lt;80,"d) 40-80","e) 80+"))))</f>
        <v>b) 10-20</v>
      </c>
      <c r="AD530" s="30" t="n">
        <f aca="false">Summary!$C$5+SUM(X$2:X530)</f>
        <v>111581.33</v>
      </c>
      <c r="AE530" s="30" t="n">
        <f aca="false">MAX(AE529,AD530)</f>
        <v>111943.1</v>
      </c>
      <c r="AF530" s="30" t="n">
        <f aca="false">AE530-AD530</f>
        <v>361.770000000004</v>
      </c>
      <c r="AG530" s="29" t="n">
        <f aca="false">IFERROR(AF530/AE530,0)</f>
        <v>0.00323173112054253</v>
      </c>
    </row>
    <row r="531" customFormat="false" ht="15" hidden="false" customHeight="false" outlineLevel="0" collapsed="false">
      <c r="A531" s="28" t="n">
        <v>530</v>
      </c>
      <c r="B531" s="43" t="n">
        <v>45792.7805555556</v>
      </c>
      <c r="C531" s="43" t="n">
        <v>45792.8067592593</v>
      </c>
      <c r="D531" s="42" t="n">
        <f aca="false">INT(C531)</f>
        <v>45792</v>
      </c>
      <c r="E531" s="42" t="n">
        <f aca="false">D531-WEEKDAY(D531,3)</f>
        <v>45789</v>
      </c>
      <c r="F531" s="28" t="s">
        <v>168</v>
      </c>
      <c r="G531" s="28" t="n">
        <v>2025</v>
      </c>
      <c r="H531" s="28" t="s">
        <v>239</v>
      </c>
      <c r="I531" s="28" t="n">
        <v>18</v>
      </c>
      <c r="J531" s="28" t="s">
        <v>233</v>
      </c>
      <c r="K531" s="28" t="s">
        <v>234</v>
      </c>
      <c r="L531" s="28" t="n">
        <v>0.23</v>
      </c>
      <c r="M531" s="31" t="n">
        <v>21346.7</v>
      </c>
      <c r="N531" s="31" t="n">
        <v>21326.65</v>
      </c>
      <c r="O531" s="31" t="n">
        <v>21386.81</v>
      </c>
      <c r="P531" s="44" t="n">
        <f aca="false">ABS(M531-N531)</f>
        <v>20.0499999999993</v>
      </c>
      <c r="Q531" s="44" t="n">
        <f aca="false">IF(O531="","",ABS(O531-M531))</f>
        <v>40.1100000000006</v>
      </c>
      <c r="R531" s="30" t="n">
        <f aca="false">P531*L531*Summary!$C$6</f>
        <v>92.2299999999967</v>
      </c>
      <c r="S531" s="31" t="n">
        <v>21346.19</v>
      </c>
      <c r="T531" s="28" t="s">
        <v>238</v>
      </c>
      <c r="U531" s="44" t="n">
        <f aca="false">IF(J531="BUY",S531-M531,M531-S531)</f>
        <v>-0.510000000002037</v>
      </c>
      <c r="V531" s="45" t="n">
        <v>0</v>
      </c>
      <c r="W531" s="45" t="n">
        <v>0</v>
      </c>
      <c r="X531" s="45" t="n">
        <v>-2.35</v>
      </c>
      <c r="Y531" s="32" t="n">
        <f aca="false">IFERROR(X531/R531,0)</f>
        <v>-0.0254797788138359</v>
      </c>
      <c r="Z531" s="28" t="str">
        <f aca="false">IF(X531&gt;0,"Win",IF(X531&lt;0,"Loss","Flat"))</f>
        <v>Loss</v>
      </c>
      <c r="AA531" s="28" t="n">
        <f aca="false">ROUND((C531-B531)*1440,1)</f>
        <v>37.7</v>
      </c>
      <c r="AB531" s="28" t="str">
        <f aca="false">IF(AA531&lt;1,"a) &lt;1 min",IF(AA531&lt;10,"b) 1-10 min",IF(AA531&lt;60,"c) 10-60 min",IF(AA531&lt;240,"d) 1-4 h","e) 4 h+"))))</f>
        <v>c) 10-60 min</v>
      </c>
      <c r="AC531" s="28" t="str">
        <f aca="false">IF(P531&lt;10,"a) &lt;10",IF(P531&lt;20,"b) 10-20",IF(P531&lt;40,"c) 20-40",IF(P531&lt;80,"d) 40-80","e) 80+"))))</f>
        <v>c) 20-40</v>
      </c>
      <c r="AD531" s="30" t="n">
        <f aca="false">Summary!$C$5+SUM(X$2:X531)</f>
        <v>111578.98</v>
      </c>
      <c r="AE531" s="30" t="n">
        <f aca="false">MAX(AE530,AD531)</f>
        <v>111943.1</v>
      </c>
      <c r="AF531" s="30" t="n">
        <f aca="false">AE531-AD531</f>
        <v>364.12000000001</v>
      </c>
      <c r="AG531" s="29" t="n">
        <f aca="false">IFERROR(AF531/AE531,0)</f>
        <v>0.0032527239284959</v>
      </c>
    </row>
    <row r="532" customFormat="false" ht="15" hidden="false" customHeight="false" outlineLevel="0" collapsed="false">
      <c r="A532" s="28" t="n">
        <v>531</v>
      </c>
      <c r="B532" s="43" t="n">
        <v>45796.0513888889</v>
      </c>
      <c r="C532" s="43" t="n">
        <v>45796.0825</v>
      </c>
      <c r="D532" s="42" t="n">
        <f aca="false">INT(C532)</f>
        <v>45796</v>
      </c>
      <c r="E532" s="42" t="n">
        <f aca="false">D532-WEEKDAY(D532,3)</f>
        <v>45796</v>
      </c>
      <c r="F532" s="28" t="s">
        <v>168</v>
      </c>
      <c r="G532" s="28" t="n">
        <v>2025</v>
      </c>
      <c r="H532" s="28" t="s">
        <v>240</v>
      </c>
      <c r="I532" s="28" t="n">
        <v>1</v>
      </c>
      <c r="J532" s="28" t="s">
        <v>236</v>
      </c>
      <c r="K532" s="28" t="s">
        <v>237</v>
      </c>
      <c r="L532" s="28" t="n">
        <v>0.23</v>
      </c>
      <c r="M532" s="31" t="n">
        <v>21239.92</v>
      </c>
      <c r="N532" s="31" t="n">
        <v>21292.94</v>
      </c>
      <c r="O532" s="31" t="n">
        <v>21133.88</v>
      </c>
      <c r="P532" s="44" t="n">
        <f aca="false">ABS(M532-N532)</f>
        <v>53.0200000000004</v>
      </c>
      <c r="Q532" s="44" t="n">
        <f aca="false">IF(O532="","",ABS(O532-M532))</f>
        <v>106.039999999997</v>
      </c>
      <c r="R532" s="30" t="n">
        <f aca="false">P532*L532*Summary!$C$6</f>
        <v>243.892000000002</v>
      </c>
      <c r="S532" s="31" t="n">
        <v>21294.3</v>
      </c>
      <c r="T532" s="28" t="s">
        <v>241</v>
      </c>
      <c r="U532" s="44" t="n">
        <f aca="false">IF(J532="BUY",S532-M532,M532-S532)</f>
        <v>-54.380000000001</v>
      </c>
      <c r="V532" s="45" t="n">
        <v>0</v>
      </c>
      <c r="W532" s="45" t="n">
        <v>0</v>
      </c>
      <c r="X532" s="45" t="n">
        <v>-250.15</v>
      </c>
      <c r="Y532" s="32" t="n">
        <f aca="false">IFERROR(X532/R532,0)</f>
        <v>-1.02565889820083</v>
      </c>
      <c r="Z532" s="28" t="str">
        <f aca="false">IF(X532&gt;0,"Win",IF(X532&lt;0,"Loss","Flat"))</f>
        <v>Loss</v>
      </c>
      <c r="AA532" s="28" t="n">
        <f aca="false">ROUND((C532-B532)*1440,1)</f>
        <v>44.8</v>
      </c>
      <c r="AB532" s="28" t="str">
        <f aca="false">IF(AA532&lt;1,"a) &lt;1 min",IF(AA532&lt;10,"b) 1-10 min",IF(AA532&lt;60,"c) 10-60 min",IF(AA532&lt;240,"d) 1-4 h","e) 4 h+"))))</f>
        <v>c) 10-60 min</v>
      </c>
      <c r="AC532" s="28" t="str">
        <f aca="false">IF(P532&lt;10,"a) &lt;10",IF(P532&lt;20,"b) 10-20",IF(P532&lt;40,"c) 20-40",IF(P532&lt;80,"d) 40-80","e) 80+"))))</f>
        <v>d) 40-80</v>
      </c>
      <c r="AD532" s="30" t="n">
        <f aca="false">Summary!$C$5+SUM(X$2:X532)</f>
        <v>111328.83</v>
      </c>
      <c r="AE532" s="30" t="n">
        <f aca="false">MAX(AE531,AD532)</f>
        <v>111943.1</v>
      </c>
      <c r="AF532" s="30" t="n">
        <f aca="false">AE532-AD532</f>
        <v>614.270000000004</v>
      </c>
      <c r="AG532" s="29" t="n">
        <f aca="false">IFERROR(AF532/AE532,0)</f>
        <v>0.00548734133680418</v>
      </c>
    </row>
    <row r="533" customFormat="false" ht="15" hidden="false" customHeight="false" outlineLevel="0" collapsed="false">
      <c r="A533" s="28" t="n">
        <v>532</v>
      </c>
      <c r="B533" s="43" t="n">
        <v>45796.8354166667</v>
      </c>
      <c r="C533" s="43" t="n">
        <v>45796.8554282407</v>
      </c>
      <c r="D533" s="42" t="n">
        <f aca="false">INT(C533)</f>
        <v>45796</v>
      </c>
      <c r="E533" s="42" t="n">
        <f aca="false">D533-WEEKDAY(D533,3)</f>
        <v>45796</v>
      </c>
      <c r="F533" s="28" t="s">
        <v>168</v>
      </c>
      <c r="G533" s="28" t="n">
        <v>2025</v>
      </c>
      <c r="H533" s="28" t="s">
        <v>240</v>
      </c>
      <c r="I533" s="28" t="n">
        <v>20</v>
      </c>
      <c r="J533" s="28" t="s">
        <v>233</v>
      </c>
      <c r="K533" s="28" t="s">
        <v>234</v>
      </c>
      <c r="L533" s="28" t="n">
        <v>0.23</v>
      </c>
      <c r="M533" s="31" t="n">
        <v>21431.82</v>
      </c>
      <c r="N533" s="31" t="n">
        <v>21411.88</v>
      </c>
      <c r="O533" s="31" t="n">
        <v>21471.7</v>
      </c>
      <c r="P533" s="44" t="n">
        <f aca="false">ABS(M533-N533)</f>
        <v>19.9399999999987</v>
      </c>
      <c r="Q533" s="44" t="n">
        <f aca="false">IF(O533="","",ABS(O533-M533))</f>
        <v>39.880000000001</v>
      </c>
      <c r="R533" s="30" t="n">
        <f aca="false">P533*L533*Summary!$C$6</f>
        <v>91.723999999994</v>
      </c>
      <c r="S533" s="31" t="n">
        <v>21431.77</v>
      </c>
      <c r="T533" s="28" t="s">
        <v>238</v>
      </c>
      <c r="U533" s="44" t="n">
        <f aca="false">IF(J533="BUY",S533-M533,M533-S533)</f>
        <v>-0.0499999999992724</v>
      </c>
      <c r="V533" s="45" t="n">
        <v>0</v>
      </c>
      <c r="W533" s="45" t="n">
        <v>0</v>
      </c>
      <c r="X533" s="45" t="n">
        <v>-0.23</v>
      </c>
      <c r="Y533" s="32" t="n">
        <f aca="false">IFERROR(X533/R533,0)</f>
        <v>-0.00250752256770327</v>
      </c>
      <c r="Z533" s="28" t="str">
        <f aca="false">IF(X533&gt;0,"Win",IF(X533&lt;0,"Loss","Flat"))</f>
        <v>Loss</v>
      </c>
      <c r="AA533" s="28" t="n">
        <f aca="false">ROUND((C533-B533)*1440,1)</f>
        <v>28.8</v>
      </c>
      <c r="AB533" s="28" t="str">
        <f aca="false">IF(AA533&lt;1,"a) &lt;1 min",IF(AA533&lt;10,"b) 1-10 min",IF(AA533&lt;60,"c) 10-60 min",IF(AA533&lt;240,"d) 1-4 h","e) 4 h+"))))</f>
        <v>c) 10-60 min</v>
      </c>
      <c r="AC533" s="28" t="str">
        <f aca="false">IF(P533&lt;10,"a) &lt;10",IF(P533&lt;20,"b) 10-20",IF(P533&lt;40,"c) 20-40",IF(P533&lt;80,"d) 40-80","e) 80+"))))</f>
        <v>b) 10-20</v>
      </c>
      <c r="AD533" s="30" t="n">
        <f aca="false">Summary!$C$5+SUM(X$2:X533)</f>
        <v>111328.6</v>
      </c>
      <c r="AE533" s="30" t="n">
        <f aca="false">MAX(AE532,AD533)</f>
        <v>111943.1</v>
      </c>
      <c r="AF533" s="30" t="n">
        <f aca="false">AE533-AD533</f>
        <v>614.5</v>
      </c>
      <c r="AG533" s="29" t="n">
        <f aca="false">IFERROR(AF533/AE533,0)</f>
        <v>0.00548939595205064</v>
      </c>
    </row>
    <row r="534" customFormat="false" ht="15" hidden="false" customHeight="false" outlineLevel="0" collapsed="false">
      <c r="A534" s="28" t="n">
        <v>533</v>
      </c>
      <c r="B534" s="43" t="n">
        <v>45797.1055555556</v>
      </c>
      <c r="C534" s="43" t="n">
        <v>45797.1076273148</v>
      </c>
      <c r="D534" s="42" t="n">
        <f aca="false">INT(C534)</f>
        <v>45797</v>
      </c>
      <c r="E534" s="42" t="n">
        <f aca="false">D534-WEEKDAY(D534,3)</f>
        <v>45796</v>
      </c>
      <c r="F534" s="28" t="s">
        <v>168</v>
      </c>
      <c r="G534" s="28" t="n">
        <v>2025</v>
      </c>
      <c r="H534" s="28" t="s">
        <v>232</v>
      </c>
      <c r="I534" s="28" t="n">
        <v>2</v>
      </c>
      <c r="J534" s="28" t="s">
        <v>233</v>
      </c>
      <c r="K534" s="28" t="s">
        <v>234</v>
      </c>
      <c r="L534" s="28" t="n">
        <v>0.23</v>
      </c>
      <c r="M534" s="31" t="n">
        <v>21465.5</v>
      </c>
      <c r="N534" s="31" t="n">
        <v>21457.13</v>
      </c>
      <c r="O534" s="31" t="n">
        <v>21482.24</v>
      </c>
      <c r="P534" s="44" t="n">
        <f aca="false">ABS(M534-N534)</f>
        <v>8.36999999999898</v>
      </c>
      <c r="Q534" s="44" t="n">
        <f aca="false">IF(O534="","",ABS(O534-M534))</f>
        <v>16.7400000000016</v>
      </c>
      <c r="R534" s="30" t="n">
        <f aca="false">P534*L534*Summary!$C$6</f>
        <v>38.5019999999953</v>
      </c>
      <c r="S534" s="31" t="n">
        <v>21482.65</v>
      </c>
      <c r="T534" s="28" t="s">
        <v>214</v>
      </c>
      <c r="U534" s="44" t="n">
        <f aca="false">IF(J534="BUY",S534-M534,M534-S534)</f>
        <v>17.1500000000015</v>
      </c>
      <c r="V534" s="45" t="n">
        <v>0</v>
      </c>
      <c r="W534" s="45" t="n">
        <v>0</v>
      </c>
      <c r="X534" s="45" t="n">
        <v>78.89</v>
      </c>
      <c r="Y534" s="32" t="n">
        <f aca="false">IFERROR(X534/R534,0)</f>
        <v>2.04898446833956</v>
      </c>
      <c r="Z534" s="28" t="str">
        <f aca="false">IF(X534&gt;0,"Win",IF(X534&lt;0,"Loss","Flat"))</f>
        <v>Win</v>
      </c>
      <c r="AA534" s="28" t="n">
        <f aca="false">ROUND((C534-B534)*1440,1)</f>
        <v>3</v>
      </c>
      <c r="AB534" s="28" t="str">
        <f aca="false">IF(AA534&lt;1,"a) &lt;1 min",IF(AA534&lt;10,"b) 1-10 min",IF(AA534&lt;60,"c) 10-60 min",IF(AA534&lt;240,"d) 1-4 h","e) 4 h+"))))</f>
        <v>b) 1-10 min</v>
      </c>
      <c r="AC534" s="28" t="str">
        <f aca="false">IF(P534&lt;10,"a) &lt;10",IF(P534&lt;20,"b) 10-20",IF(P534&lt;40,"c) 20-40",IF(P534&lt;80,"d) 40-80","e) 80+"))))</f>
        <v>a) &lt;10</v>
      </c>
      <c r="AD534" s="30" t="n">
        <f aca="false">Summary!$C$5+SUM(X$2:X534)</f>
        <v>111407.49</v>
      </c>
      <c r="AE534" s="30" t="n">
        <f aca="false">MAX(AE533,AD534)</f>
        <v>111943.1</v>
      </c>
      <c r="AF534" s="30" t="n">
        <f aca="false">AE534-AD534</f>
        <v>535.610000000001</v>
      </c>
      <c r="AG534" s="29" t="n">
        <f aca="false">IFERROR(AF534/AE534,0)</f>
        <v>0.0047846629225026</v>
      </c>
    </row>
    <row r="535" customFormat="false" ht="15" hidden="false" customHeight="false" outlineLevel="0" collapsed="false">
      <c r="A535" s="28" t="n">
        <v>534</v>
      </c>
      <c r="B535" s="43" t="n">
        <v>45798.4027777778</v>
      </c>
      <c r="C535" s="43" t="n">
        <v>45798.4117476852</v>
      </c>
      <c r="D535" s="42" t="n">
        <f aca="false">INT(C535)</f>
        <v>45798</v>
      </c>
      <c r="E535" s="42" t="n">
        <f aca="false">D535-WEEKDAY(D535,3)</f>
        <v>45796</v>
      </c>
      <c r="F535" s="28" t="s">
        <v>168</v>
      </c>
      <c r="G535" s="28" t="n">
        <v>2025</v>
      </c>
      <c r="H535" s="28" t="s">
        <v>235</v>
      </c>
      <c r="I535" s="28" t="n">
        <v>9</v>
      </c>
      <c r="J535" s="28" t="s">
        <v>236</v>
      </c>
      <c r="K535" s="28" t="s">
        <v>237</v>
      </c>
      <c r="L535" s="28" t="n">
        <v>0.23</v>
      </c>
      <c r="M535" s="31" t="n">
        <v>21222.29</v>
      </c>
      <c r="N535" s="31" t="n">
        <v>21237.87</v>
      </c>
      <c r="O535" s="31" t="n">
        <v>21191.12</v>
      </c>
      <c r="P535" s="44" t="n">
        <f aca="false">ABS(M535-N535)</f>
        <v>15.5799999999981</v>
      </c>
      <c r="Q535" s="44" t="n">
        <f aca="false">IF(O535="","",ABS(O535-M535))</f>
        <v>31.1700000000019</v>
      </c>
      <c r="R535" s="30" t="n">
        <f aca="false">P535*L535*Summary!$C$6</f>
        <v>71.6679999999913</v>
      </c>
      <c r="S535" s="31" t="n">
        <v>21238.05</v>
      </c>
      <c r="T535" s="28" t="s">
        <v>241</v>
      </c>
      <c r="U535" s="44" t="n">
        <f aca="false">IF(J535="BUY",S535-M535,M535-S535)</f>
        <v>-15.7599999999984</v>
      </c>
      <c r="V535" s="45" t="n">
        <v>0</v>
      </c>
      <c r="W535" s="45" t="n">
        <v>0</v>
      </c>
      <c r="X535" s="45" t="n">
        <v>-72.5</v>
      </c>
      <c r="Y535" s="32" t="n">
        <f aca="false">IFERROR(X535/R535,0)</f>
        <v>-1.0116090863427</v>
      </c>
      <c r="Z535" s="28" t="str">
        <f aca="false">IF(X535&gt;0,"Win",IF(X535&lt;0,"Loss","Flat"))</f>
        <v>Loss</v>
      </c>
      <c r="AA535" s="28" t="n">
        <f aca="false">ROUND((C535-B535)*1440,1)</f>
        <v>12.9</v>
      </c>
      <c r="AB535" s="28" t="str">
        <f aca="false">IF(AA535&lt;1,"a) &lt;1 min",IF(AA535&lt;10,"b) 1-10 min",IF(AA535&lt;60,"c) 10-60 min",IF(AA535&lt;240,"d) 1-4 h","e) 4 h+"))))</f>
        <v>c) 10-60 min</v>
      </c>
      <c r="AC535" s="28" t="str">
        <f aca="false">IF(P535&lt;10,"a) &lt;10",IF(P535&lt;20,"b) 10-20",IF(P535&lt;40,"c) 20-40",IF(P535&lt;80,"d) 40-80","e) 80+"))))</f>
        <v>b) 10-20</v>
      </c>
      <c r="AD535" s="30" t="n">
        <f aca="false">Summary!$C$5+SUM(X$2:X535)</f>
        <v>111334.99</v>
      </c>
      <c r="AE535" s="30" t="n">
        <f aca="false">MAX(AE534,AD535)</f>
        <v>111943.1</v>
      </c>
      <c r="AF535" s="30" t="n">
        <f aca="false">AE535-AD535</f>
        <v>608.110000000001</v>
      </c>
      <c r="AG535" s="29" t="n">
        <f aca="false">IFERROR(AF535/AE535,0)</f>
        <v>0.00543231338063713</v>
      </c>
    </row>
    <row r="536" customFormat="false" ht="15" hidden="false" customHeight="false" outlineLevel="0" collapsed="false">
      <c r="A536" s="28" t="n">
        <v>535</v>
      </c>
      <c r="B536" s="43" t="n">
        <v>45799.6347222222</v>
      </c>
      <c r="C536" s="43" t="n">
        <v>45799.6396759259</v>
      </c>
      <c r="D536" s="42" t="n">
        <f aca="false">INT(C536)</f>
        <v>45799</v>
      </c>
      <c r="E536" s="42" t="n">
        <f aca="false">D536-WEEKDAY(D536,3)</f>
        <v>45796</v>
      </c>
      <c r="F536" s="28" t="s">
        <v>168</v>
      </c>
      <c r="G536" s="28" t="n">
        <v>2025</v>
      </c>
      <c r="H536" s="28" t="s">
        <v>239</v>
      </c>
      <c r="I536" s="28" t="n">
        <v>15</v>
      </c>
      <c r="J536" s="28" t="s">
        <v>236</v>
      </c>
      <c r="K536" s="28" t="s">
        <v>237</v>
      </c>
      <c r="L536" s="28" t="n">
        <v>0.23</v>
      </c>
      <c r="M536" s="31" t="n">
        <v>20998.15</v>
      </c>
      <c r="N536" s="31" t="n">
        <v>21023.17</v>
      </c>
      <c r="O536" s="31" t="n">
        <v>20948.11</v>
      </c>
      <c r="P536" s="44" t="n">
        <f aca="false">ABS(M536-N536)</f>
        <v>25.0199999999968</v>
      </c>
      <c r="Q536" s="44" t="n">
        <f aca="false">IF(O536="","",ABS(O536-M536))</f>
        <v>50.0400000000009</v>
      </c>
      <c r="R536" s="30" t="n">
        <f aca="false">P536*L536*Summary!$C$6</f>
        <v>115.091999999985</v>
      </c>
      <c r="S536" s="31" t="n">
        <v>20998.93</v>
      </c>
      <c r="T536" s="28" t="s">
        <v>238</v>
      </c>
      <c r="U536" s="44" t="n">
        <f aca="false">IF(J536="BUY",S536-M536,M536-S536)</f>
        <v>-0.779999999998836</v>
      </c>
      <c r="V536" s="45" t="n">
        <v>0</v>
      </c>
      <c r="W536" s="45" t="n">
        <v>0</v>
      </c>
      <c r="X536" s="45" t="n">
        <v>-3.59</v>
      </c>
      <c r="Y536" s="32" t="n">
        <f aca="false">IFERROR(X536/R536,0)</f>
        <v>-0.0311924373544682</v>
      </c>
      <c r="Z536" s="28" t="str">
        <f aca="false">IF(X536&gt;0,"Win",IF(X536&lt;0,"Loss","Flat"))</f>
        <v>Loss</v>
      </c>
      <c r="AA536" s="28" t="n">
        <f aca="false">ROUND((C536-B536)*1440,1)</f>
        <v>7.1</v>
      </c>
      <c r="AB536" s="28" t="str">
        <f aca="false">IF(AA536&lt;1,"a) &lt;1 min",IF(AA536&lt;10,"b) 1-10 min",IF(AA536&lt;60,"c) 10-60 min",IF(AA536&lt;240,"d) 1-4 h","e) 4 h+"))))</f>
        <v>b) 1-10 min</v>
      </c>
      <c r="AC536" s="28" t="str">
        <f aca="false">IF(P536&lt;10,"a) &lt;10",IF(P536&lt;20,"b) 10-20",IF(P536&lt;40,"c) 20-40",IF(P536&lt;80,"d) 40-80","e) 80+"))))</f>
        <v>c) 20-40</v>
      </c>
      <c r="AD536" s="30" t="n">
        <f aca="false">Summary!$C$5+SUM(X$2:X536)</f>
        <v>111331.4</v>
      </c>
      <c r="AE536" s="30" t="n">
        <f aca="false">MAX(AE535,AD536)</f>
        <v>111943.1</v>
      </c>
      <c r="AF536" s="30" t="n">
        <f aca="false">AE536-AD536</f>
        <v>611.700000000012</v>
      </c>
      <c r="AG536" s="29" t="n">
        <f aca="false">IFERROR(AF536/AE536,0)</f>
        <v>0.0054643832447021</v>
      </c>
    </row>
    <row r="537" customFormat="false" ht="15" hidden="false" customHeight="false" outlineLevel="0" collapsed="false">
      <c r="A537" s="28" t="n">
        <v>536</v>
      </c>
      <c r="B537" s="43" t="n">
        <v>45800.6138888889</v>
      </c>
      <c r="C537" s="43" t="n">
        <v>45800.614375</v>
      </c>
      <c r="D537" s="42" t="n">
        <f aca="false">INT(C537)</f>
        <v>45800</v>
      </c>
      <c r="E537" s="42" t="n">
        <f aca="false">D537-WEEKDAY(D537,3)</f>
        <v>45796</v>
      </c>
      <c r="F537" s="28" t="s">
        <v>168</v>
      </c>
      <c r="G537" s="28" t="n">
        <v>2025</v>
      </c>
      <c r="H537" s="28" t="s">
        <v>242</v>
      </c>
      <c r="I537" s="28" t="n">
        <v>14</v>
      </c>
      <c r="J537" s="28" t="s">
        <v>236</v>
      </c>
      <c r="K537" s="28" t="s">
        <v>237</v>
      </c>
      <c r="L537" s="28" t="n">
        <v>0.23</v>
      </c>
      <c r="M537" s="31" t="n">
        <v>20953.83</v>
      </c>
      <c r="N537" s="31" t="n">
        <v>20993.89</v>
      </c>
      <c r="O537" s="31" t="n">
        <v>20873.71</v>
      </c>
      <c r="P537" s="44" t="n">
        <f aca="false">ABS(M537-N537)</f>
        <v>40.0599999999977</v>
      </c>
      <c r="Q537" s="44" t="n">
        <f aca="false">IF(O537="","",ABS(O537-M537))</f>
        <v>80.1200000000026</v>
      </c>
      <c r="R537" s="30" t="n">
        <f aca="false">P537*L537*Summary!$C$6</f>
        <v>184.275999999989</v>
      </c>
      <c r="S537" s="31" t="n">
        <v>20870.34</v>
      </c>
      <c r="T537" s="28" t="s">
        <v>214</v>
      </c>
      <c r="U537" s="44" t="n">
        <f aca="false">IF(J537="BUY",S537-M537,M537-S537)</f>
        <v>83.4900000000016</v>
      </c>
      <c r="V537" s="45" t="n">
        <v>0</v>
      </c>
      <c r="W537" s="45" t="n">
        <v>0</v>
      </c>
      <c r="X537" s="45" t="n">
        <v>384.05</v>
      </c>
      <c r="Y537" s="32" t="n">
        <f aca="false">IFERROR(X537/R537,0)</f>
        <v>2.08410210770812</v>
      </c>
      <c r="Z537" s="28" t="str">
        <f aca="false">IF(X537&gt;0,"Win",IF(X537&lt;0,"Loss","Flat"))</f>
        <v>Win</v>
      </c>
      <c r="AA537" s="28" t="n">
        <f aca="false">ROUND((C537-B537)*1440,1)</f>
        <v>0.7</v>
      </c>
      <c r="AB537" s="28" t="str">
        <f aca="false">IF(AA537&lt;1,"a) &lt;1 min",IF(AA537&lt;10,"b) 1-10 min",IF(AA537&lt;60,"c) 10-60 min",IF(AA537&lt;240,"d) 1-4 h","e) 4 h+"))))</f>
        <v>a) &lt;1 min</v>
      </c>
      <c r="AC537" s="28" t="str">
        <f aca="false">IF(P537&lt;10,"a) &lt;10",IF(P537&lt;20,"b) 10-20",IF(P537&lt;40,"c) 20-40",IF(P537&lt;80,"d) 40-80","e) 80+"))))</f>
        <v>d) 40-80</v>
      </c>
      <c r="AD537" s="30" t="n">
        <f aca="false">Summary!$C$5+SUM(X$2:X537)</f>
        <v>111715.45</v>
      </c>
      <c r="AE537" s="30" t="n">
        <f aca="false">MAX(AE536,AD537)</f>
        <v>111943.1</v>
      </c>
      <c r="AF537" s="30" t="n">
        <f aca="false">AE537-AD537</f>
        <v>227.650000000009</v>
      </c>
      <c r="AG537" s="29" t="n">
        <f aca="false">IFERROR(AF537/AE537,0)</f>
        <v>0.00203362243854252</v>
      </c>
    </row>
    <row r="538" customFormat="false" ht="15" hidden="false" customHeight="false" outlineLevel="0" collapsed="false">
      <c r="A538" s="28" t="n">
        <v>537</v>
      </c>
      <c r="B538" s="43" t="n">
        <v>45803.2243171296</v>
      </c>
      <c r="C538" s="43" t="n">
        <v>45803.2314699074</v>
      </c>
      <c r="D538" s="42" t="n">
        <f aca="false">INT(C538)</f>
        <v>45803</v>
      </c>
      <c r="E538" s="42" t="n">
        <f aca="false">D538-WEEKDAY(D538,3)</f>
        <v>45803</v>
      </c>
      <c r="F538" s="28" t="s">
        <v>168</v>
      </c>
      <c r="G538" s="28" t="n">
        <v>2025</v>
      </c>
      <c r="H538" s="28" t="s">
        <v>240</v>
      </c>
      <c r="I538" s="28" t="n">
        <v>5</v>
      </c>
      <c r="J538" s="28" t="s">
        <v>233</v>
      </c>
      <c r="K538" s="28" t="s">
        <v>234</v>
      </c>
      <c r="L538" s="28" t="n">
        <v>0.23</v>
      </c>
      <c r="M538" s="31" t="n">
        <v>21167.9</v>
      </c>
      <c r="N538" s="31" t="n">
        <v>21155.81</v>
      </c>
      <c r="O538" s="31" t="n">
        <v>21192.07</v>
      </c>
      <c r="P538" s="44" t="n">
        <f aca="false">ABS(M538-N538)</f>
        <v>12.0900000000001</v>
      </c>
      <c r="Q538" s="44" t="n">
        <f aca="false">IF(O538="","",ABS(O538-M538))</f>
        <v>24.1699999999983</v>
      </c>
      <c r="R538" s="30" t="n">
        <f aca="false">P538*L538*Summary!$C$6</f>
        <v>55.6140000000007</v>
      </c>
      <c r="S538" s="31" t="n">
        <v>21155.08</v>
      </c>
      <c r="T538" s="28" t="s">
        <v>241</v>
      </c>
      <c r="U538" s="44" t="n">
        <f aca="false">IF(J538="BUY",S538-M538,M538-S538)</f>
        <v>-12.8199999999997</v>
      </c>
      <c r="V538" s="45" t="n">
        <v>0</v>
      </c>
      <c r="W538" s="45" t="n">
        <v>0</v>
      </c>
      <c r="X538" s="45" t="n">
        <v>-58.97</v>
      </c>
      <c r="Y538" s="32" t="n">
        <f aca="false">IFERROR(X538/R538,0)</f>
        <v>-1.06034451756751</v>
      </c>
      <c r="Z538" s="28" t="str">
        <f aca="false">IF(X538&gt;0,"Win",IF(X538&lt;0,"Loss","Flat"))</f>
        <v>Loss</v>
      </c>
      <c r="AA538" s="28" t="n">
        <f aca="false">ROUND((C538-B538)*1440,1)</f>
        <v>10.3</v>
      </c>
      <c r="AB538" s="28" t="str">
        <f aca="false">IF(AA538&lt;1,"a) &lt;1 min",IF(AA538&lt;10,"b) 1-10 min",IF(AA538&lt;60,"c) 10-60 min",IF(AA538&lt;240,"d) 1-4 h","e) 4 h+"))))</f>
        <v>c) 10-60 min</v>
      </c>
      <c r="AC538" s="28" t="str">
        <f aca="false">IF(P538&lt;10,"a) &lt;10",IF(P538&lt;20,"b) 10-20",IF(P538&lt;40,"c) 20-40",IF(P538&lt;80,"d) 40-80","e) 80+"))))</f>
        <v>b) 10-20</v>
      </c>
      <c r="AD538" s="30" t="n">
        <f aca="false">Summary!$C$5+SUM(X$2:X538)</f>
        <v>111656.48</v>
      </c>
      <c r="AE538" s="30" t="n">
        <f aca="false">MAX(AE537,AD538)</f>
        <v>111943.1</v>
      </c>
      <c r="AF538" s="30" t="n">
        <f aca="false">AE538-AD538</f>
        <v>286.62000000001</v>
      </c>
      <c r="AG538" s="29" t="n">
        <f aca="false">IFERROR(AF538/AE538,0)</f>
        <v>0.00256040792152451</v>
      </c>
    </row>
    <row r="539" customFormat="false" ht="15" hidden="false" customHeight="false" outlineLevel="0" collapsed="false">
      <c r="A539" s="28" t="n">
        <v>538</v>
      </c>
      <c r="B539" s="43" t="n">
        <v>45804.4388888889</v>
      </c>
      <c r="C539" s="43" t="n">
        <v>45804.4498032407</v>
      </c>
      <c r="D539" s="42" t="n">
        <f aca="false">INT(C539)</f>
        <v>45804</v>
      </c>
      <c r="E539" s="42" t="n">
        <f aca="false">D539-WEEKDAY(D539,3)</f>
        <v>45803</v>
      </c>
      <c r="F539" s="28" t="s">
        <v>168</v>
      </c>
      <c r="G539" s="28" t="n">
        <v>2025</v>
      </c>
      <c r="H539" s="28" t="s">
        <v>232</v>
      </c>
      <c r="I539" s="28" t="n">
        <v>10</v>
      </c>
      <c r="J539" s="28" t="s">
        <v>233</v>
      </c>
      <c r="K539" s="28" t="s">
        <v>234</v>
      </c>
      <c r="L539" s="28" t="n">
        <v>0.23</v>
      </c>
      <c r="M539" s="31" t="n">
        <v>21257.23</v>
      </c>
      <c r="N539" s="31" t="n">
        <v>21238.99</v>
      </c>
      <c r="O539" s="31" t="n">
        <v>21293.71</v>
      </c>
      <c r="P539" s="44" t="n">
        <f aca="false">ABS(M539-N539)</f>
        <v>18.239999999998</v>
      </c>
      <c r="Q539" s="44" t="n">
        <f aca="false">IF(O539="","",ABS(O539-M539))</f>
        <v>36.4799999999996</v>
      </c>
      <c r="R539" s="30" t="n">
        <f aca="false">P539*L539*Summary!$C$6</f>
        <v>83.9039999999906</v>
      </c>
      <c r="S539" s="31" t="n">
        <v>21293.79</v>
      </c>
      <c r="T539" s="28" t="s">
        <v>214</v>
      </c>
      <c r="U539" s="44" t="n">
        <f aca="false">IF(J539="BUY",S539-M539,M539-S539)</f>
        <v>36.5600000000013</v>
      </c>
      <c r="V539" s="45" t="n">
        <v>0</v>
      </c>
      <c r="W539" s="45" t="n">
        <v>0</v>
      </c>
      <c r="X539" s="45" t="n">
        <v>168.18</v>
      </c>
      <c r="Y539" s="32" t="n">
        <f aca="false">IFERROR(X539/R539,0)</f>
        <v>2.00443363844416</v>
      </c>
      <c r="Z539" s="28" t="str">
        <f aca="false">IF(X539&gt;0,"Win",IF(X539&lt;0,"Loss","Flat"))</f>
        <v>Win</v>
      </c>
      <c r="AA539" s="28" t="n">
        <f aca="false">ROUND((C539-B539)*1440,1)</f>
        <v>15.7</v>
      </c>
      <c r="AB539" s="28" t="str">
        <f aca="false">IF(AA539&lt;1,"a) &lt;1 min",IF(AA539&lt;10,"b) 1-10 min",IF(AA539&lt;60,"c) 10-60 min",IF(AA539&lt;240,"d) 1-4 h","e) 4 h+"))))</f>
        <v>c) 10-60 min</v>
      </c>
      <c r="AC539" s="28" t="str">
        <f aca="false">IF(P539&lt;10,"a) &lt;10",IF(P539&lt;20,"b) 10-20",IF(P539&lt;40,"c) 20-40",IF(P539&lt;80,"d) 40-80","e) 80+"))))</f>
        <v>b) 10-20</v>
      </c>
      <c r="AD539" s="30" t="n">
        <f aca="false">Summary!$C$5+SUM(X$2:X539)</f>
        <v>111824.66</v>
      </c>
      <c r="AE539" s="30" t="n">
        <f aca="false">MAX(AE538,AD539)</f>
        <v>111943.1</v>
      </c>
      <c r="AF539" s="30" t="n">
        <f aca="false">AE539-AD539</f>
        <v>118.440000000002</v>
      </c>
      <c r="AG539" s="29" t="n">
        <f aca="false">IFERROR(AF539/AE539,0)</f>
        <v>0.00105803752084767</v>
      </c>
    </row>
    <row r="540" customFormat="false" ht="15" hidden="false" customHeight="false" outlineLevel="0" collapsed="false">
      <c r="A540" s="28" t="n">
        <v>539</v>
      </c>
      <c r="B540" s="43" t="n">
        <v>45805.5673611111</v>
      </c>
      <c r="C540" s="43" t="n">
        <v>45805.5827430556</v>
      </c>
      <c r="D540" s="42" t="n">
        <f aca="false">INT(C540)</f>
        <v>45805</v>
      </c>
      <c r="E540" s="42" t="n">
        <f aca="false">D540-WEEKDAY(D540,3)</f>
        <v>45803</v>
      </c>
      <c r="F540" s="28" t="s">
        <v>168</v>
      </c>
      <c r="G540" s="28" t="n">
        <v>2025</v>
      </c>
      <c r="H540" s="28" t="s">
        <v>235</v>
      </c>
      <c r="I540" s="28" t="n">
        <v>13</v>
      </c>
      <c r="J540" s="28" t="s">
        <v>233</v>
      </c>
      <c r="K540" s="28" t="s">
        <v>234</v>
      </c>
      <c r="L540" s="28" t="n">
        <v>0.23</v>
      </c>
      <c r="M540" s="31" t="n">
        <v>21435.1</v>
      </c>
      <c r="N540" s="31" t="n">
        <v>21423.46</v>
      </c>
      <c r="O540" s="31" t="n">
        <v>21458.38</v>
      </c>
      <c r="P540" s="44" t="n">
        <f aca="false">ABS(M540-N540)</f>
        <v>11.6399999999994</v>
      </c>
      <c r="Q540" s="44" t="n">
        <f aca="false">IF(O540="","",ABS(O540-M540))</f>
        <v>23.2800000000025</v>
      </c>
      <c r="R540" s="30" t="n">
        <f aca="false">P540*L540*Summary!$C$6</f>
        <v>53.5439999999973</v>
      </c>
      <c r="S540" s="31" t="n">
        <v>21458.5</v>
      </c>
      <c r="T540" s="28" t="s">
        <v>214</v>
      </c>
      <c r="U540" s="44" t="n">
        <f aca="false">IF(J540="BUY",S540-M540,M540-S540)</f>
        <v>23.4000000000015</v>
      </c>
      <c r="V540" s="45" t="n">
        <v>0</v>
      </c>
      <c r="W540" s="45" t="n">
        <v>0</v>
      </c>
      <c r="X540" s="45" t="n">
        <v>107.64</v>
      </c>
      <c r="Y540" s="32" t="n">
        <f aca="false">IFERROR(X540/R540,0)</f>
        <v>2.01030927835062</v>
      </c>
      <c r="Z540" s="28" t="str">
        <f aca="false">IF(X540&gt;0,"Win",IF(X540&lt;0,"Loss","Flat"))</f>
        <v>Win</v>
      </c>
      <c r="AA540" s="28" t="n">
        <f aca="false">ROUND((C540-B540)*1440,1)</f>
        <v>22.2</v>
      </c>
      <c r="AB540" s="28" t="str">
        <f aca="false">IF(AA540&lt;1,"a) &lt;1 min",IF(AA540&lt;10,"b) 1-10 min",IF(AA540&lt;60,"c) 10-60 min",IF(AA540&lt;240,"d) 1-4 h","e) 4 h+"))))</f>
        <v>c) 10-60 min</v>
      </c>
      <c r="AC540" s="28" t="str">
        <f aca="false">IF(P540&lt;10,"a) &lt;10",IF(P540&lt;20,"b) 10-20",IF(P540&lt;40,"c) 20-40",IF(P540&lt;80,"d) 40-80","e) 80+"))))</f>
        <v>b) 10-20</v>
      </c>
      <c r="AD540" s="30" t="n">
        <f aca="false">Summary!$C$5+SUM(X$2:X540)</f>
        <v>111932.3</v>
      </c>
      <c r="AE540" s="30" t="n">
        <f aca="false">MAX(AE539,AD540)</f>
        <v>111943.1</v>
      </c>
      <c r="AF540" s="30" t="n">
        <f aca="false">AE540-AD540</f>
        <v>10.8000000000029</v>
      </c>
      <c r="AG540" s="29" t="n">
        <f aca="false">IFERROR(AF540/AE540,0)</f>
        <v>9.64775854876532E-005</v>
      </c>
    </row>
    <row r="541" customFormat="false" ht="15" hidden="false" customHeight="false" outlineLevel="0" collapsed="false">
      <c r="A541" s="28" t="n">
        <v>540</v>
      </c>
      <c r="B541" s="43" t="n">
        <v>45806.0770833333</v>
      </c>
      <c r="C541" s="43" t="n">
        <v>45806.0836805556</v>
      </c>
      <c r="D541" s="42" t="n">
        <f aca="false">INT(C541)</f>
        <v>45806</v>
      </c>
      <c r="E541" s="42" t="n">
        <f aca="false">D541-WEEKDAY(D541,3)</f>
        <v>45803</v>
      </c>
      <c r="F541" s="28" t="s">
        <v>168</v>
      </c>
      <c r="G541" s="28" t="n">
        <v>2025</v>
      </c>
      <c r="H541" s="28" t="s">
        <v>239</v>
      </c>
      <c r="I541" s="28" t="n">
        <v>1</v>
      </c>
      <c r="J541" s="28" t="s">
        <v>233</v>
      </c>
      <c r="K541" s="28" t="s">
        <v>234</v>
      </c>
      <c r="L541" s="28" t="n">
        <v>0.23</v>
      </c>
      <c r="M541" s="31" t="n">
        <v>21520.82</v>
      </c>
      <c r="N541" s="31" t="n">
        <v>21507.09</v>
      </c>
      <c r="O541" s="31" t="n">
        <v>21548.28</v>
      </c>
      <c r="P541" s="44" t="n">
        <f aca="false">ABS(M541-N541)</f>
        <v>13.7299999999996</v>
      </c>
      <c r="Q541" s="44" t="n">
        <f aca="false">IF(O541="","",ABS(O541-M541))</f>
        <v>27.4599999999991</v>
      </c>
      <c r="R541" s="30" t="n">
        <f aca="false">P541*L541*Summary!$C$6</f>
        <v>63.157999999998</v>
      </c>
      <c r="S541" s="31" t="n">
        <v>21549.12</v>
      </c>
      <c r="T541" s="28" t="s">
        <v>214</v>
      </c>
      <c r="U541" s="44" t="n">
        <f aca="false">IF(J541="BUY",S541-M541,M541-S541)</f>
        <v>28.2999999999993</v>
      </c>
      <c r="V541" s="45" t="n">
        <v>0</v>
      </c>
      <c r="W541" s="45" t="n">
        <v>0</v>
      </c>
      <c r="X541" s="45" t="n">
        <v>130.18</v>
      </c>
      <c r="Y541" s="32" t="n">
        <f aca="false">IFERROR(X541/R541,0)</f>
        <v>2.06117989803357</v>
      </c>
      <c r="Z541" s="28" t="str">
        <f aca="false">IF(X541&gt;0,"Win",IF(X541&lt;0,"Loss","Flat"))</f>
        <v>Win</v>
      </c>
      <c r="AA541" s="28" t="n">
        <f aca="false">ROUND((C541-B541)*1440,1)</f>
        <v>9.5</v>
      </c>
      <c r="AB541" s="28" t="str">
        <f aca="false">IF(AA541&lt;1,"a) &lt;1 min",IF(AA541&lt;10,"b) 1-10 min",IF(AA541&lt;60,"c) 10-60 min",IF(AA541&lt;240,"d) 1-4 h","e) 4 h+"))))</f>
        <v>b) 1-10 min</v>
      </c>
      <c r="AC541" s="28" t="str">
        <f aca="false">IF(P541&lt;10,"a) &lt;10",IF(P541&lt;20,"b) 10-20",IF(P541&lt;40,"c) 20-40",IF(P541&lt;80,"d) 40-80","e) 80+"))))</f>
        <v>b) 10-20</v>
      </c>
      <c r="AD541" s="30" t="n">
        <f aca="false">Summary!$C$5+SUM(X$2:X541)</f>
        <v>112062.48</v>
      </c>
      <c r="AE541" s="30" t="n">
        <f aca="false">MAX(AE540,AD541)</f>
        <v>112062.48</v>
      </c>
      <c r="AF541" s="30" t="n">
        <f aca="false">AE541-AD541</f>
        <v>0</v>
      </c>
      <c r="AG541" s="29" t="n">
        <f aca="false">IFERROR(AF541/AE541,0)</f>
        <v>0</v>
      </c>
    </row>
    <row r="542" customFormat="false" ht="15" hidden="false" customHeight="false" outlineLevel="0" collapsed="false">
      <c r="A542" s="28" t="n">
        <v>541</v>
      </c>
      <c r="B542" s="43" t="n">
        <v>45806.7923611111</v>
      </c>
      <c r="C542" s="43" t="n">
        <v>45806.79625</v>
      </c>
      <c r="D542" s="42" t="n">
        <f aca="false">INT(C542)</f>
        <v>45806</v>
      </c>
      <c r="E542" s="42" t="n">
        <f aca="false">D542-WEEKDAY(D542,3)</f>
        <v>45803</v>
      </c>
      <c r="F542" s="28" t="s">
        <v>168</v>
      </c>
      <c r="G542" s="28" t="n">
        <v>2025</v>
      </c>
      <c r="H542" s="28" t="s">
        <v>239</v>
      </c>
      <c r="I542" s="28" t="n">
        <v>19</v>
      </c>
      <c r="J542" s="28" t="s">
        <v>236</v>
      </c>
      <c r="K542" s="28" t="s">
        <v>237</v>
      </c>
      <c r="L542" s="28" t="n">
        <v>0.23</v>
      </c>
      <c r="M542" s="31" t="n">
        <v>21260.11</v>
      </c>
      <c r="N542" s="31" t="n">
        <v>21312.09</v>
      </c>
      <c r="O542" s="31" t="n">
        <v>21162.14</v>
      </c>
      <c r="P542" s="44" t="n">
        <f aca="false">ABS(M542-N542)</f>
        <v>51.9799999999996</v>
      </c>
      <c r="Q542" s="44" t="n">
        <f aca="false">IF(O542="","",ABS(O542-M542))</f>
        <v>97.9700000000012</v>
      </c>
      <c r="R542" s="30" t="n">
        <f aca="false">P542*L542*Summary!$C$6</f>
        <v>239.107999999998</v>
      </c>
      <c r="S542" s="31" t="n">
        <v>21312.36</v>
      </c>
      <c r="T542" s="28" t="s">
        <v>241</v>
      </c>
      <c r="U542" s="44" t="n">
        <f aca="false">IF(J542="BUY",S542-M542,M542-S542)</f>
        <v>-52.25</v>
      </c>
      <c r="V542" s="45" t="n">
        <v>0</v>
      </c>
      <c r="W542" s="45" t="n">
        <v>0</v>
      </c>
      <c r="X542" s="45" t="n">
        <v>-240.35</v>
      </c>
      <c r="Y542" s="32" t="n">
        <f aca="false">IFERROR(X542/R542,0)</f>
        <v>-1.00519430550212</v>
      </c>
      <c r="Z542" s="28" t="str">
        <f aca="false">IF(X542&gt;0,"Win",IF(X542&lt;0,"Loss","Flat"))</f>
        <v>Loss</v>
      </c>
      <c r="AA542" s="28" t="n">
        <f aca="false">ROUND((C542-B542)*1440,1)</f>
        <v>5.6</v>
      </c>
      <c r="AB542" s="28" t="str">
        <f aca="false">IF(AA542&lt;1,"a) &lt;1 min",IF(AA542&lt;10,"b) 1-10 min",IF(AA542&lt;60,"c) 10-60 min",IF(AA542&lt;240,"d) 1-4 h","e) 4 h+"))))</f>
        <v>b) 1-10 min</v>
      </c>
      <c r="AC542" s="28" t="str">
        <f aca="false">IF(P542&lt;10,"a) &lt;10",IF(P542&lt;20,"b) 10-20",IF(P542&lt;40,"c) 20-40",IF(P542&lt;80,"d) 40-80","e) 80+"))))</f>
        <v>d) 40-80</v>
      </c>
      <c r="AD542" s="30" t="n">
        <f aca="false">Summary!$C$5+SUM(X$2:X542)</f>
        <v>111822.13</v>
      </c>
      <c r="AE542" s="30" t="n">
        <f aca="false">MAX(AE541,AD542)</f>
        <v>112062.48</v>
      </c>
      <c r="AF542" s="30" t="n">
        <f aca="false">AE542-AD542</f>
        <v>240.349999999991</v>
      </c>
      <c r="AG542" s="29" t="n">
        <f aca="false">IFERROR(AF542/AE542,0)</f>
        <v>0.00214478565885737</v>
      </c>
    </row>
    <row r="543" customFormat="false" ht="15" hidden="false" customHeight="false" outlineLevel="0" collapsed="false">
      <c r="A543" s="28" t="n">
        <v>542</v>
      </c>
      <c r="B543" s="43" t="n">
        <v>45807.1805555556</v>
      </c>
      <c r="C543" s="43" t="n">
        <v>45807.1846990741</v>
      </c>
      <c r="D543" s="42" t="n">
        <f aca="false">INT(C543)</f>
        <v>45807</v>
      </c>
      <c r="E543" s="42" t="n">
        <f aca="false">D543-WEEKDAY(D543,3)</f>
        <v>45803</v>
      </c>
      <c r="F543" s="28" t="s">
        <v>168</v>
      </c>
      <c r="G543" s="28" t="n">
        <v>2025</v>
      </c>
      <c r="H543" s="28" t="s">
        <v>242</v>
      </c>
      <c r="I543" s="28" t="n">
        <v>4</v>
      </c>
      <c r="J543" s="28" t="s">
        <v>236</v>
      </c>
      <c r="K543" s="28" t="s">
        <v>237</v>
      </c>
      <c r="L543" s="28" t="n">
        <v>0.23</v>
      </c>
      <c r="M543" s="31" t="n">
        <v>21246.27</v>
      </c>
      <c r="N543" s="31" t="n">
        <v>21267.73</v>
      </c>
      <c r="O543" s="31" t="n">
        <v>21203.34</v>
      </c>
      <c r="P543" s="44" t="n">
        <f aca="false">ABS(M543-N543)</f>
        <v>21.4599999999991</v>
      </c>
      <c r="Q543" s="44" t="n">
        <f aca="false">IF(O543="","",ABS(O543-M543))</f>
        <v>42.9300000000003</v>
      </c>
      <c r="R543" s="30" t="n">
        <f aca="false">P543*L543*Summary!$C$6</f>
        <v>98.715999999996</v>
      </c>
      <c r="S543" s="31" t="n">
        <v>21267.85</v>
      </c>
      <c r="T543" s="28" t="s">
        <v>241</v>
      </c>
      <c r="U543" s="44" t="n">
        <f aca="false">IF(J543="BUY",S543-M543,M543-S543)</f>
        <v>-21.5799999999981</v>
      </c>
      <c r="V543" s="45" t="n">
        <v>0</v>
      </c>
      <c r="W543" s="45" t="n">
        <v>0</v>
      </c>
      <c r="X543" s="45" t="n">
        <v>-99.27</v>
      </c>
      <c r="Y543" s="32" t="n">
        <f aca="false">IFERROR(X543/R543,0)</f>
        <v>-1.00561205883549</v>
      </c>
      <c r="Z543" s="28" t="str">
        <f aca="false">IF(X543&gt;0,"Win",IF(X543&lt;0,"Loss","Flat"))</f>
        <v>Loss</v>
      </c>
      <c r="AA543" s="28" t="n">
        <f aca="false">ROUND((C543-B543)*1440,1)</f>
        <v>6</v>
      </c>
      <c r="AB543" s="28" t="str">
        <f aca="false">IF(AA543&lt;1,"a) &lt;1 min",IF(AA543&lt;10,"b) 1-10 min",IF(AA543&lt;60,"c) 10-60 min",IF(AA543&lt;240,"d) 1-4 h","e) 4 h+"))))</f>
        <v>b) 1-10 min</v>
      </c>
      <c r="AC543" s="28" t="str">
        <f aca="false">IF(P543&lt;10,"a) &lt;10",IF(P543&lt;20,"b) 10-20",IF(P543&lt;40,"c) 20-40",IF(P543&lt;80,"d) 40-80","e) 80+"))))</f>
        <v>c) 20-40</v>
      </c>
      <c r="AD543" s="30" t="n">
        <f aca="false">Summary!$C$5+SUM(X$2:X543)</f>
        <v>111722.86</v>
      </c>
      <c r="AE543" s="30" t="n">
        <f aca="false">MAX(AE542,AD543)</f>
        <v>112062.48</v>
      </c>
      <c r="AF543" s="30" t="n">
        <f aca="false">AE543-AD543</f>
        <v>339.619999999995</v>
      </c>
      <c r="AG543" s="29" t="n">
        <f aca="false">IFERROR(AF543/AE543,0)</f>
        <v>0.00303063076954923</v>
      </c>
    </row>
    <row r="544" customFormat="false" ht="15" hidden="false" customHeight="false" outlineLevel="0" collapsed="false">
      <c r="A544" s="28" t="n">
        <v>543</v>
      </c>
      <c r="B544" s="43" t="n">
        <v>45810.69375</v>
      </c>
      <c r="C544" s="43" t="n">
        <v>45810.6988425926</v>
      </c>
      <c r="D544" s="42" t="n">
        <f aca="false">INT(C544)</f>
        <v>45810</v>
      </c>
      <c r="E544" s="42" t="n">
        <f aca="false">D544-WEEKDAY(D544,3)</f>
        <v>45810</v>
      </c>
      <c r="F544" s="28" t="s">
        <v>169</v>
      </c>
      <c r="G544" s="28" t="n">
        <v>2025</v>
      </c>
      <c r="H544" s="28" t="s">
        <v>240</v>
      </c>
      <c r="I544" s="28" t="n">
        <v>16</v>
      </c>
      <c r="J544" s="28" t="s">
        <v>233</v>
      </c>
      <c r="K544" s="28" t="s">
        <v>234</v>
      </c>
      <c r="L544" s="28" t="n">
        <v>0.23</v>
      </c>
      <c r="M544" s="31" t="n">
        <v>21406.85</v>
      </c>
      <c r="N544" s="31" t="n">
        <v>21354.16</v>
      </c>
      <c r="O544" s="31" t="n">
        <v>21511.3</v>
      </c>
      <c r="P544" s="44" t="n">
        <f aca="false">ABS(M544-N544)</f>
        <v>52.6899999999987</v>
      </c>
      <c r="Q544" s="44" t="n">
        <f aca="false">IF(O544="","",ABS(O544-M544))</f>
        <v>104.450000000001</v>
      </c>
      <c r="R544" s="30" t="n">
        <f aca="false">P544*L544*Summary!$C$6</f>
        <v>242.373999999994</v>
      </c>
      <c r="S544" s="31" t="n">
        <v>21353.58</v>
      </c>
      <c r="T544" s="28" t="s">
        <v>241</v>
      </c>
      <c r="U544" s="44" t="n">
        <f aca="false">IF(J544="BUY",S544-M544,M544-S544)</f>
        <v>-53.2699999999968</v>
      </c>
      <c r="V544" s="45" t="n">
        <v>0</v>
      </c>
      <c r="W544" s="45" t="n">
        <v>0</v>
      </c>
      <c r="X544" s="45" t="n">
        <v>-245.04</v>
      </c>
      <c r="Y544" s="32" t="n">
        <f aca="false">IFERROR(X544/R544,0)</f>
        <v>-1.01099952965255</v>
      </c>
      <c r="Z544" s="28" t="str">
        <f aca="false">IF(X544&gt;0,"Win",IF(X544&lt;0,"Loss","Flat"))</f>
        <v>Loss</v>
      </c>
      <c r="AA544" s="28" t="n">
        <f aca="false">ROUND((C544-B544)*1440,1)</f>
        <v>7.3</v>
      </c>
      <c r="AB544" s="28" t="str">
        <f aca="false">IF(AA544&lt;1,"a) &lt;1 min",IF(AA544&lt;10,"b) 1-10 min",IF(AA544&lt;60,"c) 10-60 min",IF(AA544&lt;240,"d) 1-4 h","e) 4 h+"))))</f>
        <v>b) 1-10 min</v>
      </c>
      <c r="AC544" s="28" t="str">
        <f aca="false">IF(P544&lt;10,"a) &lt;10",IF(P544&lt;20,"b) 10-20",IF(P544&lt;40,"c) 20-40",IF(P544&lt;80,"d) 40-80","e) 80+"))))</f>
        <v>d) 40-80</v>
      </c>
      <c r="AD544" s="30" t="n">
        <f aca="false">Summary!$C$5+SUM(X$2:X544)</f>
        <v>111477.82</v>
      </c>
      <c r="AE544" s="30" t="n">
        <f aca="false">MAX(AE543,AD544)</f>
        <v>112062.48</v>
      </c>
      <c r="AF544" s="30" t="n">
        <f aca="false">AE544-AD544</f>
        <v>584.659999999989</v>
      </c>
      <c r="AG544" s="29" t="n">
        <f aca="false">IFERROR(AF544/AE544,0)</f>
        <v>0.0052172680811632</v>
      </c>
    </row>
    <row r="545" customFormat="false" ht="15" hidden="false" customHeight="false" outlineLevel="0" collapsed="false">
      <c r="A545" s="28" t="n">
        <v>544</v>
      </c>
      <c r="B545" s="43" t="n">
        <v>45811.6881944445</v>
      </c>
      <c r="C545" s="43" t="n">
        <v>45811.6888657407</v>
      </c>
      <c r="D545" s="42" t="n">
        <f aca="false">INT(C545)</f>
        <v>45811</v>
      </c>
      <c r="E545" s="42" t="n">
        <f aca="false">D545-WEEKDAY(D545,3)</f>
        <v>45810</v>
      </c>
      <c r="F545" s="28" t="s">
        <v>169</v>
      </c>
      <c r="G545" s="28" t="n">
        <v>2025</v>
      </c>
      <c r="H545" s="28" t="s">
        <v>232</v>
      </c>
      <c r="I545" s="28" t="n">
        <v>16</v>
      </c>
      <c r="J545" s="28" t="s">
        <v>233</v>
      </c>
      <c r="K545" s="28" t="s">
        <v>234</v>
      </c>
      <c r="L545" s="28" t="n">
        <v>0.23</v>
      </c>
      <c r="M545" s="31" t="n">
        <v>21547.24</v>
      </c>
      <c r="N545" s="31" t="n">
        <v>21522.12</v>
      </c>
      <c r="O545" s="31" t="n">
        <v>21594.09</v>
      </c>
      <c r="P545" s="44" t="n">
        <f aca="false">ABS(M545-N545)</f>
        <v>25.1200000000026</v>
      </c>
      <c r="Q545" s="44" t="n">
        <f aca="false">IF(O545="","",ABS(O545-M545))</f>
        <v>46.8499999999985</v>
      </c>
      <c r="R545" s="30" t="n">
        <f aca="false">P545*L545*Summary!$C$6</f>
        <v>115.552000000012</v>
      </c>
      <c r="S545" s="31" t="n">
        <v>21521.79</v>
      </c>
      <c r="T545" s="28" t="s">
        <v>241</v>
      </c>
      <c r="U545" s="44" t="n">
        <f aca="false">IF(J545="BUY",S545-M545,M545-S545)</f>
        <v>-25.4500000000007</v>
      </c>
      <c r="V545" s="45" t="n">
        <v>0</v>
      </c>
      <c r="W545" s="45" t="n">
        <v>0</v>
      </c>
      <c r="X545" s="45" t="n">
        <v>-117.07</v>
      </c>
      <c r="Y545" s="32" t="n">
        <f aca="false">IFERROR(X545/R545,0)</f>
        <v>-1.01313694267505</v>
      </c>
      <c r="Z545" s="28" t="str">
        <f aca="false">IF(X545&gt;0,"Win",IF(X545&lt;0,"Loss","Flat"))</f>
        <v>Loss</v>
      </c>
      <c r="AA545" s="28" t="n">
        <f aca="false">ROUND((C545-B545)*1440,1)</f>
        <v>1</v>
      </c>
      <c r="AB545" s="28" t="str">
        <f aca="false">IF(AA545&lt;1,"a) &lt;1 min",IF(AA545&lt;10,"b) 1-10 min",IF(AA545&lt;60,"c) 10-60 min",IF(AA545&lt;240,"d) 1-4 h","e) 4 h+"))))</f>
        <v>b) 1-10 min</v>
      </c>
      <c r="AC545" s="28" t="str">
        <f aca="false">IF(P545&lt;10,"a) &lt;10",IF(P545&lt;20,"b) 10-20",IF(P545&lt;40,"c) 20-40",IF(P545&lt;80,"d) 40-80","e) 80+"))))</f>
        <v>c) 20-40</v>
      </c>
      <c r="AD545" s="30" t="n">
        <f aca="false">Summary!$C$5+SUM(X$2:X545)</f>
        <v>111360.75</v>
      </c>
      <c r="AE545" s="30" t="n">
        <f aca="false">MAX(AE544,AD545)</f>
        <v>112062.48</v>
      </c>
      <c r="AF545" s="30" t="n">
        <f aca="false">AE545-AD545</f>
        <v>701.729999999996</v>
      </c>
      <c r="AG545" s="29" t="n">
        <f aca="false">IFERROR(AF545/AE545,0)</f>
        <v>0.0062619531532766</v>
      </c>
    </row>
    <row r="546" customFormat="false" ht="15" hidden="false" customHeight="false" outlineLevel="0" collapsed="false">
      <c r="A546" s="28" t="n">
        <v>545</v>
      </c>
      <c r="B546" s="43" t="n">
        <v>45812.6277777778</v>
      </c>
      <c r="C546" s="43" t="n">
        <v>45812.6314930556</v>
      </c>
      <c r="D546" s="42" t="n">
        <f aca="false">INT(C546)</f>
        <v>45812</v>
      </c>
      <c r="E546" s="42" t="n">
        <f aca="false">D546-WEEKDAY(D546,3)</f>
        <v>45810</v>
      </c>
      <c r="F546" s="28" t="s">
        <v>169</v>
      </c>
      <c r="G546" s="28" t="n">
        <v>2025</v>
      </c>
      <c r="H546" s="28" t="s">
        <v>235</v>
      </c>
      <c r="I546" s="28" t="n">
        <v>15</v>
      </c>
      <c r="J546" s="28" t="s">
        <v>233</v>
      </c>
      <c r="K546" s="28" t="s">
        <v>234</v>
      </c>
      <c r="L546" s="28" t="n">
        <v>0.23</v>
      </c>
      <c r="M546" s="31" t="n">
        <v>21718.01</v>
      </c>
      <c r="N546" s="31" t="n">
        <v>21709.58</v>
      </c>
      <c r="O546" s="31" t="n">
        <v>21734.87</v>
      </c>
      <c r="P546" s="44" t="n">
        <f aca="false">ABS(M546-N546)</f>
        <v>8.42999999999665</v>
      </c>
      <c r="Q546" s="44" t="n">
        <f aca="false">IF(O546="","",ABS(O546-M546))</f>
        <v>16.8600000000006</v>
      </c>
      <c r="R546" s="30" t="n">
        <f aca="false">P546*L546*Summary!$C$6</f>
        <v>38.7779999999846</v>
      </c>
      <c r="S546" s="31" t="n">
        <v>21717.95</v>
      </c>
      <c r="T546" s="28" t="s">
        <v>238</v>
      </c>
      <c r="U546" s="44" t="n">
        <f aca="false">IF(J546="BUY",S546-M546,M546-S546)</f>
        <v>-0.0599999999976717</v>
      </c>
      <c r="V546" s="45" t="n">
        <v>0</v>
      </c>
      <c r="W546" s="45" t="n">
        <v>0</v>
      </c>
      <c r="X546" s="45" t="n">
        <v>-0.28</v>
      </c>
      <c r="Y546" s="32" t="n">
        <f aca="false">IFERROR(X546/R546,0)</f>
        <v>-0.00722058899376222</v>
      </c>
      <c r="Z546" s="28" t="str">
        <f aca="false">IF(X546&gt;0,"Win",IF(X546&lt;0,"Loss","Flat"))</f>
        <v>Loss</v>
      </c>
      <c r="AA546" s="28" t="n">
        <f aca="false">ROUND((C546-B546)*1440,1)</f>
        <v>5.4</v>
      </c>
      <c r="AB546" s="28" t="str">
        <f aca="false">IF(AA546&lt;1,"a) &lt;1 min",IF(AA546&lt;10,"b) 1-10 min",IF(AA546&lt;60,"c) 10-60 min",IF(AA546&lt;240,"d) 1-4 h","e) 4 h+"))))</f>
        <v>b) 1-10 min</v>
      </c>
      <c r="AC546" s="28" t="str">
        <f aca="false">IF(P546&lt;10,"a) &lt;10",IF(P546&lt;20,"b) 10-20",IF(P546&lt;40,"c) 20-40",IF(P546&lt;80,"d) 40-80","e) 80+"))))</f>
        <v>a) &lt;10</v>
      </c>
      <c r="AD546" s="30" t="n">
        <f aca="false">Summary!$C$5+SUM(X$2:X546)</f>
        <v>111360.47</v>
      </c>
      <c r="AE546" s="30" t="n">
        <f aca="false">MAX(AE545,AD546)</f>
        <v>112062.48</v>
      </c>
      <c r="AF546" s="30" t="n">
        <f aca="false">AE546-AD546</f>
        <v>702.009999999995</v>
      </c>
      <c r="AG546" s="29" t="n">
        <f aca="false">IFERROR(AF546/AE546,0)</f>
        <v>0.00626445175941131</v>
      </c>
    </row>
    <row r="547" customFormat="false" ht="15" hidden="false" customHeight="false" outlineLevel="0" collapsed="false">
      <c r="A547" s="28" t="n">
        <v>546</v>
      </c>
      <c r="B547" s="43" t="n">
        <v>45813.4361111111</v>
      </c>
      <c r="C547" s="43" t="n">
        <v>45813.4462152778</v>
      </c>
      <c r="D547" s="42" t="n">
        <f aca="false">INT(C547)</f>
        <v>45813</v>
      </c>
      <c r="E547" s="42" t="n">
        <f aca="false">D547-WEEKDAY(D547,3)</f>
        <v>45810</v>
      </c>
      <c r="F547" s="28" t="s">
        <v>169</v>
      </c>
      <c r="G547" s="28" t="n">
        <v>2025</v>
      </c>
      <c r="H547" s="28" t="s">
        <v>239</v>
      </c>
      <c r="I547" s="28" t="n">
        <v>10</v>
      </c>
      <c r="J547" s="28" t="s">
        <v>233</v>
      </c>
      <c r="K547" s="28" t="s">
        <v>234</v>
      </c>
      <c r="L547" s="28" t="n">
        <v>0.23</v>
      </c>
      <c r="M547" s="31" t="n">
        <v>21767.27</v>
      </c>
      <c r="N547" s="31" t="n">
        <v>21751.61</v>
      </c>
      <c r="O547" s="31" t="n">
        <v>21798.59</v>
      </c>
      <c r="P547" s="44" t="n">
        <f aca="false">ABS(M547-N547)</f>
        <v>15.6599999999999</v>
      </c>
      <c r="Q547" s="44" t="n">
        <f aca="false">IF(O547="","",ABS(O547-M547))</f>
        <v>31.3199999999997</v>
      </c>
      <c r="R547" s="30" t="n">
        <f aca="false">P547*L547*Summary!$C$6</f>
        <v>72.0359999999993</v>
      </c>
      <c r="S547" s="31" t="n">
        <v>21798.78</v>
      </c>
      <c r="T547" s="28" t="s">
        <v>214</v>
      </c>
      <c r="U547" s="44" t="n">
        <f aca="false">IF(J547="BUY",S547-M547,M547-S547)</f>
        <v>31.5099999999984</v>
      </c>
      <c r="V547" s="45" t="n">
        <v>0</v>
      </c>
      <c r="W547" s="45" t="n">
        <v>0</v>
      </c>
      <c r="X547" s="45" t="n">
        <v>144.95</v>
      </c>
      <c r="Y547" s="32" t="n">
        <f aca="false">IFERROR(X547/R547,0)</f>
        <v>2.01218835026933</v>
      </c>
      <c r="Z547" s="28" t="str">
        <f aca="false">IF(X547&gt;0,"Win",IF(X547&lt;0,"Loss","Flat"))</f>
        <v>Win</v>
      </c>
      <c r="AA547" s="28" t="n">
        <f aca="false">ROUND((C547-B547)*1440,1)</f>
        <v>14.6</v>
      </c>
      <c r="AB547" s="28" t="str">
        <f aca="false">IF(AA547&lt;1,"a) &lt;1 min",IF(AA547&lt;10,"b) 1-10 min",IF(AA547&lt;60,"c) 10-60 min",IF(AA547&lt;240,"d) 1-4 h","e) 4 h+"))))</f>
        <v>c) 10-60 min</v>
      </c>
      <c r="AC547" s="28" t="str">
        <f aca="false">IF(P547&lt;10,"a) &lt;10",IF(P547&lt;20,"b) 10-20",IF(P547&lt;40,"c) 20-40",IF(P547&lt;80,"d) 40-80","e) 80+"))))</f>
        <v>b) 10-20</v>
      </c>
      <c r="AD547" s="30" t="n">
        <f aca="false">Summary!$C$5+SUM(X$2:X547)</f>
        <v>111505.42</v>
      </c>
      <c r="AE547" s="30" t="n">
        <f aca="false">MAX(AE546,AD547)</f>
        <v>112062.48</v>
      </c>
      <c r="AF547" s="30" t="n">
        <f aca="false">AE547-AD547</f>
        <v>557.059999999998</v>
      </c>
      <c r="AG547" s="29" t="n">
        <f aca="false">IFERROR(AF547/AE547,0)</f>
        <v>0.00497097690502653</v>
      </c>
    </row>
    <row r="548" customFormat="false" ht="15" hidden="false" customHeight="false" outlineLevel="0" collapsed="false">
      <c r="A548" s="28" t="n">
        <v>547</v>
      </c>
      <c r="B548" s="43" t="n">
        <v>45813.8868055556</v>
      </c>
      <c r="C548" s="43" t="n">
        <v>45813.8883796296</v>
      </c>
      <c r="D548" s="42" t="n">
        <f aca="false">INT(C548)</f>
        <v>45813</v>
      </c>
      <c r="E548" s="42" t="n">
        <f aca="false">D548-WEEKDAY(D548,3)</f>
        <v>45810</v>
      </c>
      <c r="F548" s="28" t="s">
        <v>169</v>
      </c>
      <c r="G548" s="28" t="n">
        <v>2025</v>
      </c>
      <c r="H548" s="28" t="s">
        <v>239</v>
      </c>
      <c r="I548" s="28" t="n">
        <v>21</v>
      </c>
      <c r="J548" s="28" t="s">
        <v>236</v>
      </c>
      <c r="K548" s="28" t="s">
        <v>237</v>
      </c>
      <c r="L548" s="28" t="n">
        <v>0.23</v>
      </c>
      <c r="M548" s="31" t="n">
        <v>21588.55</v>
      </c>
      <c r="N548" s="31" t="n">
        <v>21625.87</v>
      </c>
      <c r="O548" s="31" t="n">
        <v>21513.91</v>
      </c>
      <c r="P548" s="44" t="n">
        <f aca="false">ABS(M548-N548)</f>
        <v>37.3199999999997</v>
      </c>
      <c r="Q548" s="44" t="n">
        <f aca="false">IF(O548="","",ABS(O548-M548))</f>
        <v>74.6399999999994</v>
      </c>
      <c r="R548" s="30" t="n">
        <f aca="false">P548*L548*Summary!$C$6</f>
        <v>171.671999999999</v>
      </c>
      <c r="S548" s="31" t="n">
        <v>21628.75</v>
      </c>
      <c r="T548" s="28" t="s">
        <v>241</v>
      </c>
      <c r="U548" s="44" t="n">
        <f aca="false">IF(J548="BUY",S548-M548,M548-S548)</f>
        <v>-40.2000000000007</v>
      </c>
      <c r="V548" s="45" t="n">
        <v>0</v>
      </c>
      <c r="W548" s="45" t="n">
        <v>0</v>
      </c>
      <c r="X548" s="45" t="n">
        <v>-184.92</v>
      </c>
      <c r="Y548" s="32" t="n">
        <f aca="false">IFERROR(X548/R548,0)</f>
        <v>-1.07717041800644</v>
      </c>
      <c r="Z548" s="28" t="str">
        <f aca="false">IF(X548&gt;0,"Win",IF(X548&lt;0,"Loss","Flat"))</f>
        <v>Loss</v>
      </c>
      <c r="AA548" s="28" t="n">
        <f aca="false">ROUND((C548-B548)*1440,1)</f>
        <v>2.3</v>
      </c>
      <c r="AB548" s="28" t="str">
        <f aca="false">IF(AA548&lt;1,"a) &lt;1 min",IF(AA548&lt;10,"b) 1-10 min",IF(AA548&lt;60,"c) 10-60 min",IF(AA548&lt;240,"d) 1-4 h","e) 4 h+"))))</f>
        <v>b) 1-10 min</v>
      </c>
      <c r="AC548" s="28" t="str">
        <f aca="false">IF(P548&lt;10,"a) &lt;10",IF(P548&lt;20,"b) 10-20",IF(P548&lt;40,"c) 20-40",IF(P548&lt;80,"d) 40-80","e) 80+"))))</f>
        <v>c) 20-40</v>
      </c>
      <c r="AD548" s="30" t="n">
        <f aca="false">Summary!$C$5+SUM(X$2:X548)</f>
        <v>111320.5</v>
      </c>
      <c r="AE548" s="30" t="n">
        <f aca="false">MAX(AE547,AD548)</f>
        <v>112062.48</v>
      </c>
      <c r="AF548" s="30" t="n">
        <f aca="false">AE548-AD548</f>
        <v>741.979999999996</v>
      </c>
      <c r="AG548" s="29" t="n">
        <f aca="false">IFERROR(AF548/AE548,0)</f>
        <v>0.00662112778514268</v>
      </c>
    </row>
    <row r="549" customFormat="false" ht="15" hidden="false" customHeight="false" outlineLevel="0" collapsed="false">
      <c r="A549" s="28" t="n">
        <v>548</v>
      </c>
      <c r="B549" s="43" t="n">
        <v>45814.0465509259</v>
      </c>
      <c r="C549" s="43" t="n">
        <v>45814.0579166667</v>
      </c>
      <c r="D549" s="42" t="n">
        <f aca="false">INT(C549)</f>
        <v>45814</v>
      </c>
      <c r="E549" s="42" t="n">
        <f aca="false">D549-WEEKDAY(D549,3)</f>
        <v>45810</v>
      </c>
      <c r="F549" s="28" t="s">
        <v>169</v>
      </c>
      <c r="G549" s="28" t="n">
        <v>2025</v>
      </c>
      <c r="H549" s="28" t="s">
        <v>242</v>
      </c>
      <c r="I549" s="28" t="n">
        <v>1</v>
      </c>
      <c r="J549" s="28" t="s">
        <v>236</v>
      </c>
      <c r="K549" s="28" t="s">
        <v>237</v>
      </c>
      <c r="L549" s="28" t="n">
        <v>0.23</v>
      </c>
      <c r="M549" s="31" t="n">
        <v>21459.48</v>
      </c>
      <c r="N549" s="31" t="n">
        <v>21495.68</v>
      </c>
      <c r="O549" s="31" t="n">
        <v>21387.07</v>
      </c>
      <c r="P549" s="44" t="n">
        <f aca="false">ABS(M549-N549)</f>
        <v>36.2000000000007</v>
      </c>
      <c r="Q549" s="44" t="n">
        <f aca="false">IF(O549="","",ABS(O549-M549))</f>
        <v>72.4099999999999</v>
      </c>
      <c r="R549" s="30" t="n">
        <f aca="false">P549*L549*Summary!$C$6</f>
        <v>166.520000000003</v>
      </c>
      <c r="S549" s="31" t="n">
        <v>21495.78</v>
      </c>
      <c r="T549" s="28" t="s">
        <v>241</v>
      </c>
      <c r="U549" s="44" t="n">
        <f aca="false">IF(J549="BUY",S549-M549,M549-S549)</f>
        <v>-36.2999999999993</v>
      </c>
      <c r="V549" s="45" t="n">
        <v>0</v>
      </c>
      <c r="W549" s="45" t="n">
        <v>0</v>
      </c>
      <c r="X549" s="45" t="n">
        <v>-166.98</v>
      </c>
      <c r="Y549" s="32" t="n">
        <f aca="false">IFERROR(X549/R549,0)</f>
        <v>-1.00276243093921</v>
      </c>
      <c r="Z549" s="28" t="str">
        <f aca="false">IF(X549&gt;0,"Win",IF(X549&lt;0,"Loss","Flat"))</f>
        <v>Loss</v>
      </c>
      <c r="AA549" s="28" t="n">
        <f aca="false">ROUND((C549-B549)*1440,1)</f>
        <v>16.4</v>
      </c>
      <c r="AB549" s="28" t="str">
        <f aca="false">IF(AA549&lt;1,"a) &lt;1 min",IF(AA549&lt;10,"b) 1-10 min",IF(AA549&lt;60,"c) 10-60 min",IF(AA549&lt;240,"d) 1-4 h","e) 4 h+"))))</f>
        <v>c) 10-60 min</v>
      </c>
      <c r="AC549" s="28" t="str">
        <f aca="false">IF(P549&lt;10,"a) &lt;10",IF(P549&lt;20,"b) 10-20",IF(P549&lt;40,"c) 20-40",IF(P549&lt;80,"d) 40-80","e) 80+"))))</f>
        <v>c) 20-40</v>
      </c>
      <c r="AD549" s="30" t="n">
        <f aca="false">Summary!$C$5+SUM(X$2:X549)</f>
        <v>111153.52</v>
      </c>
      <c r="AE549" s="30" t="n">
        <f aca="false">MAX(AE548,AD549)</f>
        <v>112062.48</v>
      </c>
      <c r="AF549" s="30" t="n">
        <f aca="false">AE549-AD549</f>
        <v>908.959999999992</v>
      </c>
      <c r="AG549" s="29" t="n">
        <f aca="false">IFERROR(AF549/AE549,0)</f>
        <v>0.00811118940076993</v>
      </c>
    </row>
    <row r="550" customFormat="false" ht="15" hidden="false" customHeight="false" outlineLevel="0" collapsed="false">
      <c r="A550" s="28" t="n">
        <v>549</v>
      </c>
      <c r="B550" s="43" t="n">
        <v>45817.73125</v>
      </c>
      <c r="C550" s="43" t="n">
        <v>45817.7398958333</v>
      </c>
      <c r="D550" s="42" t="n">
        <f aca="false">INT(C550)</f>
        <v>45817</v>
      </c>
      <c r="E550" s="42" t="n">
        <f aca="false">D550-WEEKDAY(D550,3)</f>
        <v>45817</v>
      </c>
      <c r="F550" s="28" t="s">
        <v>169</v>
      </c>
      <c r="G550" s="28" t="n">
        <v>2025</v>
      </c>
      <c r="H550" s="28" t="s">
        <v>240</v>
      </c>
      <c r="I550" s="28" t="n">
        <v>17</v>
      </c>
      <c r="J550" s="28" t="s">
        <v>233</v>
      </c>
      <c r="K550" s="28" t="s">
        <v>234</v>
      </c>
      <c r="L550" s="28" t="n">
        <v>0.22</v>
      </c>
      <c r="M550" s="31" t="n">
        <v>21849.71</v>
      </c>
      <c r="N550" s="31" t="n">
        <v>21825.56</v>
      </c>
      <c r="O550" s="31" t="n">
        <v>21898.01</v>
      </c>
      <c r="P550" s="44" t="n">
        <f aca="false">ABS(M550-N550)</f>
        <v>24.1499999999978</v>
      </c>
      <c r="Q550" s="44" t="n">
        <f aca="false">IF(O550="","",ABS(O550-M550))</f>
        <v>48.2999999999993</v>
      </c>
      <c r="R550" s="30" t="n">
        <f aca="false">P550*L550*Summary!$C$6</f>
        <v>106.25999999999</v>
      </c>
      <c r="S550" s="31" t="n">
        <v>21825.55</v>
      </c>
      <c r="T550" s="28" t="s">
        <v>241</v>
      </c>
      <c r="U550" s="44" t="n">
        <f aca="false">IF(J550="BUY",S550-M550,M550-S550)</f>
        <v>-24.1599999999999</v>
      </c>
      <c r="V550" s="45" t="n">
        <v>0</v>
      </c>
      <c r="W550" s="45" t="n">
        <v>0</v>
      </c>
      <c r="X550" s="45" t="n">
        <v>-106.3</v>
      </c>
      <c r="Y550" s="32" t="n">
        <f aca="false">IFERROR(X550/R550,0)</f>
        <v>-1.00037643515913</v>
      </c>
      <c r="Z550" s="28" t="str">
        <f aca="false">IF(X550&gt;0,"Win",IF(X550&lt;0,"Loss","Flat"))</f>
        <v>Loss</v>
      </c>
      <c r="AA550" s="28" t="n">
        <f aca="false">ROUND((C550-B550)*1440,1)</f>
        <v>12.5</v>
      </c>
      <c r="AB550" s="28" t="str">
        <f aca="false">IF(AA550&lt;1,"a) &lt;1 min",IF(AA550&lt;10,"b) 1-10 min",IF(AA550&lt;60,"c) 10-60 min",IF(AA550&lt;240,"d) 1-4 h","e) 4 h+"))))</f>
        <v>c) 10-60 min</v>
      </c>
      <c r="AC550" s="28" t="str">
        <f aca="false">IF(P550&lt;10,"a) &lt;10",IF(P550&lt;20,"b) 10-20",IF(P550&lt;40,"c) 20-40",IF(P550&lt;80,"d) 40-80","e) 80+"))))</f>
        <v>c) 20-40</v>
      </c>
      <c r="AD550" s="30" t="n">
        <f aca="false">Summary!$C$5+SUM(X$2:X550)</f>
        <v>111047.22</v>
      </c>
      <c r="AE550" s="30" t="n">
        <f aca="false">MAX(AE549,AD550)</f>
        <v>112062.48</v>
      </c>
      <c r="AF550" s="30" t="n">
        <f aca="false">AE550-AD550</f>
        <v>1015.25999999999</v>
      </c>
      <c r="AG550" s="29" t="n">
        <f aca="false">IFERROR(AF550/AE550,0)</f>
        <v>0.00905976737262994</v>
      </c>
    </row>
    <row r="551" customFormat="false" ht="15" hidden="false" customHeight="false" outlineLevel="0" collapsed="false">
      <c r="A551" s="28" t="n">
        <v>550</v>
      </c>
      <c r="B551" s="43" t="n">
        <v>45818.1784722222</v>
      </c>
      <c r="C551" s="43" t="n">
        <v>45818.1834143519</v>
      </c>
      <c r="D551" s="42" t="n">
        <f aca="false">INT(C551)</f>
        <v>45818</v>
      </c>
      <c r="E551" s="42" t="n">
        <f aca="false">D551-WEEKDAY(D551,3)</f>
        <v>45817</v>
      </c>
      <c r="F551" s="28" t="s">
        <v>169</v>
      </c>
      <c r="G551" s="28" t="n">
        <v>2025</v>
      </c>
      <c r="H551" s="28" t="s">
        <v>232</v>
      </c>
      <c r="I551" s="28" t="n">
        <v>4</v>
      </c>
      <c r="J551" s="28" t="s">
        <v>233</v>
      </c>
      <c r="K551" s="28" t="s">
        <v>234</v>
      </c>
      <c r="L551" s="28" t="n">
        <v>0.22</v>
      </c>
      <c r="M551" s="31" t="n">
        <v>21869.67</v>
      </c>
      <c r="N551" s="31" t="n">
        <v>21859.98</v>
      </c>
      <c r="O551" s="31" t="n">
        <v>21889.05</v>
      </c>
      <c r="P551" s="44" t="n">
        <f aca="false">ABS(M551-N551)</f>
        <v>9.68999999999869</v>
      </c>
      <c r="Q551" s="44" t="n">
        <f aca="false">IF(O551="","",ABS(O551-M551))</f>
        <v>19.380000000001</v>
      </c>
      <c r="R551" s="30" t="n">
        <f aca="false">P551*L551*Summary!$C$6</f>
        <v>42.6359999999942</v>
      </c>
      <c r="S551" s="31" t="n">
        <v>21889.47</v>
      </c>
      <c r="T551" s="28" t="s">
        <v>214</v>
      </c>
      <c r="U551" s="44" t="n">
        <f aca="false">IF(J551="BUY",S551-M551,M551-S551)</f>
        <v>19.8000000000029</v>
      </c>
      <c r="V551" s="45" t="n">
        <v>0</v>
      </c>
      <c r="W551" s="45" t="n">
        <v>0</v>
      </c>
      <c r="X551" s="45" t="n">
        <v>87.12</v>
      </c>
      <c r="Y551" s="32" t="n">
        <f aca="false">IFERROR(X551/R551,0)</f>
        <v>2.04334365325105</v>
      </c>
      <c r="Z551" s="28" t="str">
        <f aca="false">IF(X551&gt;0,"Win",IF(X551&lt;0,"Loss","Flat"))</f>
        <v>Win</v>
      </c>
      <c r="AA551" s="28" t="n">
        <f aca="false">ROUND((C551-B551)*1440,1)</f>
        <v>7.1</v>
      </c>
      <c r="AB551" s="28" t="str">
        <f aca="false">IF(AA551&lt;1,"a) &lt;1 min",IF(AA551&lt;10,"b) 1-10 min",IF(AA551&lt;60,"c) 10-60 min",IF(AA551&lt;240,"d) 1-4 h","e) 4 h+"))))</f>
        <v>b) 1-10 min</v>
      </c>
      <c r="AC551" s="28" t="str">
        <f aca="false">IF(P551&lt;10,"a) &lt;10",IF(P551&lt;20,"b) 10-20",IF(P551&lt;40,"c) 20-40",IF(P551&lt;80,"d) 40-80","e) 80+"))))</f>
        <v>a) &lt;10</v>
      </c>
      <c r="AD551" s="30" t="n">
        <f aca="false">Summary!$C$5+SUM(X$2:X551)</f>
        <v>111134.34</v>
      </c>
      <c r="AE551" s="30" t="n">
        <f aca="false">MAX(AE550,AD551)</f>
        <v>112062.48</v>
      </c>
      <c r="AF551" s="30" t="n">
        <f aca="false">AE551-AD551</f>
        <v>928.139999999999</v>
      </c>
      <c r="AG551" s="29" t="n">
        <f aca="false">IFERROR(AF551/AE551,0)</f>
        <v>0.00828234392099835</v>
      </c>
    </row>
    <row r="552" customFormat="false" ht="15" hidden="false" customHeight="false" outlineLevel="0" collapsed="false">
      <c r="A552" s="28" t="n">
        <v>551</v>
      </c>
      <c r="B552" s="43" t="n">
        <v>45819.0958333333</v>
      </c>
      <c r="C552" s="43" t="n">
        <v>45819.1088425926</v>
      </c>
      <c r="D552" s="42" t="n">
        <f aca="false">INT(C552)</f>
        <v>45819</v>
      </c>
      <c r="E552" s="42" t="n">
        <f aca="false">D552-WEEKDAY(D552,3)</f>
        <v>45817</v>
      </c>
      <c r="F552" s="28" t="s">
        <v>169</v>
      </c>
      <c r="G552" s="28" t="n">
        <v>2025</v>
      </c>
      <c r="H552" s="28" t="s">
        <v>235</v>
      </c>
      <c r="I552" s="28" t="n">
        <v>2</v>
      </c>
      <c r="J552" s="28" t="s">
        <v>233</v>
      </c>
      <c r="K552" s="28" t="s">
        <v>234</v>
      </c>
      <c r="L552" s="28" t="n">
        <v>0.22</v>
      </c>
      <c r="M552" s="31" t="n">
        <v>21968.89</v>
      </c>
      <c r="N552" s="31" t="n">
        <v>21936.54</v>
      </c>
      <c r="O552" s="31" t="n">
        <v>22033.59</v>
      </c>
      <c r="P552" s="44" t="n">
        <f aca="false">ABS(M552-N552)</f>
        <v>32.3499999999985</v>
      </c>
      <c r="Q552" s="44" t="n">
        <f aca="false">IF(O552="","",ABS(O552-M552))</f>
        <v>64.7000000000007</v>
      </c>
      <c r="R552" s="30" t="n">
        <f aca="false">P552*L552*Summary!$C$6</f>
        <v>142.339999999994</v>
      </c>
      <c r="S552" s="31" t="n">
        <v>21935.91</v>
      </c>
      <c r="T552" s="28" t="s">
        <v>241</v>
      </c>
      <c r="U552" s="44" t="n">
        <f aca="false">IF(J552="BUY",S552-M552,M552-S552)</f>
        <v>-32.9799999999996</v>
      </c>
      <c r="V552" s="45" t="n">
        <v>0</v>
      </c>
      <c r="W552" s="45" t="n">
        <v>0</v>
      </c>
      <c r="X552" s="45" t="n">
        <v>-145.11</v>
      </c>
      <c r="Y552" s="32" t="n">
        <f aca="false">IFERROR(X552/R552,0)</f>
        <v>-1.01946044681753</v>
      </c>
      <c r="Z552" s="28" t="str">
        <f aca="false">IF(X552&gt;0,"Win",IF(X552&lt;0,"Loss","Flat"))</f>
        <v>Loss</v>
      </c>
      <c r="AA552" s="28" t="n">
        <f aca="false">ROUND((C552-B552)*1440,1)</f>
        <v>18.7</v>
      </c>
      <c r="AB552" s="28" t="str">
        <f aca="false">IF(AA552&lt;1,"a) &lt;1 min",IF(AA552&lt;10,"b) 1-10 min",IF(AA552&lt;60,"c) 10-60 min",IF(AA552&lt;240,"d) 1-4 h","e) 4 h+"))))</f>
        <v>c) 10-60 min</v>
      </c>
      <c r="AC552" s="28" t="str">
        <f aca="false">IF(P552&lt;10,"a) &lt;10",IF(P552&lt;20,"b) 10-20",IF(P552&lt;40,"c) 20-40",IF(P552&lt;80,"d) 40-80","e) 80+"))))</f>
        <v>c) 20-40</v>
      </c>
      <c r="AD552" s="30" t="n">
        <f aca="false">Summary!$C$5+SUM(X$2:X552)</f>
        <v>110989.23</v>
      </c>
      <c r="AE552" s="30" t="n">
        <f aca="false">MAX(AE551,AD552)</f>
        <v>112062.48</v>
      </c>
      <c r="AF552" s="30" t="n">
        <f aca="false">AE552-AD552</f>
        <v>1073.25</v>
      </c>
      <c r="AG552" s="29" t="n">
        <f aca="false">IFERROR(AF552/AE552,0)</f>
        <v>0.00957724655031729</v>
      </c>
    </row>
    <row r="553" customFormat="false" ht="15" hidden="false" customHeight="false" outlineLevel="0" collapsed="false">
      <c r="A553" s="28" t="n">
        <v>552</v>
      </c>
      <c r="B553" s="43" t="n">
        <v>45820.1833333333</v>
      </c>
      <c r="C553" s="43" t="n">
        <v>45820.192962963</v>
      </c>
      <c r="D553" s="42" t="n">
        <f aca="false">INT(C553)</f>
        <v>45820</v>
      </c>
      <c r="E553" s="42" t="n">
        <f aca="false">D553-WEEKDAY(D553,3)</f>
        <v>45817</v>
      </c>
      <c r="F553" s="28" t="s">
        <v>169</v>
      </c>
      <c r="G553" s="28" t="n">
        <v>2025</v>
      </c>
      <c r="H553" s="28" t="s">
        <v>239</v>
      </c>
      <c r="I553" s="28" t="n">
        <v>4</v>
      </c>
      <c r="J553" s="28" t="s">
        <v>236</v>
      </c>
      <c r="K553" s="28" t="s">
        <v>237</v>
      </c>
      <c r="L553" s="28" t="n">
        <v>0.22</v>
      </c>
      <c r="M553" s="31" t="n">
        <v>21763.08</v>
      </c>
      <c r="N553" s="31" t="n">
        <v>21778.14</v>
      </c>
      <c r="O553" s="31" t="n">
        <v>21732.97</v>
      </c>
      <c r="P553" s="44" t="n">
        <f aca="false">ABS(M553-N553)</f>
        <v>15.0599999999977</v>
      </c>
      <c r="Q553" s="44" t="n">
        <f aca="false">IF(O553="","",ABS(O553-M553))</f>
        <v>30.1100000000006</v>
      </c>
      <c r="R553" s="30" t="n">
        <f aca="false">P553*L553*Summary!$C$6</f>
        <v>66.2639999999898</v>
      </c>
      <c r="S553" s="31" t="n">
        <v>21732.21</v>
      </c>
      <c r="T553" s="28" t="s">
        <v>214</v>
      </c>
      <c r="U553" s="44" t="n">
        <f aca="false">IF(J553="BUY",S553-M553,M553-S553)</f>
        <v>30.8700000000026</v>
      </c>
      <c r="V553" s="45" t="n">
        <v>0</v>
      </c>
      <c r="W553" s="45" t="n">
        <v>0</v>
      </c>
      <c r="X553" s="45" t="n">
        <v>135.83</v>
      </c>
      <c r="Y553" s="32" t="n">
        <f aca="false">IFERROR(X553/R553,0)</f>
        <v>2.04983097911417</v>
      </c>
      <c r="Z553" s="28" t="str">
        <f aca="false">IF(X553&gt;0,"Win",IF(X553&lt;0,"Loss","Flat"))</f>
        <v>Win</v>
      </c>
      <c r="AA553" s="28" t="n">
        <f aca="false">ROUND((C553-B553)*1440,1)</f>
        <v>13.9</v>
      </c>
      <c r="AB553" s="28" t="str">
        <f aca="false">IF(AA553&lt;1,"a) &lt;1 min",IF(AA553&lt;10,"b) 1-10 min",IF(AA553&lt;60,"c) 10-60 min",IF(AA553&lt;240,"d) 1-4 h","e) 4 h+"))))</f>
        <v>c) 10-60 min</v>
      </c>
      <c r="AC553" s="28" t="str">
        <f aca="false">IF(P553&lt;10,"a) &lt;10",IF(P553&lt;20,"b) 10-20",IF(P553&lt;40,"c) 20-40",IF(P553&lt;80,"d) 40-80","e) 80+"))))</f>
        <v>b) 10-20</v>
      </c>
      <c r="AD553" s="30" t="n">
        <f aca="false">Summary!$C$5+SUM(X$2:X553)</f>
        <v>111125.06</v>
      </c>
      <c r="AE553" s="30" t="n">
        <f aca="false">MAX(AE552,AD553)</f>
        <v>112062.48</v>
      </c>
      <c r="AF553" s="30" t="n">
        <f aca="false">AE553-AD553</f>
        <v>937.419999999998</v>
      </c>
      <c r="AG553" s="29" t="n">
        <f aca="false">IFERROR(AF553/AE553,0)</f>
        <v>0.00836515486717765</v>
      </c>
    </row>
    <row r="554" customFormat="false" ht="15" hidden="false" customHeight="false" outlineLevel="0" collapsed="false">
      <c r="A554" s="28" t="n">
        <v>553</v>
      </c>
      <c r="B554" s="43" t="n">
        <v>45821.1270833333</v>
      </c>
      <c r="C554" s="43" t="n">
        <v>45821.1285069444</v>
      </c>
      <c r="D554" s="42" t="n">
        <f aca="false">INT(C554)</f>
        <v>45821</v>
      </c>
      <c r="E554" s="42" t="n">
        <f aca="false">D554-WEEKDAY(D554,3)</f>
        <v>45817</v>
      </c>
      <c r="F554" s="28" t="s">
        <v>169</v>
      </c>
      <c r="G554" s="28" t="n">
        <v>2025</v>
      </c>
      <c r="H554" s="28" t="s">
        <v>242</v>
      </c>
      <c r="I554" s="28" t="n">
        <v>3</v>
      </c>
      <c r="J554" s="28" t="s">
        <v>236</v>
      </c>
      <c r="K554" s="28" t="s">
        <v>237</v>
      </c>
      <c r="L554" s="28" t="n">
        <v>0.23</v>
      </c>
      <c r="M554" s="31" t="n">
        <v>21687.6</v>
      </c>
      <c r="N554" s="31" t="n">
        <v>21740.27</v>
      </c>
      <c r="O554" s="31" t="n">
        <v>21582.26</v>
      </c>
      <c r="P554" s="44" t="n">
        <f aca="false">ABS(M554-N554)</f>
        <v>52.6700000000019</v>
      </c>
      <c r="Q554" s="44" t="n">
        <f aca="false">IF(O554="","",ABS(O554-M554))</f>
        <v>105.34</v>
      </c>
      <c r="R554" s="30" t="n">
        <f aca="false">P554*L554*Summary!$C$6</f>
        <v>242.282000000009</v>
      </c>
      <c r="S554" s="31" t="n">
        <v>21581.13</v>
      </c>
      <c r="T554" s="28" t="s">
        <v>214</v>
      </c>
      <c r="U554" s="44" t="n">
        <f aca="false">IF(J554="BUY",S554-M554,M554-S554)</f>
        <v>106.469999999998</v>
      </c>
      <c r="V554" s="45" t="n">
        <v>0</v>
      </c>
      <c r="W554" s="45" t="n">
        <v>0</v>
      </c>
      <c r="X554" s="45" t="n">
        <v>489.76</v>
      </c>
      <c r="Y554" s="32" t="n">
        <f aca="false">IFERROR(X554/R554,0)</f>
        <v>2.02144608348941</v>
      </c>
      <c r="Z554" s="28" t="str">
        <f aca="false">IF(X554&gt;0,"Win",IF(X554&lt;0,"Loss","Flat"))</f>
        <v>Win</v>
      </c>
      <c r="AA554" s="28" t="n">
        <f aca="false">ROUND((C554-B554)*1440,1)</f>
        <v>2.1</v>
      </c>
      <c r="AB554" s="28" t="str">
        <f aca="false">IF(AA554&lt;1,"a) &lt;1 min",IF(AA554&lt;10,"b) 1-10 min",IF(AA554&lt;60,"c) 10-60 min",IF(AA554&lt;240,"d) 1-4 h","e) 4 h+"))))</f>
        <v>b) 1-10 min</v>
      </c>
      <c r="AC554" s="28" t="str">
        <f aca="false">IF(P554&lt;10,"a) &lt;10",IF(P554&lt;20,"b) 10-20",IF(P554&lt;40,"c) 20-40",IF(P554&lt;80,"d) 40-80","e) 80+"))))</f>
        <v>d) 40-80</v>
      </c>
      <c r="AD554" s="30" t="n">
        <f aca="false">Summary!$C$5+SUM(X$2:X554)</f>
        <v>111614.82</v>
      </c>
      <c r="AE554" s="30" t="n">
        <f aca="false">MAX(AE553,AD554)</f>
        <v>112062.48</v>
      </c>
      <c r="AF554" s="30" t="n">
        <f aca="false">AE554-AD554</f>
        <v>447.659999999989</v>
      </c>
      <c r="AG554" s="29" t="n">
        <f aca="false">IFERROR(AF554/AE554,0)</f>
        <v>0.00399473579381778</v>
      </c>
    </row>
    <row r="555" customFormat="false" ht="15" hidden="false" customHeight="false" outlineLevel="0" collapsed="false">
      <c r="A555" s="28" t="n">
        <v>554</v>
      </c>
      <c r="B555" s="43" t="n">
        <v>45824.7041666667</v>
      </c>
      <c r="C555" s="43" t="n">
        <v>45824.7675347222</v>
      </c>
      <c r="D555" s="42" t="n">
        <f aca="false">INT(C555)</f>
        <v>45824</v>
      </c>
      <c r="E555" s="42" t="n">
        <f aca="false">D555-WEEKDAY(D555,3)</f>
        <v>45824</v>
      </c>
      <c r="F555" s="28" t="s">
        <v>169</v>
      </c>
      <c r="G555" s="28" t="n">
        <v>2025</v>
      </c>
      <c r="H555" s="28" t="s">
        <v>240</v>
      </c>
      <c r="I555" s="28" t="n">
        <v>16</v>
      </c>
      <c r="J555" s="28" t="s">
        <v>233</v>
      </c>
      <c r="K555" s="28" t="s">
        <v>234</v>
      </c>
      <c r="L555" s="28" t="n">
        <v>0.22</v>
      </c>
      <c r="M555" s="31" t="n">
        <v>21894.98</v>
      </c>
      <c r="N555" s="31" t="n">
        <v>21856.71</v>
      </c>
      <c r="O555" s="31" t="n">
        <v>21981.47</v>
      </c>
      <c r="P555" s="44" t="n">
        <f aca="false">ABS(M555-N555)</f>
        <v>38.2700000000004</v>
      </c>
      <c r="Q555" s="44" t="n">
        <f aca="false">IF(O555="","",ABS(O555-M555))</f>
        <v>86.4900000000016</v>
      </c>
      <c r="R555" s="30" t="n">
        <f aca="false">P555*L555*Summary!$C$6</f>
        <v>168.388000000002</v>
      </c>
      <c r="S555" s="31" t="n">
        <v>21981.51</v>
      </c>
      <c r="T555" s="28" t="s">
        <v>214</v>
      </c>
      <c r="U555" s="44" t="n">
        <f aca="false">IF(J555="BUY",S555-M555,M555-S555)</f>
        <v>86.5299999999988</v>
      </c>
      <c r="V555" s="45" t="n">
        <v>0</v>
      </c>
      <c r="W555" s="45" t="n">
        <v>0</v>
      </c>
      <c r="X555" s="45" t="n">
        <v>380.73</v>
      </c>
      <c r="Y555" s="32" t="n">
        <f aca="false">IFERROR(X555/R555,0)</f>
        <v>2.26102810176495</v>
      </c>
      <c r="Z555" s="28" t="str">
        <f aca="false">IF(X555&gt;0,"Win",IF(X555&lt;0,"Loss","Flat"))</f>
        <v>Win</v>
      </c>
      <c r="AA555" s="28" t="n">
        <f aca="false">ROUND((C555-B555)*1440,1)</f>
        <v>91.3</v>
      </c>
      <c r="AB555" s="28" t="str">
        <f aca="false">IF(AA555&lt;1,"a) &lt;1 min",IF(AA555&lt;10,"b) 1-10 min",IF(AA555&lt;60,"c) 10-60 min",IF(AA555&lt;240,"d) 1-4 h","e) 4 h+"))))</f>
        <v>d) 1-4 h</v>
      </c>
      <c r="AC555" s="28" t="str">
        <f aca="false">IF(P555&lt;10,"a) &lt;10",IF(P555&lt;20,"b) 10-20",IF(P555&lt;40,"c) 20-40",IF(P555&lt;80,"d) 40-80","e) 80+"))))</f>
        <v>c) 20-40</v>
      </c>
      <c r="AD555" s="30" t="n">
        <f aca="false">Summary!$C$5+SUM(X$2:X555)</f>
        <v>111995.55</v>
      </c>
      <c r="AE555" s="30" t="n">
        <f aca="false">MAX(AE554,AD555)</f>
        <v>112062.48</v>
      </c>
      <c r="AF555" s="30" t="n">
        <f aca="false">AE555-AD555</f>
        <v>66.929999999993</v>
      </c>
      <c r="AG555" s="29" t="n">
        <f aca="false">IFERROR(AF555/AE555,0)</f>
        <v>0.000597256102131534</v>
      </c>
    </row>
    <row r="556" customFormat="false" ht="15" hidden="false" customHeight="false" outlineLevel="0" collapsed="false">
      <c r="A556" s="28" t="n">
        <v>555</v>
      </c>
      <c r="B556" s="43" t="n">
        <v>45826.0534722222</v>
      </c>
      <c r="C556" s="43" t="n">
        <v>45826.0752199074</v>
      </c>
      <c r="D556" s="42" t="n">
        <f aca="false">INT(C556)</f>
        <v>45826</v>
      </c>
      <c r="E556" s="42" t="n">
        <f aca="false">D556-WEEKDAY(D556,3)</f>
        <v>45824</v>
      </c>
      <c r="F556" s="28" t="s">
        <v>169</v>
      </c>
      <c r="G556" s="28" t="n">
        <v>2025</v>
      </c>
      <c r="H556" s="28" t="s">
        <v>235</v>
      </c>
      <c r="I556" s="28" t="n">
        <v>1</v>
      </c>
      <c r="J556" s="28" t="s">
        <v>236</v>
      </c>
      <c r="K556" s="28" t="s">
        <v>237</v>
      </c>
      <c r="L556" s="28" t="n">
        <v>0.23</v>
      </c>
      <c r="M556" s="31" t="n">
        <v>21673.98</v>
      </c>
      <c r="N556" s="31" t="n">
        <v>21689.8</v>
      </c>
      <c r="O556" s="31" t="n">
        <v>21642.35</v>
      </c>
      <c r="P556" s="44" t="n">
        <f aca="false">ABS(M556-N556)</f>
        <v>15.8199999999997</v>
      </c>
      <c r="Q556" s="44" t="n">
        <f aca="false">IF(O556="","",ABS(O556-M556))</f>
        <v>31.630000000001</v>
      </c>
      <c r="R556" s="30" t="n">
        <f aca="false">P556*L556*Summary!$C$6</f>
        <v>72.7719999999987</v>
      </c>
      <c r="S556" s="31" t="n">
        <v>21642</v>
      </c>
      <c r="T556" s="28" t="s">
        <v>214</v>
      </c>
      <c r="U556" s="44" t="n">
        <f aca="false">IF(J556="BUY",S556-M556,M556-S556)</f>
        <v>31.9799999999996</v>
      </c>
      <c r="V556" s="45" t="n">
        <v>0</v>
      </c>
      <c r="W556" s="45" t="n">
        <v>0</v>
      </c>
      <c r="X556" s="45" t="n">
        <v>147.11</v>
      </c>
      <c r="Y556" s="32" t="n">
        <f aca="false">IFERROR(X556/R556,0)</f>
        <v>2.02151926565166</v>
      </c>
      <c r="Z556" s="28" t="str">
        <f aca="false">IF(X556&gt;0,"Win",IF(X556&lt;0,"Loss","Flat"))</f>
        <v>Win</v>
      </c>
      <c r="AA556" s="28" t="n">
        <f aca="false">ROUND((C556-B556)*1440,1)</f>
        <v>31.3</v>
      </c>
      <c r="AB556" s="28" t="str">
        <f aca="false">IF(AA556&lt;1,"a) &lt;1 min",IF(AA556&lt;10,"b) 1-10 min",IF(AA556&lt;60,"c) 10-60 min",IF(AA556&lt;240,"d) 1-4 h","e) 4 h+"))))</f>
        <v>c) 10-60 min</v>
      </c>
      <c r="AC556" s="28" t="str">
        <f aca="false">IF(P556&lt;10,"a) &lt;10",IF(P556&lt;20,"b) 10-20",IF(P556&lt;40,"c) 20-40",IF(P556&lt;80,"d) 40-80","e) 80+"))))</f>
        <v>b) 10-20</v>
      </c>
      <c r="AD556" s="30" t="n">
        <f aca="false">Summary!$C$5+SUM(X$2:X556)</f>
        <v>112142.66</v>
      </c>
      <c r="AE556" s="30" t="n">
        <f aca="false">MAX(AE555,AD556)</f>
        <v>112142.66</v>
      </c>
      <c r="AF556" s="30" t="n">
        <f aca="false">AE556-AD556</f>
        <v>0</v>
      </c>
      <c r="AG556" s="29" t="n">
        <f aca="false">IFERROR(AF556/AE556,0)</f>
        <v>0</v>
      </c>
    </row>
    <row r="557" customFormat="false" ht="15" hidden="false" customHeight="false" outlineLevel="0" collapsed="false">
      <c r="A557" s="28" t="n">
        <v>556</v>
      </c>
      <c r="B557" s="43" t="n">
        <v>45827.1368055556</v>
      </c>
      <c r="C557" s="43" t="n">
        <v>45827.1415972222</v>
      </c>
      <c r="D557" s="42" t="n">
        <f aca="false">INT(C557)</f>
        <v>45827</v>
      </c>
      <c r="E557" s="42" t="n">
        <f aca="false">D557-WEEKDAY(D557,3)</f>
        <v>45824</v>
      </c>
      <c r="F557" s="28" t="s">
        <v>169</v>
      </c>
      <c r="G557" s="28" t="n">
        <v>2025</v>
      </c>
      <c r="H557" s="28" t="s">
        <v>239</v>
      </c>
      <c r="I557" s="28" t="n">
        <v>3</v>
      </c>
      <c r="J557" s="28" t="s">
        <v>236</v>
      </c>
      <c r="K557" s="28" t="s">
        <v>237</v>
      </c>
      <c r="L557" s="28" t="n">
        <v>0.23</v>
      </c>
      <c r="M557" s="31" t="n">
        <v>21629.7</v>
      </c>
      <c r="N557" s="31" t="n">
        <v>21653.75</v>
      </c>
      <c r="O557" s="31" t="n">
        <v>21581.6</v>
      </c>
      <c r="P557" s="44" t="n">
        <f aca="false">ABS(M557-N557)</f>
        <v>24.0499999999993</v>
      </c>
      <c r="Q557" s="44" t="n">
        <f aca="false">IF(O557="","",ABS(O557-M557))</f>
        <v>48.1000000000022</v>
      </c>
      <c r="R557" s="30" t="n">
        <f aca="false">P557*L557*Summary!$C$6</f>
        <v>110.629999999997</v>
      </c>
      <c r="S557" s="31" t="n">
        <v>21654.06</v>
      </c>
      <c r="T557" s="28" t="s">
        <v>241</v>
      </c>
      <c r="U557" s="44" t="n">
        <f aca="false">IF(J557="BUY",S557-M557,M557-S557)</f>
        <v>-24.3600000000006</v>
      </c>
      <c r="V557" s="45" t="n">
        <v>0</v>
      </c>
      <c r="W557" s="45" t="n">
        <v>0</v>
      </c>
      <c r="X557" s="45" t="n">
        <v>-112.06</v>
      </c>
      <c r="Y557" s="32" t="n">
        <f aca="false">IFERROR(X557/R557,0)</f>
        <v>-1.01292596944774</v>
      </c>
      <c r="Z557" s="28" t="str">
        <f aca="false">IF(X557&gt;0,"Win",IF(X557&lt;0,"Loss","Flat"))</f>
        <v>Loss</v>
      </c>
      <c r="AA557" s="28" t="n">
        <f aca="false">ROUND((C557-B557)*1440,1)</f>
        <v>6.9</v>
      </c>
      <c r="AB557" s="28" t="str">
        <f aca="false">IF(AA557&lt;1,"a) &lt;1 min",IF(AA557&lt;10,"b) 1-10 min",IF(AA557&lt;60,"c) 10-60 min",IF(AA557&lt;240,"d) 1-4 h","e) 4 h+"))))</f>
        <v>b) 1-10 min</v>
      </c>
      <c r="AC557" s="28" t="str">
        <f aca="false">IF(P557&lt;10,"a) &lt;10",IF(P557&lt;20,"b) 10-20",IF(P557&lt;40,"c) 20-40",IF(P557&lt;80,"d) 40-80","e) 80+"))))</f>
        <v>c) 20-40</v>
      </c>
      <c r="AD557" s="30" t="n">
        <f aca="false">Summary!$C$5+SUM(X$2:X557)</f>
        <v>112030.6</v>
      </c>
      <c r="AE557" s="30" t="n">
        <f aca="false">MAX(AE556,AD557)</f>
        <v>112142.66</v>
      </c>
      <c r="AF557" s="30" t="n">
        <f aca="false">AE557-AD557</f>
        <v>112.059999999998</v>
      </c>
      <c r="AG557" s="29" t="n">
        <f aca="false">IFERROR(AF557/AE557,0)</f>
        <v>0.00099926290316279</v>
      </c>
    </row>
    <row r="558" customFormat="false" ht="15" hidden="false" customHeight="false" outlineLevel="0" collapsed="false">
      <c r="A558" s="28" t="n">
        <v>557</v>
      </c>
      <c r="B558" s="43" t="n">
        <v>45828.6145833333</v>
      </c>
      <c r="C558" s="43" t="n">
        <v>45828.6146990741</v>
      </c>
      <c r="D558" s="42" t="n">
        <f aca="false">INT(C558)</f>
        <v>45828</v>
      </c>
      <c r="E558" s="42" t="n">
        <f aca="false">D558-WEEKDAY(D558,3)</f>
        <v>45824</v>
      </c>
      <c r="F558" s="28" t="s">
        <v>169</v>
      </c>
      <c r="G558" s="28" t="n">
        <v>2025</v>
      </c>
      <c r="H558" s="28" t="s">
        <v>242</v>
      </c>
      <c r="I558" s="28" t="n">
        <v>14</v>
      </c>
      <c r="J558" s="28" t="s">
        <v>233</v>
      </c>
      <c r="K558" s="28" t="s">
        <v>234</v>
      </c>
      <c r="L558" s="28" t="n">
        <v>0.23</v>
      </c>
      <c r="M558" s="31" t="n">
        <v>21749.75</v>
      </c>
      <c r="N558" s="31" t="n">
        <v>21729.88</v>
      </c>
      <c r="O558" s="31" t="n">
        <v>21772.9</v>
      </c>
      <c r="P558" s="44" t="n">
        <f aca="false">ABS(M558-N558)</f>
        <v>19.869999999999</v>
      </c>
      <c r="Q558" s="44" t="n">
        <f aca="false">IF(O558="","",ABS(O558-M558))</f>
        <v>23.1500000000015</v>
      </c>
      <c r="R558" s="30" t="n">
        <f aca="false">P558*L558*Summary!$C$6</f>
        <v>91.4019999999953</v>
      </c>
      <c r="S558" s="31" t="n">
        <v>21773.09</v>
      </c>
      <c r="T558" s="28" t="s">
        <v>214</v>
      </c>
      <c r="U558" s="44" t="n">
        <f aca="false">IF(J558="BUY",S558-M558,M558-S558)</f>
        <v>23.3400000000001</v>
      </c>
      <c r="V558" s="45" t="n">
        <v>0</v>
      </c>
      <c r="W558" s="45" t="n">
        <v>0</v>
      </c>
      <c r="X558" s="45" t="n">
        <v>107.36</v>
      </c>
      <c r="Y558" s="32" t="n">
        <f aca="false">IFERROR(X558/R558,0)</f>
        <v>1.17459136561569</v>
      </c>
      <c r="Z558" s="28" t="str">
        <f aca="false">IF(X558&gt;0,"Win",IF(X558&lt;0,"Loss","Flat"))</f>
        <v>Win</v>
      </c>
      <c r="AA558" s="28" t="n">
        <f aca="false">ROUND((C558-B558)*1440,1)</f>
        <v>0.2</v>
      </c>
      <c r="AB558" s="28" t="str">
        <f aca="false">IF(AA558&lt;1,"a) &lt;1 min",IF(AA558&lt;10,"b) 1-10 min",IF(AA558&lt;60,"c) 10-60 min",IF(AA558&lt;240,"d) 1-4 h","e) 4 h+"))))</f>
        <v>a) &lt;1 min</v>
      </c>
      <c r="AC558" s="28" t="str">
        <f aca="false">IF(P558&lt;10,"a) &lt;10",IF(P558&lt;20,"b) 10-20",IF(P558&lt;40,"c) 20-40",IF(P558&lt;80,"d) 40-80","e) 80+"))))</f>
        <v>b) 10-20</v>
      </c>
      <c r="AD558" s="30" t="n">
        <f aca="false">Summary!$C$5+SUM(X$2:X558)</f>
        <v>112137.96</v>
      </c>
      <c r="AE558" s="30" t="n">
        <f aca="false">MAX(AE557,AD558)</f>
        <v>112142.66</v>
      </c>
      <c r="AF558" s="30" t="n">
        <f aca="false">AE558-AD558</f>
        <v>4.69999999999709</v>
      </c>
      <c r="AG558" s="29" t="n">
        <f aca="false">IFERROR(AF558/AE558,0)</f>
        <v>4.19109017032153E-005</v>
      </c>
    </row>
    <row r="559" customFormat="false" ht="15" hidden="false" customHeight="false" outlineLevel="0" collapsed="false">
      <c r="A559" s="28" t="n">
        <v>558</v>
      </c>
      <c r="B559" s="43" t="n">
        <v>45831.0479166667</v>
      </c>
      <c r="C559" s="43" t="n">
        <v>45831.0690740741</v>
      </c>
      <c r="D559" s="42" t="n">
        <f aca="false">INT(C559)</f>
        <v>45831</v>
      </c>
      <c r="E559" s="42" t="n">
        <f aca="false">D559-WEEKDAY(D559,3)</f>
        <v>45831</v>
      </c>
      <c r="F559" s="28" t="s">
        <v>169</v>
      </c>
      <c r="G559" s="28" t="n">
        <v>2025</v>
      </c>
      <c r="H559" s="28" t="s">
        <v>240</v>
      </c>
      <c r="I559" s="28" t="n">
        <v>1</v>
      </c>
      <c r="J559" s="28" t="s">
        <v>236</v>
      </c>
      <c r="K559" s="28" t="s">
        <v>237</v>
      </c>
      <c r="L559" s="28" t="n">
        <v>0.23</v>
      </c>
      <c r="M559" s="31" t="n">
        <v>21510.4</v>
      </c>
      <c r="N559" s="31" t="n">
        <v>21552.46</v>
      </c>
      <c r="O559" s="31" t="n">
        <v>21426.28</v>
      </c>
      <c r="P559" s="44" t="n">
        <f aca="false">ABS(M559-N559)</f>
        <v>42.0599999999977</v>
      </c>
      <c r="Q559" s="44" t="n">
        <f aca="false">IF(O559="","",ABS(O559-M559))</f>
        <v>84.1200000000026</v>
      </c>
      <c r="R559" s="30" t="n">
        <f aca="false">P559*L559*Summary!$C$6</f>
        <v>193.475999999989</v>
      </c>
      <c r="S559" s="31" t="n">
        <v>21554.23</v>
      </c>
      <c r="T559" s="28" t="s">
        <v>241</v>
      </c>
      <c r="U559" s="44" t="n">
        <f aca="false">IF(J559="BUY",S559-M559,M559-S559)</f>
        <v>-43.8299999999981</v>
      </c>
      <c r="V559" s="45" t="n">
        <v>0</v>
      </c>
      <c r="W559" s="45" t="n">
        <v>0</v>
      </c>
      <c r="X559" s="45" t="n">
        <v>-201.62</v>
      </c>
      <c r="Y559" s="32" t="n">
        <f aca="false">IFERROR(X559/R559,0)</f>
        <v>-1.04209307614387</v>
      </c>
      <c r="Z559" s="28" t="str">
        <f aca="false">IF(X559&gt;0,"Win",IF(X559&lt;0,"Loss","Flat"))</f>
        <v>Loss</v>
      </c>
      <c r="AA559" s="28" t="n">
        <f aca="false">ROUND((C559-B559)*1440,1)</f>
        <v>30.5</v>
      </c>
      <c r="AB559" s="28" t="str">
        <f aca="false">IF(AA559&lt;1,"a) &lt;1 min",IF(AA559&lt;10,"b) 1-10 min",IF(AA559&lt;60,"c) 10-60 min",IF(AA559&lt;240,"d) 1-4 h","e) 4 h+"))))</f>
        <v>c) 10-60 min</v>
      </c>
      <c r="AC559" s="28" t="str">
        <f aca="false">IF(P559&lt;10,"a) &lt;10",IF(P559&lt;20,"b) 10-20",IF(P559&lt;40,"c) 20-40",IF(P559&lt;80,"d) 40-80","e) 80+"))))</f>
        <v>d) 40-80</v>
      </c>
      <c r="AD559" s="30" t="n">
        <f aca="false">Summary!$C$5+SUM(X$2:X559)</f>
        <v>111936.34</v>
      </c>
      <c r="AE559" s="30" t="n">
        <f aca="false">MAX(AE558,AD559)</f>
        <v>112142.66</v>
      </c>
      <c r="AF559" s="30" t="n">
        <f aca="false">AE559-AD559</f>
        <v>206.320000000007</v>
      </c>
      <c r="AG559" s="29" t="n">
        <f aca="false">IFERROR(AF559/AE559,0)</f>
        <v>0.00183979941264107</v>
      </c>
    </row>
    <row r="560" customFormat="false" ht="15" hidden="false" customHeight="false" outlineLevel="0" collapsed="false">
      <c r="A560" s="28" t="n">
        <v>559</v>
      </c>
      <c r="B560" s="43" t="n">
        <v>45832.0451388889</v>
      </c>
      <c r="C560" s="43" t="n">
        <v>45832.0522106482</v>
      </c>
      <c r="D560" s="42" t="n">
        <f aca="false">INT(C560)</f>
        <v>45832</v>
      </c>
      <c r="E560" s="42" t="n">
        <f aca="false">D560-WEEKDAY(D560,3)</f>
        <v>45831</v>
      </c>
      <c r="F560" s="28" t="s">
        <v>169</v>
      </c>
      <c r="G560" s="28" t="n">
        <v>2025</v>
      </c>
      <c r="H560" s="28" t="s">
        <v>232</v>
      </c>
      <c r="I560" s="28" t="n">
        <v>1</v>
      </c>
      <c r="J560" s="28" t="s">
        <v>233</v>
      </c>
      <c r="K560" s="28" t="s">
        <v>234</v>
      </c>
      <c r="L560" s="28" t="n">
        <v>0.22</v>
      </c>
      <c r="M560" s="31" t="n">
        <v>21915.94</v>
      </c>
      <c r="N560" s="31" t="n">
        <v>21893.7</v>
      </c>
      <c r="O560" s="31" t="n">
        <v>21960.43</v>
      </c>
      <c r="P560" s="44" t="n">
        <f aca="false">ABS(M560-N560)</f>
        <v>22.239999999998</v>
      </c>
      <c r="Q560" s="44" t="n">
        <f aca="false">IF(O560="","",ABS(O560-M560))</f>
        <v>44.4900000000016</v>
      </c>
      <c r="R560" s="30" t="n">
        <f aca="false">P560*L560*Summary!$C$6</f>
        <v>97.855999999991</v>
      </c>
      <c r="S560" s="31" t="n">
        <v>21961.3</v>
      </c>
      <c r="T560" s="28" t="s">
        <v>214</v>
      </c>
      <c r="U560" s="44" t="n">
        <f aca="false">IF(J560="BUY",S560-M560,M560-S560)</f>
        <v>45.3600000000006</v>
      </c>
      <c r="V560" s="45" t="n">
        <v>0</v>
      </c>
      <c r="W560" s="45" t="n">
        <v>0</v>
      </c>
      <c r="X560" s="45" t="n">
        <v>199.58</v>
      </c>
      <c r="Y560" s="32" t="n">
        <f aca="false">IFERROR(X560/R560,0)</f>
        <v>2.03952746893413</v>
      </c>
      <c r="Z560" s="28" t="str">
        <f aca="false">IF(X560&gt;0,"Win",IF(X560&lt;0,"Loss","Flat"))</f>
        <v>Win</v>
      </c>
      <c r="AA560" s="28" t="n">
        <f aca="false">ROUND((C560-B560)*1440,1)</f>
        <v>10.2</v>
      </c>
      <c r="AB560" s="28" t="str">
        <f aca="false">IF(AA560&lt;1,"a) &lt;1 min",IF(AA560&lt;10,"b) 1-10 min",IF(AA560&lt;60,"c) 10-60 min",IF(AA560&lt;240,"d) 1-4 h","e) 4 h+"))))</f>
        <v>c) 10-60 min</v>
      </c>
      <c r="AC560" s="28" t="str">
        <f aca="false">IF(P560&lt;10,"a) &lt;10",IF(P560&lt;20,"b) 10-20",IF(P560&lt;40,"c) 20-40",IF(P560&lt;80,"d) 40-80","e) 80+"))))</f>
        <v>c) 20-40</v>
      </c>
      <c r="AD560" s="30" t="n">
        <f aca="false">Summary!$C$5+SUM(X$2:X560)</f>
        <v>112135.92</v>
      </c>
      <c r="AE560" s="30" t="n">
        <f aca="false">MAX(AE559,AD560)</f>
        <v>112142.66</v>
      </c>
      <c r="AF560" s="30" t="n">
        <f aca="false">AE560-AD560</f>
        <v>6.74000000000524</v>
      </c>
      <c r="AG560" s="29" t="n">
        <f aca="false">IFERROR(AF560/AE560,0)</f>
        <v>6.01020164851203E-005</v>
      </c>
    </row>
    <row r="561" customFormat="false" ht="15" hidden="false" customHeight="false" outlineLevel="0" collapsed="false">
      <c r="A561" s="28" t="n">
        <v>560</v>
      </c>
      <c r="B561" s="43" t="n">
        <v>45833.5159722222</v>
      </c>
      <c r="C561" s="43" t="n">
        <v>45833.5172453704</v>
      </c>
      <c r="D561" s="42" t="n">
        <f aca="false">INT(C561)</f>
        <v>45833</v>
      </c>
      <c r="E561" s="42" t="n">
        <f aca="false">D561-WEEKDAY(D561,3)</f>
        <v>45831</v>
      </c>
      <c r="F561" s="28" t="s">
        <v>169</v>
      </c>
      <c r="G561" s="28" t="n">
        <v>2025</v>
      </c>
      <c r="H561" s="28" t="s">
        <v>235</v>
      </c>
      <c r="I561" s="28" t="n">
        <v>12</v>
      </c>
      <c r="J561" s="28" t="s">
        <v>233</v>
      </c>
      <c r="K561" s="28" t="s">
        <v>234</v>
      </c>
      <c r="L561" s="28" t="n">
        <v>0.22</v>
      </c>
      <c r="M561" s="31" t="n">
        <v>22224.19</v>
      </c>
      <c r="N561" s="31" t="n">
        <v>22217.04</v>
      </c>
      <c r="O561" s="31" t="n">
        <v>22238.49</v>
      </c>
      <c r="P561" s="44" t="n">
        <f aca="false">ABS(M561-N561)</f>
        <v>7.14999999999782</v>
      </c>
      <c r="Q561" s="44" t="n">
        <f aca="false">IF(O561="","",ABS(O561-M561))</f>
        <v>14.3000000000029</v>
      </c>
      <c r="R561" s="30" t="n">
        <f aca="false">P561*L561*Summary!$C$6</f>
        <v>31.4599999999904</v>
      </c>
      <c r="S561" s="31" t="n">
        <v>22223.82</v>
      </c>
      <c r="T561" s="28" t="s">
        <v>238</v>
      </c>
      <c r="U561" s="44" t="n">
        <f aca="false">IF(J561="BUY",S561-M561,M561-S561)</f>
        <v>-0.369999999998981</v>
      </c>
      <c r="V561" s="45" t="n">
        <v>0</v>
      </c>
      <c r="W561" s="45" t="n">
        <v>0</v>
      </c>
      <c r="X561" s="45" t="n">
        <v>-1.63</v>
      </c>
      <c r="Y561" s="32" t="n">
        <f aca="false">IFERROR(X561/R561,0)</f>
        <v>-0.0518118245391131</v>
      </c>
      <c r="Z561" s="28" t="str">
        <f aca="false">IF(X561&gt;0,"Win",IF(X561&lt;0,"Loss","Flat"))</f>
        <v>Loss</v>
      </c>
      <c r="AA561" s="28" t="n">
        <f aca="false">ROUND((C561-B561)*1440,1)</f>
        <v>1.8</v>
      </c>
      <c r="AB561" s="28" t="str">
        <f aca="false">IF(AA561&lt;1,"a) &lt;1 min",IF(AA561&lt;10,"b) 1-10 min",IF(AA561&lt;60,"c) 10-60 min",IF(AA561&lt;240,"d) 1-4 h","e) 4 h+"))))</f>
        <v>b) 1-10 min</v>
      </c>
      <c r="AC561" s="28" t="str">
        <f aca="false">IF(P561&lt;10,"a) &lt;10",IF(P561&lt;20,"b) 10-20",IF(P561&lt;40,"c) 20-40",IF(P561&lt;80,"d) 40-80","e) 80+"))))</f>
        <v>a) &lt;10</v>
      </c>
      <c r="AD561" s="30" t="n">
        <f aca="false">Summary!$C$5+SUM(X$2:X561)</f>
        <v>112134.29</v>
      </c>
      <c r="AE561" s="30" t="n">
        <f aca="false">MAX(AE560,AD561)</f>
        <v>112142.66</v>
      </c>
      <c r="AF561" s="30" t="n">
        <f aca="false">AE561-AD561</f>
        <v>8.36999999999534</v>
      </c>
      <c r="AG561" s="29" t="n">
        <f aca="false">IFERROR(AF561/AE561,0)</f>
        <v>7.46370738842412E-005</v>
      </c>
    </row>
    <row r="562" customFormat="false" ht="15" hidden="false" customHeight="false" outlineLevel="0" collapsed="false">
      <c r="A562" s="28" t="n">
        <v>561</v>
      </c>
      <c r="B562" s="43" t="n">
        <v>45834.4673611111</v>
      </c>
      <c r="C562" s="43" t="n">
        <v>45834.5190393519</v>
      </c>
      <c r="D562" s="42" t="n">
        <f aca="false">INT(C562)</f>
        <v>45834</v>
      </c>
      <c r="E562" s="42" t="n">
        <f aca="false">D562-WEEKDAY(D562,3)</f>
        <v>45831</v>
      </c>
      <c r="F562" s="28" t="s">
        <v>169</v>
      </c>
      <c r="G562" s="28" t="n">
        <v>2025</v>
      </c>
      <c r="H562" s="28" t="s">
        <v>239</v>
      </c>
      <c r="I562" s="28" t="n">
        <v>11</v>
      </c>
      <c r="J562" s="28" t="s">
        <v>233</v>
      </c>
      <c r="K562" s="28" t="s">
        <v>234</v>
      </c>
      <c r="L562" s="28" t="n">
        <v>0.22</v>
      </c>
      <c r="M562" s="31" t="n">
        <v>22332.04</v>
      </c>
      <c r="N562" s="31" t="n">
        <v>22320.04</v>
      </c>
      <c r="O562" s="31" t="n">
        <v>22356.04</v>
      </c>
      <c r="P562" s="44" t="n">
        <f aca="false">ABS(M562-N562)</f>
        <v>12</v>
      </c>
      <c r="Q562" s="44" t="n">
        <f aca="false">IF(O562="","",ABS(O562-M562))</f>
        <v>24</v>
      </c>
      <c r="R562" s="30" t="n">
        <f aca="false">P562*L562*Summary!$C$6</f>
        <v>52.8</v>
      </c>
      <c r="S562" s="31" t="n">
        <v>22332.04</v>
      </c>
      <c r="T562" s="28" t="s">
        <v>238</v>
      </c>
      <c r="U562" s="44" t="n">
        <f aca="false">IF(J562="BUY",S562-M562,M562-S562)</f>
        <v>0</v>
      </c>
      <c r="V562" s="45" t="n">
        <v>0</v>
      </c>
      <c r="W562" s="45" t="n">
        <v>0</v>
      </c>
      <c r="X562" s="45" t="n">
        <v>0</v>
      </c>
      <c r="Y562" s="32" t="n">
        <f aca="false">IFERROR(X562/R562,0)</f>
        <v>0</v>
      </c>
      <c r="Z562" s="28" t="str">
        <f aca="false">IF(X562&gt;0,"Win",IF(X562&lt;0,"Loss","Flat"))</f>
        <v>Flat</v>
      </c>
      <c r="AA562" s="28" t="n">
        <f aca="false">ROUND((C562-B562)*1440,1)</f>
        <v>74.4</v>
      </c>
      <c r="AB562" s="28" t="str">
        <f aca="false">IF(AA562&lt;1,"a) &lt;1 min",IF(AA562&lt;10,"b) 1-10 min",IF(AA562&lt;60,"c) 10-60 min",IF(AA562&lt;240,"d) 1-4 h","e) 4 h+"))))</f>
        <v>d) 1-4 h</v>
      </c>
      <c r="AC562" s="28" t="str">
        <f aca="false">IF(P562&lt;10,"a) &lt;10",IF(P562&lt;20,"b) 10-20",IF(P562&lt;40,"c) 20-40",IF(P562&lt;80,"d) 40-80","e) 80+"))))</f>
        <v>b) 10-20</v>
      </c>
      <c r="AD562" s="30" t="n">
        <f aca="false">Summary!$C$5+SUM(X$2:X562)</f>
        <v>112134.29</v>
      </c>
      <c r="AE562" s="30" t="n">
        <f aca="false">MAX(AE561,AD562)</f>
        <v>112142.66</v>
      </c>
      <c r="AF562" s="30" t="n">
        <f aca="false">AE562-AD562</f>
        <v>8.36999999999534</v>
      </c>
      <c r="AG562" s="29" t="n">
        <f aca="false">IFERROR(AF562/AE562,0)</f>
        <v>7.46370738842412E-005</v>
      </c>
    </row>
    <row r="563" customFormat="false" ht="15" hidden="false" customHeight="false" outlineLevel="0" collapsed="false">
      <c r="A563" s="28" t="n">
        <v>562</v>
      </c>
      <c r="B563" s="43" t="n">
        <v>45835.0486111111</v>
      </c>
      <c r="C563" s="43" t="n">
        <v>45835.0727893519</v>
      </c>
      <c r="D563" s="42" t="n">
        <f aca="false">INT(C563)</f>
        <v>45835</v>
      </c>
      <c r="E563" s="42" t="n">
        <f aca="false">D563-WEEKDAY(D563,3)</f>
        <v>45831</v>
      </c>
      <c r="F563" s="28" t="s">
        <v>169</v>
      </c>
      <c r="G563" s="28" t="n">
        <v>2025</v>
      </c>
      <c r="H563" s="28" t="s">
        <v>242</v>
      </c>
      <c r="I563" s="28" t="n">
        <v>1</v>
      </c>
      <c r="J563" s="28" t="s">
        <v>233</v>
      </c>
      <c r="K563" s="28" t="s">
        <v>234</v>
      </c>
      <c r="L563" s="28" t="n">
        <v>0.22</v>
      </c>
      <c r="M563" s="31" t="n">
        <v>22478.2</v>
      </c>
      <c r="N563" s="31" t="n">
        <v>22463.02</v>
      </c>
      <c r="O563" s="31" t="n">
        <v>22508.56</v>
      </c>
      <c r="P563" s="44" t="n">
        <f aca="false">ABS(M563-N563)</f>
        <v>15.1800000000003</v>
      </c>
      <c r="Q563" s="44" t="n">
        <f aca="false">IF(O563="","",ABS(O563-M563))</f>
        <v>30.3600000000006</v>
      </c>
      <c r="R563" s="30" t="n">
        <f aca="false">P563*L563*Summary!$C$6</f>
        <v>66.7920000000013</v>
      </c>
      <c r="S563" s="31" t="n">
        <v>22478.17</v>
      </c>
      <c r="T563" s="28" t="s">
        <v>238</v>
      </c>
      <c r="U563" s="44" t="n">
        <f aca="false">IF(J563="BUY",S563-M563,M563-S563)</f>
        <v>-0.0300000000024738</v>
      </c>
      <c r="V563" s="45" t="n">
        <v>0</v>
      </c>
      <c r="W563" s="45" t="n">
        <v>0</v>
      </c>
      <c r="X563" s="45" t="n">
        <v>-0.13</v>
      </c>
      <c r="Y563" s="32" t="n">
        <f aca="false">IFERROR(X563/R563,0)</f>
        <v>-0.00194634087914717</v>
      </c>
      <c r="Z563" s="28" t="str">
        <f aca="false">IF(X563&gt;0,"Win",IF(X563&lt;0,"Loss","Flat"))</f>
        <v>Loss</v>
      </c>
      <c r="AA563" s="28" t="n">
        <f aca="false">ROUND((C563-B563)*1440,1)</f>
        <v>34.8</v>
      </c>
      <c r="AB563" s="28" t="str">
        <f aca="false">IF(AA563&lt;1,"a) &lt;1 min",IF(AA563&lt;10,"b) 1-10 min",IF(AA563&lt;60,"c) 10-60 min",IF(AA563&lt;240,"d) 1-4 h","e) 4 h+"))))</f>
        <v>c) 10-60 min</v>
      </c>
      <c r="AC563" s="28" t="str">
        <f aca="false">IF(P563&lt;10,"a) &lt;10",IF(P563&lt;20,"b) 10-20",IF(P563&lt;40,"c) 20-40",IF(P563&lt;80,"d) 40-80","e) 80+"))))</f>
        <v>b) 10-20</v>
      </c>
      <c r="AD563" s="30" t="n">
        <f aca="false">Summary!$C$5+SUM(X$2:X563)</f>
        <v>112134.16</v>
      </c>
      <c r="AE563" s="30" t="n">
        <f aca="false">MAX(AE562,AD563)</f>
        <v>112142.66</v>
      </c>
      <c r="AF563" s="30" t="n">
        <f aca="false">AE563-AD563</f>
        <v>8.5</v>
      </c>
      <c r="AG563" s="29" t="n">
        <f aca="false">IFERROR(AF563/AE563,0)</f>
        <v>7.57963115909682E-005</v>
      </c>
    </row>
    <row r="564" customFormat="false" ht="15" hidden="false" customHeight="false" outlineLevel="0" collapsed="false">
      <c r="A564" s="28" t="n">
        <v>563</v>
      </c>
      <c r="B564" s="43" t="n">
        <v>45838.0805555556</v>
      </c>
      <c r="C564" s="43" t="n">
        <v>45838.0826736111</v>
      </c>
      <c r="D564" s="42" t="n">
        <f aca="false">INT(C564)</f>
        <v>45838</v>
      </c>
      <c r="E564" s="42" t="n">
        <f aca="false">D564-WEEKDAY(D564,3)</f>
        <v>45838</v>
      </c>
      <c r="F564" s="28" t="s">
        <v>169</v>
      </c>
      <c r="G564" s="28" t="n">
        <v>2025</v>
      </c>
      <c r="H564" s="28" t="s">
        <v>240</v>
      </c>
      <c r="I564" s="28" t="n">
        <v>1</v>
      </c>
      <c r="J564" s="28" t="s">
        <v>233</v>
      </c>
      <c r="K564" s="28" t="s">
        <v>234</v>
      </c>
      <c r="L564" s="28" t="n">
        <v>0.22</v>
      </c>
      <c r="M564" s="31" t="n">
        <v>22617.33</v>
      </c>
      <c r="N564" s="31" t="n">
        <v>22602.59</v>
      </c>
      <c r="O564" s="31" t="n">
        <v>22646.81</v>
      </c>
      <c r="P564" s="44" t="n">
        <f aca="false">ABS(M564-N564)</f>
        <v>14.7400000000016</v>
      </c>
      <c r="Q564" s="44" t="n">
        <f aca="false">IF(O564="","",ABS(O564-M564))</f>
        <v>29.4799999999996</v>
      </c>
      <c r="R564" s="30" t="n">
        <f aca="false">P564*L564*Summary!$C$6</f>
        <v>64.856000000007</v>
      </c>
      <c r="S564" s="31" t="n">
        <v>22602.34</v>
      </c>
      <c r="T564" s="28" t="s">
        <v>241</v>
      </c>
      <c r="U564" s="44" t="n">
        <f aca="false">IF(J564="BUY",S564-M564,M564-S564)</f>
        <v>-14.9900000000016</v>
      </c>
      <c r="V564" s="45" t="n">
        <v>0</v>
      </c>
      <c r="W564" s="45" t="n">
        <v>0</v>
      </c>
      <c r="X564" s="45" t="n">
        <v>-65.96</v>
      </c>
      <c r="Y564" s="32" t="n">
        <f aca="false">IFERROR(X564/R564,0)</f>
        <v>-1.0170223263845</v>
      </c>
      <c r="Z564" s="28" t="str">
        <f aca="false">IF(X564&gt;0,"Win",IF(X564&lt;0,"Loss","Flat"))</f>
        <v>Loss</v>
      </c>
      <c r="AA564" s="28" t="n">
        <f aca="false">ROUND((C564-B564)*1440,1)</f>
        <v>3.1</v>
      </c>
      <c r="AB564" s="28" t="str">
        <f aca="false">IF(AA564&lt;1,"a) &lt;1 min",IF(AA564&lt;10,"b) 1-10 min",IF(AA564&lt;60,"c) 10-60 min",IF(AA564&lt;240,"d) 1-4 h","e) 4 h+"))))</f>
        <v>b) 1-10 min</v>
      </c>
      <c r="AC564" s="28" t="str">
        <f aca="false">IF(P564&lt;10,"a) &lt;10",IF(P564&lt;20,"b) 10-20",IF(P564&lt;40,"c) 20-40",IF(P564&lt;80,"d) 40-80","e) 80+"))))</f>
        <v>b) 10-20</v>
      </c>
      <c r="AD564" s="30" t="n">
        <f aca="false">Summary!$C$5+SUM(X$2:X564)</f>
        <v>112068.2</v>
      </c>
      <c r="AE564" s="30" t="n">
        <f aca="false">MAX(AE563,AD564)</f>
        <v>112142.66</v>
      </c>
      <c r="AF564" s="30" t="n">
        <f aca="false">AE564-AD564</f>
        <v>74.4600000000064</v>
      </c>
      <c r="AG564" s="29" t="n">
        <f aca="false">IFERROR(AF564/AE564,0)</f>
        <v>0.000663975689536938</v>
      </c>
    </row>
    <row r="565" customFormat="false" ht="15" hidden="false" customHeight="false" outlineLevel="0" collapsed="false">
      <c r="A565" s="28" t="n">
        <v>564</v>
      </c>
      <c r="B565" s="43" t="n">
        <v>45839.7319444444</v>
      </c>
      <c r="C565" s="43" t="n">
        <v>45839.748912037</v>
      </c>
      <c r="D565" s="42" t="n">
        <f aca="false">INT(C565)</f>
        <v>45839</v>
      </c>
      <c r="E565" s="42" t="n">
        <f aca="false">D565-WEEKDAY(D565,3)</f>
        <v>45838</v>
      </c>
      <c r="F565" s="28" t="s">
        <v>170</v>
      </c>
      <c r="G565" s="28" t="n">
        <v>2025</v>
      </c>
      <c r="H565" s="28" t="s">
        <v>232</v>
      </c>
      <c r="I565" s="28" t="n">
        <v>17</v>
      </c>
      <c r="J565" s="28" t="s">
        <v>236</v>
      </c>
      <c r="K565" s="28" t="s">
        <v>237</v>
      </c>
      <c r="L565" s="28" t="n">
        <v>0.22</v>
      </c>
      <c r="M565" s="31" t="n">
        <v>22534.71</v>
      </c>
      <c r="N565" s="31" t="n">
        <v>22566.07</v>
      </c>
      <c r="O565" s="31" t="n">
        <v>22471.99</v>
      </c>
      <c r="P565" s="44" t="n">
        <f aca="false">ABS(M565-N565)</f>
        <v>31.3600000000006</v>
      </c>
      <c r="Q565" s="44" t="n">
        <f aca="false">IF(O565="","",ABS(O565-M565))</f>
        <v>62.7199999999975</v>
      </c>
      <c r="R565" s="30" t="n">
        <f aca="false">P565*L565*Summary!$C$6</f>
        <v>137.984000000003</v>
      </c>
      <c r="S565" s="31" t="n">
        <v>22471.56</v>
      </c>
      <c r="T565" s="28" t="s">
        <v>214</v>
      </c>
      <c r="U565" s="44" t="n">
        <f aca="false">IF(J565="BUY",S565-M565,M565-S565)</f>
        <v>63.1499999999978</v>
      </c>
      <c r="V565" s="45" t="n">
        <v>0</v>
      </c>
      <c r="W565" s="45" t="n">
        <v>0</v>
      </c>
      <c r="X565" s="45" t="n">
        <v>277.86</v>
      </c>
      <c r="Y565" s="32" t="n">
        <f aca="false">IFERROR(X565/R565,0)</f>
        <v>2.01371173469384</v>
      </c>
      <c r="Z565" s="28" t="str">
        <f aca="false">IF(X565&gt;0,"Win",IF(X565&lt;0,"Loss","Flat"))</f>
        <v>Win</v>
      </c>
      <c r="AA565" s="28" t="n">
        <f aca="false">ROUND((C565-B565)*1440,1)</f>
        <v>24.4</v>
      </c>
      <c r="AB565" s="28" t="str">
        <f aca="false">IF(AA565&lt;1,"a) &lt;1 min",IF(AA565&lt;10,"b) 1-10 min",IF(AA565&lt;60,"c) 10-60 min",IF(AA565&lt;240,"d) 1-4 h","e) 4 h+"))))</f>
        <v>c) 10-60 min</v>
      </c>
      <c r="AC565" s="28" t="str">
        <f aca="false">IF(P565&lt;10,"a) &lt;10",IF(P565&lt;20,"b) 10-20",IF(P565&lt;40,"c) 20-40",IF(P565&lt;80,"d) 40-80","e) 80+"))))</f>
        <v>c) 20-40</v>
      </c>
      <c r="AD565" s="30" t="n">
        <f aca="false">Summary!$C$5+SUM(X$2:X565)</f>
        <v>112346.06</v>
      </c>
      <c r="AE565" s="30" t="n">
        <f aca="false">MAX(AE564,AD565)</f>
        <v>112346.06</v>
      </c>
      <c r="AF565" s="30" t="n">
        <f aca="false">AE565-AD565</f>
        <v>0</v>
      </c>
      <c r="AG565" s="29" t="n">
        <f aca="false">IFERROR(AF565/AE565,0)</f>
        <v>0</v>
      </c>
    </row>
    <row r="566" customFormat="false" ht="15" hidden="false" customHeight="false" outlineLevel="0" collapsed="false">
      <c r="A566" s="28" t="n">
        <v>565</v>
      </c>
      <c r="B566" s="43" t="n">
        <v>45840.6548611111</v>
      </c>
      <c r="C566" s="43" t="n">
        <v>45840.6570486111</v>
      </c>
      <c r="D566" s="42" t="n">
        <f aca="false">INT(C566)</f>
        <v>45840</v>
      </c>
      <c r="E566" s="42" t="n">
        <f aca="false">D566-WEEKDAY(D566,3)</f>
        <v>45838</v>
      </c>
      <c r="F566" s="28" t="s">
        <v>170</v>
      </c>
      <c r="G566" s="28" t="n">
        <v>2025</v>
      </c>
      <c r="H566" s="28" t="s">
        <v>235</v>
      </c>
      <c r="I566" s="28" t="n">
        <v>15</v>
      </c>
      <c r="J566" s="28" t="s">
        <v>236</v>
      </c>
      <c r="K566" s="28" t="s">
        <v>237</v>
      </c>
      <c r="L566" s="28" t="n">
        <v>0.22</v>
      </c>
      <c r="M566" s="31" t="n">
        <v>22378.75</v>
      </c>
      <c r="N566" s="31" t="n">
        <v>22400.44</v>
      </c>
      <c r="O566" s="31" t="n">
        <v>22335.37</v>
      </c>
      <c r="P566" s="44" t="n">
        <f aca="false">ABS(M566-N566)</f>
        <v>21.6899999999987</v>
      </c>
      <c r="Q566" s="44" t="n">
        <f aca="false">IF(O566="","",ABS(O566-M566))</f>
        <v>43.380000000001</v>
      </c>
      <c r="R566" s="30" t="n">
        <f aca="false">P566*L566*Summary!$C$6</f>
        <v>95.4359999999942</v>
      </c>
      <c r="S566" s="31" t="n">
        <v>22401.2</v>
      </c>
      <c r="T566" s="28" t="s">
        <v>241</v>
      </c>
      <c r="U566" s="44" t="n">
        <f aca="false">IF(J566="BUY",S566-M566,M566-S566)</f>
        <v>-22.4500000000007</v>
      </c>
      <c r="V566" s="45" t="n">
        <v>0</v>
      </c>
      <c r="W566" s="45" t="n">
        <v>0</v>
      </c>
      <c r="X566" s="45" t="n">
        <v>-98.78</v>
      </c>
      <c r="Y566" s="32" t="n">
        <f aca="false">IFERROR(X566/R566,0)</f>
        <v>-1.03503918856622</v>
      </c>
      <c r="Z566" s="28" t="str">
        <f aca="false">IF(X566&gt;0,"Win",IF(X566&lt;0,"Loss","Flat"))</f>
        <v>Loss</v>
      </c>
      <c r="AA566" s="28" t="n">
        <f aca="false">ROUND((C566-B566)*1440,1)</f>
        <v>3.2</v>
      </c>
      <c r="AB566" s="28" t="str">
        <f aca="false">IF(AA566&lt;1,"a) &lt;1 min",IF(AA566&lt;10,"b) 1-10 min",IF(AA566&lt;60,"c) 10-60 min",IF(AA566&lt;240,"d) 1-4 h","e) 4 h+"))))</f>
        <v>b) 1-10 min</v>
      </c>
      <c r="AC566" s="28" t="str">
        <f aca="false">IF(P566&lt;10,"a) &lt;10",IF(P566&lt;20,"b) 10-20",IF(P566&lt;40,"c) 20-40",IF(P566&lt;80,"d) 40-80","e) 80+"))))</f>
        <v>c) 20-40</v>
      </c>
      <c r="AD566" s="30" t="n">
        <f aca="false">Summary!$C$5+SUM(X$2:X566)</f>
        <v>112247.28</v>
      </c>
      <c r="AE566" s="30" t="n">
        <f aca="false">MAX(AE565,AD566)</f>
        <v>112346.06</v>
      </c>
      <c r="AF566" s="30" t="n">
        <f aca="false">AE566-AD566</f>
        <v>98.7799999999988</v>
      </c>
      <c r="AG566" s="29" t="n">
        <f aca="false">IFERROR(AF566/AE566,0)</f>
        <v>0.000879247567738458</v>
      </c>
    </row>
    <row r="567" customFormat="false" ht="15" hidden="false" customHeight="false" outlineLevel="0" collapsed="false">
      <c r="A567" s="28" t="n">
        <v>566</v>
      </c>
      <c r="B567" s="43" t="n">
        <v>45841.1368055556</v>
      </c>
      <c r="C567" s="43" t="n">
        <v>45841.1436689815</v>
      </c>
      <c r="D567" s="42" t="n">
        <f aca="false">INT(C567)</f>
        <v>45841</v>
      </c>
      <c r="E567" s="42" t="n">
        <f aca="false">D567-WEEKDAY(D567,3)</f>
        <v>45838</v>
      </c>
      <c r="F567" s="28" t="s">
        <v>170</v>
      </c>
      <c r="G567" s="28" t="n">
        <v>2025</v>
      </c>
      <c r="H567" s="28" t="s">
        <v>239</v>
      </c>
      <c r="I567" s="28" t="n">
        <v>3</v>
      </c>
      <c r="J567" s="28" t="s">
        <v>233</v>
      </c>
      <c r="K567" s="28" t="s">
        <v>234</v>
      </c>
      <c r="L567" s="28" t="n">
        <v>0.22</v>
      </c>
      <c r="M567" s="31" t="n">
        <v>22641.92</v>
      </c>
      <c r="N567" s="31" t="n">
        <v>22632.83</v>
      </c>
      <c r="O567" s="31" t="n">
        <v>22660.11</v>
      </c>
      <c r="P567" s="44" t="n">
        <f aca="false">ABS(M567-N567)</f>
        <v>9.08999999999651</v>
      </c>
      <c r="Q567" s="44" t="n">
        <f aca="false">IF(O567="","",ABS(O567-M567))</f>
        <v>18.1900000000023</v>
      </c>
      <c r="R567" s="30" t="n">
        <f aca="false">P567*L567*Summary!$C$6</f>
        <v>39.9959999999846</v>
      </c>
      <c r="S567" s="31" t="n">
        <v>22632.61</v>
      </c>
      <c r="T567" s="28" t="s">
        <v>241</v>
      </c>
      <c r="U567" s="44" t="n">
        <f aca="false">IF(J567="BUY",S567-M567,M567-S567)</f>
        <v>-9.30999999999767</v>
      </c>
      <c r="V567" s="45" t="n">
        <v>0</v>
      </c>
      <c r="W567" s="45" t="n">
        <v>0</v>
      </c>
      <c r="X567" s="45" t="n">
        <v>-40.96</v>
      </c>
      <c r="Y567" s="32" t="n">
        <f aca="false">IFERROR(X567/R567,0)</f>
        <v>-1.02410241024142</v>
      </c>
      <c r="Z567" s="28" t="str">
        <f aca="false">IF(X567&gt;0,"Win",IF(X567&lt;0,"Loss","Flat"))</f>
        <v>Loss</v>
      </c>
      <c r="AA567" s="28" t="n">
        <f aca="false">ROUND((C567-B567)*1440,1)</f>
        <v>9.9</v>
      </c>
      <c r="AB567" s="28" t="str">
        <f aca="false">IF(AA567&lt;1,"a) &lt;1 min",IF(AA567&lt;10,"b) 1-10 min",IF(AA567&lt;60,"c) 10-60 min",IF(AA567&lt;240,"d) 1-4 h","e) 4 h+"))))</f>
        <v>b) 1-10 min</v>
      </c>
      <c r="AC567" s="28" t="str">
        <f aca="false">IF(P567&lt;10,"a) &lt;10",IF(P567&lt;20,"b) 10-20",IF(P567&lt;40,"c) 20-40",IF(P567&lt;80,"d) 40-80","e) 80+"))))</f>
        <v>a) &lt;10</v>
      </c>
      <c r="AD567" s="30" t="n">
        <f aca="false">Summary!$C$5+SUM(X$2:X567)</f>
        <v>112206.32</v>
      </c>
      <c r="AE567" s="30" t="n">
        <f aca="false">MAX(AE566,AD567)</f>
        <v>112346.06</v>
      </c>
      <c r="AF567" s="30" t="n">
        <f aca="false">AE567-AD567</f>
        <v>139.739999999991</v>
      </c>
      <c r="AG567" s="29" t="n">
        <f aca="false">IFERROR(AF567/AE567,0)</f>
        <v>0.00124383534233413</v>
      </c>
    </row>
    <row r="568" customFormat="false" ht="15" hidden="false" customHeight="false" outlineLevel="0" collapsed="false">
      <c r="A568" s="28" t="n">
        <v>567</v>
      </c>
      <c r="B568" s="43" t="n">
        <v>45845.80625</v>
      </c>
      <c r="C568" s="43" t="n">
        <v>45845.8075694444</v>
      </c>
      <c r="D568" s="42" t="n">
        <f aca="false">INT(C568)</f>
        <v>45845</v>
      </c>
      <c r="E568" s="42" t="n">
        <f aca="false">D568-WEEKDAY(D568,3)</f>
        <v>45845</v>
      </c>
      <c r="F568" s="28" t="s">
        <v>170</v>
      </c>
      <c r="G568" s="28" t="n">
        <v>2025</v>
      </c>
      <c r="H568" s="28" t="s">
        <v>240</v>
      </c>
      <c r="I568" s="28" t="n">
        <v>19</v>
      </c>
      <c r="J568" s="28" t="s">
        <v>236</v>
      </c>
      <c r="K568" s="28" t="s">
        <v>237</v>
      </c>
      <c r="L568" s="28" t="n">
        <v>0.22</v>
      </c>
      <c r="M568" s="31" t="n">
        <v>22678.29</v>
      </c>
      <c r="N568" s="31" t="n">
        <v>22716.1</v>
      </c>
      <c r="O568" s="31" t="n">
        <v>22616.8</v>
      </c>
      <c r="P568" s="44" t="n">
        <f aca="false">ABS(M568-N568)</f>
        <v>37.8099999999977</v>
      </c>
      <c r="Q568" s="44" t="n">
        <f aca="false">IF(O568="","",ABS(O568-M568))</f>
        <v>61.4900000000016</v>
      </c>
      <c r="R568" s="30" t="n">
        <f aca="false">P568*L568*Summary!$C$6</f>
        <v>166.36399999999</v>
      </c>
      <c r="S568" s="31" t="n">
        <v>22678.45</v>
      </c>
      <c r="T568" s="28" t="s">
        <v>238</v>
      </c>
      <c r="U568" s="44" t="n">
        <f aca="false">IF(J568="BUY",S568-M568,M568-S568)</f>
        <v>-0.159999999999854</v>
      </c>
      <c r="V568" s="45" t="n">
        <v>0</v>
      </c>
      <c r="W568" s="45" t="n">
        <v>0</v>
      </c>
      <c r="X568" s="45" t="n">
        <v>-0.7</v>
      </c>
      <c r="Y568" s="32" t="n">
        <f aca="false">IFERROR(X568/R568,0)</f>
        <v>-0.00420764107619463</v>
      </c>
      <c r="Z568" s="28" t="str">
        <f aca="false">IF(X568&gt;0,"Win",IF(X568&lt;0,"Loss","Flat"))</f>
        <v>Loss</v>
      </c>
      <c r="AA568" s="28" t="n">
        <f aca="false">ROUND((C568-B568)*1440,1)</f>
        <v>1.9</v>
      </c>
      <c r="AB568" s="28" t="str">
        <f aca="false">IF(AA568&lt;1,"a) &lt;1 min",IF(AA568&lt;10,"b) 1-10 min",IF(AA568&lt;60,"c) 10-60 min",IF(AA568&lt;240,"d) 1-4 h","e) 4 h+"))))</f>
        <v>b) 1-10 min</v>
      </c>
      <c r="AC568" s="28" t="str">
        <f aca="false">IF(P568&lt;10,"a) &lt;10",IF(P568&lt;20,"b) 10-20",IF(P568&lt;40,"c) 20-40",IF(P568&lt;80,"d) 40-80","e) 80+"))))</f>
        <v>c) 20-40</v>
      </c>
      <c r="AD568" s="30" t="n">
        <f aca="false">Summary!$C$5+SUM(X$2:X568)</f>
        <v>112205.62</v>
      </c>
      <c r="AE568" s="30" t="n">
        <f aca="false">MAX(AE567,AD568)</f>
        <v>112346.06</v>
      </c>
      <c r="AF568" s="30" t="n">
        <f aca="false">AE568-AD568</f>
        <v>140.440000000002</v>
      </c>
      <c r="AG568" s="29" t="n">
        <f aca="false">IFERROR(AF568/AE568,0)</f>
        <v>0.00125006609043524</v>
      </c>
    </row>
    <row r="569" customFormat="false" ht="15" hidden="false" customHeight="false" outlineLevel="0" collapsed="false">
      <c r="A569" s="28" t="n">
        <v>568</v>
      </c>
      <c r="B569" s="43" t="n">
        <v>45847.6875</v>
      </c>
      <c r="C569" s="43" t="n">
        <v>45847.6877199074</v>
      </c>
      <c r="D569" s="42" t="n">
        <f aca="false">INT(C569)</f>
        <v>45847</v>
      </c>
      <c r="E569" s="42" t="n">
        <f aca="false">D569-WEEKDAY(D569,3)</f>
        <v>45845</v>
      </c>
      <c r="F569" s="28" t="s">
        <v>170</v>
      </c>
      <c r="G569" s="28" t="n">
        <v>2025</v>
      </c>
      <c r="H569" s="28" t="s">
        <v>235</v>
      </c>
      <c r="I569" s="28" t="n">
        <v>16</v>
      </c>
      <c r="J569" s="28" t="s">
        <v>233</v>
      </c>
      <c r="K569" s="28" t="s">
        <v>234</v>
      </c>
      <c r="L569" s="28" t="n">
        <v>0.22</v>
      </c>
      <c r="M569" s="31" t="n">
        <v>22784.78</v>
      </c>
      <c r="N569" s="31" t="n">
        <v>22773.05</v>
      </c>
      <c r="O569" s="31" t="n">
        <v>22804.49</v>
      </c>
      <c r="P569" s="44" t="n">
        <f aca="false">ABS(M569-N569)</f>
        <v>11.7299999999996</v>
      </c>
      <c r="Q569" s="44" t="n">
        <f aca="false">IF(O569="","",ABS(O569-M569))</f>
        <v>19.7100000000028</v>
      </c>
      <c r="R569" s="30" t="n">
        <f aca="false">P569*L569*Summary!$C$6</f>
        <v>51.6119999999981</v>
      </c>
      <c r="S569" s="31" t="n">
        <v>22805</v>
      </c>
      <c r="T569" s="28" t="s">
        <v>214</v>
      </c>
      <c r="U569" s="44" t="n">
        <f aca="false">IF(J569="BUY",S569-M569,M569-S569)</f>
        <v>20.2200000000012</v>
      </c>
      <c r="V569" s="45" t="n">
        <v>0</v>
      </c>
      <c r="W569" s="45" t="n">
        <v>0</v>
      </c>
      <c r="X569" s="45" t="n">
        <v>88.97</v>
      </c>
      <c r="Y569" s="32" t="n">
        <f aca="false">IFERROR(X569/R569,0)</f>
        <v>1.72382391691861</v>
      </c>
      <c r="Z569" s="28" t="str">
        <f aca="false">IF(X569&gt;0,"Win",IF(X569&lt;0,"Loss","Flat"))</f>
        <v>Win</v>
      </c>
      <c r="AA569" s="28" t="n">
        <f aca="false">ROUND((C569-B569)*1440,1)</f>
        <v>0.3</v>
      </c>
      <c r="AB569" s="28" t="str">
        <f aca="false">IF(AA569&lt;1,"a) &lt;1 min",IF(AA569&lt;10,"b) 1-10 min",IF(AA569&lt;60,"c) 10-60 min",IF(AA569&lt;240,"d) 1-4 h","e) 4 h+"))))</f>
        <v>a) &lt;1 min</v>
      </c>
      <c r="AC569" s="28" t="str">
        <f aca="false">IF(P569&lt;10,"a) &lt;10",IF(P569&lt;20,"b) 10-20",IF(P569&lt;40,"c) 20-40",IF(P569&lt;80,"d) 40-80","e) 80+"))))</f>
        <v>b) 10-20</v>
      </c>
      <c r="AD569" s="30" t="n">
        <f aca="false">Summary!$C$5+SUM(X$2:X569)</f>
        <v>112294.59</v>
      </c>
      <c r="AE569" s="30" t="n">
        <f aca="false">MAX(AE568,AD569)</f>
        <v>112346.06</v>
      </c>
      <c r="AF569" s="30" t="n">
        <f aca="false">AE569-AD569</f>
        <v>51.4700000000012</v>
      </c>
      <c r="AG569" s="29" t="n">
        <f aca="false">IFERROR(AF569/AE569,0)</f>
        <v>0.000458138006797935</v>
      </c>
    </row>
    <row r="570" customFormat="false" ht="15" hidden="false" customHeight="false" outlineLevel="0" collapsed="false">
      <c r="A570" s="28" t="n">
        <v>569</v>
      </c>
      <c r="B570" s="43" t="n">
        <v>45849.14375</v>
      </c>
      <c r="C570" s="43" t="n">
        <v>45849.1469560185</v>
      </c>
      <c r="D570" s="42" t="n">
        <f aca="false">INT(C570)</f>
        <v>45849</v>
      </c>
      <c r="E570" s="42" t="n">
        <f aca="false">D570-WEEKDAY(D570,3)</f>
        <v>45845</v>
      </c>
      <c r="F570" s="28" t="s">
        <v>170</v>
      </c>
      <c r="G570" s="28" t="n">
        <v>2025</v>
      </c>
      <c r="H570" s="28" t="s">
        <v>242</v>
      </c>
      <c r="I570" s="28" t="n">
        <v>3</v>
      </c>
      <c r="J570" s="28" t="s">
        <v>236</v>
      </c>
      <c r="K570" s="28" t="s">
        <v>237</v>
      </c>
      <c r="L570" s="28" t="n">
        <v>0.22</v>
      </c>
      <c r="M570" s="31" t="n">
        <v>22698.46</v>
      </c>
      <c r="N570" s="31" t="n">
        <v>22731.14</v>
      </c>
      <c r="O570" s="31" t="n">
        <v>22633.1</v>
      </c>
      <c r="P570" s="44" t="n">
        <f aca="false">ABS(M570-N570)</f>
        <v>32.6800000000003</v>
      </c>
      <c r="Q570" s="44" t="n">
        <f aca="false">IF(O570="","",ABS(O570-M570))</f>
        <v>65.3600000000006</v>
      </c>
      <c r="R570" s="30" t="n">
        <f aca="false">P570*L570*Summary!$C$6</f>
        <v>143.792000000001</v>
      </c>
      <c r="S570" s="31" t="n">
        <v>22698.92</v>
      </c>
      <c r="T570" s="28" t="s">
        <v>238</v>
      </c>
      <c r="U570" s="44" t="n">
        <f aca="false">IF(J570="BUY",S570-M570,M570-S570)</f>
        <v>-0.459999999999127</v>
      </c>
      <c r="V570" s="45" t="n">
        <v>0</v>
      </c>
      <c r="W570" s="45" t="n">
        <v>0</v>
      </c>
      <c r="X570" s="45" t="n">
        <v>-2.02</v>
      </c>
      <c r="Y570" s="32" t="n">
        <f aca="false">IFERROR(X570/R570,0)</f>
        <v>-0.0140480694336262</v>
      </c>
      <c r="Z570" s="28" t="str">
        <f aca="false">IF(X570&gt;0,"Win",IF(X570&lt;0,"Loss","Flat"))</f>
        <v>Loss</v>
      </c>
      <c r="AA570" s="28" t="n">
        <f aca="false">ROUND((C570-B570)*1440,1)</f>
        <v>4.6</v>
      </c>
      <c r="AB570" s="28" t="str">
        <f aca="false">IF(AA570&lt;1,"a) &lt;1 min",IF(AA570&lt;10,"b) 1-10 min",IF(AA570&lt;60,"c) 10-60 min",IF(AA570&lt;240,"d) 1-4 h","e) 4 h+"))))</f>
        <v>b) 1-10 min</v>
      </c>
      <c r="AC570" s="28" t="str">
        <f aca="false">IF(P570&lt;10,"a) &lt;10",IF(P570&lt;20,"b) 10-20",IF(P570&lt;40,"c) 20-40",IF(P570&lt;80,"d) 40-80","e) 80+"))))</f>
        <v>c) 20-40</v>
      </c>
      <c r="AD570" s="30" t="n">
        <f aca="false">Summary!$C$5+SUM(X$2:X570)</f>
        <v>112292.57</v>
      </c>
      <c r="AE570" s="30" t="n">
        <f aca="false">MAX(AE569,AD570)</f>
        <v>112346.06</v>
      </c>
      <c r="AF570" s="30" t="n">
        <f aca="false">AE570-AD570</f>
        <v>53.4899999999907</v>
      </c>
      <c r="AG570" s="29" t="n">
        <f aca="false">IFERROR(AF570/AE570,0)</f>
        <v>0.000476118165603589</v>
      </c>
    </row>
    <row r="571" customFormat="false" ht="15" hidden="false" customHeight="false" outlineLevel="0" collapsed="false">
      <c r="A571" s="28" t="n">
        <v>570</v>
      </c>
      <c r="B571" s="43" t="n">
        <v>45852.05</v>
      </c>
      <c r="C571" s="43" t="n">
        <v>45852.0655902778</v>
      </c>
      <c r="D571" s="42" t="n">
        <f aca="false">INT(C571)</f>
        <v>45852</v>
      </c>
      <c r="E571" s="42" t="n">
        <f aca="false">D571-WEEKDAY(D571,3)</f>
        <v>45852</v>
      </c>
      <c r="F571" s="28" t="s">
        <v>170</v>
      </c>
      <c r="G571" s="28" t="n">
        <v>2025</v>
      </c>
      <c r="H571" s="28" t="s">
        <v>240</v>
      </c>
      <c r="I571" s="28" t="n">
        <v>1</v>
      </c>
      <c r="J571" s="28" t="s">
        <v>236</v>
      </c>
      <c r="K571" s="28" t="s">
        <v>237</v>
      </c>
      <c r="L571" s="28" t="n">
        <v>0.22</v>
      </c>
      <c r="M571" s="31" t="n">
        <v>22642.99</v>
      </c>
      <c r="N571" s="31" t="n">
        <v>22683.71</v>
      </c>
      <c r="O571" s="31" t="n">
        <v>22561.56</v>
      </c>
      <c r="P571" s="44" t="n">
        <f aca="false">ABS(M571-N571)</f>
        <v>40.7199999999975</v>
      </c>
      <c r="Q571" s="44" t="n">
        <f aca="false">IF(O571="","",ABS(O571-M571))</f>
        <v>81.4300000000003</v>
      </c>
      <c r="R571" s="30" t="n">
        <f aca="false">P571*L571*Summary!$C$6</f>
        <v>179.167999999989</v>
      </c>
      <c r="S571" s="31" t="n">
        <v>22683.79</v>
      </c>
      <c r="T571" s="28" t="s">
        <v>241</v>
      </c>
      <c r="U571" s="44" t="n">
        <f aca="false">IF(J571="BUY",S571-M571,M571-S571)</f>
        <v>-40.7999999999993</v>
      </c>
      <c r="V571" s="45" t="n">
        <v>0</v>
      </c>
      <c r="W571" s="45" t="n">
        <v>0</v>
      </c>
      <c r="X571" s="45" t="n">
        <v>-179.52</v>
      </c>
      <c r="Y571" s="32" t="n">
        <f aca="false">IFERROR(X571/R571,0)</f>
        <v>-1.0019646365423</v>
      </c>
      <c r="Z571" s="28" t="str">
        <f aca="false">IF(X571&gt;0,"Win",IF(X571&lt;0,"Loss","Flat"))</f>
        <v>Loss</v>
      </c>
      <c r="AA571" s="28" t="n">
        <f aca="false">ROUND((C571-B571)*1440,1)</f>
        <v>22.5</v>
      </c>
      <c r="AB571" s="28" t="str">
        <f aca="false">IF(AA571&lt;1,"a) &lt;1 min",IF(AA571&lt;10,"b) 1-10 min",IF(AA571&lt;60,"c) 10-60 min",IF(AA571&lt;240,"d) 1-4 h","e) 4 h+"))))</f>
        <v>c) 10-60 min</v>
      </c>
      <c r="AC571" s="28" t="str">
        <f aca="false">IF(P571&lt;10,"a) &lt;10",IF(P571&lt;20,"b) 10-20",IF(P571&lt;40,"c) 20-40",IF(P571&lt;80,"d) 40-80","e) 80+"))))</f>
        <v>d) 40-80</v>
      </c>
      <c r="AD571" s="30" t="n">
        <f aca="false">Summary!$C$5+SUM(X$2:X571)</f>
        <v>112113.05</v>
      </c>
      <c r="AE571" s="30" t="n">
        <f aca="false">MAX(AE570,AD571)</f>
        <v>112346.06</v>
      </c>
      <c r="AF571" s="30" t="n">
        <f aca="false">AE571-AD571</f>
        <v>233.009999999995</v>
      </c>
      <c r="AG571" s="29" t="n">
        <f aca="false">IFERROR(AF571/AE571,0)</f>
        <v>0.00207403802144904</v>
      </c>
    </row>
    <row r="572" customFormat="false" ht="15" hidden="false" customHeight="false" outlineLevel="0" collapsed="false">
      <c r="A572" s="28" t="n">
        <v>571</v>
      </c>
      <c r="B572" s="43" t="n">
        <v>45852.8395833333</v>
      </c>
      <c r="C572" s="43" t="n">
        <v>45852.8586226852</v>
      </c>
      <c r="D572" s="42" t="n">
        <f aca="false">INT(C572)</f>
        <v>45852</v>
      </c>
      <c r="E572" s="42" t="n">
        <f aca="false">D572-WEEKDAY(D572,3)</f>
        <v>45852</v>
      </c>
      <c r="F572" s="28" t="s">
        <v>170</v>
      </c>
      <c r="G572" s="28" t="n">
        <v>2025</v>
      </c>
      <c r="H572" s="28" t="s">
        <v>240</v>
      </c>
      <c r="I572" s="28" t="n">
        <v>20</v>
      </c>
      <c r="J572" s="28" t="s">
        <v>233</v>
      </c>
      <c r="K572" s="28" t="s">
        <v>234</v>
      </c>
      <c r="L572" s="28" t="n">
        <v>0.22</v>
      </c>
      <c r="M572" s="31" t="n">
        <v>22867.8</v>
      </c>
      <c r="N572" s="31" t="n">
        <v>22859.49</v>
      </c>
      <c r="O572" s="31" t="n">
        <v>22884.42</v>
      </c>
      <c r="P572" s="44" t="n">
        <f aca="false">ABS(M572-N572)</f>
        <v>8.30999999999767</v>
      </c>
      <c r="Q572" s="44" t="n">
        <f aca="false">IF(O572="","",ABS(O572-M572))</f>
        <v>16.619999999999</v>
      </c>
      <c r="R572" s="30" t="n">
        <f aca="false">P572*L572*Summary!$C$6</f>
        <v>36.5639999999898</v>
      </c>
      <c r="S572" s="31" t="n">
        <v>22884.44</v>
      </c>
      <c r="T572" s="28" t="s">
        <v>214</v>
      </c>
      <c r="U572" s="44" t="n">
        <f aca="false">IF(J572="BUY",S572-M572,M572-S572)</f>
        <v>16.6399999999994</v>
      </c>
      <c r="V572" s="45" t="n">
        <v>0</v>
      </c>
      <c r="W572" s="45" t="n">
        <v>0</v>
      </c>
      <c r="X572" s="45" t="n">
        <v>73.22</v>
      </c>
      <c r="Y572" s="32" t="n">
        <f aca="false">IFERROR(X572/R572,0)</f>
        <v>2.0025161360907</v>
      </c>
      <c r="Z572" s="28" t="str">
        <f aca="false">IF(X572&gt;0,"Win",IF(X572&lt;0,"Loss","Flat"))</f>
        <v>Win</v>
      </c>
      <c r="AA572" s="28" t="n">
        <f aca="false">ROUND((C572-B572)*1440,1)</f>
        <v>27.4</v>
      </c>
      <c r="AB572" s="28" t="str">
        <f aca="false">IF(AA572&lt;1,"a) &lt;1 min",IF(AA572&lt;10,"b) 1-10 min",IF(AA572&lt;60,"c) 10-60 min",IF(AA572&lt;240,"d) 1-4 h","e) 4 h+"))))</f>
        <v>c) 10-60 min</v>
      </c>
      <c r="AC572" s="28" t="str">
        <f aca="false">IF(P572&lt;10,"a) &lt;10",IF(P572&lt;20,"b) 10-20",IF(P572&lt;40,"c) 20-40",IF(P572&lt;80,"d) 40-80","e) 80+"))))</f>
        <v>a) &lt;10</v>
      </c>
      <c r="AD572" s="30" t="n">
        <f aca="false">Summary!$C$5+SUM(X$2:X572)</f>
        <v>112186.27</v>
      </c>
      <c r="AE572" s="30" t="n">
        <f aca="false">MAX(AE571,AD572)</f>
        <v>112346.06</v>
      </c>
      <c r="AF572" s="30" t="n">
        <f aca="false">AE572-AD572</f>
        <v>159.789999999994</v>
      </c>
      <c r="AG572" s="29" t="n">
        <f aca="false">IFERROR(AF572/AE572,0)</f>
        <v>0.00142230177008427</v>
      </c>
    </row>
    <row r="573" customFormat="false" ht="15" hidden="false" customHeight="false" outlineLevel="0" collapsed="false">
      <c r="A573" s="28" t="n">
        <v>572</v>
      </c>
      <c r="B573" s="43" t="n">
        <v>45853.1979166667</v>
      </c>
      <c r="C573" s="43" t="n">
        <v>45853.2015277778</v>
      </c>
      <c r="D573" s="42" t="n">
        <f aca="false">INT(C573)</f>
        <v>45853</v>
      </c>
      <c r="E573" s="42" t="n">
        <f aca="false">D573-WEEKDAY(D573,3)</f>
        <v>45852</v>
      </c>
      <c r="F573" s="28" t="s">
        <v>170</v>
      </c>
      <c r="G573" s="28" t="n">
        <v>2025</v>
      </c>
      <c r="H573" s="28" t="s">
        <v>232</v>
      </c>
      <c r="I573" s="28" t="n">
        <v>4</v>
      </c>
      <c r="J573" s="28" t="s">
        <v>233</v>
      </c>
      <c r="K573" s="28" t="s">
        <v>234</v>
      </c>
      <c r="L573" s="28" t="n">
        <v>0.22</v>
      </c>
      <c r="M573" s="31" t="n">
        <v>22900.6</v>
      </c>
      <c r="N573" s="31" t="n">
        <v>22880.65</v>
      </c>
      <c r="O573" s="31" t="n">
        <v>22940.51</v>
      </c>
      <c r="P573" s="44" t="n">
        <f aca="false">ABS(M573-N573)</f>
        <v>19.9499999999971</v>
      </c>
      <c r="Q573" s="44" t="n">
        <f aca="false">IF(O573="","",ABS(O573-M573))</f>
        <v>39.9099999999999</v>
      </c>
      <c r="R573" s="30" t="n">
        <f aca="false">P573*L573*Summary!$C$6</f>
        <v>87.7799999999872</v>
      </c>
      <c r="S573" s="31" t="n">
        <v>22941.02</v>
      </c>
      <c r="T573" s="28" t="s">
        <v>214</v>
      </c>
      <c r="U573" s="44" t="n">
        <f aca="false">IF(J573="BUY",S573-M573,M573-S573)</f>
        <v>40.4200000000019</v>
      </c>
      <c r="V573" s="45" t="n">
        <v>0</v>
      </c>
      <c r="W573" s="45" t="n">
        <v>0</v>
      </c>
      <c r="X573" s="45" t="n">
        <v>177.85</v>
      </c>
      <c r="Y573" s="32" t="n">
        <f aca="false">IFERROR(X573/R573,0)</f>
        <v>2.02608794714087</v>
      </c>
      <c r="Z573" s="28" t="str">
        <f aca="false">IF(X573&gt;0,"Win",IF(X573&lt;0,"Loss","Flat"))</f>
        <v>Win</v>
      </c>
      <c r="AA573" s="28" t="n">
        <f aca="false">ROUND((C573-B573)*1440,1)</f>
        <v>5.2</v>
      </c>
      <c r="AB573" s="28" t="str">
        <f aca="false">IF(AA573&lt;1,"a) &lt;1 min",IF(AA573&lt;10,"b) 1-10 min",IF(AA573&lt;60,"c) 10-60 min",IF(AA573&lt;240,"d) 1-4 h","e) 4 h+"))))</f>
        <v>b) 1-10 min</v>
      </c>
      <c r="AC573" s="28" t="str">
        <f aca="false">IF(P573&lt;10,"a) &lt;10",IF(P573&lt;20,"b) 10-20",IF(P573&lt;40,"c) 20-40",IF(P573&lt;80,"d) 40-80","e) 80+"))))</f>
        <v>b) 10-20</v>
      </c>
      <c r="AD573" s="30" t="n">
        <f aca="false">Summary!$C$5+SUM(X$2:X573)</f>
        <v>112364.12</v>
      </c>
      <c r="AE573" s="30" t="n">
        <f aca="false">MAX(AE572,AD573)</f>
        <v>112364.12</v>
      </c>
      <c r="AF573" s="30" t="n">
        <f aca="false">AE573-AD573</f>
        <v>0</v>
      </c>
      <c r="AG573" s="29" t="n">
        <f aca="false">IFERROR(AF573/AE573,0)</f>
        <v>0</v>
      </c>
    </row>
    <row r="574" customFormat="false" ht="15" hidden="false" customHeight="false" outlineLevel="0" collapsed="false">
      <c r="A574" s="28" t="n">
        <v>573</v>
      </c>
      <c r="B574" s="43" t="n">
        <v>45854.0652777778</v>
      </c>
      <c r="C574" s="43" t="n">
        <v>45854.0668055556</v>
      </c>
      <c r="D574" s="42" t="n">
        <f aca="false">INT(C574)</f>
        <v>45854</v>
      </c>
      <c r="E574" s="42" t="n">
        <f aca="false">D574-WEEKDAY(D574,3)</f>
        <v>45852</v>
      </c>
      <c r="F574" s="28" t="s">
        <v>170</v>
      </c>
      <c r="G574" s="28" t="n">
        <v>2025</v>
      </c>
      <c r="H574" s="28" t="s">
        <v>235</v>
      </c>
      <c r="I574" s="28" t="n">
        <v>1</v>
      </c>
      <c r="J574" s="28" t="s">
        <v>236</v>
      </c>
      <c r="K574" s="28" t="s">
        <v>237</v>
      </c>
      <c r="L574" s="28" t="n">
        <v>0.22</v>
      </c>
      <c r="M574" s="31" t="n">
        <v>22800.77</v>
      </c>
      <c r="N574" s="31" t="n">
        <v>22815.25</v>
      </c>
      <c r="O574" s="31" t="n">
        <v>22771.8</v>
      </c>
      <c r="P574" s="44" t="n">
        <f aca="false">ABS(M574-N574)</f>
        <v>14.4799999999996</v>
      </c>
      <c r="Q574" s="44" t="n">
        <f aca="false">IF(O574="","",ABS(O574-M574))</f>
        <v>28.9700000000012</v>
      </c>
      <c r="R574" s="30" t="n">
        <f aca="false">P574*L574*Summary!$C$6</f>
        <v>63.7119999999981</v>
      </c>
      <c r="S574" s="31" t="n">
        <v>22815.25</v>
      </c>
      <c r="T574" s="28" t="s">
        <v>241</v>
      </c>
      <c r="U574" s="44" t="n">
        <f aca="false">IF(J574="BUY",S574-M574,M574-S574)</f>
        <v>-14.4799999999996</v>
      </c>
      <c r="V574" s="45" t="n">
        <v>0</v>
      </c>
      <c r="W574" s="45" t="n">
        <v>0</v>
      </c>
      <c r="X574" s="45" t="n">
        <v>-63.71</v>
      </c>
      <c r="Y574" s="32" t="n">
        <f aca="false">IFERROR(X574/R574,0)</f>
        <v>-0.999968608739357</v>
      </c>
      <c r="Z574" s="28" t="str">
        <f aca="false">IF(X574&gt;0,"Win",IF(X574&lt;0,"Loss","Flat"))</f>
        <v>Loss</v>
      </c>
      <c r="AA574" s="28" t="n">
        <f aca="false">ROUND((C574-B574)*1440,1)</f>
        <v>2.2</v>
      </c>
      <c r="AB574" s="28" t="str">
        <f aca="false">IF(AA574&lt;1,"a) &lt;1 min",IF(AA574&lt;10,"b) 1-10 min",IF(AA574&lt;60,"c) 10-60 min",IF(AA574&lt;240,"d) 1-4 h","e) 4 h+"))))</f>
        <v>b) 1-10 min</v>
      </c>
      <c r="AC574" s="28" t="str">
        <f aca="false">IF(P574&lt;10,"a) &lt;10",IF(P574&lt;20,"b) 10-20",IF(P574&lt;40,"c) 20-40",IF(P574&lt;80,"d) 40-80","e) 80+"))))</f>
        <v>b) 10-20</v>
      </c>
      <c r="AD574" s="30" t="n">
        <f aca="false">Summary!$C$5+SUM(X$2:X574)</f>
        <v>112300.41</v>
      </c>
      <c r="AE574" s="30" t="n">
        <f aca="false">MAX(AE573,AD574)</f>
        <v>112364.12</v>
      </c>
      <c r="AF574" s="30" t="n">
        <f aca="false">AE574-AD574</f>
        <v>63.7099999999919</v>
      </c>
      <c r="AG574" s="29" t="n">
        <f aca="false">IFERROR(AF574/AE574,0)</f>
        <v>0.000566995941408982</v>
      </c>
    </row>
    <row r="575" customFormat="false" ht="15" hidden="false" customHeight="false" outlineLevel="0" collapsed="false">
      <c r="A575" s="28" t="n">
        <v>574</v>
      </c>
      <c r="B575" s="43" t="n">
        <v>45855.3791782407</v>
      </c>
      <c r="C575" s="43" t="n">
        <v>45855.3796875</v>
      </c>
      <c r="D575" s="42" t="n">
        <f aca="false">INT(C575)</f>
        <v>45855</v>
      </c>
      <c r="E575" s="42" t="n">
        <f aca="false">D575-WEEKDAY(D575,3)</f>
        <v>45852</v>
      </c>
      <c r="F575" s="28" t="s">
        <v>170</v>
      </c>
      <c r="G575" s="28" t="n">
        <v>2025</v>
      </c>
      <c r="H575" s="28" t="s">
        <v>239</v>
      </c>
      <c r="I575" s="28" t="n">
        <v>9</v>
      </c>
      <c r="J575" s="28" t="s">
        <v>233</v>
      </c>
      <c r="K575" s="28" t="s">
        <v>234</v>
      </c>
      <c r="L575" s="28" t="n">
        <v>0.22</v>
      </c>
      <c r="M575" s="31" t="n">
        <v>22931.02</v>
      </c>
      <c r="N575" s="31" t="n">
        <v>22923.36</v>
      </c>
      <c r="O575" s="31" t="n">
        <v>22946.35</v>
      </c>
      <c r="P575" s="44" t="n">
        <f aca="false">ABS(M575-N575)</f>
        <v>7.65999999999985</v>
      </c>
      <c r="Q575" s="44" t="n">
        <f aca="false">IF(O575="","",ABS(O575-M575))</f>
        <v>15.3299999999981</v>
      </c>
      <c r="R575" s="30" t="n">
        <f aca="false">P575*L575*Summary!$C$6</f>
        <v>33.7039999999994</v>
      </c>
      <c r="S575" s="31" t="n">
        <v>22946.53</v>
      </c>
      <c r="T575" s="28" t="s">
        <v>214</v>
      </c>
      <c r="U575" s="44" t="n">
        <f aca="false">IF(J575="BUY",S575-M575,M575-S575)</f>
        <v>15.5099999999984</v>
      </c>
      <c r="V575" s="45" t="n">
        <v>0</v>
      </c>
      <c r="W575" s="45" t="n">
        <v>0</v>
      </c>
      <c r="X575" s="45" t="n">
        <v>68.24</v>
      </c>
      <c r="Y575" s="32" t="n">
        <f aca="false">IFERROR(X575/R575,0)</f>
        <v>2.02468549727039</v>
      </c>
      <c r="Z575" s="28" t="str">
        <f aca="false">IF(X575&gt;0,"Win",IF(X575&lt;0,"Loss","Flat"))</f>
        <v>Win</v>
      </c>
      <c r="AA575" s="28" t="n">
        <f aca="false">ROUND((C575-B575)*1440,1)</f>
        <v>0.7</v>
      </c>
      <c r="AB575" s="28" t="str">
        <f aca="false">IF(AA575&lt;1,"a) &lt;1 min",IF(AA575&lt;10,"b) 1-10 min",IF(AA575&lt;60,"c) 10-60 min",IF(AA575&lt;240,"d) 1-4 h","e) 4 h+"))))</f>
        <v>a) &lt;1 min</v>
      </c>
      <c r="AC575" s="28" t="str">
        <f aca="false">IF(P575&lt;10,"a) &lt;10",IF(P575&lt;20,"b) 10-20",IF(P575&lt;40,"c) 20-40",IF(P575&lt;80,"d) 40-80","e) 80+"))))</f>
        <v>a) &lt;10</v>
      </c>
      <c r="AD575" s="30" t="n">
        <f aca="false">Summary!$C$5+SUM(X$2:X575)</f>
        <v>112368.65</v>
      </c>
      <c r="AE575" s="30" t="n">
        <f aca="false">MAX(AE574,AD575)</f>
        <v>112368.65</v>
      </c>
      <c r="AF575" s="30" t="n">
        <f aca="false">AE575-AD575</f>
        <v>0</v>
      </c>
      <c r="AG575" s="29" t="n">
        <f aca="false">IFERROR(AF575/AE575,0)</f>
        <v>0</v>
      </c>
    </row>
    <row r="576" customFormat="false" ht="15" hidden="false" customHeight="false" outlineLevel="0" collapsed="false">
      <c r="A576" s="28" t="n">
        <v>575</v>
      </c>
      <c r="B576" s="43" t="n">
        <v>45856.09375</v>
      </c>
      <c r="C576" s="43" t="n">
        <v>45856.0956597222</v>
      </c>
      <c r="D576" s="42" t="n">
        <f aca="false">INT(C576)</f>
        <v>45856</v>
      </c>
      <c r="E576" s="42" t="n">
        <f aca="false">D576-WEEKDAY(D576,3)</f>
        <v>45852</v>
      </c>
      <c r="F576" s="28" t="s">
        <v>170</v>
      </c>
      <c r="G576" s="28" t="n">
        <v>2025</v>
      </c>
      <c r="H576" s="28" t="s">
        <v>242</v>
      </c>
      <c r="I576" s="28" t="n">
        <v>2</v>
      </c>
      <c r="J576" s="28" t="s">
        <v>233</v>
      </c>
      <c r="K576" s="28" t="s">
        <v>234</v>
      </c>
      <c r="L576" s="28" t="n">
        <v>0.21</v>
      </c>
      <c r="M576" s="31" t="n">
        <v>23108.93</v>
      </c>
      <c r="N576" s="31" t="n">
        <v>23101.92</v>
      </c>
      <c r="O576" s="31" t="n">
        <v>23122.95</v>
      </c>
      <c r="P576" s="44" t="n">
        <f aca="false">ABS(M576-N576)</f>
        <v>7.01000000000204</v>
      </c>
      <c r="Q576" s="44" t="n">
        <f aca="false">IF(O576="","",ABS(O576-M576))</f>
        <v>14.0200000000004</v>
      </c>
      <c r="R576" s="30" t="n">
        <f aca="false">P576*L576*Summary!$C$6</f>
        <v>29.4420000000086</v>
      </c>
      <c r="S576" s="31" t="n">
        <v>23108.84</v>
      </c>
      <c r="T576" s="28" t="s">
        <v>238</v>
      </c>
      <c r="U576" s="44" t="n">
        <f aca="false">IF(J576="BUY",S576-M576,M576-S576)</f>
        <v>-0.0900000000001455</v>
      </c>
      <c r="V576" s="45" t="n">
        <v>0</v>
      </c>
      <c r="W576" s="45" t="n">
        <v>0</v>
      </c>
      <c r="X576" s="45" t="n">
        <v>-0.38</v>
      </c>
      <c r="Y576" s="32" t="n">
        <f aca="false">IFERROR(X576/R576,0)</f>
        <v>-0.012906731879624</v>
      </c>
      <c r="Z576" s="28" t="str">
        <f aca="false">IF(X576&gt;0,"Win",IF(X576&lt;0,"Loss","Flat"))</f>
        <v>Loss</v>
      </c>
      <c r="AA576" s="28" t="n">
        <f aca="false">ROUND((C576-B576)*1440,1)</f>
        <v>2.8</v>
      </c>
      <c r="AB576" s="28" t="str">
        <f aca="false">IF(AA576&lt;1,"a) &lt;1 min",IF(AA576&lt;10,"b) 1-10 min",IF(AA576&lt;60,"c) 10-60 min",IF(AA576&lt;240,"d) 1-4 h","e) 4 h+"))))</f>
        <v>b) 1-10 min</v>
      </c>
      <c r="AC576" s="28" t="str">
        <f aca="false">IF(P576&lt;10,"a) &lt;10",IF(P576&lt;20,"b) 10-20",IF(P576&lt;40,"c) 20-40",IF(P576&lt;80,"d) 40-80","e) 80+"))))</f>
        <v>a) &lt;10</v>
      </c>
      <c r="AD576" s="30" t="n">
        <f aca="false">Summary!$C$5+SUM(X$2:X576)</f>
        <v>112368.27</v>
      </c>
      <c r="AE576" s="30" t="n">
        <f aca="false">MAX(AE575,AD576)</f>
        <v>112368.65</v>
      </c>
      <c r="AF576" s="30" t="n">
        <f aca="false">AE576-AD576</f>
        <v>0.379999999990105</v>
      </c>
      <c r="AG576" s="29" t="n">
        <f aca="false">IFERROR(AF576/AE576,0)</f>
        <v>3.38172613082123E-006</v>
      </c>
    </row>
    <row r="577" customFormat="false" ht="15" hidden="false" customHeight="false" outlineLevel="0" collapsed="false">
      <c r="A577" s="28" t="n">
        <v>576</v>
      </c>
      <c r="B577" s="43" t="n">
        <v>45859.6923611111</v>
      </c>
      <c r="C577" s="43" t="n">
        <v>45859.6982986111</v>
      </c>
      <c r="D577" s="42" t="n">
        <f aca="false">INT(C577)</f>
        <v>45859</v>
      </c>
      <c r="E577" s="42" t="n">
        <f aca="false">D577-WEEKDAY(D577,3)</f>
        <v>45859</v>
      </c>
      <c r="F577" s="28" t="s">
        <v>170</v>
      </c>
      <c r="G577" s="28" t="n">
        <v>2025</v>
      </c>
      <c r="H577" s="28" t="s">
        <v>240</v>
      </c>
      <c r="I577" s="28" t="n">
        <v>16</v>
      </c>
      <c r="J577" s="28" t="s">
        <v>233</v>
      </c>
      <c r="K577" s="28" t="s">
        <v>234</v>
      </c>
      <c r="L577" s="28" t="n">
        <v>0.21</v>
      </c>
      <c r="M577" s="31" t="n">
        <v>23162.75</v>
      </c>
      <c r="N577" s="31" t="n">
        <v>23138.51</v>
      </c>
      <c r="O577" s="31" t="n">
        <v>23211.24</v>
      </c>
      <c r="P577" s="44" t="n">
        <f aca="false">ABS(M577-N577)</f>
        <v>24.2400000000016</v>
      </c>
      <c r="Q577" s="44" t="n">
        <f aca="false">IF(O577="","",ABS(O577-M577))</f>
        <v>48.4900000000016</v>
      </c>
      <c r="R577" s="30" t="n">
        <f aca="false">P577*L577*Summary!$C$6</f>
        <v>101.808000000007</v>
      </c>
      <c r="S577" s="31" t="n">
        <v>23211.34</v>
      </c>
      <c r="T577" s="28" t="s">
        <v>214</v>
      </c>
      <c r="U577" s="44" t="n">
        <f aca="false">IF(J577="BUY",S577-M577,M577-S577)</f>
        <v>48.5900000000001</v>
      </c>
      <c r="V577" s="45" t="n">
        <v>0</v>
      </c>
      <c r="W577" s="45" t="n">
        <v>0</v>
      </c>
      <c r="X577" s="45" t="n">
        <v>204.08</v>
      </c>
      <c r="Y577" s="32" t="n">
        <f aca="false">IFERROR(X577/R577,0)</f>
        <v>2.00455759861687</v>
      </c>
      <c r="Z577" s="28" t="str">
        <f aca="false">IF(X577&gt;0,"Win",IF(X577&lt;0,"Loss","Flat"))</f>
        <v>Win</v>
      </c>
      <c r="AA577" s="28" t="n">
        <f aca="false">ROUND((C577-B577)*1440,1)</f>
        <v>8.6</v>
      </c>
      <c r="AB577" s="28" t="str">
        <f aca="false">IF(AA577&lt;1,"a) &lt;1 min",IF(AA577&lt;10,"b) 1-10 min",IF(AA577&lt;60,"c) 10-60 min",IF(AA577&lt;240,"d) 1-4 h","e) 4 h+"))))</f>
        <v>b) 1-10 min</v>
      </c>
      <c r="AC577" s="28" t="str">
        <f aca="false">IF(P577&lt;10,"a) &lt;10",IF(P577&lt;20,"b) 10-20",IF(P577&lt;40,"c) 20-40",IF(P577&lt;80,"d) 40-80","e) 80+"))))</f>
        <v>c) 20-40</v>
      </c>
      <c r="AD577" s="30" t="n">
        <f aca="false">Summary!$C$5+SUM(X$2:X577)</f>
        <v>112572.35</v>
      </c>
      <c r="AE577" s="30" t="n">
        <f aca="false">MAX(AE576,AD577)</f>
        <v>112572.35</v>
      </c>
      <c r="AF577" s="30" t="n">
        <f aca="false">AE577-AD577</f>
        <v>0</v>
      </c>
      <c r="AG577" s="29" t="n">
        <f aca="false">IFERROR(AF577/AE577,0)</f>
        <v>0</v>
      </c>
    </row>
    <row r="578" customFormat="false" ht="15" hidden="false" customHeight="false" outlineLevel="0" collapsed="false">
      <c r="A578" s="28" t="n">
        <v>577</v>
      </c>
      <c r="B578" s="43" t="n">
        <v>45860.7027777778</v>
      </c>
      <c r="C578" s="43" t="n">
        <v>45860.7150810185</v>
      </c>
      <c r="D578" s="42" t="n">
        <f aca="false">INT(C578)</f>
        <v>45860</v>
      </c>
      <c r="E578" s="42" t="n">
        <f aca="false">D578-WEEKDAY(D578,3)</f>
        <v>45859</v>
      </c>
      <c r="F578" s="28" t="s">
        <v>170</v>
      </c>
      <c r="G578" s="28" t="n">
        <v>2025</v>
      </c>
      <c r="H578" s="28" t="s">
        <v>232</v>
      </c>
      <c r="I578" s="28" t="n">
        <v>16</v>
      </c>
      <c r="J578" s="28" t="s">
        <v>236</v>
      </c>
      <c r="K578" s="28" t="s">
        <v>237</v>
      </c>
      <c r="L578" s="28" t="n">
        <v>0.22</v>
      </c>
      <c r="M578" s="31" t="n">
        <v>23023.79</v>
      </c>
      <c r="N578" s="31" t="n">
        <v>23063.85</v>
      </c>
      <c r="O578" s="31" t="n">
        <v>22943.67</v>
      </c>
      <c r="P578" s="44" t="n">
        <f aca="false">ABS(M578-N578)</f>
        <v>40.0599999999977</v>
      </c>
      <c r="Q578" s="44" t="n">
        <f aca="false">IF(O578="","",ABS(O578-M578))</f>
        <v>80.1200000000026</v>
      </c>
      <c r="R578" s="30" t="n">
        <f aca="false">P578*L578*Summary!$C$6</f>
        <v>176.26399999999</v>
      </c>
      <c r="S578" s="31" t="n">
        <v>23024.41</v>
      </c>
      <c r="T578" s="28" t="s">
        <v>238</v>
      </c>
      <c r="U578" s="44" t="n">
        <f aca="false">IF(J578="BUY",S578-M578,M578-S578)</f>
        <v>-0.619999999998981</v>
      </c>
      <c r="V578" s="45" t="n">
        <v>0</v>
      </c>
      <c r="W578" s="45" t="n">
        <v>0</v>
      </c>
      <c r="X578" s="45" t="n">
        <v>-2.73</v>
      </c>
      <c r="Y578" s="32" t="n">
        <f aca="false">IFERROR(X578/R578,0)</f>
        <v>-0.0154881314392057</v>
      </c>
      <c r="Z578" s="28" t="str">
        <f aca="false">IF(X578&gt;0,"Win",IF(X578&lt;0,"Loss","Flat"))</f>
        <v>Loss</v>
      </c>
      <c r="AA578" s="28" t="n">
        <f aca="false">ROUND((C578-B578)*1440,1)</f>
        <v>17.7</v>
      </c>
      <c r="AB578" s="28" t="str">
        <f aca="false">IF(AA578&lt;1,"a) &lt;1 min",IF(AA578&lt;10,"b) 1-10 min",IF(AA578&lt;60,"c) 10-60 min",IF(AA578&lt;240,"d) 1-4 h","e) 4 h+"))))</f>
        <v>c) 10-60 min</v>
      </c>
      <c r="AC578" s="28" t="str">
        <f aca="false">IF(P578&lt;10,"a) &lt;10",IF(P578&lt;20,"b) 10-20",IF(P578&lt;40,"c) 20-40",IF(P578&lt;80,"d) 40-80","e) 80+"))))</f>
        <v>d) 40-80</v>
      </c>
      <c r="AD578" s="30" t="n">
        <f aca="false">Summary!$C$5+SUM(X$2:X578)</f>
        <v>112569.62</v>
      </c>
      <c r="AE578" s="30" t="n">
        <f aca="false">MAX(AE577,AD578)</f>
        <v>112572.35</v>
      </c>
      <c r="AF578" s="30" t="n">
        <f aca="false">AE578-AD578</f>
        <v>2.73000000001048</v>
      </c>
      <c r="AG578" s="29" t="n">
        <f aca="false">IFERROR(AF578/AE578,0)</f>
        <v>2.42510705338431E-005</v>
      </c>
    </row>
    <row r="579" customFormat="false" ht="15" hidden="false" customHeight="false" outlineLevel="0" collapsed="false">
      <c r="A579" s="28" t="n">
        <v>578</v>
      </c>
      <c r="B579" s="43" t="n">
        <v>45861.9604166667</v>
      </c>
      <c r="C579" s="43" t="n">
        <v>45861.9610069445</v>
      </c>
      <c r="D579" s="42" t="n">
        <f aca="false">INT(C579)</f>
        <v>45861</v>
      </c>
      <c r="E579" s="42" t="n">
        <f aca="false">D579-WEEKDAY(D579,3)</f>
        <v>45859</v>
      </c>
      <c r="F579" s="28" t="s">
        <v>170</v>
      </c>
      <c r="G579" s="28" t="n">
        <v>2025</v>
      </c>
      <c r="H579" s="28" t="s">
        <v>235</v>
      </c>
      <c r="I579" s="28" t="n">
        <v>23</v>
      </c>
      <c r="J579" s="28" t="s">
        <v>233</v>
      </c>
      <c r="K579" s="28" t="s">
        <v>234</v>
      </c>
      <c r="L579" s="28" t="n">
        <v>0.21</v>
      </c>
      <c r="M579" s="31" t="n">
        <v>23224.15</v>
      </c>
      <c r="N579" s="31" t="n">
        <v>23186.15</v>
      </c>
      <c r="O579" s="31" t="n">
        <v>23295.23</v>
      </c>
      <c r="P579" s="44" t="n">
        <f aca="false">ABS(M579-N579)</f>
        <v>38</v>
      </c>
      <c r="Q579" s="44" t="n">
        <f aca="false">IF(O579="","",ABS(O579-M579))</f>
        <v>71.0799999999981</v>
      </c>
      <c r="R579" s="30" t="n">
        <f aca="false">P579*L579*Summary!$C$6</f>
        <v>159.6</v>
      </c>
      <c r="S579" s="31" t="n">
        <v>23182.93</v>
      </c>
      <c r="T579" s="28" t="s">
        <v>241</v>
      </c>
      <c r="U579" s="44" t="n">
        <f aca="false">IF(J579="BUY",S579-M579,M579-S579)</f>
        <v>-41.2200000000012</v>
      </c>
      <c r="V579" s="45" t="n">
        <v>0</v>
      </c>
      <c r="W579" s="45" t="n">
        <v>0</v>
      </c>
      <c r="X579" s="45" t="n">
        <v>-173.12</v>
      </c>
      <c r="Y579" s="32" t="n">
        <f aca="false">IFERROR(X579/R579,0)</f>
        <v>-1.08471177944862</v>
      </c>
      <c r="Z579" s="28" t="str">
        <f aca="false">IF(X579&gt;0,"Win",IF(X579&lt;0,"Loss","Flat"))</f>
        <v>Loss</v>
      </c>
      <c r="AA579" s="28" t="n">
        <f aca="false">ROUND((C579-B579)*1440,1)</f>
        <v>0.9</v>
      </c>
      <c r="AB579" s="28" t="str">
        <f aca="false">IF(AA579&lt;1,"a) &lt;1 min",IF(AA579&lt;10,"b) 1-10 min",IF(AA579&lt;60,"c) 10-60 min",IF(AA579&lt;240,"d) 1-4 h","e) 4 h+"))))</f>
        <v>a) &lt;1 min</v>
      </c>
      <c r="AC579" s="28" t="str">
        <f aca="false">IF(P579&lt;10,"a) &lt;10",IF(P579&lt;20,"b) 10-20",IF(P579&lt;40,"c) 20-40",IF(P579&lt;80,"d) 40-80","e) 80+"))))</f>
        <v>c) 20-40</v>
      </c>
      <c r="AD579" s="30" t="n">
        <f aca="false">Summary!$C$5+SUM(X$2:X579)</f>
        <v>112396.5</v>
      </c>
      <c r="AE579" s="30" t="n">
        <f aca="false">MAX(AE578,AD579)</f>
        <v>112572.35</v>
      </c>
      <c r="AF579" s="30" t="n">
        <f aca="false">AE579-AD579</f>
        <v>175.850000000006</v>
      </c>
      <c r="AG579" s="29" t="n">
        <f aca="false">IFERROR(AF579/AE579,0)</f>
        <v>0.0015621065030623</v>
      </c>
    </row>
    <row r="580" customFormat="false" ht="15" hidden="false" customHeight="false" outlineLevel="0" collapsed="false">
      <c r="A580" s="28" t="n">
        <v>579</v>
      </c>
      <c r="B580" s="43" t="n">
        <v>45862.1208333333</v>
      </c>
      <c r="C580" s="43" t="n">
        <v>45862.1241898148</v>
      </c>
      <c r="D580" s="42" t="n">
        <f aca="false">INT(C580)</f>
        <v>45862</v>
      </c>
      <c r="E580" s="42" t="n">
        <f aca="false">D580-WEEKDAY(D580,3)</f>
        <v>45859</v>
      </c>
      <c r="F580" s="28" t="s">
        <v>170</v>
      </c>
      <c r="G580" s="28" t="n">
        <v>2025</v>
      </c>
      <c r="H580" s="28" t="s">
        <v>239</v>
      </c>
      <c r="I580" s="28" t="n">
        <v>2</v>
      </c>
      <c r="J580" s="28" t="s">
        <v>233</v>
      </c>
      <c r="K580" s="28" t="s">
        <v>234</v>
      </c>
      <c r="L580" s="28" t="n">
        <v>0.21</v>
      </c>
      <c r="M580" s="31" t="n">
        <v>23252.73</v>
      </c>
      <c r="N580" s="31" t="n">
        <v>23247.44</v>
      </c>
      <c r="O580" s="31" t="n">
        <v>23263.31</v>
      </c>
      <c r="P580" s="44" t="n">
        <f aca="false">ABS(M580-N580)</f>
        <v>5.29000000000087</v>
      </c>
      <c r="Q580" s="44" t="n">
        <f aca="false">IF(O580="","",ABS(O580-M580))</f>
        <v>10.5800000000017</v>
      </c>
      <c r="R580" s="30" t="n">
        <f aca="false">P580*L580*Summary!$C$6</f>
        <v>22.2180000000037</v>
      </c>
      <c r="S580" s="31" t="n">
        <v>23247.12</v>
      </c>
      <c r="T580" s="28" t="s">
        <v>241</v>
      </c>
      <c r="U580" s="44" t="n">
        <f aca="false">IF(J580="BUY",S580-M580,M580-S580)</f>
        <v>-5.61000000000058</v>
      </c>
      <c r="V580" s="45" t="n">
        <v>0</v>
      </c>
      <c r="W580" s="45" t="n">
        <v>0</v>
      </c>
      <c r="X580" s="45" t="n">
        <v>-23.56</v>
      </c>
      <c r="Y580" s="32" t="n">
        <f aca="false">IFERROR(X580/R580,0)</f>
        <v>-1.06040147628032</v>
      </c>
      <c r="Z580" s="28" t="str">
        <f aca="false">IF(X580&gt;0,"Win",IF(X580&lt;0,"Loss","Flat"))</f>
        <v>Loss</v>
      </c>
      <c r="AA580" s="28" t="n">
        <f aca="false">ROUND((C580-B580)*1440,1)</f>
        <v>4.8</v>
      </c>
      <c r="AB580" s="28" t="str">
        <f aca="false">IF(AA580&lt;1,"a) &lt;1 min",IF(AA580&lt;10,"b) 1-10 min",IF(AA580&lt;60,"c) 10-60 min",IF(AA580&lt;240,"d) 1-4 h","e) 4 h+"))))</f>
        <v>b) 1-10 min</v>
      </c>
      <c r="AC580" s="28" t="str">
        <f aca="false">IF(P580&lt;10,"a) &lt;10",IF(P580&lt;20,"b) 10-20",IF(P580&lt;40,"c) 20-40",IF(P580&lt;80,"d) 40-80","e) 80+"))))</f>
        <v>a) &lt;10</v>
      </c>
      <c r="AD580" s="30" t="n">
        <f aca="false">Summary!$C$5+SUM(X$2:X580)</f>
        <v>112372.94</v>
      </c>
      <c r="AE580" s="30" t="n">
        <f aca="false">MAX(AE579,AD580)</f>
        <v>112572.35</v>
      </c>
      <c r="AF580" s="30" t="n">
        <f aca="false">AE580-AD580</f>
        <v>199.410000000004</v>
      </c>
      <c r="AG580" s="29" t="n">
        <f aca="false">IFERROR(AF580/AE580,0)</f>
        <v>0.00177139413008615</v>
      </c>
    </row>
    <row r="581" customFormat="false" ht="15" hidden="false" customHeight="false" outlineLevel="0" collapsed="false">
      <c r="A581" s="28" t="n">
        <v>580</v>
      </c>
      <c r="B581" s="43" t="n">
        <v>45863.1333333333</v>
      </c>
      <c r="C581" s="43" t="n">
        <v>45863.154375</v>
      </c>
      <c r="D581" s="42" t="n">
        <f aca="false">INT(C581)</f>
        <v>45863</v>
      </c>
      <c r="E581" s="42" t="n">
        <f aca="false">D581-WEEKDAY(D581,3)</f>
        <v>45859</v>
      </c>
      <c r="F581" s="28" t="s">
        <v>170</v>
      </c>
      <c r="G581" s="28" t="n">
        <v>2025</v>
      </c>
      <c r="H581" s="28" t="s">
        <v>242</v>
      </c>
      <c r="I581" s="28" t="n">
        <v>3</v>
      </c>
      <c r="J581" s="28" t="s">
        <v>233</v>
      </c>
      <c r="K581" s="28" t="s">
        <v>234</v>
      </c>
      <c r="L581" s="28" t="n">
        <v>0.21</v>
      </c>
      <c r="M581" s="31" t="n">
        <v>23271.68</v>
      </c>
      <c r="N581" s="31" t="n">
        <v>23262.32</v>
      </c>
      <c r="O581" s="31" t="n">
        <v>23290.41</v>
      </c>
      <c r="P581" s="44" t="n">
        <f aca="false">ABS(M581-N581)</f>
        <v>9.36000000000058</v>
      </c>
      <c r="Q581" s="44" t="n">
        <f aca="false">IF(O581="","",ABS(O581-M581))</f>
        <v>18.7299999999996</v>
      </c>
      <c r="R581" s="30" t="n">
        <f aca="false">P581*L581*Summary!$C$6</f>
        <v>39.3120000000024</v>
      </c>
      <c r="S581" s="31" t="n">
        <v>23262.18</v>
      </c>
      <c r="T581" s="28" t="s">
        <v>241</v>
      </c>
      <c r="U581" s="44" t="n">
        <f aca="false">IF(J581="BUY",S581-M581,M581-S581)</f>
        <v>-9.5</v>
      </c>
      <c r="V581" s="45" t="n">
        <v>0</v>
      </c>
      <c r="W581" s="45" t="n">
        <v>0</v>
      </c>
      <c r="X581" s="45" t="n">
        <v>-39.9</v>
      </c>
      <c r="Y581" s="32" t="n">
        <f aca="false">IFERROR(X581/R581,0)</f>
        <v>-1.0149572649572</v>
      </c>
      <c r="Z581" s="28" t="str">
        <f aca="false">IF(X581&gt;0,"Win",IF(X581&lt;0,"Loss","Flat"))</f>
        <v>Loss</v>
      </c>
      <c r="AA581" s="28" t="n">
        <f aca="false">ROUND((C581-B581)*1440,1)</f>
        <v>30.3</v>
      </c>
      <c r="AB581" s="28" t="str">
        <f aca="false">IF(AA581&lt;1,"a) &lt;1 min",IF(AA581&lt;10,"b) 1-10 min",IF(AA581&lt;60,"c) 10-60 min",IF(AA581&lt;240,"d) 1-4 h","e) 4 h+"))))</f>
        <v>c) 10-60 min</v>
      </c>
      <c r="AC581" s="28" t="str">
        <f aca="false">IF(P581&lt;10,"a) &lt;10",IF(P581&lt;20,"b) 10-20",IF(P581&lt;40,"c) 20-40",IF(P581&lt;80,"d) 40-80","e) 80+"))))</f>
        <v>a) &lt;10</v>
      </c>
      <c r="AD581" s="30" t="n">
        <f aca="false">Summary!$C$5+SUM(X$2:X581)</f>
        <v>112333.04</v>
      </c>
      <c r="AE581" s="30" t="n">
        <f aca="false">MAX(AE580,AD581)</f>
        <v>112572.35</v>
      </c>
      <c r="AF581" s="30" t="n">
        <f aca="false">AE581-AD581</f>
        <v>239.309999999998</v>
      </c>
      <c r="AG581" s="29" t="n">
        <f aca="false">IFERROR(AF581/AE581,0)</f>
        <v>0.00212583285327168</v>
      </c>
    </row>
    <row r="582" customFormat="false" ht="15" hidden="false" customHeight="false" outlineLevel="0" collapsed="false">
      <c r="A582" s="28" t="n">
        <v>581</v>
      </c>
      <c r="B582" s="43" t="n">
        <v>45866.0465277778</v>
      </c>
      <c r="C582" s="43" t="n">
        <v>45866.3625462963</v>
      </c>
      <c r="D582" s="42" t="n">
        <f aca="false">INT(C582)</f>
        <v>45866</v>
      </c>
      <c r="E582" s="42" t="n">
        <f aca="false">D582-WEEKDAY(D582,3)</f>
        <v>45866</v>
      </c>
      <c r="F582" s="28" t="s">
        <v>170</v>
      </c>
      <c r="G582" s="28" t="n">
        <v>2025</v>
      </c>
      <c r="H582" s="28" t="s">
        <v>240</v>
      </c>
      <c r="I582" s="28" t="n">
        <v>1</v>
      </c>
      <c r="J582" s="28" t="s">
        <v>233</v>
      </c>
      <c r="K582" s="28" t="s">
        <v>234</v>
      </c>
      <c r="L582" s="28" t="n">
        <v>0.21</v>
      </c>
      <c r="M582" s="31" t="n">
        <v>23373.33</v>
      </c>
      <c r="N582" s="31" t="n">
        <v>23347.33</v>
      </c>
      <c r="O582" s="31" t="n">
        <v>23425.33</v>
      </c>
      <c r="P582" s="44" t="n">
        <f aca="false">ABS(M582-N582)</f>
        <v>26</v>
      </c>
      <c r="Q582" s="44" t="n">
        <f aca="false">IF(O582="","",ABS(O582-M582))</f>
        <v>52</v>
      </c>
      <c r="R582" s="30" t="n">
        <f aca="false">P582*L582*Summary!$C$6</f>
        <v>109.2</v>
      </c>
      <c r="S582" s="31" t="n">
        <v>23425.33</v>
      </c>
      <c r="T582" s="28" t="s">
        <v>214</v>
      </c>
      <c r="U582" s="44" t="n">
        <f aca="false">IF(J582="BUY",S582-M582,M582-S582)</f>
        <v>52</v>
      </c>
      <c r="V582" s="45" t="n">
        <v>0</v>
      </c>
      <c r="W582" s="45" t="n">
        <v>0</v>
      </c>
      <c r="X582" s="45" t="n">
        <v>218.4</v>
      </c>
      <c r="Y582" s="32" t="n">
        <f aca="false">IFERROR(X582/R582,0)</f>
        <v>2</v>
      </c>
      <c r="Z582" s="28" t="str">
        <f aca="false">IF(X582&gt;0,"Win",IF(X582&lt;0,"Loss","Flat"))</f>
        <v>Win</v>
      </c>
      <c r="AA582" s="28" t="n">
        <f aca="false">ROUND((C582-B582)*1440,1)</f>
        <v>455.1</v>
      </c>
      <c r="AB582" s="28" t="str">
        <f aca="false">IF(AA582&lt;1,"a) &lt;1 min",IF(AA582&lt;10,"b) 1-10 min",IF(AA582&lt;60,"c) 10-60 min",IF(AA582&lt;240,"d) 1-4 h","e) 4 h+"))))</f>
        <v>e) 4 h+</v>
      </c>
      <c r="AC582" s="28" t="str">
        <f aca="false">IF(P582&lt;10,"a) &lt;10",IF(P582&lt;20,"b) 10-20",IF(P582&lt;40,"c) 20-40",IF(P582&lt;80,"d) 40-80","e) 80+"))))</f>
        <v>c) 20-40</v>
      </c>
      <c r="AD582" s="30" t="n">
        <f aca="false">Summary!$C$5+SUM(X$2:X582)</f>
        <v>112551.44</v>
      </c>
      <c r="AE582" s="30" t="n">
        <f aca="false">MAX(AE581,AD582)</f>
        <v>112572.35</v>
      </c>
      <c r="AF582" s="30" t="n">
        <f aca="false">AE582-AD582</f>
        <v>20.9100000000035</v>
      </c>
      <c r="AG582" s="29" t="n">
        <f aca="false">IFERROR(AF582/AE582,0)</f>
        <v>0.000185747210571721</v>
      </c>
    </row>
    <row r="583" customFormat="false" ht="15" hidden="false" customHeight="false" outlineLevel="0" collapsed="false">
      <c r="A583" s="28" t="n">
        <v>582</v>
      </c>
      <c r="B583" s="43" t="n">
        <v>45867.4486111111</v>
      </c>
      <c r="C583" s="43" t="n">
        <v>45867.4494444444</v>
      </c>
      <c r="D583" s="42" t="n">
        <f aca="false">INT(C583)</f>
        <v>45867</v>
      </c>
      <c r="E583" s="42" t="n">
        <f aca="false">D583-WEEKDAY(D583,3)</f>
        <v>45866</v>
      </c>
      <c r="F583" s="28" t="s">
        <v>170</v>
      </c>
      <c r="G583" s="28" t="n">
        <v>2025</v>
      </c>
      <c r="H583" s="28" t="s">
        <v>232</v>
      </c>
      <c r="I583" s="28" t="n">
        <v>10</v>
      </c>
      <c r="J583" s="28" t="s">
        <v>233</v>
      </c>
      <c r="K583" s="28" t="s">
        <v>234</v>
      </c>
      <c r="L583" s="28" t="n">
        <v>0.21</v>
      </c>
      <c r="M583" s="31" t="n">
        <v>23443.59</v>
      </c>
      <c r="N583" s="31" t="n">
        <v>23437.69</v>
      </c>
      <c r="O583" s="31" t="n">
        <v>23455.4</v>
      </c>
      <c r="P583" s="44" t="n">
        <f aca="false">ABS(M583-N583)</f>
        <v>5.90000000000146</v>
      </c>
      <c r="Q583" s="44" t="n">
        <f aca="false">IF(O583="","",ABS(O583-M583))</f>
        <v>11.8100000000013</v>
      </c>
      <c r="R583" s="30" t="n">
        <f aca="false">P583*L583*Summary!$C$6</f>
        <v>24.7800000000061</v>
      </c>
      <c r="S583" s="31" t="n">
        <v>23455.41</v>
      </c>
      <c r="T583" s="28" t="s">
        <v>214</v>
      </c>
      <c r="U583" s="44" t="n">
        <f aca="false">IF(J583="BUY",S583-M583,M583-S583)</f>
        <v>11.8199999999997</v>
      </c>
      <c r="V583" s="45" t="n">
        <v>0</v>
      </c>
      <c r="W583" s="45" t="n">
        <v>0</v>
      </c>
      <c r="X583" s="45" t="n">
        <v>49.64</v>
      </c>
      <c r="Y583" s="32" t="n">
        <f aca="false">IFERROR(X583/R583,0)</f>
        <v>2.00322841000758</v>
      </c>
      <c r="Z583" s="28" t="str">
        <f aca="false">IF(X583&gt;0,"Win",IF(X583&lt;0,"Loss","Flat"))</f>
        <v>Win</v>
      </c>
      <c r="AA583" s="28" t="n">
        <f aca="false">ROUND((C583-B583)*1440,1)</f>
        <v>1.2</v>
      </c>
      <c r="AB583" s="28" t="str">
        <f aca="false">IF(AA583&lt;1,"a) &lt;1 min",IF(AA583&lt;10,"b) 1-10 min",IF(AA583&lt;60,"c) 10-60 min",IF(AA583&lt;240,"d) 1-4 h","e) 4 h+"))))</f>
        <v>b) 1-10 min</v>
      </c>
      <c r="AC583" s="28" t="str">
        <f aca="false">IF(P583&lt;10,"a) &lt;10",IF(P583&lt;20,"b) 10-20",IF(P583&lt;40,"c) 20-40",IF(P583&lt;80,"d) 40-80","e) 80+"))))</f>
        <v>a) &lt;10</v>
      </c>
      <c r="AD583" s="30" t="n">
        <f aca="false">Summary!$C$5+SUM(X$2:X583)</f>
        <v>112601.08</v>
      </c>
      <c r="AE583" s="30" t="n">
        <f aca="false">MAX(AE582,AD583)</f>
        <v>112601.08</v>
      </c>
      <c r="AF583" s="30" t="n">
        <f aca="false">AE583-AD583</f>
        <v>0</v>
      </c>
      <c r="AG583" s="29" t="n">
        <f aca="false">IFERROR(AF583/AE583,0)</f>
        <v>0</v>
      </c>
    </row>
    <row r="584" customFormat="false" ht="15" hidden="false" customHeight="false" outlineLevel="0" collapsed="false">
      <c r="A584" s="28" t="n">
        <v>583</v>
      </c>
      <c r="B584" s="43" t="n">
        <v>45867.9423611111</v>
      </c>
      <c r="C584" s="43" t="n">
        <v>45867.9478703704</v>
      </c>
      <c r="D584" s="42" t="n">
        <f aca="false">INT(C584)</f>
        <v>45867</v>
      </c>
      <c r="E584" s="42" t="n">
        <f aca="false">D584-WEEKDAY(D584,3)</f>
        <v>45866</v>
      </c>
      <c r="F584" s="28" t="s">
        <v>170</v>
      </c>
      <c r="G584" s="28" t="n">
        <v>2025</v>
      </c>
      <c r="H584" s="28" t="s">
        <v>232</v>
      </c>
      <c r="I584" s="28" t="n">
        <v>22</v>
      </c>
      <c r="J584" s="28" t="s">
        <v>236</v>
      </c>
      <c r="K584" s="28" t="s">
        <v>237</v>
      </c>
      <c r="L584" s="28" t="n">
        <v>0.21</v>
      </c>
      <c r="M584" s="31" t="n">
        <v>23295.32</v>
      </c>
      <c r="N584" s="31" t="n">
        <v>23309.27</v>
      </c>
      <c r="O584" s="31" t="n">
        <v>23267.42</v>
      </c>
      <c r="P584" s="44" t="n">
        <f aca="false">ABS(M584-N584)</f>
        <v>13.9500000000007</v>
      </c>
      <c r="Q584" s="44" t="n">
        <f aca="false">IF(O584="","",ABS(O584-M584))</f>
        <v>27.9000000000015</v>
      </c>
      <c r="R584" s="30" t="n">
        <f aca="false">P584*L584*Summary!$C$6</f>
        <v>58.5900000000031</v>
      </c>
      <c r="S584" s="31" t="n">
        <v>23309.41</v>
      </c>
      <c r="T584" s="28" t="s">
        <v>241</v>
      </c>
      <c r="U584" s="44" t="n">
        <f aca="false">IF(J584="BUY",S584-M584,M584-S584)</f>
        <v>-14.0900000000001</v>
      </c>
      <c r="V584" s="45" t="n">
        <v>0</v>
      </c>
      <c r="W584" s="45" t="n">
        <v>0</v>
      </c>
      <c r="X584" s="45" t="n">
        <v>-59.18</v>
      </c>
      <c r="Y584" s="32" t="n">
        <f aca="false">IFERROR(X584/R584,0)</f>
        <v>-1.01006997781186</v>
      </c>
      <c r="Z584" s="28" t="str">
        <f aca="false">IF(X584&gt;0,"Win",IF(X584&lt;0,"Loss","Flat"))</f>
        <v>Loss</v>
      </c>
      <c r="AA584" s="28" t="n">
        <f aca="false">ROUND((C584-B584)*1440,1)</f>
        <v>7.9</v>
      </c>
      <c r="AB584" s="28" t="str">
        <f aca="false">IF(AA584&lt;1,"a) &lt;1 min",IF(AA584&lt;10,"b) 1-10 min",IF(AA584&lt;60,"c) 10-60 min",IF(AA584&lt;240,"d) 1-4 h","e) 4 h+"))))</f>
        <v>b) 1-10 min</v>
      </c>
      <c r="AC584" s="28" t="str">
        <f aca="false">IF(P584&lt;10,"a) &lt;10",IF(P584&lt;20,"b) 10-20",IF(P584&lt;40,"c) 20-40",IF(P584&lt;80,"d) 40-80","e) 80+"))))</f>
        <v>b) 10-20</v>
      </c>
      <c r="AD584" s="30" t="n">
        <f aca="false">Summary!$C$5+SUM(X$2:X584)</f>
        <v>112541.9</v>
      </c>
      <c r="AE584" s="30" t="n">
        <f aca="false">MAX(AE583,AD584)</f>
        <v>112601.08</v>
      </c>
      <c r="AF584" s="30" t="n">
        <f aca="false">AE584-AD584</f>
        <v>59.1800000000076</v>
      </c>
      <c r="AG584" s="29" t="n">
        <f aca="false">IFERROR(AF584/AE584,0)</f>
        <v>0.000525572223641261</v>
      </c>
    </row>
    <row r="585" customFormat="false" ht="15" hidden="false" customHeight="false" outlineLevel="0" collapsed="false">
      <c r="A585" s="28" t="n">
        <v>584</v>
      </c>
      <c r="B585" s="43" t="n">
        <v>45868.9166666667</v>
      </c>
      <c r="C585" s="43" t="n">
        <v>45868.9266550926</v>
      </c>
      <c r="D585" s="42" t="n">
        <f aca="false">INT(C585)</f>
        <v>45868</v>
      </c>
      <c r="E585" s="42" t="n">
        <f aca="false">D585-WEEKDAY(D585,3)</f>
        <v>45866</v>
      </c>
      <c r="F585" s="28" t="s">
        <v>170</v>
      </c>
      <c r="G585" s="28" t="n">
        <v>2025</v>
      </c>
      <c r="H585" s="28" t="s">
        <v>235</v>
      </c>
      <c r="I585" s="28" t="n">
        <v>22</v>
      </c>
      <c r="J585" s="28" t="s">
        <v>236</v>
      </c>
      <c r="K585" s="28" t="s">
        <v>237</v>
      </c>
      <c r="L585" s="28" t="n">
        <v>0.21</v>
      </c>
      <c r="M585" s="31" t="n">
        <v>23274.23</v>
      </c>
      <c r="N585" s="31" t="n">
        <v>23329.18</v>
      </c>
      <c r="O585" s="31" t="n">
        <v>23164.34</v>
      </c>
      <c r="P585" s="44" t="n">
        <f aca="false">ABS(M585-N585)</f>
        <v>54.9500000000007</v>
      </c>
      <c r="Q585" s="44" t="n">
        <f aca="false">IF(O585="","",ABS(O585-M585))</f>
        <v>109.889999999999</v>
      </c>
      <c r="R585" s="30" t="n">
        <f aca="false">P585*L585*Summary!$C$6</f>
        <v>230.790000000003</v>
      </c>
      <c r="S585" s="31" t="n">
        <v>23329.51</v>
      </c>
      <c r="T585" s="28" t="s">
        <v>241</v>
      </c>
      <c r="U585" s="44" t="n">
        <f aca="false">IF(J585="BUY",S585-M585,M585-S585)</f>
        <v>-55.2799999999988</v>
      </c>
      <c r="V585" s="45" t="n">
        <v>0</v>
      </c>
      <c r="W585" s="45" t="n">
        <v>0</v>
      </c>
      <c r="X585" s="45" t="n">
        <v>-232.18</v>
      </c>
      <c r="Y585" s="32" t="n">
        <f aca="false">IFERROR(X585/R585,0)</f>
        <v>-1.0060227912821</v>
      </c>
      <c r="Z585" s="28" t="str">
        <f aca="false">IF(X585&gt;0,"Win",IF(X585&lt;0,"Loss","Flat"))</f>
        <v>Loss</v>
      </c>
      <c r="AA585" s="28" t="n">
        <f aca="false">ROUND((C585-B585)*1440,1)</f>
        <v>14.4</v>
      </c>
      <c r="AB585" s="28" t="str">
        <f aca="false">IF(AA585&lt;1,"a) &lt;1 min",IF(AA585&lt;10,"b) 1-10 min",IF(AA585&lt;60,"c) 10-60 min",IF(AA585&lt;240,"d) 1-4 h","e) 4 h+"))))</f>
        <v>c) 10-60 min</v>
      </c>
      <c r="AC585" s="28" t="str">
        <f aca="false">IF(P585&lt;10,"a) &lt;10",IF(P585&lt;20,"b) 10-20",IF(P585&lt;40,"c) 20-40",IF(P585&lt;80,"d) 40-80","e) 80+"))))</f>
        <v>d) 40-80</v>
      </c>
      <c r="AD585" s="30" t="n">
        <f aca="false">Summary!$C$5+SUM(X$2:X585)</f>
        <v>112309.72</v>
      </c>
      <c r="AE585" s="30" t="n">
        <f aca="false">MAX(AE584,AD585)</f>
        <v>112601.08</v>
      </c>
      <c r="AF585" s="30" t="n">
        <f aca="false">AE585-AD585</f>
        <v>291.360000000001</v>
      </c>
      <c r="AG585" s="29" t="n">
        <f aca="false">IFERROR(AF585/AE585,0)</f>
        <v>0.00258754178911961</v>
      </c>
    </row>
    <row r="586" customFormat="false" ht="15" hidden="false" customHeight="false" outlineLevel="0" collapsed="false">
      <c r="A586" s="28" t="n">
        <v>585</v>
      </c>
      <c r="B586" s="43" t="n">
        <v>45868.9652777778</v>
      </c>
      <c r="C586" s="43" t="n">
        <v>45869.286087963</v>
      </c>
      <c r="D586" s="42" t="n">
        <f aca="false">INT(C586)</f>
        <v>45869</v>
      </c>
      <c r="E586" s="42" t="n">
        <f aca="false">D586-WEEKDAY(D586,3)</f>
        <v>45866</v>
      </c>
      <c r="F586" s="28" t="s">
        <v>170</v>
      </c>
      <c r="G586" s="28" t="n">
        <v>2025</v>
      </c>
      <c r="H586" s="28" t="s">
        <v>235</v>
      </c>
      <c r="I586" s="28" t="n">
        <v>23</v>
      </c>
      <c r="J586" s="28" t="s">
        <v>233</v>
      </c>
      <c r="K586" s="28" t="s">
        <v>234</v>
      </c>
      <c r="L586" s="28" t="n">
        <v>0.21</v>
      </c>
      <c r="M586" s="31" t="n">
        <v>23515.84</v>
      </c>
      <c r="N586" s="31" t="n">
        <v>23442.46</v>
      </c>
      <c r="O586" s="31" t="n">
        <v>23662.6</v>
      </c>
      <c r="P586" s="44" t="n">
        <f aca="false">ABS(M586-N586)</f>
        <v>73.380000000001</v>
      </c>
      <c r="Q586" s="44" t="n">
        <f aca="false">IF(O586="","",ABS(O586-M586))</f>
        <v>146.759999999998</v>
      </c>
      <c r="R586" s="30" t="n">
        <f aca="false">P586*L586*Summary!$C$6</f>
        <v>308.196000000004</v>
      </c>
      <c r="S586" s="31" t="n">
        <v>23662.61</v>
      </c>
      <c r="T586" s="28" t="s">
        <v>214</v>
      </c>
      <c r="U586" s="44" t="n">
        <f aca="false">IF(J586="BUY",S586-M586,M586-S586)</f>
        <v>146.77</v>
      </c>
      <c r="V586" s="45" t="n">
        <v>0</v>
      </c>
      <c r="W586" s="45" t="n">
        <v>-20.12</v>
      </c>
      <c r="X586" s="45" t="n">
        <v>596.31</v>
      </c>
      <c r="Y586" s="32" t="n">
        <f aca="false">IFERROR(X586/R586,0)</f>
        <v>1.93484016664717</v>
      </c>
      <c r="Z586" s="28" t="str">
        <f aca="false">IF(X586&gt;0,"Win",IF(X586&lt;0,"Loss","Flat"))</f>
        <v>Win</v>
      </c>
      <c r="AA586" s="28" t="n">
        <f aca="false">ROUND((C586-B586)*1440,1)</f>
        <v>462</v>
      </c>
      <c r="AB586" s="28" t="str">
        <f aca="false">IF(AA586&lt;1,"a) &lt;1 min",IF(AA586&lt;10,"b) 1-10 min",IF(AA586&lt;60,"c) 10-60 min",IF(AA586&lt;240,"d) 1-4 h","e) 4 h+"))))</f>
        <v>e) 4 h+</v>
      </c>
      <c r="AC586" s="28" t="str">
        <f aca="false">IF(P586&lt;10,"a) &lt;10",IF(P586&lt;20,"b) 10-20",IF(P586&lt;40,"c) 20-40",IF(P586&lt;80,"d) 40-80","e) 80+"))))</f>
        <v>d) 40-80</v>
      </c>
      <c r="AD586" s="30" t="n">
        <f aca="false">Summary!$C$5+SUM(X$2:X586)</f>
        <v>112906.03</v>
      </c>
      <c r="AE586" s="30" t="n">
        <f aca="false">MAX(AE585,AD586)</f>
        <v>112906.03</v>
      </c>
      <c r="AF586" s="30" t="n">
        <f aca="false">AE586-AD586</f>
        <v>0</v>
      </c>
      <c r="AG586" s="29" t="n">
        <f aca="false">IFERROR(AF586/AE586,0)</f>
        <v>0</v>
      </c>
    </row>
    <row r="587" customFormat="false" ht="15" hidden="false" customHeight="false" outlineLevel="0" collapsed="false">
      <c r="A587" s="28" t="n">
        <v>586</v>
      </c>
      <c r="B587" s="43" t="n">
        <v>45869.8854166667</v>
      </c>
      <c r="C587" s="43" t="n">
        <v>45869.8887615741</v>
      </c>
      <c r="D587" s="42" t="n">
        <f aca="false">INT(C587)</f>
        <v>45869</v>
      </c>
      <c r="E587" s="42" t="n">
        <f aca="false">D587-WEEKDAY(D587,3)</f>
        <v>45866</v>
      </c>
      <c r="F587" s="28" t="s">
        <v>170</v>
      </c>
      <c r="G587" s="28" t="n">
        <v>2025</v>
      </c>
      <c r="H587" s="28" t="s">
        <v>239</v>
      </c>
      <c r="I587" s="28" t="n">
        <v>21</v>
      </c>
      <c r="J587" s="28" t="s">
        <v>236</v>
      </c>
      <c r="K587" s="28" t="s">
        <v>237</v>
      </c>
      <c r="L587" s="28" t="n">
        <v>0.21</v>
      </c>
      <c r="M587" s="31" t="n">
        <v>23217.4</v>
      </c>
      <c r="N587" s="31" t="n">
        <v>23255.82</v>
      </c>
      <c r="O587" s="31" t="n">
        <v>23140.56</v>
      </c>
      <c r="P587" s="44" t="n">
        <f aca="false">ABS(M587-N587)</f>
        <v>38.4199999999983</v>
      </c>
      <c r="Q587" s="44" t="n">
        <f aca="false">IF(O587="","",ABS(O587-M587))</f>
        <v>76.8400000000002</v>
      </c>
      <c r="R587" s="30" t="n">
        <f aca="false">P587*L587*Summary!$C$6</f>
        <v>161.363999999993</v>
      </c>
      <c r="S587" s="31" t="n">
        <v>23217.71</v>
      </c>
      <c r="T587" s="28" t="s">
        <v>238</v>
      </c>
      <c r="U587" s="44" t="n">
        <f aca="false">IF(J587="BUY",S587-M587,M587-S587)</f>
        <v>-0.309999999997672</v>
      </c>
      <c r="V587" s="45" t="n">
        <v>0</v>
      </c>
      <c r="W587" s="45" t="n">
        <v>0</v>
      </c>
      <c r="X587" s="45" t="n">
        <v>-1.3</v>
      </c>
      <c r="Y587" s="32" t="n">
        <f aca="false">IFERROR(X587/R587,0)</f>
        <v>-0.00805631987308234</v>
      </c>
      <c r="Z587" s="28" t="str">
        <f aca="false">IF(X587&gt;0,"Win",IF(X587&lt;0,"Loss","Flat"))</f>
        <v>Loss</v>
      </c>
      <c r="AA587" s="28" t="n">
        <f aca="false">ROUND((C587-B587)*1440,1)</f>
        <v>4.8</v>
      </c>
      <c r="AB587" s="28" t="str">
        <f aca="false">IF(AA587&lt;1,"a) &lt;1 min",IF(AA587&lt;10,"b) 1-10 min",IF(AA587&lt;60,"c) 10-60 min",IF(AA587&lt;240,"d) 1-4 h","e) 4 h+"))))</f>
        <v>b) 1-10 min</v>
      </c>
      <c r="AC587" s="28" t="str">
        <f aca="false">IF(P587&lt;10,"a) &lt;10",IF(P587&lt;20,"b) 10-20",IF(P587&lt;40,"c) 20-40",IF(P587&lt;80,"d) 40-80","e) 80+"))))</f>
        <v>c) 20-40</v>
      </c>
      <c r="AD587" s="30" t="n">
        <f aca="false">Summary!$C$5+SUM(X$2:X587)</f>
        <v>112904.73</v>
      </c>
      <c r="AE587" s="30" t="n">
        <f aca="false">MAX(AE586,AD587)</f>
        <v>112906.03</v>
      </c>
      <c r="AF587" s="30" t="n">
        <f aca="false">AE587-AD587</f>
        <v>1.30000000000291</v>
      </c>
      <c r="AG587" s="29" t="n">
        <f aca="false">IFERROR(AF587/AE587,0)</f>
        <v>1.15139997394551E-005</v>
      </c>
    </row>
    <row r="588" customFormat="false" ht="15" hidden="false" customHeight="false" outlineLevel="0" collapsed="false">
      <c r="A588" s="28" t="n">
        <v>587</v>
      </c>
      <c r="B588" s="43" t="n">
        <v>45870.0604166667</v>
      </c>
      <c r="C588" s="43" t="n">
        <v>45870.06875</v>
      </c>
      <c r="D588" s="42" t="n">
        <f aca="false">INT(C588)</f>
        <v>45870</v>
      </c>
      <c r="E588" s="42" t="n">
        <f aca="false">D588-WEEKDAY(D588,3)</f>
        <v>45866</v>
      </c>
      <c r="F588" s="28" t="s">
        <v>171</v>
      </c>
      <c r="G588" s="28" t="n">
        <v>2025</v>
      </c>
      <c r="H588" s="28" t="s">
        <v>242</v>
      </c>
      <c r="I588" s="28" t="n">
        <v>1</v>
      </c>
      <c r="J588" s="28" t="s">
        <v>236</v>
      </c>
      <c r="K588" s="28" t="s">
        <v>237</v>
      </c>
      <c r="L588" s="28" t="n">
        <v>0.21</v>
      </c>
      <c r="M588" s="31" t="n">
        <v>23171.31</v>
      </c>
      <c r="N588" s="31" t="n">
        <v>23186.68</v>
      </c>
      <c r="O588" s="31" t="n">
        <v>23140.57</v>
      </c>
      <c r="P588" s="44" t="n">
        <f aca="false">ABS(M588-N588)</f>
        <v>15.369999999999</v>
      </c>
      <c r="Q588" s="44" t="n">
        <f aca="false">IF(O588="","",ABS(O588-M588))</f>
        <v>30.7400000000016</v>
      </c>
      <c r="R588" s="30" t="n">
        <f aca="false">P588*L588*Summary!$C$6</f>
        <v>64.5539999999957</v>
      </c>
      <c r="S588" s="31" t="n">
        <v>23140.3</v>
      </c>
      <c r="T588" s="28" t="s">
        <v>214</v>
      </c>
      <c r="U588" s="44" t="n">
        <f aca="false">IF(J588="BUY",S588-M588,M588-S588)</f>
        <v>31.010000000002</v>
      </c>
      <c r="V588" s="45" t="n">
        <v>0</v>
      </c>
      <c r="W588" s="45" t="n">
        <v>0</v>
      </c>
      <c r="X588" s="45" t="n">
        <v>130.24</v>
      </c>
      <c r="Y588" s="32" t="n">
        <f aca="false">IFERROR(X588/R588,0)</f>
        <v>2.01753570654039</v>
      </c>
      <c r="Z588" s="28" t="str">
        <f aca="false">IF(X588&gt;0,"Win",IF(X588&lt;0,"Loss","Flat"))</f>
        <v>Win</v>
      </c>
      <c r="AA588" s="28" t="n">
        <f aca="false">ROUND((C588-B588)*1440,1)</f>
        <v>12</v>
      </c>
      <c r="AB588" s="28" t="str">
        <f aca="false">IF(AA588&lt;1,"a) &lt;1 min",IF(AA588&lt;10,"b) 1-10 min",IF(AA588&lt;60,"c) 10-60 min",IF(AA588&lt;240,"d) 1-4 h","e) 4 h+"))))</f>
        <v>c) 10-60 min</v>
      </c>
      <c r="AC588" s="28" t="str">
        <f aca="false">IF(P588&lt;10,"a) &lt;10",IF(P588&lt;20,"b) 10-20",IF(P588&lt;40,"c) 20-40",IF(P588&lt;80,"d) 40-80","e) 80+"))))</f>
        <v>b) 10-20</v>
      </c>
      <c r="AD588" s="30" t="n">
        <f aca="false">Summary!$C$5+SUM(X$2:X588)</f>
        <v>113034.97</v>
      </c>
      <c r="AE588" s="30" t="n">
        <f aca="false">MAX(AE587,AD588)</f>
        <v>113034.97</v>
      </c>
      <c r="AF588" s="30" t="n">
        <f aca="false">AE588-AD588</f>
        <v>0</v>
      </c>
      <c r="AG588" s="29" t="n">
        <f aca="false">IFERROR(AF588/AE588,0)</f>
        <v>0</v>
      </c>
    </row>
    <row r="589" customFormat="false" ht="15" hidden="false" customHeight="false" outlineLevel="0" collapsed="false">
      <c r="A589" s="28" t="n">
        <v>588</v>
      </c>
      <c r="B589" s="43" t="n">
        <v>45873.9652777778</v>
      </c>
      <c r="C589" s="43" t="n">
        <v>45874.1618287037</v>
      </c>
      <c r="D589" s="42" t="n">
        <f aca="false">INT(C589)</f>
        <v>45874</v>
      </c>
      <c r="E589" s="42" t="n">
        <f aca="false">D589-WEEKDAY(D589,3)</f>
        <v>45873</v>
      </c>
      <c r="F589" s="28" t="s">
        <v>171</v>
      </c>
      <c r="G589" s="28" t="n">
        <v>2025</v>
      </c>
      <c r="H589" s="28" t="s">
        <v>240</v>
      </c>
      <c r="I589" s="28" t="n">
        <v>23</v>
      </c>
      <c r="J589" s="28" t="s">
        <v>233</v>
      </c>
      <c r="K589" s="28" t="s">
        <v>234</v>
      </c>
      <c r="L589" s="28" t="n">
        <v>0.21</v>
      </c>
      <c r="M589" s="31" t="n">
        <v>23217.71</v>
      </c>
      <c r="N589" s="31" t="n">
        <v>23190.78</v>
      </c>
      <c r="O589" s="31" t="n">
        <v>23271.57</v>
      </c>
      <c r="P589" s="44" t="n">
        <f aca="false">ABS(M589-N589)</f>
        <v>26.9300000000003</v>
      </c>
      <c r="Q589" s="44" t="n">
        <f aca="false">IF(O589="","",ABS(O589-M589))</f>
        <v>53.8600000000006</v>
      </c>
      <c r="R589" s="30" t="n">
        <f aca="false">P589*L589*Summary!$C$6</f>
        <v>113.106000000001</v>
      </c>
      <c r="S589" s="31" t="n">
        <v>23217.49</v>
      </c>
      <c r="T589" s="28" t="s">
        <v>238</v>
      </c>
      <c r="U589" s="44" t="n">
        <f aca="false">IF(J589="BUY",S589-M589,M589-S589)</f>
        <v>-0.219999999997526</v>
      </c>
      <c r="V589" s="45" t="n">
        <v>0</v>
      </c>
      <c r="W589" s="45" t="n">
        <v>-19.85</v>
      </c>
      <c r="X589" s="45" t="n">
        <v>-20.77</v>
      </c>
      <c r="Y589" s="32" t="n">
        <f aca="false">IFERROR(X589/R589,0)</f>
        <v>-0.183633052181138</v>
      </c>
      <c r="Z589" s="28" t="str">
        <f aca="false">IF(X589&gt;0,"Win",IF(X589&lt;0,"Loss","Flat"))</f>
        <v>Loss</v>
      </c>
      <c r="AA589" s="28" t="n">
        <f aca="false">ROUND((C589-B589)*1440,1)</f>
        <v>283</v>
      </c>
      <c r="AB589" s="28" t="str">
        <f aca="false">IF(AA589&lt;1,"a) &lt;1 min",IF(AA589&lt;10,"b) 1-10 min",IF(AA589&lt;60,"c) 10-60 min",IF(AA589&lt;240,"d) 1-4 h","e) 4 h+"))))</f>
        <v>e) 4 h+</v>
      </c>
      <c r="AC589" s="28" t="str">
        <f aca="false">IF(P589&lt;10,"a) &lt;10",IF(P589&lt;20,"b) 10-20",IF(P589&lt;40,"c) 20-40",IF(P589&lt;80,"d) 40-80","e) 80+"))))</f>
        <v>c) 20-40</v>
      </c>
      <c r="AD589" s="30" t="n">
        <f aca="false">Summary!$C$5+SUM(X$2:X589)</f>
        <v>113014.2</v>
      </c>
      <c r="AE589" s="30" t="n">
        <f aca="false">MAX(AE588,AD589)</f>
        <v>113034.97</v>
      </c>
      <c r="AF589" s="30" t="n">
        <f aca="false">AE589-AD589</f>
        <v>20.7700000000041</v>
      </c>
      <c r="AG589" s="29" t="n">
        <f aca="false">IFERROR(AF589/AE589,0)</f>
        <v>0.000183748445282058</v>
      </c>
    </row>
    <row r="590" customFormat="false" ht="15" hidden="false" customHeight="false" outlineLevel="0" collapsed="false">
      <c r="A590" s="28" t="n">
        <v>589</v>
      </c>
      <c r="B590" s="43" t="n">
        <v>45875.0465277778</v>
      </c>
      <c r="C590" s="43" t="n">
        <v>45875.0589699074</v>
      </c>
      <c r="D590" s="42" t="n">
        <f aca="false">INT(C590)</f>
        <v>45875</v>
      </c>
      <c r="E590" s="42" t="n">
        <f aca="false">D590-WEEKDAY(D590,3)</f>
        <v>45873</v>
      </c>
      <c r="F590" s="28" t="s">
        <v>171</v>
      </c>
      <c r="G590" s="28" t="n">
        <v>2025</v>
      </c>
      <c r="H590" s="28" t="s">
        <v>235</v>
      </c>
      <c r="I590" s="28" t="n">
        <v>1</v>
      </c>
      <c r="J590" s="28" t="s">
        <v>236</v>
      </c>
      <c r="K590" s="28" t="s">
        <v>237</v>
      </c>
      <c r="L590" s="28" t="n">
        <v>0.22</v>
      </c>
      <c r="M590" s="31" t="n">
        <v>22962.73</v>
      </c>
      <c r="N590" s="31" t="n">
        <v>22988.7</v>
      </c>
      <c r="O590" s="31" t="n">
        <v>22910.79</v>
      </c>
      <c r="P590" s="44" t="n">
        <f aca="false">ABS(M590-N590)</f>
        <v>25.9700000000012</v>
      </c>
      <c r="Q590" s="44" t="n">
        <f aca="false">IF(O590="","",ABS(O590-M590))</f>
        <v>51.9399999999987</v>
      </c>
      <c r="R590" s="30" t="n">
        <f aca="false">P590*L590*Summary!$C$6</f>
        <v>114.268000000005</v>
      </c>
      <c r="S590" s="31" t="n">
        <v>22962.81</v>
      </c>
      <c r="T590" s="28" t="s">
        <v>238</v>
      </c>
      <c r="U590" s="44" t="n">
        <f aca="false">IF(J590="BUY",S590-M590,M590-S590)</f>
        <v>-0.0800000000017462</v>
      </c>
      <c r="V590" s="45" t="n">
        <v>0</v>
      </c>
      <c r="W590" s="45" t="n">
        <v>0</v>
      </c>
      <c r="X590" s="45" t="n">
        <v>-0.35</v>
      </c>
      <c r="Y590" s="32" t="n">
        <f aca="false">IFERROR(X590/R590,0)</f>
        <v>-0.00306297476108783</v>
      </c>
      <c r="Z590" s="28" t="str">
        <f aca="false">IF(X590&gt;0,"Win",IF(X590&lt;0,"Loss","Flat"))</f>
        <v>Loss</v>
      </c>
      <c r="AA590" s="28" t="n">
        <f aca="false">ROUND((C590-B590)*1440,1)</f>
        <v>17.9</v>
      </c>
      <c r="AB590" s="28" t="str">
        <f aca="false">IF(AA590&lt;1,"a) &lt;1 min",IF(AA590&lt;10,"b) 1-10 min",IF(AA590&lt;60,"c) 10-60 min",IF(AA590&lt;240,"d) 1-4 h","e) 4 h+"))))</f>
        <v>c) 10-60 min</v>
      </c>
      <c r="AC590" s="28" t="str">
        <f aca="false">IF(P590&lt;10,"a) &lt;10",IF(P590&lt;20,"b) 10-20",IF(P590&lt;40,"c) 20-40",IF(P590&lt;80,"d) 40-80","e) 80+"))))</f>
        <v>c) 20-40</v>
      </c>
      <c r="AD590" s="30" t="n">
        <f aca="false">Summary!$C$5+SUM(X$2:X590)</f>
        <v>113013.85</v>
      </c>
      <c r="AE590" s="30" t="n">
        <f aca="false">MAX(AE589,AD590)</f>
        <v>113034.97</v>
      </c>
      <c r="AF590" s="30" t="n">
        <f aca="false">AE590-AD590</f>
        <v>21.1199999999953</v>
      </c>
      <c r="AG590" s="29" t="n">
        <f aca="false">IFERROR(AF590/AE590,0)</f>
        <v>0.000186844832178885</v>
      </c>
    </row>
    <row r="591" customFormat="false" ht="15" hidden="false" customHeight="false" outlineLevel="0" collapsed="false">
      <c r="A591" s="28" t="n">
        <v>590</v>
      </c>
      <c r="B591" s="43" t="n">
        <v>45875.8798611111</v>
      </c>
      <c r="C591" s="43" t="n">
        <v>45875.9003703704</v>
      </c>
      <c r="D591" s="42" t="n">
        <f aca="false">INT(C591)</f>
        <v>45875</v>
      </c>
      <c r="E591" s="42" t="n">
        <f aca="false">D591-WEEKDAY(D591,3)</f>
        <v>45873</v>
      </c>
      <c r="F591" s="28" t="s">
        <v>171</v>
      </c>
      <c r="G591" s="28" t="n">
        <v>2025</v>
      </c>
      <c r="H591" s="28" t="s">
        <v>235</v>
      </c>
      <c r="I591" s="28" t="n">
        <v>21</v>
      </c>
      <c r="J591" s="28" t="s">
        <v>233</v>
      </c>
      <c r="K591" s="28" t="s">
        <v>234</v>
      </c>
      <c r="L591" s="28" t="n">
        <v>0.21</v>
      </c>
      <c r="M591" s="31" t="n">
        <v>23289.18</v>
      </c>
      <c r="N591" s="31" t="n">
        <v>23273.37</v>
      </c>
      <c r="O591" s="31" t="n">
        <v>23320.8</v>
      </c>
      <c r="P591" s="44" t="n">
        <f aca="false">ABS(M591-N591)</f>
        <v>15.8100000000013</v>
      </c>
      <c r="Q591" s="44" t="n">
        <f aca="false">IF(O591="","",ABS(O591-M591))</f>
        <v>31.619999999999</v>
      </c>
      <c r="R591" s="30" t="n">
        <f aca="false">P591*L591*Summary!$C$6</f>
        <v>66.4020000000055</v>
      </c>
      <c r="S591" s="31" t="n">
        <v>23320.84</v>
      </c>
      <c r="T591" s="28" t="s">
        <v>214</v>
      </c>
      <c r="U591" s="44" t="n">
        <f aca="false">IF(J591="BUY",S591-M591,M591-S591)</f>
        <v>31.6599999999999</v>
      </c>
      <c r="V591" s="45" t="n">
        <v>0</v>
      </c>
      <c r="W591" s="45" t="n">
        <v>0</v>
      </c>
      <c r="X591" s="45" t="n">
        <v>132.97</v>
      </c>
      <c r="Y591" s="32" t="n">
        <f aca="false">IFERROR(X591/R591,0)</f>
        <v>2.0024999247009</v>
      </c>
      <c r="Z591" s="28" t="str">
        <f aca="false">IF(X591&gt;0,"Win",IF(X591&lt;0,"Loss","Flat"))</f>
        <v>Win</v>
      </c>
      <c r="AA591" s="28" t="n">
        <f aca="false">ROUND((C591-B591)*1440,1)</f>
        <v>29.5</v>
      </c>
      <c r="AB591" s="28" t="str">
        <f aca="false">IF(AA591&lt;1,"a) &lt;1 min",IF(AA591&lt;10,"b) 1-10 min",IF(AA591&lt;60,"c) 10-60 min",IF(AA591&lt;240,"d) 1-4 h","e) 4 h+"))))</f>
        <v>c) 10-60 min</v>
      </c>
      <c r="AC591" s="28" t="str">
        <f aca="false">IF(P591&lt;10,"a) &lt;10",IF(P591&lt;20,"b) 10-20",IF(P591&lt;40,"c) 20-40",IF(P591&lt;80,"d) 40-80","e) 80+"))))</f>
        <v>b) 10-20</v>
      </c>
      <c r="AD591" s="30" t="n">
        <f aca="false">Summary!$C$5+SUM(X$2:X591)</f>
        <v>113146.82</v>
      </c>
      <c r="AE591" s="30" t="n">
        <f aca="false">MAX(AE590,AD591)</f>
        <v>113146.82</v>
      </c>
      <c r="AF591" s="30" t="n">
        <f aca="false">AE591-AD591</f>
        <v>0</v>
      </c>
      <c r="AG591" s="29" t="n">
        <f aca="false">IFERROR(AF591/AE591,0)</f>
        <v>0</v>
      </c>
    </row>
    <row r="592" customFormat="false" ht="15" hidden="false" customHeight="false" outlineLevel="0" collapsed="false">
      <c r="A592" s="28" t="n">
        <v>591</v>
      </c>
      <c r="B592" s="43" t="n">
        <v>45876.0604166667</v>
      </c>
      <c r="C592" s="43" t="n">
        <v>45876.0681828704</v>
      </c>
      <c r="D592" s="42" t="n">
        <f aca="false">INT(C592)</f>
        <v>45876</v>
      </c>
      <c r="E592" s="42" t="n">
        <f aca="false">D592-WEEKDAY(D592,3)</f>
        <v>45873</v>
      </c>
      <c r="F592" s="28" t="s">
        <v>171</v>
      </c>
      <c r="G592" s="28" t="n">
        <v>2025</v>
      </c>
      <c r="H592" s="28" t="s">
        <v>239</v>
      </c>
      <c r="I592" s="28" t="n">
        <v>1</v>
      </c>
      <c r="J592" s="28" t="s">
        <v>233</v>
      </c>
      <c r="K592" s="28" t="s">
        <v>234</v>
      </c>
      <c r="L592" s="28" t="n">
        <v>0.21</v>
      </c>
      <c r="M592" s="31" t="n">
        <v>23349.01</v>
      </c>
      <c r="N592" s="31" t="n">
        <v>23335.91</v>
      </c>
      <c r="O592" s="31" t="n">
        <v>23375.21</v>
      </c>
      <c r="P592" s="44" t="n">
        <f aca="false">ABS(M592-N592)</f>
        <v>13.0999999999985</v>
      </c>
      <c r="Q592" s="44" t="n">
        <f aca="false">IF(O592="","",ABS(O592-M592))</f>
        <v>26.2000000000007</v>
      </c>
      <c r="R592" s="30" t="n">
        <f aca="false">P592*L592*Summary!$C$6</f>
        <v>55.0199999999939</v>
      </c>
      <c r="S592" s="31" t="n">
        <v>23348.93</v>
      </c>
      <c r="T592" s="28" t="s">
        <v>238</v>
      </c>
      <c r="U592" s="44" t="n">
        <f aca="false">IF(J592="BUY",S592-M592,M592-S592)</f>
        <v>-0.0799999999981083</v>
      </c>
      <c r="V592" s="45" t="n">
        <v>0</v>
      </c>
      <c r="W592" s="45" t="n">
        <v>0</v>
      </c>
      <c r="X592" s="45" t="n">
        <v>-0.34</v>
      </c>
      <c r="Y592" s="32" t="n">
        <f aca="false">IFERROR(X592/R592,0)</f>
        <v>-0.00617957106506794</v>
      </c>
      <c r="Z592" s="28" t="str">
        <f aca="false">IF(X592&gt;0,"Win",IF(X592&lt;0,"Loss","Flat"))</f>
        <v>Loss</v>
      </c>
      <c r="AA592" s="28" t="n">
        <f aca="false">ROUND((C592-B592)*1440,1)</f>
        <v>11.2</v>
      </c>
      <c r="AB592" s="28" t="str">
        <f aca="false">IF(AA592&lt;1,"a) &lt;1 min",IF(AA592&lt;10,"b) 1-10 min",IF(AA592&lt;60,"c) 10-60 min",IF(AA592&lt;240,"d) 1-4 h","e) 4 h+"))))</f>
        <v>c) 10-60 min</v>
      </c>
      <c r="AC592" s="28" t="str">
        <f aca="false">IF(P592&lt;10,"a) &lt;10",IF(P592&lt;20,"b) 10-20",IF(P592&lt;40,"c) 20-40",IF(P592&lt;80,"d) 40-80","e) 80+"))))</f>
        <v>b) 10-20</v>
      </c>
      <c r="AD592" s="30" t="n">
        <f aca="false">Summary!$C$5+SUM(X$2:X592)</f>
        <v>113146.48</v>
      </c>
      <c r="AE592" s="30" t="n">
        <f aca="false">MAX(AE591,AD592)</f>
        <v>113146.82</v>
      </c>
      <c r="AF592" s="30" t="n">
        <f aca="false">AE592-AD592</f>
        <v>0.340000000011059</v>
      </c>
      <c r="AG592" s="29" t="n">
        <f aca="false">IFERROR(AF592/AE592,0)</f>
        <v>3.00494525618183E-006</v>
      </c>
    </row>
    <row r="593" customFormat="false" ht="15" hidden="false" customHeight="false" outlineLevel="0" collapsed="false">
      <c r="A593" s="28" t="n">
        <v>592</v>
      </c>
      <c r="B593" s="43" t="n">
        <v>45877.7152777778</v>
      </c>
      <c r="C593" s="43" t="n">
        <v>45877.7185069445</v>
      </c>
      <c r="D593" s="42" t="n">
        <f aca="false">INT(C593)</f>
        <v>45877</v>
      </c>
      <c r="E593" s="42" t="n">
        <f aca="false">D593-WEEKDAY(D593,3)</f>
        <v>45873</v>
      </c>
      <c r="F593" s="28" t="s">
        <v>171</v>
      </c>
      <c r="G593" s="28" t="n">
        <v>2025</v>
      </c>
      <c r="H593" s="28" t="s">
        <v>242</v>
      </c>
      <c r="I593" s="28" t="n">
        <v>17</v>
      </c>
      <c r="J593" s="28" t="s">
        <v>233</v>
      </c>
      <c r="K593" s="28" t="s">
        <v>234</v>
      </c>
      <c r="L593" s="28" t="n">
        <v>0.21</v>
      </c>
      <c r="M593" s="31" t="n">
        <v>23562.04</v>
      </c>
      <c r="N593" s="31" t="n">
        <v>23535.2</v>
      </c>
      <c r="O593" s="31" t="n">
        <v>23615.72</v>
      </c>
      <c r="P593" s="44" t="n">
        <f aca="false">ABS(M593-N593)</f>
        <v>26.8400000000001</v>
      </c>
      <c r="Q593" s="44" t="n">
        <f aca="false">IF(O593="","",ABS(O593-M593))</f>
        <v>53.6800000000003</v>
      </c>
      <c r="R593" s="30" t="n">
        <f aca="false">P593*L593*Summary!$C$6</f>
        <v>112.728000000001</v>
      </c>
      <c r="S593" s="31" t="n">
        <v>23535.2</v>
      </c>
      <c r="T593" s="28" t="s">
        <v>241</v>
      </c>
      <c r="U593" s="44" t="n">
        <f aca="false">IF(J593="BUY",S593-M593,M593-S593)</f>
        <v>-26.8400000000001</v>
      </c>
      <c r="V593" s="45" t="n">
        <v>0</v>
      </c>
      <c r="W593" s="45" t="n">
        <v>0</v>
      </c>
      <c r="X593" s="45" t="n">
        <v>-112.73</v>
      </c>
      <c r="Y593" s="32" t="n">
        <f aca="false">IFERROR(X593/R593,0)</f>
        <v>-1.00001774182102</v>
      </c>
      <c r="Z593" s="28" t="str">
        <f aca="false">IF(X593&gt;0,"Win",IF(X593&lt;0,"Loss","Flat"))</f>
        <v>Loss</v>
      </c>
      <c r="AA593" s="28" t="n">
        <f aca="false">ROUND((C593-B593)*1440,1)</f>
        <v>4.7</v>
      </c>
      <c r="AB593" s="28" t="str">
        <f aca="false">IF(AA593&lt;1,"a) &lt;1 min",IF(AA593&lt;10,"b) 1-10 min",IF(AA593&lt;60,"c) 10-60 min",IF(AA593&lt;240,"d) 1-4 h","e) 4 h+"))))</f>
        <v>b) 1-10 min</v>
      </c>
      <c r="AC593" s="28" t="str">
        <f aca="false">IF(P593&lt;10,"a) &lt;10",IF(P593&lt;20,"b) 10-20",IF(P593&lt;40,"c) 20-40",IF(P593&lt;80,"d) 40-80","e) 80+"))))</f>
        <v>c) 20-40</v>
      </c>
      <c r="AD593" s="30" t="n">
        <f aca="false">Summary!$C$5+SUM(X$2:X593)</f>
        <v>113033.75</v>
      </c>
      <c r="AE593" s="30" t="n">
        <f aca="false">MAX(AE592,AD593)</f>
        <v>113146.82</v>
      </c>
      <c r="AF593" s="30" t="n">
        <f aca="false">AE593-AD593</f>
        <v>113.070000000007</v>
      </c>
      <c r="AG593" s="29" t="n">
        <f aca="false">IFERROR(AF593/AE593,0)</f>
        <v>0.000999321059133672</v>
      </c>
    </row>
    <row r="594" customFormat="false" ht="15" hidden="false" customHeight="false" outlineLevel="0" collapsed="false">
      <c r="A594" s="28" t="n">
        <v>593</v>
      </c>
      <c r="B594" s="43" t="n">
        <v>45880.2166666667</v>
      </c>
      <c r="C594" s="43" t="n">
        <v>45880.2271875</v>
      </c>
      <c r="D594" s="42" t="n">
        <f aca="false">INT(C594)</f>
        <v>45880</v>
      </c>
      <c r="E594" s="42" t="n">
        <f aca="false">D594-WEEKDAY(D594,3)</f>
        <v>45880</v>
      </c>
      <c r="F594" s="28" t="s">
        <v>171</v>
      </c>
      <c r="G594" s="28" t="n">
        <v>2025</v>
      </c>
      <c r="H594" s="28" t="s">
        <v>240</v>
      </c>
      <c r="I594" s="28" t="n">
        <v>5</v>
      </c>
      <c r="J594" s="28" t="s">
        <v>233</v>
      </c>
      <c r="K594" s="28" t="s">
        <v>234</v>
      </c>
      <c r="L594" s="28" t="n">
        <v>0.21</v>
      </c>
      <c r="M594" s="31" t="n">
        <v>23660.74</v>
      </c>
      <c r="N594" s="31" t="n">
        <v>23655.43</v>
      </c>
      <c r="O594" s="31" t="n">
        <v>23671.36</v>
      </c>
      <c r="P594" s="44" t="n">
        <f aca="false">ABS(M594-N594)</f>
        <v>5.31000000000131</v>
      </c>
      <c r="Q594" s="44" t="n">
        <f aca="false">IF(O594="","",ABS(O594-M594))</f>
        <v>10.619999999999</v>
      </c>
      <c r="R594" s="30" t="n">
        <f aca="false">P594*L594*Summary!$C$6</f>
        <v>22.3020000000055</v>
      </c>
      <c r="S594" s="31" t="n">
        <v>23655.02</v>
      </c>
      <c r="T594" s="28" t="s">
        <v>241</v>
      </c>
      <c r="U594" s="44" t="n">
        <f aca="false">IF(J594="BUY",S594-M594,M594-S594)</f>
        <v>-5.72000000000116</v>
      </c>
      <c r="V594" s="45" t="n">
        <v>0</v>
      </c>
      <c r="W594" s="45" t="n">
        <v>0</v>
      </c>
      <c r="X594" s="45" t="n">
        <v>-24.02</v>
      </c>
      <c r="Y594" s="32" t="n">
        <f aca="false">IFERROR(X594/R594,0)</f>
        <v>-1.07703344991454</v>
      </c>
      <c r="Z594" s="28" t="str">
        <f aca="false">IF(X594&gt;0,"Win",IF(X594&lt;0,"Loss","Flat"))</f>
        <v>Loss</v>
      </c>
      <c r="AA594" s="28" t="n">
        <f aca="false">ROUND((C594-B594)*1440,1)</f>
        <v>15.2</v>
      </c>
      <c r="AB594" s="28" t="str">
        <f aca="false">IF(AA594&lt;1,"a) &lt;1 min",IF(AA594&lt;10,"b) 1-10 min",IF(AA594&lt;60,"c) 10-60 min",IF(AA594&lt;240,"d) 1-4 h","e) 4 h+"))))</f>
        <v>c) 10-60 min</v>
      </c>
      <c r="AC594" s="28" t="str">
        <f aca="false">IF(P594&lt;10,"a) &lt;10",IF(P594&lt;20,"b) 10-20",IF(P594&lt;40,"c) 20-40",IF(P594&lt;80,"d) 40-80","e) 80+"))))</f>
        <v>a) &lt;10</v>
      </c>
      <c r="AD594" s="30" t="n">
        <f aca="false">Summary!$C$5+SUM(X$2:X594)</f>
        <v>113009.73</v>
      </c>
      <c r="AE594" s="30" t="n">
        <f aca="false">MAX(AE593,AD594)</f>
        <v>113146.82</v>
      </c>
      <c r="AF594" s="30" t="n">
        <f aca="false">AE594-AD594</f>
        <v>137.090000000011</v>
      </c>
      <c r="AG594" s="29" t="n">
        <f aca="false">IFERROR(AF594/AE594,0)</f>
        <v>0.00121161160340177</v>
      </c>
    </row>
    <row r="595" customFormat="false" ht="15" hidden="false" customHeight="false" outlineLevel="0" collapsed="false">
      <c r="A595" s="28" t="n">
        <v>594</v>
      </c>
      <c r="B595" s="43" t="n">
        <v>45881.6569444445</v>
      </c>
      <c r="C595" s="43" t="n">
        <v>45881.6697106482</v>
      </c>
      <c r="D595" s="42" t="n">
        <f aca="false">INT(C595)</f>
        <v>45881</v>
      </c>
      <c r="E595" s="42" t="n">
        <f aca="false">D595-WEEKDAY(D595,3)</f>
        <v>45880</v>
      </c>
      <c r="F595" s="28" t="s">
        <v>171</v>
      </c>
      <c r="G595" s="28" t="n">
        <v>2025</v>
      </c>
      <c r="H595" s="28" t="s">
        <v>232</v>
      </c>
      <c r="I595" s="28" t="n">
        <v>15</v>
      </c>
      <c r="J595" s="28" t="s">
        <v>233</v>
      </c>
      <c r="K595" s="28" t="s">
        <v>234</v>
      </c>
      <c r="L595" s="28" t="n">
        <v>0.21</v>
      </c>
      <c r="M595" s="31" t="n">
        <v>23707.53</v>
      </c>
      <c r="N595" s="31" t="n">
        <v>23675.02</v>
      </c>
      <c r="O595" s="31" t="n">
        <v>23772.55</v>
      </c>
      <c r="P595" s="44" t="n">
        <f aca="false">ABS(M595-N595)</f>
        <v>32.5099999999984</v>
      </c>
      <c r="Q595" s="44" t="n">
        <f aca="false">IF(O595="","",ABS(O595-M595))</f>
        <v>65.0200000000004</v>
      </c>
      <c r="R595" s="30" t="n">
        <f aca="false">P595*L595*Summary!$C$6</f>
        <v>136.541999999993</v>
      </c>
      <c r="S595" s="31" t="n">
        <v>23671.79</v>
      </c>
      <c r="T595" s="28" t="s">
        <v>241</v>
      </c>
      <c r="U595" s="44" t="n">
        <f aca="false">IF(J595="BUY",S595-M595,M595-S595)</f>
        <v>-35.739999999998</v>
      </c>
      <c r="V595" s="45" t="n">
        <v>0</v>
      </c>
      <c r="W595" s="45" t="n">
        <v>0</v>
      </c>
      <c r="X595" s="45" t="n">
        <v>-150.11</v>
      </c>
      <c r="Y595" s="32" t="n">
        <f aca="false">IFERROR(X595/R595,0)</f>
        <v>-1.09936869241704</v>
      </c>
      <c r="Z595" s="28" t="str">
        <f aca="false">IF(X595&gt;0,"Win",IF(X595&lt;0,"Loss","Flat"))</f>
        <v>Loss</v>
      </c>
      <c r="AA595" s="28" t="n">
        <f aca="false">ROUND((C595-B595)*1440,1)</f>
        <v>18.4</v>
      </c>
      <c r="AB595" s="28" t="str">
        <f aca="false">IF(AA595&lt;1,"a) &lt;1 min",IF(AA595&lt;10,"b) 1-10 min",IF(AA595&lt;60,"c) 10-60 min",IF(AA595&lt;240,"d) 1-4 h","e) 4 h+"))))</f>
        <v>c) 10-60 min</v>
      </c>
      <c r="AC595" s="28" t="str">
        <f aca="false">IF(P595&lt;10,"a) &lt;10",IF(P595&lt;20,"b) 10-20",IF(P595&lt;40,"c) 20-40",IF(P595&lt;80,"d) 40-80","e) 80+"))))</f>
        <v>c) 20-40</v>
      </c>
      <c r="AD595" s="30" t="n">
        <f aca="false">Summary!$C$5+SUM(X$2:X595)</f>
        <v>112859.62</v>
      </c>
      <c r="AE595" s="30" t="n">
        <f aca="false">MAX(AE594,AD595)</f>
        <v>113146.82</v>
      </c>
      <c r="AF595" s="30" t="n">
        <f aca="false">AE595-AD595</f>
        <v>287.200000000012</v>
      </c>
      <c r="AG595" s="29" t="n">
        <f aca="false">IFERROR(AF595/AE595,0)</f>
        <v>0.0025382949339629</v>
      </c>
    </row>
    <row r="596" customFormat="false" ht="15" hidden="false" customHeight="false" outlineLevel="0" collapsed="false">
      <c r="A596" s="28" t="n">
        <v>595</v>
      </c>
      <c r="B596" s="43" t="n">
        <v>45882.1152777778</v>
      </c>
      <c r="C596" s="43" t="n">
        <v>45882.1169444445</v>
      </c>
      <c r="D596" s="42" t="n">
        <f aca="false">INT(C596)</f>
        <v>45882</v>
      </c>
      <c r="E596" s="42" t="n">
        <f aca="false">D596-WEEKDAY(D596,3)</f>
        <v>45880</v>
      </c>
      <c r="F596" s="28" t="s">
        <v>171</v>
      </c>
      <c r="G596" s="28" t="n">
        <v>2025</v>
      </c>
      <c r="H596" s="28" t="s">
        <v>235</v>
      </c>
      <c r="I596" s="28" t="n">
        <v>2</v>
      </c>
      <c r="J596" s="28" t="s">
        <v>233</v>
      </c>
      <c r="K596" s="28" t="s">
        <v>234</v>
      </c>
      <c r="L596" s="28" t="n">
        <v>0.21</v>
      </c>
      <c r="M596" s="31" t="n">
        <v>23845.21</v>
      </c>
      <c r="N596" s="31" t="n">
        <v>23840.2</v>
      </c>
      <c r="O596" s="31" t="n">
        <v>23855.23</v>
      </c>
      <c r="P596" s="44" t="n">
        <f aca="false">ABS(M596-N596)</f>
        <v>5.0099999999984</v>
      </c>
      <c r="Q596" s="44" t="n">
        <f aca="false">IF(O596="","",ABS(O596-M596))</f>
        <v>10.0200000000004</v>
      </c>
      <c r="R596" s="30" t="n">
        <f aca="false">P596*L596*Summary!$C$6</f>
        <v>21.0419999999933</v>
      </c>
      <c r="S596" s="31" t="n">
        <v>23840.2</v>
      </c>
      <c r="T596" s="28" t="s">
        <v>241</v>
      </c>
      <c r="U596" s="44" t="n">
        <f aca="false">IF(J596="BUY",S596-M596,M596-S596)</f>
        <v>-5.0099999999984</v>
      </c>
      <c r="V596" s="45" t="n">
        <v>0</v>
      </c>
      <c r="W596" s="45" t="n">
        <v>0</v>
      </c>
      <c r="X596" s="45" t="n">
        <v>-21.04</v>
      </c>
      <c r="Y596" s="32" t="n">
        <f aca="false">IFERROR(X596/R596,0)</f>
        <v>-0.99990495200108</v>
      </c>
      <c r="Z596" s="28" t="str">
        <f aca="false">IF(X596&gt;0,"Win",IF(X596&lt;0,"Loss","Flat"))</f>
        <v>Loss</v>
      </c>
      <c r="AA596" s="28" t="n">
        <f aca="false">ROUND((C596-B596)*1440,1)</f>
        <v>2.4</v>
      </c>
      <c r="AB596" s="28" t="str">
        <f aca="false">IF(AA596&lt;1,"a) &lt;1 min",IF(AA596&lt;10,"b) 1-10 min",IF(AA596&lt;60,"c) 10-60 min",IF(AA596&lt;240,"d) 1-4 h","e) 4 h+"))))</f>
        <v>b) 1-10 min</v>
      </c>
      <c r="AC596" s="28" t="str">
        <f aca="false">IF(P596&lt;10,"a) &lt;10",IF(P596&lt;20,"b) 10-20",IF(P596&lt;40,"c) 20-40",IF(P596&lt;80,"d) 40-80","e) 80+"))))</f>
        <v>a) &lt;10</v>
      </c>
      <c r="AD596" s="30" t="n">
        <f aca="false">Summary!$C$5+SUM(X$2:X596)</f>
        <v>112838.58</v>
      </c>
      <c r="AE596" s="30" t="n">
        <f aca="false">MAX(AE595,AD596)</f>
        <v>113146.82</v>
      </c>
      <c r="AF596" s="30" t="n">
        <f aca="false">AE596-AD596</f>
        <v>308.240000000005</v>
      </c>
      <c r="AG596" s="29" t="n">
        <f aca="false">IFERROR(AF596/AE596,0)</f>
        <v>0.00272424801686875</v>
      </c>
    </row>
    <row r="597" customFormat="false" ht="15" hidden="false" customHeight="false" outlineLevel="0" collapsed="false">
      <c r="A597" s="28" t="n">
        <v>596</v>
      </c>
      <c r="B597" s="43" t="n">
        <v>45883.6465277778</v>
      </c>
      <c r="C597" s="43" t="n">
        <v>45883.6502546296</v>
      </c>
      <c r="D597" s="42" t="n">
        <f aca="false">INT(C597)</f>
        <v>45883</v>
      </c>
      <c r="E597" s="42" t="n">
        <f aca="false">D597-WEEKDAY(D597,3)</f>
        <v>45880</v>
      </c>
      <c r="F597" s="28" t="s">
        <v>171</v>
      </c>
      <c r="G597" s="28" t="n">
        <v>2025</v>
      </c>
      <c r="H597" s="28" t="s">
        <v>239</v>
      </c>
      <c r="I597" s="28" t="n">
        <v>15</v>
      </c>
      <c r="J597" s="28" t="s">
        <v>236</v>
      </c>
      <c r="K597" s="28" t="s">
        <v>237</v>
      </c>
      <c r="L597" s="28" t="n">
        <v>0.21</v>
      </c>
      <c r="M597" s="31" t="n">
        <v>23766.53</v>
      </c>
      <c r="N597" s="31" t="n">
        <v>23797.49</v>
      </c>
      <c r="O597" s="31" t="n">
        <v>23704.61</v>
      </c>
      <c r="P597" s="44" t="n">
        <f aca="false">ABS(M597-N597)</f>
        <v>30.9600000000028</v>
      </c>
      <c r="Q597" s="44" t="n">
        <f aca="false">IF(O597="","",ABS(O597-M597))</f>
        <v>61.9199999999983</v>
      </c>
      <c r="R597" s="30" t="n">
        <f aca="false">P597*L597*Summary!$C$6</f>
        <v>130.032000000012</v>
      </c>
      <c r="S597" s="31" t="n">
        <v>23704.49</v>
      </c>
      <c r="T597" s="28" t="s">
        <v>214</v>
      </c>
      <c r="U597" s="44" t="n">
        <f aca="false">IF(J597="BUY",S597-M597,M597-S597)</f>
        <v>62.0399999999972</v>
      </c>
      <c r="V597" s="45" t="n">
        <v>0</v>
      </c>
      <c r="W597" s="45" t="n">
        <v>0</v>
      </c>
      <c r="X597" s="45" t="n">
        <v>260.57</v>
      </c>
      <c r="Y597" s="32" t="n">
        <f aca="false">IFERROR(X597/R597,0)</f>
        <v>2.0038913498214</v>
      </c>
      <c r="Z597" s="28" t="str">
        <f aca="false">IF(X597&gt;0,"Win",IF(X597&lt;0,"Loss","Flat"))</f>
        <v>Win</v>
      </c>
      <c r="AA597" s="28" t="n">
        <f aca="false">ROUND((C597-B597)*1440,1)</f>
        <v>5.4</v>
      </c>
      <c r="AB597" s="28" t="str">
        <f aca="false">IF(AA597&lt;1,"a) &lt;1 min",IF(AA597&lt;10,"b) 1-10 min",IF(AA597&lt;60,"c) 10-60 min",IF(AA597&lt;240,"d) 1-4 h","e) 4 h+"))))</f>
        <v>b) 1-10 min</v>
      </c>
      <c r="AC597" s="28" t="str">
        <f aca="false">IF(P597&lt;10,"a) &lt;10",IF(P597&lt;20,"b) 10-20",IF(P597&lt;40,"c) 20-40",IF(P597&lt;80,"d) 40-80","e) 80+"))))</f>
        <v>c) 20-40</v>
      </c>
      <c r="AD597" s="30" t="n">
        <f aca="false">Summary!$C$5+SUM(X$2:X597)</f>
        <v>113099.15</v>
      </c>
      <c r="AE597" s="30" t="n">
        <f aca="false">MAX(AE596,AD597)</f>
        <v>113146.82</v>
      </c>
      <c r="AF597" s="30" t="n">
        <f aca="false">AE597-AD597</f>
        <v>47.6700000000128</v>
      </c>
      <c r="AG597" s="29" t="n">
        <f aca="false">IFERROR(AF597/AE597,0)</f>
        <v>0.000421311001051667</v>
      </c>
    </row>
    <row r="598" customFormat="false" ht="15" hidden="false" customHeight="false" outlineLevel="0" collapsed="false">
      <c r="A598" s="28" t="n">
        <v>597</v>
      </c>
      <c r="B598" s="43" t="n">
        <v>45884.7013888889</v>
      </c>
      <c r="C598" s="43" t="n">
        <v>45884.7096643519</v>
      </c>
      <c r="D598" s="42" t="n">
        <f aca="false">INT(C598)</f>
        <v>45884</v>
      </c>
      <c r="E598" s="42" t="n">
        <f aca="false">D598-WEEKDAY(D598,3)</f>
        <v>45880</v>
      </c>
      <c r="F598" s="28" t="s">
        <v>171</v>
      </c>
      <c r="G598" s="28" t="n">
        <v>2025</v>
      </c>
      <c r="H598" s="28" t="s">
        <v>242</v>
      </c>
      <c r="I598" s="28" t="n">
        <v>16</v>
      </c>
      <c r="J598" s="28" t="s">
        <v>236</v>
      </c>
      <c r="K598" s="28" t="s">
        <v>237</v>
      </c>
      <c r="L598" s="28" t="n">
        <v>0.21</v>
      </c>
      <c r="M598" s="31" t="n">
        <v>23696.06</v>
      </c>
      <c r="N598" s="31" t="n">
        <v>23735.71</v>
      </c>
      <c r="O598" s="31" t="n">
        <v>23619.24</v>
      </c>
      <c r="P598" s="44" t="n">
        <f aca="false">ABS(M598-N598)</f>
        <v>39.6499999999978</v>
      </c>
      <c r="Q598" s="44" t="n">
        <f aca="false">IF(O598="","",ABS(O598-M598))</f>
        <v>76.8199999999997</v>
      </c>
      <c r="R598" s="30" t="n">
        <f aca="false">P598*L598*Summary!$C$6</f>
        <v>166.529999999991</v>
      </c>
      <c r="S598" s="31" t="n">
        <v>23736.01</v>
      </c>
      <c r="T598" s="28" t="s">
        <v>241</v>
      </c>
      <c r="U598" s="44" t="n">
        <f aca="false">IF(J598="BUY",S598-M598,M598-S598)</f>
        <v>-39.9499999999971</v>
      </c>
      <c r="V598" s="45" t="n">
        <v>0</v>
      </c>
      <c r="W598" s="45" t="n">
        <v>0</v>
      </c>
      <c r="X598" s="45" t="n">
        <v>-167.79</v>
      </c>
      <c r="Y598" s="32" t="n">
        <f aca="false">IFERROR(X598/R598,0)</f>
        <v>-1.00756620428757</v>
      </c>
      <c r="Z598" s="28" t="str">
        <f aca="false">IF(X598&gt;0,"Win",IF(X598&lt;0,"Loss","Flat"))</f>
        <v>Loss</v>
      </c>
      <c r="AA598" s="28" t="n">
        <f aca="false">ROUND((C598-B598)*1440,1)</f>
        <v>11.9</v>
      </c>
      <c r="AB598" s="28" t="str">
        <f aca="false">IF(AA598&lt;1,"a) &lt;1 min",IF(AA598&lt;10,"b) 1-10 min",IF(AA598&lt;60,"c) 10-60 min",IF(AA598&lt;240,"d) 1-4 h","e) 4 h+"))))</f>
        <v>c) 10-60 min</v>
      </c>
      <c r="AC598" s="28" t="str">
        <f aca="false">IF(P598&lt;10,"a) &lt;10",IF(P598&lt;20,"b) 10-20",IF(P598&lt;40,"c) 20-40",IF(P598&lt;80,"d) 40-80","e) 80+"))))</f>
        <v>c) 20-40</v>
      </c>
      <c r="AD598" s="30" t="n">
        <f aca="false">Summary!$C$5+SUM(X$2:X598)</f>
        <v>112931.36</v>
      </c>
      <c r="AE598" s="30" t="n">
        <f aca="false">MAX(AE597,AD598)</f>
        <v>113146.82</v>
      </c>
      <c r="AF598" s="30" t="n">
        <f aca="false">AE598-AD598</f>
        <v>215.460000000006</v>
      </c>
      <c r="AG598" s="29" t="n">
        <f aca="false">IFERROR(AF598/AE598,0)</f>
        <v>0.00190425148492911</v>
      </c>
    </row>
    <row r="599" customFormat="false" ht="15" hidden="false" customHeight="false" outlineLevel="0" collapsed="false">
      <c r="A599" s="28" t="n">
        <v>598</v>
      </c>
      <c r="B599" s="43" t="n">
        <v>45887.7409722222</v>
      </c>
      <c r="C599" s="43" t="n">
        <v>45887.7432523148</v>
      </c>
      <c r="D599" s="42" t="n">
        <f aca="false">INT(C599)</f>
        <v>45887</v>
      </c>
      <c r="E599" s="42" t="n">
        <f aca="false">D599-WEEKDAY(D599,3)</f>
        <v>45887</v>
      </c>
      <c r="F599" s="28" t="s">
        <v>171</v>
      </c>
      <c r="G599" s="28" t="n">
        <v>2025</v>
      </c>
      <c r="H599" s="28" t="s">
        <v>240</v>
      </c>
      <c r="I599" s="28" t="n">
        <v>17</v>
      </c>
      <c r="J599" s="28" t="s">
        <v>236</v>
      </c>
      <c r="K599" s="28" t="s">
        <v>237</v>
      </c>
      <c r="L599" s="28" t="n">
        <v>0.21</v>
      </c>
      <c r="M599" s="31" t="n">
        <v>23644.93</v>
      </c>
      <c r="N599" s="31" t="n">
        <v>23667.4</v>
      </c>
      <c r="O599" s="31" t="n">
        <v>23600</v>
      </c>
      <c r="P599" s="44" t="n">
        <f aca="false">ABS(M599-N599)</f>
        <v>22.4700000000012</v>
      </c>
      <c r="Q599" s="44" t="n">
        <f aca="false">IF(O599="","",ABS(O599-M599))</f>
        <v>44.9300000000003</v>
      </c>
      <c r="R599" s="30" t="n">
        <f aca="false">P599*L599*Summary!$C$6</f>
        <v>94.3740000000049</v>
      </c>
      <c r="S599" s="31" t="n">
        <v>23667.69</v>
      </c>
      <c r="T599" s="28" t="s">
        <v>241</v>
      </c>
      <c r="U599" s="44" t="n">
        <f aca="false">IF(J599="BUY",S599-M599,M599-S599)</f>
        <v>-22.7599999999984</v>
      </c>
      <c r="V599" s="45" t="n">
        <v>0</v>
      </c>
      <c r="W599" s="45" t="n">
        <v>0</v>
      </c>
      <c r="X599" s="45" t="n">
        <v>-95.59</v>
      </c>
      <c r="Y599" s="32" t="n">
        <f aca="false">IFERROR(X599/R599,0)</f>
        <v>-1.01288490474066</v>
      </c>
      <c r="Z599" s="28" t="str">
        <f aca="false">IF(X599&gt;0,"Win",IF(X599&lt;0,"Loss","Flat"))</f>
        <v>Loss</v>
      </c>
      <c r="AA599" s="28" t="n">
        <f aca="false">ROUND((C599-B599)*1440,1)</f>
        <v>3.3</v>
      </c>
      <c r="AB599" s="28" t="str">
        <f aca="false">IF(AA599&lt;1,"a) &lt;1 min",IF(AA599&lt;10,"b) 1-10 min",IF(AA599&lt;60,"c) 10-60 min",IF(AA599&lt;240,"d) 1-4 h","e) 4 h+"))))</f>
        <v>b) 1-10 min</v>
      </c>
      <c r="AC599" s="28" t="str">
        <f aca="false">IF(P599&lt;10,"a) &lt;10",IF(P599&lt;20,"b) 10-20",IF(P599&lt;40,"c) 20-40",IF(P599&lt;80,"d) 40-80","e) 80+"))))</f>
        <v>c) 20-40</v>
      </c>
      <c r="AD599" s="30" t="n">
        <f aca="false">Summary!$C$5+SUM(X$2:X599)</f>
        <v>112835.77</v>
      </c>
      <c r="AE599" s="30" t="n">
        <f aca="false">MAX(AE598,AD599)</f>
        <v>113146.82</v>
      </c>
      <c r="AF599" s="30" t="n">
        <f aca="false">AE599-AD599</f>
        <v>311.050000000003</v>
      </c>
      <c r="AG599" s="29" t="n">
        <f aca="false">IFERROR(AF599/AE599,0)</f>
        <v>0.00274908300560283</v>
      </c>
    </row>
    <row r="600" customFormat="false" ht="15" hidden="false" customHeight="false" outlineLevel="0" collapsed="false">
      <c r="A600" s="28" t="n">
        <v>599</v>
      </c>
      <c r="B600" s="43" t="n">
        <v>45888.6895833333</v>
      </c>
      <c r="C600" s="43" t="n">
        <v>45888.6929513889</v>
      </c>
      <c r="D600" s="42" t="n">
        <f aca="false">INT(C600)</f>
        <v>45888</v>
      </c>
      <c r="E600" s="42" t="n">
        <f aca="false">D600-WEEKDAY(D600,3)</f>
        <v>45887</v>
      </c>
      <c r="F600" s="28" t="s">
        <v>171</v>
      </c>
      <c r="G600" s="28" t="n">
        <v>2025</v>
      </c>
      <c r="H600" s="28" t="s">
        <v>232</v>
      </c>
      <c r="I600" s="28" t="n">
        <v>16</v>
      </c>
      <c r="J600" s="28" t="s">
        <v>236</v>
      </c>
      <c r="K600" s="28" t="s">
        <v>237</v>
      </c>
      <c r="L600" s="28" t="n">
        <v>0.21</v>
      </c>
      <c r="M600" s="31" t="n">
        <v>23608.21</v>
      </c>
      <c r="N600" s="31" t="n">
        <v>23633.71</v>
      </c>
      <c r="O600" s="31" t="n">
        <v>23557.21</v>
      </c>
      <c r="P600" s="44" t="n">
        <f aca="false">ABS(M600-N600)</f>
        <v>25.5</v>
      </c>
      <c r="Q600" s="44" t="n">
        <f aca="false">IF(O600="","",ABS(O600-M600))</f>
        <v>51</v>
      </c>
      <c r="R600" s="30" t="n">
        <f aca="false">P600*L600*Summary!$C$6</f>
        <v>107.1</v>
      </c>
      <c r="S600" s="31" t="n">
        <v>23609.32</v>
      </c>
      <c r="T600" s="28" t="s">
        <v>238</v>
      </c>
      <c r="U600" s="44" t="n">
        <f aca="false">IF(J600="BUY",S600-M600,M600-S600)</f>
        <v>-1.11000000000058</v>
      </c>
      <c r="V600" s="45" t="n">
        <v>0</v>
      </c>
      <c r="W600" s="45" t="n">
        <v>0</v>
      </c>
      <c r="X600" s="45" t="n">
        <v>-4.66</v>
      </c>
      <c r="Y600" s="32" t="n">
        <f aca="false">IFERROR(X600/R600,0)</f>
        <v>-0.0435107376283847</v>
      </c>
      <c r="Z600" s="28" t="str">
        <f aca="false">IF(X600&gt;0,"Win",IF(X600&lt;0,"Loss","Flat"))</f>
        <v>Loss</v>
      </c>
      <c r="AA600" s="28" t="n">
        <f aca="false">ROUND((C600-B600)*1440,1)</f>
        <v>4.9</v>
      </c>
      <c r="AB600" s="28" t="str">
        <f aca="false">IF(AA600&lt;1,"a) &lt;1 min",IF(AA600&lt;10,"b) 1-10 min",IF(AA600&lt;60,"c) 10-60 min",IF(AA600&lt;240,"d) 1-4 h","e) 4 h+"))))</f>
        <v>b) 1-10 min</v>
      </c>
      <c r="AC600" s="28" t="str">
        <f aca="false">IF(P600&lt;10,"a) &lt;10",IF(P600&lt;20,"b) 10-20",IF(P600&lt;40,"c) 20-40",IF(P600&lt;80,"d) 40-80","e) 80+"))))</f>
        <v>c) 20-40</v>
      </c>
      <c r="AD600" s="30" t="n">
        <f aca="false">Summary!$C$5+SUM(X$2:X600)</f>
        <v>112831.11</v>
      </c>
      <c r="AE600" s="30" t="n">
        <f aca="false">MAX(AE599,AD600)</f>
        <v>113146.82</v>
      </c>
      <c r="AF600" s="30" t="n">
        <f aca="false">AE600-AD600</f>
        <v>315.710000000006</v>
      </c>
      <c r="AG600" s="29" t="n">
        <f aca="false">IFERROR(AF600/AE600,0)</f>
        <v>0.00279026843175978</v>
      </c>
    </row>
    <row r="601" customFormat="false" ht="15" hidden="false" customHeight="false" outlineLevel="0" collapsed="false">
      <c r="A601" s="28" t="n">
        <v>600</v>
      </c>
      <c r="B601" s="43" t="n">
        <v>45889.1006944445</v>
      </c>
      <c r="C601" s="43" t="n">
        <v>45889.1010648148</v>
      </c>
      <c r="D601" s="42" t="n">
        <f aca="false">INT(C601)</f>
        <v>45889</v>
      </c>
      <c r="E601" s="42" t="n">
        <f aca="false">D601-WEEKDAY(D601,3)</f>
        <v>45887</v>
      </c>
      <c r="F601" s="28" t="s">
        <v>171</v>
      </c>
      <c r="G601" s="28" t="n">
        <v>2025</v>
      </c>
      <c r="H601" s="28" t="s">
        <v>235</v>
      </c>
      <c r="I601" s="28" t="n">
        <v>2</v>
      </c>
      <c r="J601" s="28" t="s">
        <v>236</v>
      </c>
      <c r="K601" s="28" t="s">
        <v>237</v>
      </c>
      <c r="L601" s="28" t="n">
        <v>0.21</v>
      </c>
      <c r="M601" s="31" t="n">
        <v>23341.81</v>
      </c>
      <c r="N601" s="31" t="n">
        <v>23353.92</v>
      </c>
      <c r="O601" s="31" t="n">
        <v>23317.6</v>
      </c>
      <c r="P601" s="44" t="n">
        <f aca="false">ABS(M601-N601)</f>
        <v>12.1099999999969</v>
      </c>
      <c r="Q601" s="44" t="n">
        <f aca="false">IF(O601="","",ABS(O601-M601))</f>
        <v>24.2100000000028</v>
      </c>
      <c r="R601" s="30" t="n">
        <f aca="false">P601*L601*Summary!$C$6</f>
        <v>50.8619999999872</v>
      </c>
      <c r="S601" s="31" t="n">
        <v>23354.17</v>
      </c>
      <c r="T601" s="28" t="s">
        <v>241</v>
      </c>
      <c r="U601" s="44" t="n">
        <f aca="false">IF(J601="BUY",S601-M601,M601-S601)</f>
        <v>-12.3599999999969</v>
      </c>
      <c r="V601" s="45" t="n">
        <v>0</v>
      </c>
      <c r="W601" s="45" t="n">
        <v>0</v>
      </c>
      <c r="X601" s="45" t="n">
        <v>-51.91</v>
      </c>
      <c r="Y601" s="32" t="n">
        <f aca="false">IFERROR(X601/R601,0)</f>
        <v>-1.02060477370165</v>
      </c>
      <c r="Z601" s="28" t="str">
        <f aca="false">IF(X601&gt;0,"Win",IF(X601&lt;0,"Loss","Flat"))</f>
        <v>Loss</v>
      </c>
      <c r="AA601" s="28" t="n">
        <f aca="false">ROUND((C601-B601)*1440,1)</f>
        <v>0.5</v>
      </c>
      <c r="AB601" s="28" t="str">
        <f aca="false">IF(AA601&lt;1,"a) &lt;1 min",IF(AA601&lt;10,"b) 1-10 min",IF(AA601&lt;60,"c) 10-60 min",IF(AA601&lt;240,"d) 1-4 h","e) 4 h+"))))</f>
        <v>a) &lt;1 min</v>
      </c>
      <c r="AC601" s="28" t="str">
        <f aca="false">IF(P601&lt;10,"a) &lt;10",IF(P601&lt;20,"b) 10-20",IF(P601&lt;40,"c) 20-40",IF(P601&lt;80,"d) 40-80","e) 80+"))))</f>
        <v>b) 10-20</v>
      </c>
      <c r="AD601" s="30" t="n">
        <f aca="false">Summary!$C$5+SUM(X$2:X601)</f>
        <v>112779.2</v>
      </c>
      <c r="AE601" s="30" t="n">
        <f aca="false">MAX(AE600,AD601)</f>
        <v>113146.82</v>
      </c>
      <c r="AF601" s="30" t="n">
        <f aca="false">AE601-AD601</f>
        <v>367.62000000001</v>
      </c>
      <c r="AG601" s="29" t="n">
        <f aca="false">IFERROR(AF601/AE601,0)</f>
        <v>0.00324905286776959</v>
      </c>
    </row>
    <row r="602" customFormat="false" ht="15" hidden="false" customHeight="false" outlineLevel="0" collapsed="false">
      <c r="A602" s="28" t="n">
        <v>601</v>
      </c>
      <c r="B602" s="43" t="n">
        <v>45891.4042013889</v>
      </c>
      <c r="C602" s="43" t="n">
        <v>45891.4093171296</v>
      </c>
      <c r="D602" s="42" t="n">
        <f aca="false">INT(C602)</f>
        <v>45891</v>
      </c>
      <c r="E602" s="42" t="n">
        <f aca="false">D602-WEEKDAY(D602,3)</f>
        <v>45887</v>
      </c>
      <c r="F602" s="28" t="s">
        <v>171</v>
      </c>
      <c r="G602" s="28" t="n">
        <v>2025</v>
      </c>
      <c r="H602" s="28" t="s">
        <v>242</v>
      </c>
      <c r="I602" s="28" t="n">
        <v>9</v>
      </c>
      <c r="J602" s="28" t="s">
        <v>236</v>
      </c>
      <c r="K602" s="28" t="s">
        <v>237</v>
      </c>
      <c r="L602" s="28" t="n">
        <v>0.22</v>
      </c>
      <c r="M602" s="31" t="n">
        <v>23024.84</v>
      </c>
      <c r="N602" s="31" t="n">
        <v>23046.57</v>
      </c>
      <c r="O602" s="31" t="n">
        <v>22981.39</v>
      </c>
      <c r="P602" s="44" t="n">
        <f aca="false">ABS(M602-N602)</f>
        <v>21.7299999999996</v>
      </c>
      <c r="Q602" s="44" t="n">
        <f aca="false">IF(O602="","",ABS(O602-M602))</f>
        <v>43.4500000000007</v>
      </c>
      <c r="R602" s="30" t="n">
        <f aca="false">P602*L602*Summary!$C$6</f>
        <v>95.6119999999981</v>
      </c>
      <c r="S602" s="31" t="n">
        <v>23047.06</v>
      </c>
      <c r="T602" s="28" t="s">
        <v>241</v>
      </c>
      <c r="U602" s="44" t="n">
        <f aca="false">IF(J602="BUY",S602-M602,M602-S602)</f>
        <v>-22.2200000000012</v>
      </c>
      <c r="V602" s="45" t="n">
        <v>0</v>
      </c>
      <c r="W602" s="45" t="n">
        <v>0</v>
      </c>
      <c r="X602" s="45" t="n">
        <v>-97.77</v>
      </c>
      <c r="Y602" s="32" t="n">
        <f aca="false">IFERROR(X602/R602,0)</f>
        <v>-1.02257038865416</v>
      </c>
      <c r="Z602" s="28" t="str">
        <f aca="false">IF(X602&gt;0,"Win",IF(X602&lt;0,"Loss","Flat"))</f>
        <v>Loss</v>
      </c>
      <c r="AA602" s="28" t="n">
        <f aca="false">ROUND((C602-B602)*1440,1)</f>
        <v>7.4</v>
      </c>
      <c r="AB602" s="28" t="str">
        <f aca="false">IF(AA602&lt;1,"a) &lt;1 min",IF(AA602&lt;10,"b) 1-10 min",IF(AA602&lt;60,"c) 10-60 min",IF(AA602&lt;240,"d) 1-4 h","e) 4 h+"))))</f>
        <v>b) 1-10 min</v>
      </c>
      <c r="AC602" s="28" t="str">
        <f aca="false">IF(P602&lt;10,"a) &lt;10",IF(P602&lt;20,"b) 10-20",IF(P602&lt;40,"c) 20-40",IF(P602&lt;80,"d) 40-80","e) 80+"))))</f>
        <v>c) 20-40</v>
      </c>
      <c r="AD602" s="30" t="n">
        <f aca="false">Summary!$C$5+SUM(X$2:X602)</f>
        <v>112681.43</v>
      </c>
      <c r="AE602" s="30" t="n">
        <f aca="false">MAX(AE601,AD602)</f>
        <v>113146.82</v>
      </c>
      <c r="AF602" s="30" t="n">
        <f aca="false">AE602-AD602</f>
        <v>465.390000000014</v>
      </c>
      <c r="AG602" s="29" t="n">
        <f aca="false">IFERROR(AF602/AE602,0)</f>
        <v>0.00411315139037946</v>
      </c>
    </row>
    <row r="603" customFormat="false" ht="15" hidden="false" customHeight="false" outlineLevel="0" collapsed="false">
      <c r="A603" s="28" t="n">
        <v>602</v>
      </c>
      <c r="B603" s="43" t="n">
        <v>45891.7181018519</v>
      </c>
      <c r="C603" s="43" t="n">
        <v>45891.7236111111</v>
      </c>
      <c r="D603" s="42" t="n">
        <f aca="false">INT(C603)</f>
        <v>45891</v>
      </c>
      <c r="E603" s="42" t="n">
        <f aca="false">D603-WEEKDAY(D603,3)</f>
        <v>45887</v>
      </c>
      <c r="F603" s="28" t="s">
        <v>171</v>
      </c>
      <c r="G603" s="28" t="n">
        <v>2025</v>
      </c>
      <c r="H603" s="28" t="s">
        <v>242</v>
      </c>
      <c r="I603" s="28" t="n">
        <v>17</v>
      </c>
      <c r="J603" s="28" t="s">
        <v>233</v>
      </c>
      <c r="K603" s="28" t="s">
        <v>234</v>
      </c>
      <c r="L603" s="28" t="n">
        <v>0.21</v>
      </c>
      <c r="M603" s="31" t="n">
        <v>23324.47</v>
      </c>
      <c r="N603" s="31" t="n">
        <v>23264.58</v>
      </c>
      <c r="O603" s="31" t="n">
        <v>23444.25</v>
      </c>
      <c r="P603" s="44" t="n">
        <f aca="false">ABS(M603-N603)</f>
        <v>59.8899999999994</v>
      </c>
      <c r="Q603" s="44" t="n">
        <f aca="false">IF(O603="","",ABS(O603-M603))</f>
        <v>119.779999999999</v>
      </c>
      <c r="R603" s="30" t="n">
        <f aca="false">P603*L603*Summary!$C$6</f>
        <v>251.537999999998</v>
      </c>
      <c r="S603" s="31" t="n">
        <v>23447.79</v>
      </c>
      <c r="T603" s="28" t="s">
        <v>214</v>
      </c>
      <c r="U603" s="44" t="n">
        <f aca="false">IF(J603="BUY",S603-M603,M603-S603)</f>
        <v>123.32</v>
      </c>
      <c r="V603" s="45" t="n">
        <v>0</v>
      </c>
      <c r="W603" s="45" t="n">
        <v>0</v>
      </c>
      <c r="X603" s="45" t="n">
        <v>517.94</v>
      </c>
      <c r="Y603" s="32" t="n">
        <f aca="false">IFERROR(X603/R603,0)</f>
        <v>2.05909246316662</v>
      </c>
      <c r="Z603" s="28" t="str">
        <f aca="false">IF(X603&gt;0,"Win",IF(X603&lt;0,"Loss","Flat"))</f>
        <v>Win</v>
      </c>
      <c r="AA603" s="28" t="n">
        <f aca="false">ROUND((C603-B603)*1440,1)</f>
        <v>7.9</v>
      </c>
      <c r="AB603" s="28" t="str">
        <f aca="false">IF(AA603&lt;1,"a) &lt;1 min",IF(AA603&lt;10,"b) 1-10 min",IF(AA603&lt;60,"c) 10-60 min",IF(AA603&lt;240,"d) 1-4 h","e) 4 h+"))))</f>
        <v>b) 1-10 min</v>
      </c>
      <c r="AC603" s="28" t="str">
        <f aca="false">IF(P603&lt;10,"a) &lt;10",IF(P603&lt;20,"b) 10-20",IF(P603&lt;40,"c) 20-40",IF(P603&lt;80,"d) 40-80","e) 80+"))))</f>
        <v>d) 40-80</v>
      </c>
      <c r="AD603" s="30" t="n">
        <f aca="false">Summary!$C$5+SUM(X$2:X603)</f>
        <v>113199.37</v>
      </c>
      <c r="AE603" s="30" t="n">
        <f aca="false">MAX(AE602,AD603)</f>
        <v>113199.37</v>
      </c>
      <c r="AF603" s="30" t="n">
        <f aca="false">AE603-AD603</f>
        <v>0</v>
      </c>
      <c r="AG603" s="29" t="n">
        <f aca="false">IFERROR(AF603/AE603,0)</f>
        <v>0</v>
      </c>
    </row>
    <row r="604" customFormat="false" ht="15" hidden="false" customHeight="false" outlineLevel="0" collapsed="false">
      <c r="A604" s="28" t="n">
        <v>603</v>
      </c>
      <c r="B604" s="43" t="n">
        <v>45895.1506944444</v>
      </c>
      <c r="C604" s="43" t="n">
        <v>45895.1699537037</v>
      </c>
      <c r="D604" s="42" t="n">
        <f aca="false">INT(C604)</f>
        <v>45895</v>
      </c>
      <c r="E604" s="42" t="n">
        <f aca="false">D604-WEEKDAY(D604,3)</f>
        <v>45894</v>
      </c>
      <c r="F604" s="28" t="s">
        <v>171</v>
      </c>
      <c r="G604" s="28" t="n">
        <v>2025</v>
      </c>
      <c r="H604" s="28" t="s">
        <v>232</v>
      </c>
      <c r="I604" s="28" t="n">
        <v>3</v>
      </c>
      <c r="J604" s="28" t="s">
        <v>236</v>
      </c>
      <c r="K604" s="28" t="s">
        <v>237</v>
      </c>
      <c r="L604" s="28" t="n">
        <v>0.21</v>
      </c>
      <c r="M604" s="31" t="n">
        <v>23371.41</v>
      </c>
      <c r="N604" s="31" t="n">
        <v>23407.42</v>
      </c>
      <c r="O604" s="31" t="n">
        <v>23299.39</v>
      </c>
      <c r="P604" s="44" t="n">
        <f aca="false">ABS(M604-N604)</f>
        <v>36.0099999999984</v>
      </c>
      <c r="Q604" s="44" t="n">
        <f aca="false">IF(O604="","",ABS(O604-M604))</f>
        <v>72.0200000000004</v>
      </c>
      <c r="R604" s="30" t="n">
        <f aca="false">P604*L604*Summary!$C$6</f>
        <v>151.241999999993</v>
      </c>
      <c r="S604" s="31" t="n">
        <v>23371.71</v>
      </c>
      <c r="T604" s="28" t="s">
        <v>238</v>
      </c>
      <c r="U604" s="44" t="n">
        <f aca="false">IF(J604="BUY",S604-M604,M604-S604)</f>
        <v>-0.299999999999272</v>
      </c>
      <c r="V604" s="45" t="n">
        <v>0</v>
      </c>
      <c r="W604" s="45" t="n">
        <v>0</v>
      </c>
      <c r="X604" s="45" t="n">
        <v>-1.26</v>
      </c>
      <c r="Y604" s="32" t="n">
        <f aca="false">IFERROR(X604/R604,0)</f>
        <v>-0.00833101916134444</v>
      </c>
      <c r="Z604" s="28" t="str">
        <f aca="false">IF(X604&gt;0,"Win",IF(X604&lt;0,"Loss","Flat"))</f>
        <v>Loss</v>
      </c>
      <c r="AA604" s="28" t="n">
        <f aca="false">ROUND((C604-B604)*1440,1)</f>
        <v>27.7</v>
      </c>
      <c r="AB604" s="28" t="str">
        <f aca="false">IF(AA604&lt;1,"a) &lt;1 min",IF(AA604&lt;10,"b) 1-10 min",IF(AA604&lt;60,"c) 10-60 min",IF(AA604&lt;240,"d) 1-4 h","e) 4 h+"))))</f>
        <v>c) 10-60 min</v>
      </c>
      <c r="AC604" s="28" t="str">
        <f aca="false">IF(P604&lt;10,"a) &lt;10",IF(P604&lt;20,"b) 10-20",IF(P604&lt;40,"c) 20-40",IF(P604&lt;80,"d) 40-80","e) 80+"))))</f>
        <v>c) 20-40</v>
      </c>
      <c r="AD604" s="30" t="n">
        <f aca="false">Summary!$C$5+SUM(X$2:X604)</f>
        <v>113198.11</v>
      </c>
      <c r="AE604" s="30" t="n">
        <f aca="false">MAX(AE603,AD604)</f>
        <v>113199.37</v>
      </c>
      <c r="AF604" s="30" t="n">
        <f aca="false">AE604-AD604</f>
        <v>1.25999999999476</v>
      </c>
      <c r="AG604" s="29" t="n">
        <f aca="false">IFERROR(AF604/AE604,0)</f>
        <v>1.11308039964777E-005</v>
      </c>
    </row>
    <row r="605" customFormat="false" ht="15" hidden="false" customHeight="false" outlineLevel="0" collapsed="false">
      <c r="A605" s="28" t="n">
        <v>604</v>
      </c>
      <c r="B605" s="43" t="n">
        <v>45896.0451388889</v>
      </c>
      <c r="C605" s="43" t="n">
        <v>45896.126412037</v>
      </c>
      <c r="D605" s="42" t="n">
        <f aca="false">INT(C605)</f>
        <v>45896</v>
      </c>
      <c r="E605" s="42" t="n">
        <f aca="false">D605-WEEKDAY(D605,3)</f>
        <v>45894</v>
      </c>
      <c r="F605" s="28" t="s">
        <v>171</v>
      </c>
      <c r="G605" s="28" t="n">
        <v>2025</v>
      </c>
      <c r="H605" s="28" t="s">
        <v>235</v>
      </c>
      <c r="I605" s="28" t="n">
        <v>1</v>
      </c>
      <c r="J605" s="28" t="s">
        <v>233</v>
      </c>
      <c r="K605" s="28" t="s">
        <v>234</v>
      </c>
      <c r="L605" s="28" t="n">
        <v>0.21</v>
      </c>
      <c r="M605" s="31" t="n">
        <v>23548.11</v>
      </c>
      <c r="N605" s="31" t="n">
        <v>23538.66</v>
      </c>
      <c r="O605" s="31" t="n">
        <v>23567.01</v>
      </c>
      <c r="P605" s="44" t="n">
        <f aca="false">ABS(M605-N605)</f>
        <v>9.45000000000073</v>
      </c>
      <c r="Q605" s="44" t="n">
        <f aca="false">IF(O605="","",ABS(O605-M605))</f>
        <v>18.8999999999978</v>
      </c>
      <c r="R605" s="30" t="n">
        <f aca="false">P605*L605*Summary!$C$6</f>
        <v>39.6900000000031</v>
      </c>
      <c r="S605" s="31" t="n">
        <v>23538.3</v>
      </c>
      <c r="T605" s="28" t="s">
        <v>241</v>
      </c>
      <c r="U605" s="44" t="n">
        <f aca="false">IF(J605="BUY",S605-M605,M605-S605)</f>
        <v>-9.81000000000131</v>
      </c>
      <c r="V605" s="45" t="n">
        <v>0</v>
      </c>
      <c r="W605" s="45" t="n">
        <v>0</v>
      </c>
      <c r="X605" s="45" t="n">
        <v>-41.2</v>
      </c>
      <c r="Y605" s="32" t="n">
        <f aca="false">IFERROR(X605/R605,0)</f>
        <v>-1.03804484756858</v>
      </c>
      <c r="Z605" s="28" t="str">
        <f aca="false">IF(X605&gt;0,"Win",IF(X605&lt;0,"Loss","Flat"))</f>
        <v>Loss</v>
      </c>
      <c r="AA605" s="28" t="n">
        <f aca="false">ROUND((C605-B605)*1440,1)</f>
        <v>117</v>
      </c>
      <c r="AB605" s="28" t="str">
        <f aca="false">IF(AA605&lt;1,"a) &lt;1 min",IF(AA605&lt;10,"b) 1-10 min",IF(AA605&lt;60,"c) 10-60 min",IF(AA605&lt;240,"d) 1-4 h","e) 4 h+"))))</f>
        <v>d) 1-4 h</v>
      </c>
      <c r="AC605" s="28" t="str">
        <f aca="false">IF(P605&lt;10,"a) &lt;10",IF(P605&lt;20,"b) 10-20",IF(P605&lt;40,"c) 20-40",IF(P605&lt;80,"d) 40-80","e) 80+"))))</f>
        <v>a) &lt;10</v>
      </c>
      <c r="AD605" s="30" t="n">
        <f aca="false">Summary!$C$5+SUM(X$2:X605)</f>
        <v>113156.91</v>
      </c>
      <c r="AE605" s="30" t="n">
        <f aca="false">MAX(AE604,AD605)</f>
        <v>113199.37</v>
      </c>
      <c r="AF605" s="30" t="n">
        <f aca="false">AE605-AD605</f>
        <v>42.4599999999919</v>
      </c>
      <c r="AG605" s="29" t="n">
        <f aca="false">IFERROR(AF605/AE605,0)</f>
        <v>0.000375090426739936</v>
      </c>
    </row>
    <row r="606" customFormat="false" ht="15" hidden="false" customHeight="false" outlineLevel="0" collapsed="false">
      <c r="A606" s="28" t="n">
        <v>605</v>
      </c>
      <c r="B606" s="43" t="n">
        <v>45897.0465277778</v>
      </c>
      <c r="C606" s="43" t="n">
        <v>45897.2041087963</v>
      </c>
      <c r="D606" s="42" t="n">
        <f aca="false">INT(C606)</f>
        <v>45897</v>
      </c>
      <c r="E606" s="42" t="n">
        <f aca="false">D606-WEEKDAY(D606,3)</f>
        <v>45894</v>
      </c>
      <c r="F606" s="28" t="s">
        <v>171</v>
      </c>
      <c r="G606" s="28" t="n">
        <v>2025</v>
      </c>
      <c r="H606" s="28" t="s">
        <v>239</v>
      </c>
      <c r="I606" s="28" t="n">
        <v>1</v>
      </c>
      <c r="J606" s="28" t="s">
        <v>236</v>
      </c>
      <c r="K606" s="28" t="s">
        <v>237</v>
      </c>
      <c r="L606" s="28" t="n">
        <v>0.21</v>
      </c>
      <c r="M606" s="31" t="n">
        <v>23451.71</v>
      </c>
      <c r="N606" s="31" t="n">
        <v>23483.55</v>
      </c>
      <c r="O606" s="31" t="n">
        <v>23388.03</v>
      </c>
      <c r="P606" s="44" t="n">
        <f aca="false">ABS(M606-N606)</f>
        <v>31.8400000000001</v>
      </c>
      <c r="Q606" s="44" t="n">
        <f aca="false">IF(O606="","",ABS(O606-M606))</f>
        <v>63.6800000000003</v>
      </c>
      <c r="R606" s="30" t="n">
        <f aca="false">P606*L606*Summary!$C$6</f>
        <v>133.728000000001</v>
      </c>
      <c r="S606" s="31" t="n">
        <v>23483.57</v>
      </c>
      <c r="T606" s="28" t="s">
        <v>241</v>
      </c>
      <c r="U606" s="44" t="n">
        <f aca="false">IF(J606="BUY",S606-M606,M606-S606)</f>
        <v>-31.8600000000006</v>
      </c>
      <c r="V606" s="45" t="n">
        <v>0</v>
      </c>
      <c r="W606" s="45" t="n">
        <v>0</v>
      </c>
      <c r="X606" s="45" t="n">
        <v>-133.81</v>
      </c>
      <c r="Y606" s="32" t="n">
        <f aca="false">IFERROR(X606/R606,0)</f>
        <v>-1.00061318497248</v>
      </c>
      <c r="Z606" s="28" t="str">
        <f aca="false">IF(X606&gt;0,"Win",IF(X606&lt;0,"Loss","Flat"))</f>
        <v>Loss</v>
      </c>
      <c r="AA606" s="28" t="n">
        <f aca="false">ROUND((C606-B606)*1440,1)</f>
        <v>226.9</v>
      </c>
      <c r="AB606" s="28" t="str">
        <f aca="false">IF(AA606&lt;1,"a) &lt;1 min",IF(AA606&lt;10,"b) 1-10 min",IF(AA606&lt;60,"c) 10-60 min",IF(AA606&lt;240,"d) 1-4 h","e) 4 h+"))))</f>
        <v>d) 1-4 h</v>
      </c>
      <c r="AC606" s="28" t="str">
        <f aca="false">IF(P606&lt;10,"a) &lt;10",IF(P606&lt;20,"b) 10-20",IF(P606&lt;40,"c) 20-40",IF(P606&lt;80,"d) 40-80","e) 80+"))))</f>
        <v>c) 20-40</v>
      </c>
      <c r="AD606" s="30" t="n">
        <f aca="false">Summary!$C$5+SUM(X$2:X606)</f>
        <v>113023.1</v>
      </c>
      <c r="AE606" s="30" t="n">
        <f aca="false">MAX(AE605,AD606)</f>
        <v>113199.37</v>
      </c>
      <c r="AF606" s="30" t="n">
        <f aca="false">AE606-AD606</f>
        <v>176.26999999999</v>
      </c>
      <c r="AG606" s="29" t="n">
        <f aca="false">IFERROR(AF606/AE606,0)</f>
        <v>0.00155716414322791</v>
      </c>
    </row>
    <row r="607" customFormat="false" ht="15" hidden="false" customHeight="false" outlineLevel="0" collapsed="false">
      <c r="A607" s="28" t="n">
        <v>606</v>
      </c>
      <c r="B607" s="43" t="n">
        <v>45897.475</v>
      </c>
      <c r="C607" s="43" t="n">
        <v>45897.4769328704</v>
      </c>
      <c r="D607" s="42" t="n">
        <f aca="false">INT(C607)</f>
        <v>45897</v>
      </c>
      <c r="E607" s="42" t="n">
        <f aca="false">D607-WEEKDAY(D607,3)</f>
        <v>45894</v>
      </c>
      <c r="F607" s="28" t="s">
        <v>171</v>
      </c>
      <c r="G607" s="28" t="n">
        <v>2025</v>
      </c>
      <c r="H607" s="28" t="s">
        <v>239</v>
      </c>
      <c r="I607" s="28" t="n">
        <v>11</v>
      </c>
      <c r="J607" s="28" t="s">
        <v>233</v>
      </c>
      <c r="K607" s="28" t="s">
        <v>234</v>
      </c>
      <c r="L607" s="28" t="n">
        <v>0.21</v>
      </c>
      <c r="M607" s="31" t="n">
        <v>23597.4</v>
      </c>
      <c r="N607" s="31" t="n">
        <v>23586.35</v>
      </c>
      <c r="O607" s="31" t="n">
        <v>23619.5</v>
      </c>
      <c r="P607" s="44" t="n">
        <f aca="false">ABS(M607-N607)</f>
        <v>11.0500000000029</v>
      </c>
      <c r="Q607" s="44" t="n">
        <f aca="false">IF(O607="","",ABS(O607-M607))</f>
        <v>22.0999999999985</v>
      </c>
      <c r="R607" s="30" t="n">
        <f aca="false">P607*L607*Summary!$C$6</f>
        <v>46.4100000000122</v>
      </c>
      <c r="S607" s="31" t="n">
        <v>23586.28</v>
      </c>
      <c r="T607" s="28" t="s">
        <v>241</v>
      </c>
      <c r="U607" s="44" t="n">
        <f aca="false">IF(J607="BUY",S607-M607,M607-S607)</f>
        <v>-11.1200000000026</v>
      </c>
      <c r="V607" s="45" t="n">
        <v>0</v>
      </c>
      <c r="W607" s="45" t="n">
        <v>0</v>
      </c>
      <c r="X607" s="45" t="n">
        <v>-46.7</v>
      </c>
      <c r="Y607" s="32" t="n">
        <f aca="false">IFERROR(X607/R607,0)</f>
        <v>-1.00624865330721</v>
      </c>
      <c r="Z607" s="28" t="str">
        <f aca="false">IF(X607&gt;0,"Win",IF(X607&lt;0,"Loss","Flat"))</f>
        <v>Loss</v>
      </c>
      <c r="AA607" s="28" t="n">
        <f aca="false">ROUND((C607-B607)*1440,1)</f>
        <v>2.8</v>
      </c>
      <c r="AB607" s="28" t="str">
        <f aca="false">IF(AA607&lt;1,"a) &lt;1 min",IF(AA607&lt;10,"b) 1-10 min",IF(AA607&lt;60,"c) 10-60 min",IF(AA607&lt;240,"d) 1-4 h","e) 4 h+"))))</f>
        <v>b) 1-10 min</v>
      </c>
      <c r="AC607" s="28" t="str">
        <f aca="false">IF(P607&lt;10,"a) &lt;10",IF(P607&lt;20,"b) 10-20",IF(P607&lt;40,"c) 20-40",IF(P607&lt;80,"d) 40-80","e) 80+"))))</f>
        <v>b) 10-20</v>
      </c>
      <c r="AD607" s="30" t="n">
        <f aca="false">Summary!$C$5+SUM(X$2:X607)</f>
        <v>112976.4</v>
      </c>
      <c r="AE607" s="30" t="n">
        <f aca="false">MAX(AE606,AD607)</f>
        <v>113199.37</v>
      </c>
      <c r="AF607" s="30" t="n">
        <f aca="false">AE607-AD607</f>
        <v>222.970000000001</v>
      </c>
      <c r="AG607" s="29" t="n">
        <f aca="false">IFERROR(AF607/AE607,0)</f>
        <v>0.00196971060881347</v>
      </c>
    </row>
    <row r="608" customFormat="false" ht="15" hidden="false" customHeight="false" outlineLevel="0" collapsed="false">
      <c r="A608" s="28" t="n">
        <v>607</v>
      </c>
      <c r="B608" s="43" t="n">
        <v>45898.7125</v>
      </c>
      <c r="C608" s="43" t="n">
        <v>45898.7366319444</v>
      </c>
      <c r="D608" s="42" t="n">
        <f aca="false">INT(C608)</f>
        <v>45898</v>
      </c>
      <c r="E608" s="42" t="n">
        <f aca="false">D608-WEEKDAY(D608,3)</f>
        <v>45894</v>
      </c>
      <c r="F608" s="28" t="s">
        <v>171</v>
      </c>
      <c r="G608" s="28" t="n">
        <v>2025</v>
      </c>
      <c r="H608" s="28" t="s">
        <v>242</v>
      </c>
      <c r="I608" s="28" t="n">
        <v>17</v>
      </c>
      <c r="J608" s="28" t="s">
        <v>236</v>
      </c>
      <c r="K608" s="28" t="s">
        <v>237</v>
      </c>
      <c r="L608" s="28" t="n">
        <v>0.21</v>
      </c>
      <c r="M608" s="31" t="n">
        <v>23411.4</v>
      </c>
      <c r="N608" s="31" t="n">
        <v>23461.4</v>
      </c>
      <c r="O608" s="31" t="n">
        <v>23317.41</v>
      </c>
      <c r="P608" s="44" t="n">
        <f aca="false">ABS(M608-N608)</f>
        <v>50</v>
      </c>
      <c r="Q608" s="44" t="n">
        <f aca="false">IF(O608="","",ABS(O608-M608))</f>
        <v>93.9900000000016</v>
      </c>
      <c r="R608" s="30" t="n">
        <f aca="false">P608*L608*Summary!$C$6</f>
        <v>210</v>
      </c>
      <c r="S608" s="31" t="n">
        <v>23461.95</v>
      </c>
      <c r="T608" s="28" t="s">
        <v>241</v>
      </c>
      <c r="U608" s="44" t="n">
        <f aca="false">IF(J608="BUY",S608-M608,M608-S608)</f>
        <v>-50.5499999999993</v>
      </c>
      <c r="V608" s="45" t="n">
        <v>0</v>
      </c>
      <c r="W608" s="45" t="n">
        <v>0</v>
      </c>
      <c r="X608" s="45" t="n">
        <v>-212.31</v>
      </c>
      <c r="Y608" s="32" t="n">
        <f aca="false">IFERROR(X608/R608,0)</f>
        <v>-1.011</v>
      </c>
      <c r="Z608" s="28" t="str">
        <f aca="false">IF(X608&gt;0,"Win",IF(X608&lt;0,"Loss","Flat"))</f>
        <v>Loss</v>
      </c>
      <c r="AA608" s="28" t="n">
        <f aca="false">ROUND((C608-B608)*1440,1)</f>
        <v>34.8</v>
      </c>
      <c r="AB608" s="28" t="str">
        <f aca="false">IF(AA608&lt;1,"a) &lt;1 min",IF(AA608&lt;10,"b) 1-10 min",IF(AA608&lt;60,"c) 10-60 min",IF(AA608&lt;240,"d) 1-4 h","e) 4 h+"))))</f>
        <v>c) 10-60 min</v>
      </c>
      <c r="AC608" s="28" t="str">
        <f aca="false">IF(P608&lt;10,"a) &lt;10",IF(P608&lt;20,"b) 10-20",IF(P608&lt;40,"c) 20-40",IF(P608&lt;80,"d) 40-80","e) 80+"))))</f>
        <v>d) 40-80</v>
      </c>
      <c r="AD608" s="30" t="n">
        <f aca="false">Summary!$C$5+SUM(X$2:X608)</f>
        <v>112764.09</v>
      </c>
      <c r="AE608" s="30" t="n">
        <f aca="false">MAX(AE607,AD608)</f>
        <v>113199.37</v>
      </c>
      <c r="AF608" s="30" t="n">
        <f aca="false">AE608-AD608</f>
        <v>435.279999999999</v>
      </c>
      <c r="AG608" s="29" t="n">
        <f aca="false">IFERROR(AF608/AE608,0)</f>
        <v>0.00384525108222774</v>
      </c>
    </row>
    <row r="609" customFormat="false" ht="15" hidden="false" customHeight="false" outlineLevel="0" collapsed="false">
      <c r="A609" s="28" t="n">
        <v>608</v>
      </c>
      <c r="B609" s="43" t="n">
        <v>45901.38125</v>
      </c>
      <c r="C609" s="43" t="n">
        <v>45901.3965393519</v>
      </c>
      <c r="D609" s="42" t="n">
        <f aca="false">INT(C609)</f>
        <v>45901</v>
      </c>
      <c r="E609" s="42" t="n">
        <f aca="false">D609-WEEKDAY(D609,3)</f>
        <v>45901</v>
      </c>
      <c r="F609" s="28" t="s">
        <v>172</v>
      </c>
      <c r="G609" s="28" t="n">
        <v>2025</v>
      </c>
      <c r="H609" s="28" t="s">
        <v>240</v>
      </c>
      <c r="I609" s="28" t="n">
        <v>9</v>
      </c>
      <c r="J609" s="28" t="s">
        <v>236</v>
      </c>
      <c r="K609" s="28" t="s">
        <v>237</v>
      </c>
      <c r="L609" s="28" t="n">
        <v>0.21</v>
      </c>
      <c r="M609" s="31" t="n">
        <v>23349.52</v>
      </c>
      <c r="N609" s="31" t="n">
        <v>23364.4</v>
      </c>
      <c r="O609" s="31" t="n">
        <v>23319.76</v>
      </c>
      <c r="P609" s="44" t="n">
        <f aca="false">ABS(M609-N609)</f>
        <v>14.880000000001</v>
      </c>
      <c r="Q609" s="44" t="n">
        <f aca="false">IF(O609="","",ABS(O609-M609))</f>
        <v>29.760000000002</v>
      </c>
      <c r="R609" s="30" t="n">
        <f aca="false">P609*L609*Summary!$C$6</f>
        <v>62.4960000000043</v>
      </c>
      <c r="S609" s="31" t="n">
        <v>23349.76</v>
      </c>
      <c r="T609" s="28" t="s">
        <v>238</v>
      </c>
      <c r="U609" s="44" t="n">
        <f aca="false">IF(J609="BUY",S609-M609,M609-S609)</f>
        <v>-0.239999999997963</v>
      </c>
      <c r="V609" s="45" t="n">
        <v>0</v>
      </c>
      <c r="W609" s="45" t="n">
        <v>0</v>
      </c>
      <c r="X609" s="45" t="n">
        <v>-1.01</v>
      </c>
      <c r="Y609" s="32" t="n">
        <f aca="false">IFERROR(X609/R609,0)</f>
        <v>-0.0161610343061945</v>
      </c>
      <c r="Z609" s="28" t="str">
        <f aca="false">IF(X609&gt;0,"Win",IF(X609&lt;0,"Loss","Flat"))</f>
        <v>Loss</v>
      </c>
      <c r="AA609" s="28" t="n">
        <f aca="false">ROUND((C609-B609)*1440,1)</f>
        <v>22</v>
      </c>
      <c r="AB609" s="28" t="str">
        <f aca="false">IF(AA609&lt;1,"a) &lt;1 min",IF(AA609&lt;10,"b) 1-10 min",IF(AA609&lt;60,"c) 10-60 min",IF(AA609&lt;240,"d) 1-4 h","e) 4 h+"))))</f>
        <v>c) 10-60 min</v>
      </c>
      <c r="AC609" s="28" t="str">
        <f aca="false">IF(P609&lt;10,"a) &lt;10",IF(P609&lt;20,"b) 10-20",IF(P609&lt;40,"c) 20-40",IF(P609&lt;80,"d) 40-80","e) 80+"))))</f>
        <v>b) 10-20</v>
      </c>
      <c r="AD609" s="30" t="n">
        <f aca="false">Summary!$C$5+SUM(X$2:X609)</f>
        <v>112763.08</v>
      </c>
      <c r="AE609" s="30" t="n">
        <f aca="false">MAX(AE608,AD609)</f>
        <v>113199.37</v>
      </c>
      <c r="AF609" s="30" t="n">
        <f aca="false">AE609-AD609</f>
        <v>436.289999999994</v>
      </c>
      <c r="AG609" s="29" t="n">
        <f aca="false">IFERROR(AF609/AE609,0)</f>
        <v>0.00385417339336777</v>
      </c>
    </row>
    <row r="610" customFormat="false" ht="15" hidden="false" customHeight="false" outlineLevel="0" collapsed="false">
      <c r="A610" s="28" t="n">
        <v>609</v>
      </c>
      <c r="B610" s="43" t="n">
        <v>45902.4458333333</v>
      </c>
      <c r="C610" s="43" t="n">
        <v>45902.4500115741</v>
      </c>
      <c r="D610" s="42" t="n">
        <f aca="false">INT(C610)</f>
        <v>45902</v>
      </c>
      <c r="E610" s="42" t="n">
        <f aca="false">D610-WEEKDAY(D610,3)</f>
        <v>45901</v>
      </c>
      <c r="F610" s="28" t="s">
        <v>172</v>
      </c>
      <c r="G610" s="28" t="n">
        <v>2025</v>
      </c>
      <c r="H610" s="28" t="s">
        <v>232</v>
      </c>
      <c r="I610" s="28" t="n">
        <v>10</v>
      </c>
      <c r="J610" s="28" t="s">
        <v>236</v>
      </c>
      <c r="K610" s="28" t="s">
        <v>237</v>
      </c>
      <c r="L610" s="28" t="n">
        <v>0.21</v>
      </c>
      <c r="M610" s="31" t="n">
        <v>23322.75</v>
      </c>
      <c r="N610" s="31" t="n">
        <v>23342.51</v>
      </c>
      <c r="O610" s="31" t="n">
        <v>23283.23</v>
      </c>
      <c r="P610" s="44" t="n">
        <f aca="false">ABS(M610-N610)</f>
        <v>19.7599999999984</v>
      </c>
      <c r="Q610" s="44" t="n">
        <f aca="false">IF(O610="","",ABS(O610-M610))</f>
        <v>39.5200000000004</v>
      </c>
      <c r="R610" s="30" t="n">
        <f aca="false">P610*L610*Summary!$C$6</f>
        <v>82.9919999999933</v>
      </c>
      <c r="S610" s="31" t="n">
        <v>23283.13</v>
      </c>
      <c r="T610" s="28" t="s">
        <v>214</v>
      </c>
      <c r="U610" s="44" t="n">
        <f aca="false">IF(J610="BUY",S610-M610,M610-S610)</f>
        <v>39.619999999999</v>
      </c>
      <c r="V610" s="45" t="n">
        <v>0</v>
      </c>
      <c r="W610" s="45" t="n">
        <v>0</v>
      </c>
      <c r="X610" s="45" t="n">
        <v>166.4</v>
      </c>
      <c r="Y610" s="32" t="n">
        <f aca="false">IFERROR(X610/R610,0)</f>
        <v>2.00501253132848</v>
      </c>
      <c r="Z610" s="28" t="str">
        <f aca="false">IF(X610&gt;0,"Win",IF(X610&lt;0,"Loss","Flat"))</f>
        <v>Win</v>
      </c>
      <c r="AA610" s="28" t="n">
        <f aca="false">ROUND((C610-B610)*1440,1)</f>
        <v>6</v>
      </c>
      <c r="AB610" s="28" t="str">
        <f aca="false">IF(AA610&lt;1,"a) &lt;1 min",IF(AA610&lt;10,"b) 1-10 min",IF(AA610&lt;60,"c) 10-60 min",IF(AA610&lt;240,"d) 1-4 h","e) 4 h+"))))</f>
        <v>b) 1-10 min</v>
      </c>
      <c r="AC610" s="28" t="str">
        <f aca="false">IF(P610&lt;10,"a) &lt;10",IF(P610&lt;20,"b) 10-20",IF(P610&lt;40,"c) 20-40",IF(P610&lt;80,"d) 40-80","e) 80+"))))</f>
        <v>b) 10-20</v>
      </c>
      <c r="AD610" s="30" t="n">
        <f aca="false">Summary!$C$5+SUM(X$2:X610)</f>
        <v>112929.48</v>
      </c>
      <c r="AE610" s="30" t="n">
        <f aca="false">MAX(AE609,AD610)</f>
        <v>113199.37</v>
      </c>
      <c r="AF610" s="30" t="n">
        <f aca="false">AE610-AD610</f>
        <v>269.889999999999</v>
      </c>
      <c r="AG610" s="29" t="n">
        <f aca="false">IFERROR(AF610/AE610,0)</f>
        <v>0.00238420054811259</v>
      </c>
    </row>
    <row r="611" customFormat="false" ht="15" hidden="false" customHeight="false" outlineLevel="0" collapsed="false">
      <c r="A611" s="28" t="n">
        <v>610</v>
      </c>
      <c r="B611" s="43" t="n">
        <v>45903.7388888889</v>
      </c>
      <c r="C611" s="43" t="n">
        <v>45903.756087963</v>
      </c>
      <c r="D611" s="42" t="n">
        <f aca="false">INT(C611)</f>
        <v>45903</v>
      </c>
      <c r="E611" s="42" t="n">
        <f aca="false">D611-WEEKDAY(D611,3)</f>
        <v>45901</v>
      </c>
      <c r="F611" s="28" t="s">
        <v>172</v>
      </c>
      <c r="G611" s="28" t="n">
        <v>2025</v>
      </c>
      <c r="H611" s="28" t="s">
        <v>235</v>
      </c>
      <c r="I611" s="28" t="n">
        <v>17</v>
      </c>
      <c r="J611" s="28" t="s">
        <v>233</v>
      </c>
      <c r="K611" s="28" t="s">
        <v>234</v>
      </c>
      <c r="L611" s="28" t="n">
        <v>0.21</v>
      </c>
      <c r="M611" s="31" t="n">
        <v>23469.4</v>
      </c>
      <c r="N611" s="31" t="n">
        <v>23450.33</v>
      </c>
      <c r="O611" s="31" t="n">
        <v>23512.28</v>
      </c>
      <c r="P611" s="44" t="n">
        <f aca="false">ABS(M611-N611)</f>
        <v>19.0699999999997</v>
      </c>
      <c r="Q611" s="44" t="n">
        <f aca="false">IF(O611="","",ABS(O611-M611))</f>
        <v>42.8799999999974</v>
      </c>
      <c r="R611" s="30" t="n">
        <f aca="false">P611*L611*Summary!$C$6</f>
        <v>80.0939999999988</v>
      </c>
      <c r="S611" s="31" t="n">
        <v>23448.81</v>
      </c>
      <c r="T611" s="28" t="s">
        <v>241</v>
      </c>
      <c r="U611" s="44" t="n">
        <f aca="false">IF(J611="BUY",S611-M611,M611-S611)</f>
        <v>-20.5900000000001</v>
      </c>
      <c r="V611" s="45" t="n">
        <v>0</v>
      </c>
      <c r="W611" s="45" t="n">
        <v>0</v>
      </c>
      <c r="X611" s="45" t="n">
        <v>-86.48</v>
      </c>
      <c r="Y611" s="32" t="n">
        <f aca="false">IFERROR(X611/R611,0)</f>
        <v>-1.07973131570406</v>
      </c>
      <c r="Z611" s="28" t="str">
        <f aca="false">IF(X611&gt;0,"Win",IF(X611&lt;0,"Loss","Flat"))</f>
        <v>Loss</v>
      </c>
      <c r="AA611" s="28" t="n">
        <f aca="false">ROUND((C611-B611)*1440,1)</f>
        <v>24.8</v>
      </c>
      <c r="AB611" s="28" t="str">
        <f aca="false">IF(AA611&lt;1,"a) &lt;1 min",IF(AA611&lt;10,"b) 1-10 min",IF(AA611&lt;60,"c) 10-60 min",IF(AA611&lt;240,"d) 1-4 h","e) 4 h+"))))</f>
        <v>c) 10-60 min</v>
      </c>
      <c r="AC611" s="28" t="str">
        <f aca="false">IF(P611&lt;10,"a) &lt;10",IF(P611&lt;20,"b) 10-20",IF(P611&lt;40,"c) 20-40",IF(P611&lt;80,"d) 40-80","e) 80+"))))</f>
        <v>b) 10-20</v>
      </c>
      <c r="AD611" s="30" t="n">
        <f aca="false">Summary!$C$5+SUM(X$2:X611)</f>
        <v>112843</v>
      </c>
      <c r="AE611" s="30" t="n">
        <f aca="false">MAX(AE610,AD611)</f>
        <v>113199.37</v>
      </c>
      <c r="AF611" s="30" t="n">
        <f aca="false">AE611-AD611</f>
        <v>356.369999999995</v>
      </c>
      <c r="AG611" s="29" t="n">
        <f aca="false">IFERROR(AF611/AE611,0)</f>
        <v>0.00314816239701683</v>
      </c>
    </row>
    <row r="612" customFormat="false" ht="15" hidden="false" customHeight="false" outlineLevel="0" collapsed="false">
      <c r="A612" s="28" t="n">
        <v>611</v>
      </c>
      <c r="B612" s="43" t="n">
        <v>45904.2145833333</v>
      </c>
      <c r="C612" s="43" t="n">
        <v>45904.2160416667</v>
      </c>
      <c r="D612" s="42" t="n">
        <f aca="false">INT(C612)</f>
        <v>45904</v>
      </c>
      <c r="E612" s="42" t="n">
        <f aca="false">D612-WEEKDAY(D612,3)</f>
        <v>45901</v>
      </c>
      <c r="F612" s="28" t="s">
        <v>172</v>
      </c>
      <c r="G612" s="28" t="n">
        <v>2025</v>
      </c>
      <c r="H612" s="28" t="s">
        <v>239</v>
      </c>
      <c r="I612" s="28" t="n">
        <v>5</v>
      </c>
      <c r="J612" s="28" t="s">
        <v>233</v>
      </c>
      <c r="K612" s="28" t="s">
        <v>234</v>
      </c>
      <c r="L612" s="28" t="n">
        <v>0.21</v>
      </c>
      <c r="M612" s="31" t="n">
        <v>23486.47</v>
      </c>
      <c r="N612" s="31" t="n">
        <v>23474.68</v>
      </c>
      <c r="O612" s="31" t="n">
        <v>23510.04</v>
      </c>
      <c r="P612" s="44" t="n">
        <f aca="false">ABS(M612-N612)</f>
        <v>11.7900000000009</v>
      </c>
      <c r="Q612" s="44" t="n">
        <f aca="false">IF(O612="","",ABS(O612-M612))</f>
        <v>23.5699999999997</v>
      </c>
      <c r="R612" s="30" t="n">
        <f aca="false">P612*L612*Summary!$C$6</f>
        <v>49.5180000000037</v>
      </c>
      <c r="S612" s="31" t="n">
        <v>23474.24</v>
      </c>
      <c r="T612" s="28" t="s">
        <v>241</v>
      </c>
      <c r="U612" s="44" t="n">
        <f aca="false">IF(J612="BUY",S612-M612,M612-S612)</f>
        <v>-12.2299999999996</v>
      </c>
      <c r="V612" s="45" t="n">
        <v>0</v>
      </c>
      <c r="W612" s="45" t="n">
        <v>0</v>
      </c>
      <c r="X612" s="45" t="n">
        <v>-51.37</v>
      </c>
      <c r="Y612" s="32" t="n">
        <f aca="false">IFERROR(X612/R612,0)</f>
        <v>-1.03740054121726</v>
      </c>
      <c r="Z612" s="28" t="str">
        <f aca="false">IF(X612&gt;0,"Win",IF(X612&lt;0,"Loss","Flat"))</f>
        <v>Loss</v>
      </c>
      <c r="AA612" s="28" t="n">
        <f aca="false">ROUND((C612-B612)*1440,1)</f>
        <v>2.1</v>
      </c>
      <c r="AB612" s="28" t="str">
        <f aca="false">IF(AA612&lt;1,"a) &lt;1 min",IF(AA612&lt;10,"b) 1-10 min",IF(AA612&lt;60,"c) 10-60 min",IF(AA612&lt;240,"d) 1-4 h","e) 4 h+"))))</f>
        <v>b) 1-10 min</v>
      </c>
      <c r="AC612" s="28" t="str">
        <f aca="false">IF(P612&lt;10,"a) &lt;10",IF(P612&lt;20,"b) 10-20",IF(P612&lt;40,"c) 20-40",IF(P612&lt;80,"d) 40-80","e) 80+"))))</f>
        <v>b) 10-20</v>
      </c>
      <c r="AD612" s="30" t="n">
        <f aca="false">Summary!$C$5+SUM(X$2:X612)</f>
        <v>112791.63</v>
      </c>
      <c r="AE612" s="30" t="n">
        <f aca="false">MAX(AE611,AD612)</f>
        <v>113199.37</v>
      </c>
      <c r="AF612" s="30" t="n">
        <f aca="false">AE612-AD612</f>
        <v>407.739999999991</v>
      </c>
      <c r="AG612" s="29" t="n">
        <f aca="false">IFERROR(AF612/AE612,0)</f>
        <v>0.00360196350916079</v>
      </c>
    </row>
    <row r="613" customFormat="false" ht="15" hidden="false" customHeight="false" outlineLevel="0" collapsed="false">
      <c r="A613" s="28" t="n">
        <v>612</v>
      </c>
      <c r="B613" s="43" t="n">
        <v>45905.0423611111</v>
      </c>
      <c r="C613" s="43" t="n">
        <v>45905.1780324074</v>
      </c>
      <c r="D613" s="42" t="n">
        <f aca="false">INT(C613)</f>
        <v>45905</v>
      </c>
      <c r="E613" s="42" t="n">
        <f aca="false">D613-WEEKDAY(D613,3)</f>
        <v>45901</v>
      </c>
      <c r="F613" s="28" t="s">
        <v>172</v>
      </c>
      <c r="G613" s="28" t="n">
        <v>2025</v>
      </c>
      <c r="H613" s="28" t="s">
        <v>242</v>
      </c>
      <c r="I613" s="28" t="n">
        <v>1</v>
      </c>
      <c r="J613" s="28" t="s">
        <v>233</v>
      </c>
      <c r="K613" s="28" t="s">
        <v>234</v>
      </c>
      <c r="L613" s="28" t="n">
        <v>0.21</v>
      </c>
      <c r="M613" s="31" t="n">
        <v>23663.48</v>
      </c>
      <c r="N613" s="31" t="n">
        <v>23645.99</v>
      </c>
      <c r="O613" s="31" t="n">
        <v>23698.45</v>
      </c>
      <c r="P613" s="44" t="n">
        <f aca="false">ABS(M613-N613)</f>
        <v>17.489999999998</v>
      </c>
      <c r="Q613" s="44" t="n">
        <f aca="false">IF(O613="","",ABS(O613-M613))</f>
        <v>34.9700000000012</v>
      </c>
      <c r="R613" s="30" t="n">
        <f aca="false">P613*L613*Summary!$C$6</f>
        <v>73.4579999999914</v>
      </c>
      <c r="S613" s="31" t="n">
        <v>23699.07</v>
      </c>
      <c r="T613" s="28" t="s">
        <v>214</v>
      </c>
      <c r="U613" s="44" t="n">
        <f aca="false">IF(J613="BUY",S613-M613,M613-S613)</f>
        <v>35.5900000000001</v>
      </c>
      <c r="V613" s="45" t="n">
        <v>0</v>
      </c>
      <c r="W613" s="45" t="n">
        <v>0</v>
      </c>
      <c r="X613" s="45" t="n">
        <v>149.48</v>
      </c>
      <c r="Y613" s="32" t="n">
        <f aca="false">IFERROR(X613/R613,0)</f>
        <v>2.03490429905548</v>
      </c>
      <c r="Z613" s="28" t="str">
        <f aca="false">IF(X613&gt;0,"Win",IF(X613&lt;0,"Loss","Flat"))</f>
        <v>Win</v>
      </c>
      <c r="AA613" s="28" t="n">
        <f aca="false">ROUND((C613-B613)*1440,1)</f>
        <v>195.4</v>
      </c>
      <c r="AB613" s="28" t="str">
        <f aca="false">IF(AA613&lt;1,"a) &lt;1 min",IF(AA613&lt;10,"b) 1-10 min",IF(AA613&lt;60,"c) 10-60 min",IF(AA613&lt;240,"d) 1-4 h","e) 4 h+"))))</f>
        <v>d) 1-4 h</v>
      </c>
      <c r="AC613" s="28" t="str">
        <f aca="false">IF(P613&lt;10,"a) &lt;10",IF(P613&lt;20,"b) 10-20",IF(P613&lt;40,"c) 20-40",IF(P613&lt;80,"d) 40-80","e) 80+"))))</f>
        <v>b) 10-20</v>
      </c>
      <c r="AD613" s="30" t="n">
        <f aca="false">Summary!$C$5+SUM(X$2:X613)</f>
        <v>112941.11</v>
      </c>
      <c r="AE613" s="30" t="n">
        <f aca="false">MAX(AE612,AD613)</f>
        <v>113199.37</v>
      </c>
      <c r="AF613" s="30" t="n">
        <f aca="false">AE613-AD613</f>
        <v>258.259999999995</v>
      </c>
      <c r="AG613" s="29" t="n">
        <f aca="false">IFERROR(AF613/AE613,0)</f>
        <v>0.00228146146043034</v>
      </c>
    </row>
    <row r="614" customFormat="false" ht="15" hidden="false" customHeight="false" outlineLevel="0" collapsed="false">
      <c r="A614" s="28" t="n">
        <v>613</v>
      </c>
      <c r="B614" s="43" t="n">
        <v>45909.9555555556</v>
      </c>
      <c r="C614" s="43" t="n">
        <v>45909.958275463</v>
      </c>
      <c r="D614" s="42" t="n">
        <f aca="false">INT(C614)</f>
        <v>45909</v>
      </c>
      <c r="E614" s="42" t="n">
        <f aca="false">D614-WEEKDAY(D614,3)</f>
        <v>45908</v>
      </c>
      <c r="F614" s="28" t="s">
        <v>172</v>
      </c>
      <c r="G614" s="28" t="n">
        <v>2025</v>
      </c>
      <c r="H614" s="28" t="s">
        <v>232</v>
      </c>
      <c r="I614" s="28" t="n">
        <v>22</v>
      </c>
      <c r="J614" s="28" t="s">
        <v>233</v>
      </c>
      <c r="K614" s="28" t="s">
        <v>234</v>
      </c>
      <c r="L614" s="28" t="n">
        <v>0.21</v>
      </c>
      <c r="M614" s="31" t="n">
        <v>23851.84</v>
      </c>
      <c r="N614" s="31" t="n">
        <v>23836.1</v>
      </c>
      <c r="O614" s="31" t="n">
        <v>23886.17</v>
      </c>
      <c r="P614" s="44" t="n">
        <f aca="false">ABS(M614-N614)</f>
        <v>15.7400000000016</v>
      </c>
      <c r="Q614" s="44" t="n">
        <f aca="false">IF(O614="","",ABS(O614-M614))</f>
        <v>34.3299999999981</v>
      </c>
      <c r="R614" s="30" t="n">
        <f aca="false">P614*L614*Summary!$C$6</f>
        <v>66.1080000000067</v>
      </c>
      <c r="S614" s="31" t="n">
        <v>23836.1</v>
      </c>
      <c r="T614" s="28" t="s">
        <v>241</v>
      </c>
      <c r="U614" s="44" t="n">
        <f aca="false">IF(J614="BUY",S614-M614,M614-S614)</f>
        <v>-15.7400000000016</v>
      </c>
      <c r="V614" s="45" t="n">
        <v>0</v>
      </c>
      <c r="W614" s="45" t="n">
        <v>0</v>
      </c>
      <c r="X614" s="45" t="n">
        <v>-66.11</v>
      </c>
      <c r="Y614" s="32" t="n">
        <f aca="false">IFERROR(X614/R614,0)</f>
        <v>-1.00003025352443</v>
      </c>
      <c r="Z614" s="28" t="str">
        <f aca="false">IF(X614&gt;0,"Win",IF(X614&lt;0,"Loss","Flat"))</f>
        <v>Loss</v>
      </c>
      <c r="AA614" s="28" t="n">
        <f aca="false">ROUND((C614-B614)*1440,1)</f>
        <v>3.9</v>
      </c>
      <c r="AB614" s="28" t="str">
        <f aca="false">IF(AA614&lt;1,"a) &lt;1 min",IF(AA614&lt;10,"b) 1-10 min",IF(AA614&lt;60,"c) 10-60 min",IF(AA614&lt;240,"d) 1-4 h","e) 4 h+"))))</f>
        <v>b) 1-10 min</v>
      </c>
      <c r="AC614" s="28" t="str">
        <f aca="false">IF(P614&lt;10,"a) &lt;10",IF(P614&lt;20,"b) 10-20",IF(P614&lt;40,"c) 20-40",IF(P614&lt;80,"d) 40-80","e) 80+"))))</f>
        <v>b) 10-20</v>
      </c>
      <c r="AD614" s="30" t="n">
        <f aca="false">Summary!$C$5+SUM(X$2:X614)</f>
        <v>112875</v>
      </c>
      <c r="AE614" s="30" t="n">
        <f aca="false">MAX(AE613,AD614)</f>
        <v>113199.37</v>
      </c>
      <c r="AF614" s="30" t="n">
        <f aca="false">AE614-AD614</f>
        <v>324.369999999995</v>
      </c>
      <c r="AG614" s="29" t="n">
        <f aca="false">IFERROR(AF614/AE614,0)</f>
        <v>0.00286547531139083</v>
      </c>
    </row>
    <row r="615" customFormat="false" ht="15" hidden="false" customHeight="false" outlineLevel="0" collapsed="false">
      <c r="A615" s="28" t="n">
        <v>614</v>
      </c>
      <c r="B615" s="43" t="n">
        <v>45910.0423611111</v>
      </c>
      <c r="C615" s="43" t="n">
        <v>45910.0869907407</v>
      </c>
      <c r="D615" s="42" t="n">
        <f aca="false">INT(C615)</f>
        <v>45910</v>
      </c>
      <c r="E615" s="42" t="n">
        <f aca="false">D615-WEEKDAY(D615,3)</f>
        <v>45908</v>
      </c>
      <c r="F615" s="28" t="s">
        <v>172</v>
      </c>
      <c r="G615" s="28" t="n">
        <v>2025</v>
      </c>
      <c r="H615" s="28" t="s">
        <v>235</v>
      </c>
      <c r="I615" s="28" t="n">
        <v>1</v>
      </c>
      <c r="J615" s="28" t="s">
        <v>233</v>
      </c>
      <c r="K615" s="28" t="s">
        <v>234</v>
      </c>
      <c r="L615" s="28" t="n">
        <v>0.21</v>
      </c>
      <c r="M615" s="31" t="n">
        <v>23873.97</v>
      </c>
      <c r="N615" s="31" t="n">
        <v>23857.62</v>
      </c>
      <c r="O615" s="31" t="n">
        <v>23908.2</v>
      </c>
      <c r="P615" s="44" t="n">
        <f aca="false">ABS(M615-N615)</f>
        <v>16.3500000000022</v>
      </c>
      <c r="Q615" s="44" t="n">
        <f aca="false">IF(O615="","",ABS(O615-M615))</f>
        <v>34.2299999999996</v>
      </c>
      <c r="R615" s="30" t="n">
        <f aca="false">P615*L615*Summary!$C$6</f>
        <v>68.6700000000092</v>
      </c>
      <c r="S615" s="31" t="n">
        <v>23857.45</v>
      </c>
      <c r="T615" s="28" t="s">
        <v>241</v>
      </c>
      <c r="U615" s="44" t="n">
        <f aca="false">IF(J615="BUY",S615-M615,M615-S615)</f>
        <v>-16.5200000000004</v>
      </c>
      <c r="V615" s="45" t="n">
        <v>0</v>
      </c>
      <c r="W615" s="45" t="n">
        <v>0</v>
      </c>
      <c r="X615" s="45" t="n">
        <v>-69.38</v>
      </c>
      <c r="Y615" s="32" t="n">
        <f aca="false">IFERROR(X615/R615,0)</f>
        <v>-1.01033930391715</v>
      </c>
      <c r="Z615" s="28" t="str">
        <f aca="false">IF(X615&gt;0,"Win",IF(X615&lt;0,"Loss","Flat"))</f>
        <v>Loss</v>
      </c>
      <c r="AA615" s="28" t="n">
        <f aca="false">ROUND((C615-B615)*1440,1)</f>
        <v>64.3</v>
      </c>
      <c r="AB615" s="28" t="str">
        <f aca="false">IF(AA615&lt;1,"a) &lt;1 min",IF(AA615&lt;10,"b) 1-10 min",IF(AA615&lt;60,"c) 10-60 min",IF(AA615&lt;240,"d) 1-4 h","e) 4 h+"))))</f>
        <v>d) 1-4 h</v>
      </c>
      <c r="AC615" s="28" t="str">
        <f aca="false">IF(P615&lt;10,"a) &lt;10",IF(P615&lt;20,"b) 10-20",IF(P615&lt;40,"c) 20-40",IF(P615&lt;80,"d) 40-80","e) 80+"))))</f>
        <v>b) 10-20</v>
      </c>
      <c r="AD615" s="30" t="n">
        <f aca="false">Summary!$C$5+SUM(X$2:X615)</f>
        <v>112805.62</v>
      </c>
      <c r="AE615" s="30" t="n">
        <f aca="false">MAX(AE614,AD615)</f>
        <v>113199.37</v>
      </c>
      <c r="AF615" s="30" t="n">
        <f aca="false">AE615-AD615</f>
        <v>393.75</v>
      </c>
      <c r="AG615" s="29" t="n">
        <f aca="false">IFERROR(AF615/AE615,0)</f>
        <v>0.00347837624891375</v>
      </c>
    </row>
    <row r="616" customFormat="false" ht="15" hidden="false" customHeight="false" outlineLevel="0" collapsed="false">
      <c r="A616" s="28" t="n">
        <v>615</v>
      </c>
      <c r="B616" s="43" t="n">
        <v>45911.7631944444</v>
      </c>
      <c r="C616" s="43" t="n">
        <v>45911.7673148148</v>
      </c>
      <c r="D616" s="42" t="n">
        <f aca="false">INT(C616)</f>
        <v>45911</v>
      </c>
      <c r="E616" s="42" t="n">
        <f aca="false">D616-WEEKDAY(D616,3)</f>
        <v>45908</v>
      </c>
      <c r="F616" s="28" t="s">
        <v>172</v>
      </c>
      <c r="G616" s="28" t="n">
        <v>2025</v>
      </c>
      <c r="H616" s="28" t="s">
        <v>239</v>
      </c>
      <c r="I616" s="28" t="n">
        <v>18</v>
      </c>
      <c r="J616" s="28" t="s">
        <v>233</v>
      </c>
      <c r="K616" s="28" t="s">
        <v>234</v>
      </c>
      <c r="L616" s="28" t="n">
        <v>0.21</v>
      </c>
      <c r="M616" s="31" t="n">
        <v>24012.32</v>
      </c>
      <c r="N616" s="31" t="n">
        <v>23996.9</v>
      </c>
      <c r="O616" s="31" t="n">
        <v>24044.04</v>
      </c>
      <c r="P616" s="44" t="n">
        <f aca="false">ABS(M616-N616)</f>
        <v>15.4199999999983</v>
      </c>
      <c r="Q616" s="44" t="n">
        <f aca="false">IF(O616="","",ABS(O616-M616))</f>
        <v>31.7200000000012</v>
      </c>
      <c r="R616" s="30" t="n">
        <f aca="false">P616*L616*Summary!$C$6</f>
        <v>64.7639999999927</v>
      </c>
      <c r="S616" s="31" t="n">
        <v>23996.82</v>
      </c>
      <c r="T616" s="28" t="s">
        <v>241</v>
      </c>
      <c r="U616" s="44" t="n">
        <f aca="false">IF(J616="BUY",S616-M616,M616-S616)</f>
        <v>-15.5</v>
      </c>
      <c r="V616" s="45" t="n">
        <v>0</v>
      </c>
      <c r="W616" s="45" t="n">
        <v>0</v>
      </c>
      <c r="X616" s="45" t="n">
        <v>-65.1</v>
      </c>
      <c r="Y616" s="32" t="n">
        <f aca="false">IFERROR(X616/R616,0)</f>
        <v>-1.00518806744499</v>
      </c>
      <c r="Z616" s="28" t="str">
        <f aca="false">IF(X616&gt;0,"Win",IF(X616&lt;0,"Loss","Flat"))</f>
        <v>Loss</v>
      </c>
      <c r="AA616" s="28" t="n">
        <f aca="false">ROUND((C616-B616)*1440,1)</f>
        <v>5.9</v>
      </c>
      <c r="AB616" s="28" t="str">
        <f aca="false">IF(AA616&lt;1,"a) &lt;1 min",IF(AA616&lt;10,"b) 1-10 min",IF(AA616&lt;60,"c) 10-60 min",IF(AA616&lt;240,"d) 1-4 h","e) 4 h+"))))</f>
        <v>b) 1-10 min</v>
      </c>
      <c r="AC616" s="28" t="str">
        <f aca="false">IF(P616&lt;10,"a) &lt;10",IF(P616&lt;20,"b) 10-20",IF(P616&lt;40,"c) 20-40",IF(P616&lt;80,"d) 40-80","e) 80+"))))</f>
        <v>b) 10-20</v>
      </c>
      <c r="AD616" s="30" t="n">
        <f aca="false">Summary!$C$5+SUM(X$2:X616)</f>
        <v>112740.52</v>
      </c>
      <c r="AE616" s="30" t="n">
        <f aca="false">MAX(AE615,AD616)</f>
        <v>113199.37</v>
      </c>
      <c r="AF616" s="30" t="n">
        <f aca="false">AE616-AD616</f>
        <v>458.849999999991</v>
      </c>
      <c r="AG616" s="29" t="n">
        <f aca="false">IFERROR(AF616/AE616,0)</f>
        <v>0.00405346778873408</v>
      </c>
    </row>
    <row r="617" customFormat="false" ht="15" hidden="false" customHeight="false" outlineLevel="0" collapsed="false">
      <c r="A617" s="28" t="n">
        <v>616</v>
      </c>
      <c r="B617" s="43" t="n">
        <v>45912.3666666667</v>
      </c>
      <c r="C617" s="43" t="n">
        <v>45912.3682638889</v>
      </c>
      <c r="D617" s="42" t="n">
        <f aca="false">INT(C617)</f>
        <v>45912</v>
      </c>
      <c r="E617" s="42" t="n">
        <f aca="false">D617-WEEKDAY(D617,3)</f>
        <v>45908</v>
      </c>
      <c r="F617" s="28" t="s">
        <v>172</v>
      </c>
      <c r="G617" s="28" t="n">
        <v>2025</v>
      </c>
      <c r="H617" s="28" t="s">
        <v>242</v>
      </c>
      <c r="I617" s="28" t="n">
        <v>8</v>
      </c>
      <c r="J617" s="28" t="s">
        <v>233</v>
      </c>
      <c r="K617" s="28" t="s">
        <v>234</v>
      </c>
      <c r="L617" s="28" t="n">
        <v>0.21</v>
      </c>
      <c r="M617" s="31" t="n">
        <v>24019.4</v>
      </c>
      <c r="N617" s="31" t="n">
        <v>24015.2</v>
      </c>
      <c r="O617" s="31" t="n">
        <v>24027.79</v>
      </c>
      <c r="P617" s="44" t="n">
        <f aca="false">ABS(M617-N617)</f>
        <v>4.20000000000073</v>
      </c>
      <c r="Q617" s="44" t="n">
        <f aca="false">IF(O617="","",ABS(O617-M617))</f>
        <v>8.38999999999942</v>
      </c>
      <c r="R617" s="30" t="n">
        <f aca="false">P617*L617*Summary!$C$6</f>
        <v>17.6400000000031</v>
      </c>
      <c r="S617" s="31" t="n">
        <v>24015.13</v>
      </c>
      <c r="T617" s="28" t="s">
        <v>241</v>
      </c>
      <c r="U617" s="44" t="n">
        <f aca="false">IF(J617="BUY",S617-M617,M617-S617)</f>
        <v>-4.27000000000044</v>
      </c>
      <c r="V617" s="45" t="n">
        <v>0</v>
      </c>
      <c r="W617" s="45" t="n">
        <v>0</v>
      </c>
      <c r="X617" s="45" t="n">
        <v>-17.93</v>
      </c>
      <c r="Y617" s="32" t="n">
        <f aca="false">IFERROR(X617/R617,0)</f>
        <v>-1.01643990929688</v>
      </c>
      <c r="Z617" s="28" t="str">
        <f aca="false">IF(X617&gt;0,"Win",IF(X617&lt;0,"Loss","Flat"))</f>
        <v>Loss</v>
      </c>
      <c r="AA617" s="28" t="n">
        <f aca="false">ROUND((C617-B617)*1440,1)</f>
        <v>2.3</v>
      </c>
      <c r="AB617" s="28" t="str">
        <f aca="false">IF(AA617&lt;1,"a) &lt;1 min",IF(AA617&lt;10,"b) 1-10 min",IF(AA617&lt;60,"c) 10-60 min",IF(AA617&lt;240,"d) 1-4 h","e) 4 h+"))))</f>
        <v>b) 1-10 min</v>
      </c>
      <c r="AC617" s="28" t="str">
        <f aca="false">IF(P617&lt;10,"a) &lt;10",IF(P617&lt;20,"b) 10-20",IF(P617&lt;40,"c) 20-40",IF(P617&lt;80,"d) 40-80","e) 80+"))))</f>
        <v>a) &lt;10</v>
      </c>
      <c r="AD617" s="30" t="n">
        <f aca="false">Summary!$C$5+SUM(X$2:X617)</f>
        <v>112722.59</v>
      </c>
      <c r="AE617" s="30" t="n">
        <f aca="false">MAX(AE616,AD617)</f>
        <v>113199.37</v>
      </c>
      <c r="AF617" s="30" t="n">
        <f aca="false">AE617-AD617</f>
        <v>476.779999999999</v>
      </c>
      <c r="AG617" s="29" t="n">
        <f aca="false">IFERROR(AF617/AE617,0)</f>
        <v>0.00421186089639897</v>
      </c>
    </row>
    <row r="618" customFormat="false" ht="15" hidden="false" customHeight="false" outlineLevel="0" collapsed="false">
      <c r="A618" s="28" t="n">
        <v>617</v>
      </c>
      <c r="B618" s="43" t="n">
        <v>45915.4423611111</v>
      </c>
      <c r="C618" s="43" t="n">
        <v>45915.4456134259</v>
      </c>
      <c r="D618" s="42" t="n">
        <f aca="false">INT(C618)</f>
        <v>45915</v>
      </c>
      <c r="E618" s="42" t="n">
        <f aca="false">D618-WEEKDAY(D618,3)</f>
        <v>45915</v>
      </c>
      <c r="F618" s="28" t="s">
        <v>172</v>
      </c>
      <c r="G618" s="28" t="n">
        <v>2025</v>
      </c>
      <c r="H618" s="28" t="s">
        <v>240</v>
      </c>
      <c r="I618" s="28" t="n">
        <v>10</v>
      </c>
      <c r="J618" s="28" t="s">
        <v>233</v>
      </c>
      <c r="K618" s="28" t="s">
        <v>234</v>
      </c>
      <c r="L618" s="28" t="n">
        <v>0.21</v>
      </c>
      <c r="M618" s="31" t="n">
        <v>24136.27</v>
      </c>
      <c r="N618" s="31" t="n">
        <v>24129.35</v>
      </c>
      <c r="O618" s="31" t="n">
        <v>24150.12</v>
      </c>
      <c r="P618" s="44" t="n">
        <f aca="false">ABS(M618-N618)</f>
        <v>6.92000000000189</v>
      </c>
      <c r="Q618" s="44" t="n">
        <f aca="false">IF(O618="","",ABS(O618-M618))</f>
        <v>13.8499999999985</v>
      </c>
      <c r="R618" s="30" t="n">
        <f aca="false">P618*L618*Summary!$C$6</f>
        <v>29.0640000000079</v>
      </c>
      <c r="S618" s="31" t="n">
        <v>24129.22</v>
      </c>
      <c r="T618" s="28" t="s">
        <v>241</v>
      </c>
      <c r="U618" s="44" t="n">
        <f aca="false">IF(J618="BUY",S618-M618,M618-S618)</f>
        <v>-7.04999999999927</v>
      </c>
      <c r="V618" s="45" t="n">
        <v>0</v>
      </c>
      <c r="W618" s="45" t="n">
        <v>0</v>
      </c>
      <c r="X618" s="45" t="n">
        <v>-29.61</v>
      </c>
      <c r="Y618" s="32" t="n">
        <f aca="false">IFERROR(X618/R618,0)</f>
        <v>-1.01878612716735</v>
      </c>
      <c r="Z618" s="28" t="str">
        <f aca="false">IF(X618&gt;0,"Win",IF(X618&lt;0,"Loss","Flat"))</f>
        <v>Loss</v>
      </c>
      <c r="AA618" s="28" t="n">
        <f aca="false">ROUND((C618-B618)*1440,1)</f>
        <v>4.7</v>
      </c>
      <c r="AB618" s="28" t="str">
        <f aca="false">IF(AA618&lt;1,"a) &lt;1 min",IF(AA618&lt;10,"b) 1-10 min",IF(AA618&lt;60,"c) 10-60 min",IF(AA618&lt;240,"d) 1-4 h","e) 4 h+"))))</f>
        <v>b) 1-10 min</v>
      </c>
      <c r="AC618" s="28" t="str">
        <f aca="false">IF(P618&lt;10,"a) &lt;10",IF(P618&lt;20,"b) 10-20",IF(P618&lt;40,"c) 20-40",IF(P618&lt;80,"d) 40-80","e) 80+"))))</f>
        <v>a) &lt;10</v>
      </c>
      <c r="AD618" s="30" t="n">
        <f aca="false">Summary!$C$5+SUM(X$2:X618)</f>
        <v>112692.98</v>
      </c>
      <c r="AE618" s="30" t="n">
        <f aca="false">MAX(AE617,AD618)</f>
        <v>113199.37</v>
      </c>
      <c r="AF618" s="30" t="n">
        <f aca="false">AE618-AD618</f>
        <v>506.389999999999</v>
      </c>
      <c r="AG618" s="29" t="n">
        <f aca="false">IFERROR(AF618/AE618,0)</f>
        <v>0.00447343479031729</v>
      </c>
    </row>
    <row r="619" customFormat="false" ht="15" hidden="false" customHeight="false" outlineLevel="0" collapsed="false">
      <c r="A619" s="28" t="n">
        <v>618</v>
      </c>
      <c r="B619" s="43" t="n">
        <v>45916.1944444445</v>
      </c>
      <c r="C619" s="43" t="n">
        <v>45916.2030902778</v>
      </c>
      <c r="D619" s="42" t="n">
        <f aca="false">INT(C619)</f>
        <v>45916</v>
      </c>
      <c r="E619" s="42" t="n">
        <f aca="false">D619-WEEKDAY(D619,3)</f>
        <v>45915</v>
      </c>
      <c r="F619" s="28" t="s">
        <v>172</v>
      </c>
      <c r="G619" s="28" t="n">
        <v>2025</v>
      </c>
      <c r="H619" s="28" t="s">
        <v>232</v>
      </c>
      <c r="I619" s="28" t="n">
        <v>4</v>
      </c>
      <c r="J619" s="28" t="s">
        <v>233</v>
      </c>
      <c r="K619" s="28" t="s">
        <v>234</v>
      </c>
      <c r="L619" s="28" t="n">
        <v>0.2</v>
      </c>
      <c r="M619" s="31" t="n">
        <v>24296.52</v>
      </c>
      <c r="N619" s="31" t="n">
        <v>24292.68</v>
      </c>
      <c r="O619" s="31" t="n">
        <v>24303.66</v>
      </c>
      <c r="P619" s="44" t="n">
        <f aca="false">ABS(M619-N619)</f>
        <v>3.84000000000015</v>
      </c>
      <c r="Q619" s="44" t="n">
        <f aca="false">IF(O619="","",ABS(O619-M619))</f>
        <v>7.13999999999942</v>
      </c>
      <c r="R619" s="30" t="n">
        <f aca="false">P619*L619*Summary!$C$6</f>
        <v>15.3600000000006</v>
      </c>
      <c r="S619" s="31" t="n">
        <v>24296.41</v>
      </c>
      <c r="T619" s="28" t="s">
        <v>238</v>
      </c>
      <c r="U619" s="44" t="n">
        <f aca="false">IF(J619="BUY",S619-M619,M619-S619)</f>
        <v>-0.110000000000582</v>
      </c>
      <c r="V619" s="45" t="n">
        <v>0</v>
      </c>
      <c r="W619" s="45" t="n">
        <v>0</v>
      </c>
      <c r="X619" s="45" t="n">
        <v>-0.44</v>
      </c>
      <c r="Y619" s="32" t="n">
        <f aca="false">IFERROR(X619/R619,0)</f>
        <v>-0.0286458333333322</v>
      </c>
      <c r="Z619" s="28" t="str">
        <f aca="false">IF(X619&gt;0,"Win",IF(X619&lt;0,"Loss","Flat"))</f>
        <v>Loss</v>
      </c>
      <c r="AA619" s="28" t="n">
        <f aca="false">ROUND((C619-B619)*1440,1)</f>
        <v>12.5</v>
      </c>
      <c r="AB619" s="28" t="str">
        <f aca="false">IF(AA619&lt;1,"a) &lt;1 min",IF(AA619&lt;10,"b) 1-10 min",IF(AA619&lt;60,"c) 10-60 min",IF(AA619&lt;240,"d) 1-4 h","e) 4 h+"))))</f>
        <v>c) 10-60 min</v>
      </c>
      <c r="AC619" s="28" t="str">
        <f aca="false">IF(P619&lt;10,"a) &lt;10",IF(P619&lt;20,"b) 10-20",IF(P619&lt;40,"c) 20-40",IF(P619&lt;80,"d) 40-80","e) 80+"))))</f>
        <v>a) &lt;10</v>
      </c>
      <c r="AD619" s="30" t="n">
        <f aca="false">Summary!$C$5+SUM(X$2:X619)</f>
        <v>112692.54</v>
      </c>
      <c r="AE619" s="30" t="n">
        <f aca="false">MAX(AE618,AD619)</f>
        <v>113199.37</v>
      </c>
      <c r="AF619" s="30" t="n">
        <f aca="false">AE619-AD619</f>
        <v>506.829999999987</v>
      </c>
      <c r="AG619" s="29" t="n">
        <f aca="false">IFERROR(AF619/AE619,0)</f>
        <v>0.00447732173774454</v>
      </c>
    </row>
    <row r="620" customFormat="false" ht="15" hidden="false" customHeight="false" outlineLevel="0" collapsed="false">
      <c r="A620" s="28" t="n">
        <v>619</v>
      </c>
      <c r="B620" s="43" t="n">
        <v>45917.4833333333</v>
      </c>
      <c r="C620" s="43" t="n">
        <v>45917.4854861111</v>
      </c>
      <c r="D620" s="42" t="n">
        <f aca="false">INT(C620)</f>
        <v>45917</v>
      </c>
      <c r="E620" s="42" t="n">
        <f aca="false">D620-WEEKDAY(D620,3)</f>
        <v>45915</v>
      </c>
      <c r="F620" s="28" t="s">
        <v>172</v>
      </c>
      <c r="G620" s="28" t="n">
        <v>2025</v>
      </c>
      <c r="H620" s="28" t="s">
        <v>235</v>
      </c>
      <c r="I620" s="28" t="n">
        <v>11</v>
      </c>
      <c r="J620" s="28" t="s">
        <v>236</v>
      </c>
      <c r="K620" s="28" t="s">
        <v>237</v>
      </c>
      <c r="L620" s="28" t="n">
        <v>0.2</v>
      </c>
      <c r="M620" s="31" t="n">
        <v>24229.02</v>
      </c>
      <c r="N620" s="31" t="n">
        <v>24245.46</v>
      </c>
      <c r="O620" s="31" t="n">
        <v>24197.68</v>
      </c>
      <c r="P620" s="44" t="n">
        <f aca="false">ABS(M620-N620)</f>
        <v>16.4399999999987</v>
      </c>
      <c r="Q620" s="44" t="n">
        <f aca="false">IF(O620="","",ABS(O620-M620))</f>
        <v>31.3400000000001</v>
      </c>
      <c r="R620" s="30" t="n">
        <f aca="false">P620*L620*Summary!$C$6</f>
        <v>65.7599999999948</v>
      </c>
      <c r="S620" s="31" t="n">
        <v>24245.7</v>
      </c>
      <c r="T620" s="28" t="s">
        <v>241</v>
      </c>
      <c r="U620" s="44" t="n">
        <f aca="false">IF(J620="BUY",S620-M620,M620-S620)</f>
        <v>-16.6800000000003</v>
      </c>
      <c r="V620" s="45" t="n">
        <v>0</v>
      </c>
      <c r="W620" s="45" t="n">
        <v>0</v>
      </c>
      <c r="X620" s="45" t="n">
        <v>-66.72</v>
      </c>
      <c r="Y620" s="32" t="n">
        <f aca="false">IFERROR(X620/R620,0)</f>
        <v>-1.01459854014607</v>
      </c>
      <c r="Z620" s="28" t="str">
        <f aca="false">IF(X620&gt;0,"Win",IF(X620&lt;0,"Loss","Flat"))</f>
        <v>Loss</v>
      </c>
      <c r="AA620" s="28" t="n">
        <f aca="false">ROUND((C620-B620)*1440,1)</f>
        <v>3.1</v>
      </c>
      <c r="AB620" s="28" t="str">
        <f aca="false">IF(AA620&lt;1,"a) &lt;1 min",IF(AA620&lt;10,"b) 1-10 min",IF(AA620&lt;60,"c) 10-60 min",IF(AA620&lt;240,"d) 1-4 h","e) 4 h+"))))</f>
        <v>b) 1-10 min</v>
      </c>
      <c r="AC620" s="28" t="str">
        <f aca="false">IF(P620&lt;10,"a) &lt;10",IF(P620&lt;20,"b) 10-20",IF(P620&lt;40,"c) 20-40",IF(P620&lt;80,"d) 40-80","e) 80+"))))</f>
        <v>b) 10-20</v>
      </c>
      <c r="AD620" s="30" t="n">
        <f aca="false">Summary!$C$5+SUM(X$2:X620)</f>
        <v>112625.82</v>
      </c>
      <c r="AE620" s="30" t="n">
        <f aca="false">MAX(AE619,AD620)</f>
        <v>113199.37</v>
      </c>
      <c r="AF620" s="30" t="n">
        <f aca="false">AE620-AD620</f>
        <v>573.549999999988</v>
      </c>
      <c r="AG620" s="29" t="n">
        <f aca="false">IFERROR(AF620/AE620,0)</f>
        <v>0.00506672431127478</v>
      </c>
    </row>
    <row r="621" customFormat="false" ht="15" hidden="false" customHeight="false" outlineLevel="0" collapsed="false">
      <c r="A621" s="28" t="n">
        <v>620</v>
      </c>
      <c r="B621" s="43" t="n">
        <v>45918.0756944444</v>
      </c>
      <c r="C621" s="43" t="n">
        <v>45918.0838078704</v>
      </c>
      <c r="D621" s="42" t="n">
        <f aca="false">INT(C621)</f>
        <v>45918</v>
      </c>
      <c r="E621" s="42" t="n">
        <f aca="false">D621-WEEKDAY(D621,3)</f>
        <v>45915</v>
      </c>
      <c r="F621" s="28" t="s">
        <v>172</v>
      </c>
      <c r="G621" s="28" t="n">
        <v>2025</v>
      </c>
      <c r="H621" s="28" t="s">
        <v>239</v>
      </c>
      <c r="I621" s="28" t="n">
        <v>1</v>
      </c>
      <c r="J621" s="28" t="s">
        <v>233</v>
      </c>
      <c r="K621" s="28" t="s">
        <v>234</v>
      </c>
      <c r="L621" s="28" t="n">
        <v>0.2</v>
      </c>
      <c r="M621" s="31" t="n">
        <v>24305.82</v>
      </c>
      <c r="N621" s="31" t="n">
        <v>24297.95</v>
      </c>
      <c r="O621" s="31" t="n">
        <v>24322.77</v>
      </c>
      <c r="P621" s="44" t="n">
        <f aca="false">ABS(M621-N621)</f>
        <v>7.86999999999898</v>
      </c>
      <c r="Q621" s="44" t="n">
        <f aca="false">IF(O621="","",ABS(O621-M621))</f>
        <v>16.9500000000007</v>
      </c>
      <c r="R621" s="30" t="n">
        <f aca="false">P621*L621*Summary!$C$6</f>
        <v>31.4799999999959</v>
      </c>
      <c r="S621" s="31" t="n">
        <v>24322.85</v>
      </c>
      <c r="T621" s="28" t="s">
        <v>214</v>
      </c>
      <c r="U621" s="44" t="n">
        <f aca="false">IF(J621="BUY",S621-M621,M621-S621)</f>
        <v>17.0299999999988</v>
      </c>
      <c r="V621" s="45" t="n">
        <v>0</v>
      </c>
      <c r="W621" s="45" t="n">
        <v>0</v>
      </c>
      <c r="X621" s="45" t="n">
        <v>68.12</v>
      </c>
      <c r="Y621" s="32" t="n">
        <f aca="false">IFERROR(X621/R621,0)</f>
        <v>2.16391359593421</v>
      </c>
      <c r="Z621" s="28" t="str">
        <f aca="false">IF(X621&gt;0,"Win",IF(X621&lt;0,"Loss","Flat"))</f>
        <v>Win</v>
      </c>
      <c r="AA621" s="28" t="n">
        <f aca="false">ROUND((C621-B621)*1440,1)</f>
        <v>11.7</v>
      </c>
      <c r="AB621" s="28" t="str">
        <f aca="false">IF(AA621&lt;1,"a) &lt;1 min",IF(AA621&lt;10,"b) 1-10 min",IF(AA621&lt;60,"c) 10-60 min",IF(AA621&lt;240,"d) 1-4 h","e) 4 h+"))))</f>
        <v>c) 10-60 min</v>
      </c>
      <c r="AC621" s="28" t="str">
        <f aca="false">IF(P621&lt;10,"a) &lt;10",IF(P621&lt;20,"b) 10-20",IF(P621&lt;40,"c) 20-40",IF(P621&lt;80,"d) 40-80","e) 80+"))))</f>
        <v>a) &lt;10</v>
      </c>
      <c r="AD621" s="30" t="n">
        <f aca="false">Summary!$C$5+SUM(X$2:X621)</f>
        <v>112693.94</v>
      </c>
      <c r="AE621" s="30" t="n">
        <f aca="false">MAX(AE620,AD621)</f>
        <v>113199.37</v>
      </c>
      <c r="AF621" s="30" t="n">
        <f aca="false">AE621-AD621</f>
        <v>505.429999999993</v>
      </c>
      <c r="AG621" s="29" t="n">
        <f aca="false">IFERROR(AF621/AE621,0)</f>
        <v>0.00446495417774845</v>
      </c>
    </row>
    <row r="622" customFormat="false" ht="15" hidden="false" customHeight="false" outlineLevel="0" collapsed="false">
      <c r="A622" s="28" t="n">
        <v>621</v>
      </c>
      <c r="B622" s="43" t="n">
        <v>45919.7034722222</v>
      </c>
      <c r="C622" s="43" t="n">
        <v>45919.7203125</v>
      </c>
      <c r="D622" s="42" t="n">
        <f aca="false">INT(C622)</f>
        <v>45919</v>
      </c>
      <c r="E622" s="42" t="n">
        <f aca="false">D622-WEEKDAY(D622,3)</f>
        <v>45915</v>
      </c>
      <c r="F622" s="28" t="s">
        <v>172</v>
      </c>
      <c r="G622" s="28" t="n">
        <v>2025</v>
      </c>
      <c r="H622" s="28" t="s">
        <v>242</v>
      </c>
      <c r="I622" s="28" t="n">
        <v>16</v>
      </c>
      <c r="J622" s="28" t="s">
        <v>233</v>
      </c>
      <c r="K622" s="28" t="s">
        <v>234</v>
      </c>
      <c r="L622" s="28" t="n">
        <v>0.2</v>
      </c>
      <c r="M622" s="31" t="n">
        <v>24564.29</v>
      </c>
      <c r="N622" s="31" t="n">
        <v>24529.59</v>
      </c>
      <c r="O622" s="31" t="n">
        <v>24633.22</v>
      </c>
      <c r="P622" s="44" t="n">
        <f aca="false">ABS(M622-N622)</f>
        <v>34.7000000000007</v>
      </c>
      <c r="Q622" s="44" t="n">
        <f aca="false">IF(O622="","",ABS(O622-M622))</f>
        <v>68.9300000000003</v>
      </c>
      <c r="R622" s="30" t="n">
        <f aca="false">P622*L622*Summary!$C$6</f>
        <v>138.800000000003</v>
      </c>
      <c r="S622" s="31" t="n">
        <v>24529.37</v>
      </c>
      <c r="T622" s="28" t="s">
        <v>241</v>
      </c>
      <c r="U622" s="44" t="n">
        <f aca="false">IF(J622="BUY",S622-M622,M622-S622)</f>
        <v>-34.9200000000019</v>
      </c>
      <c r="V622" s="45" t="n">
        <v>0</v>
      </c>
      <c r="W622" s="45" t="n">
        <v>0</v>
      </c>
      <c r="X622" s="45" t="n">
        <v>-139.68</v>
      </c>
      <c r="Y622" s="32" t="n">
        <f aca="false">IFERROR(X622/R622,0)</f>
        <v>-1.00634005763687</v>
      </c>
      <c r="Z622" s="28" t="str">
        <f aca="false">IF(X622&gt;0,"Win",IF(X622&lt;0,"Loss","Flat"))</f>
        <v>Loss</v>
      </c>
      <c r="AA622" s="28" t="n">
        <f aca="false">ROUND((C622-B622)*1440,1)</f>
        <v>24.3</v>
      </c>
      <c r="AB622" s="28" t="str">
        <f aca="false">IF(AA622&lt;1,"a) &lt;1 min",IF(AA622&lt;10,"b) 1-10 min",IF(AA622&lt;60,"c) 10-60 min",IF(AA622&lt;240,"d) 1-4 h","e) 4 h+"))))</f>
        <v>c) 10-60 min</v>
      </c>
      <c r="AC622" s="28" t="str">
        <f aca="false">IF(P622&lt;10,"a) &lt;10",IF(P622&lt;20,"b) 10-20",IF(P622&lt;40,"c) 20-40",IF(P622&lt;80,"d) 40-80","e) 80+"))))</f>
        <v>c) 20-40</v>
      </c>
      <c r="AD622" s="30" t="n">
        <f aca="false">Summary!$C$5+SUM(X$2:X622)</f>
        <v>112554.26</v>
      </c>
      <c r="AE622" s="30" t="n">
        <f aca="false">MAX(AE621,AD622)</f>
        <v>113199.37</v>
      </c>
      <c r="AF622" s="30" t="n">
        <f aca="false">AE622-AD622</f>
        <v>645.110000000001</v>
      </c>
      <c r="AG622" s="29" t="n">
        <f aca="false">IFERROR(AF622/AE622,0)</f>
        <v>0.00569888330650604</v>
      </c>
    </row>
    <row r="623" customFormat="false" ht="15" hidden="false" customHeight="false" outlineLevel="0" collapsed="false">
      <c r="A623" s="28" t="n">
        <v>622</v>
      </c>
      <c r="B623" s="43" t="n">
        <v>45922.7131944444</v>
      </c>
      <c r="C623" s="43" t="n">
        <v>45922.7161342593</v>
      </c>
      <c r="D623" s="42" t="n">
        <f aca="false">INT(C623)</f>
        <v>45922</v>
      </c>
      <c r="E623" s="42" t="n">
        <f aca="false">D623-WEEKDAY(D623,3)</f>
        <v>45922</v>
      </c>
      <c r="F623" s="28" t="s">
        <v>172</v>
      </c>
      <c r="G623" s="28" t="n">
        <v>2025</v>
      </c>
      <c r="H623" s="28" t="s">
        <v>240</v>
      </c>
      <c r="I623" s="28" t="n">
        <v>17</v>
      </c>
      <c r="J623" s="28" t="s">
        <v>233</v>
      </c>
      <c r="K623" s="28" t="s">
        <v>234</v>
      </c>
      <c r="L623" s="28" t="n">
        <v>0.2</v>
      </c>
      <c r="M623" s="31" t="n">
        <v>24637.88</v>
      </c>
      <c r="N623" s="31" t="n">
        <v>24617.39</v>
      </c>
      <c r="O623" s="31" t="n">
        <v>24677.43</v>
      </c>
      <c r="P623" s="44" t="n">
        <f aca="false">ABS(M623-N623)</f>
        <v>20.4900000000016</v>
      </c>
      <c r="Q623" s="44" t="n">
        <f aca="false">IF(O623="","",ABS(O623-M623))</f>
        <v>39.5499999999993</v>
      </c>
      <c r="R623" s="30" t="n">
        <f aca="false">P623*L623*Summary!$C$6</f>
        <v>81.9600000000064</v>
      </c>
      <c r="S623" s="31" t="n">
        <v>24617.38</v>
      </c>
      <c r="T623" s="28" t="s">
        <v>241</v>
      </c>
      <c r="U623" s="44" t="n">
        <f aca="false">IF(J623="BUY",S623-M623,M623-S623)</f>
        <v>-20.5</v>
      </c>
      <c r="V623" s="45" t="n">
        <v>0</v>
      </c>
      <c r="W623" s="45" t="n">
        <v>0</v>
      </c>
      <c r="X623" s="45" t="n">
        <v>-82</v>
      </c>
      <c r="Y623" s="32" t="n">
        <f aca="false">IFERROR(X623/R623,0)</f>
        <v>-1.0004880429477</v>
      </c>
      <c r="Z623" s="28" t="str">
        <f aca="false">IF(X623&gt;0,"Win",IF(X623&lt;0,"Loss","Flat"))</f>
        <v>Loss</v>
      </c>
      <c r="AA623" s="28" t="n">
        <f aca="false">ROUND((C623-B623)*1440,1)</f>
        <v>4.2</v>
      </c>
      <c r="AB623" s="28" t="str">
        <f aca="false">IF(AA623&lt;1,"a) &lt;1 min",IF(AA623&lt;10,"b) 1-10 min",IF(AA623&lt;60,"c) 10-60 min",IF(AA623&lt;240,"d) 1-4 h","e) 4 h+"))))</f>
        <v>b) 1-10 min</v>
      </c>
      <c r="AC623" s="28" t="str">
        <f aca="false">IF(P623&lt;10,"a) &lt;10",IF(P623&lt;20,"b) 10-20",IF(P623&lt;40,"c) 20-40",IF(P623&lt;80,"d) 40-80","e) 80+"))))</f>
        <v>c) 20-40</v>
      </c>
      <c r="AD623" s="30" t="n">
        <f aca="false">Summary!$C$5+SUM(X$2:X623)</f>
        <v>112472.26</v>
      </c>
      <c r="AE623" s="30" t="n">
        <f aca="false">MAX(AE622,AD623)</f>
        <v>113199.37</v>
      </c>
      <c r="AF623" s="30" t="n">
        <f aca="false">AE623-AD623</f>
        <v>727.110000000001</v>
      </c>
      <c r="AG623" s="29" t="n">
        <f aca="false">IFERROR(AF623/AE623,0)</f>
        <v>0.00642326896342268</v>
      </c>
    </row>
    <row r="624" customFormat="false" ht="15" hidden="false" customHeight="false" outlineLevel="0" collapsed="false">
      <c r="A624" s="28" t="n">
        <v>623</v>
      </c>
      <c r="B624" s="43" t="n">
        <v>45923.4756944445</v>
      </c>
      <c r="C624" s="43" t="n">
        <v>45923.4797685185</v>
      </c>
      <c r="D624" s="42" t="n">
        <f aca="false">INT(C624)</f>
        <v>45923</v>
      </c>
      <c r="E624" s="42" t="n">
        <f aca="false">D624-WEEKDAY(D624,3)</f>
        <v>45922</v>
      </c>
      <c r="F624" s="28" t="s">
        <v>172</v>
      </c>
      <c r="G624" s="28" t="n">
        <v>2025</v>
      </c>
      <c r="H624" s="28" t="s">
        <v>232</v>
      </c>
      <c r="I624" s="28" t="n">
        <v>11</v>
      </c>
      <c r="J624" s="28" t="s">
        <v>233</v>
      </c>
      <c r="K624" s="28" t="s">
        <v>234</v>
      </c>
      <c r="L624" s="28" t="n">
        <v>0.2</v>
      </c>
      <c r="M624" s="31" t="n">
        <v>24782.45</v>
      </c>
      <c r="N624" s="31" t="n">
        <v>24775.05</v>
      </c>
      <c r="O624" s="31" t="n">
        <v>24797.49</v>
      </c>
      <c r="P624" s="44" t="n">
        <f aca="false">ABS(M624-N624)</f>
        <v>7.40000000000146</v>
      </c>
      <c r="Q624" s="44" t="n">
        <f aca="false">IF(O624="","",ABS(O624-M624))</f>
        <v>15.0400000000009</v>
      </c>
      <c r="R624" s="30" t="n">
        <f aca="false">P624*L624*Summary!$C$6</f>
        <v>29.6000000000058</v>
      </c>
      <c r="S624" s="31" t="n">
        <v>24774.26</v>
      </c>
      <c r="T624" s="28" t="s">
        <v>241</v>
      </c>
      <c r="U624" s="44" t="n">
        <f aca="false">IF(J624="BUY",S624-M624,M624-S624)</f>
        <v>-8.19000000000233</v>
      </c>
      <c r="V624" s="45" t="n">
        <v>0</v>
      </c>
      <c r="W624" s="45" t="n">
        <v>0</v>
      </c>
      <c r="X624" s="45" t="n">
        <v>-32.76</v>
      </c>
      <c r="Y624" s="32" t="n">
        <f aca="false">IFERROR(X624/R624,0)</f>
        <v>-1.10675675675654</v>
      </c>
      <c r="Z624" s="28" t="str">
        <f aca="false">IF(X624&gt;0,"Win",IF(X624&lt;0,"Loss","Flat"))</f>
        <v>Loss</v>
      </c>
      <c r="AA624" s="28" t="n">
        <f aca="false">ROUND((C624-B624)*1440,1)</f>
        <v>5.9</v>
      </c>
      <c r="AB624" s="28" t="str">
        <f aca="false">IF(AA624&lt;1,"a) &lt;1 min",IF(AA624&lt;10,"b) 1-10 min",IF(AA624&lt;60,"c) 10-60 min",IF(AA624&lt;240,"d) 1-4 h","e) 4 h+"))))</f>
        <v>b) 1-10 min</v>
      </c>
      <c r="AC624" s="28" t="str">
        <f aca="false">IF(P624&lt;10,"a) &lt;10",IF(P624&lt;20,"b) 10-20",IF(P624&lt;40,"c) 20-40",IF(P624&lt;80,"d) 40-80","e) 80+"))))</f>
        <v>a) &lt;10</v>
      </c>
      <c r="AD624" s="30" t="n">
        <f aca="false">Summary!$C$5+SUM(X$2:X624)</f>
        <v>112439.5</v>
      </c>
      <c r="AE624" s="30" t="n">
        <f aca="false">MAX(AE623,AD624)</f>
        <v>113199.37</v>
      </c>
      <c r="AF624" s="30" t="n">
        <f aca="false">AE624-AD624</f>
        <v>759.869999999995</v>
      </c>
      <c r="AG624" s="29" t="n">
        <f aca="false">IFERROR(AF624/AE624,0)</f>
        <v>0.00671266986733226</v>
      </c>
    </row>
    <row r="625" customFormat="false" ht="15" hidden="false" customHeight="false" outlineLevel="0" collapsed="false">
      <c r="A625" s="28" t="n">
        <v>624</v>
      </c>
      <c r="B625" s="43" t="n">
        <v>45924.7736111111</v>
      </c>
      <c r="C625" s="43" t="n">
        <v>45924.7825578704</v>
      </c>
      <c r="D625" s="42" t="n">
        <f aca="false">INT(C625)</f>
        <v>45924</v>
      </c>
      <c r="E625" s="42" t="n">
        <f aca="false">D625-WEEKDAY(D625,3)</f>
        <v>45922</v>
      </c>
      <c r="F625" s="28" t="s">
        <v>172</v>
      </c>
      <c r="G625" s="28" t="n">
        <v>2025</v>
      </c>
      <c r="H625" s="28" t="s">
        <v>235</v>
      </c>
      <c r="I625" s="28" t="n">
        <v>18</v>
      </c>
      <c r="J625" s="28" t="s">
        <v>236</v>
      </c>
      <c r="K625" s="28" t="s">
        <v>237</v>
      </c>
      <c r="L625" s="28" t="n">
        <v>0.2</v>
      </c>
      <c r="M625" s="31" t="n">
        <v>24530.85</v>
      </c>
      <c r="N625" s="31" t="n">
        <v>24546.03</v>
      </c>
      <c r="O625" s="31" t="n">
        <v>24500.5</v>
      </c>
      <c r="P625" s="44" t="n">
        <f aca="false">ABS(M625-N625)</f>
        <v>15.1800000000003</v>
      </c>
      <c r="Q625" s="44" t="n">
        <f aca="false">IF(O625="","",ABS(O625-M625))</f>
        <v>30.3499999999985</v>
      </c>
      <c r="R625" s="30" t="n">
        <f aca="false">P625*L625*Summary!$C$6</f>
        <v>60.7200000000012</v>
      </c>
      <c r="S625" s="31" t="n">
        <v>24498.15</v>
      </c>
      <c r="T625" s="28" t="s">
        <v>214</v>
      </c>
      <c r="U625" s="44" t="n">
        <f aca="false">IF(J625="BUY",S625-M625,M625-S625)</f>
        <v>32.6999999999971</v>
      </c>
      <c r="V625" s="45" t="n">
        <v>0</v>
      </c>
      <c r="W625" s="45" t="n">
        <v>0</v>
      </c>
      <c r="X625" s="45" t="n">
        <v>130.8</v>
      </c>
      <c r="Y625" s="32" t="n">
        <f aca="false">IFERROR(X625/R625,0)</f>
        <v>2.15415019762842</v>
      </c>
      <c r="Z625" s="28" t="str">
        <f aca="false">IF(X625&gt;0,"Win",IF(X625&lt;0,"Loss","Flat"))</f>
        <v>Win</v>
      </c>
      <c r="AA625" s="28" t="n">
        <f aca="false">ROUND((C625-B625)*1440,1)</f>
        <v>12.9</v>
      </c>
      <c r="AB625" s="28" t="str">
        <f aca="false">IF(AA625&lt;1,"a) &lt;1 min",IF(AA625&lt;10,"b) 1-10 min",IF(AA625&lt;60,"c) 10-60 min",IF(AA625&lt;240,"d) 1-4 h","e) 4 h+"))))</f>
        <v>c) 10-60 min</v>
      </c>
      <c r="AC625" s="28" t="str">
        <f aca="false">IF(P625&lt;10,"a) &lt;10",IF(P625&lt;20,"b) 10-20",IF(P625&lt;40,"c) 20-40",IF(P625&lt;80,"d) 40-80","e) 80+"))))</f>
        <v>b) 10-20</v>
      </c>
      <c r="AD625" s="30" t="n">
        <f aca="false">Summary!$C$5+SUM(X$2:X625)</f>
        <v>112570.3</v>
      </c>
      <c r="AE625" s="30" t="n">
        <f aca="false">MAX(AE624,AD625)</f>
        <v>113199.37</v>
      </c>
      <c r="AF625" s="30" t="n">
        <f aca="false">AE625-AD625</f>
        <v>629.069999999992</v>
      </c>
      <c r="AG625" s="29" t="n">
        <f aca="false">IFERROR(AF625/AE625,0)</f>
        <v>0.00555718640483593</v>
      </c>
    </row>
    <row r="626" customFormat="false" ht="15" hidden="false" customHeight="false" outlineLevel="0" collapsed="false">
      <c r="A626" s="28" t="n">
        <v>625</v>
      </c>
      <c r="B626" s="43" t="n">
        <v>45925.6131944444</v>
      </c>
      <c r="C626" s="43" t="n">
        <v>45925.6154861111</v>
      </c>
      <c r="D626" s="42" t="n">
        <f aca="false">INT(C626)</f>
        <v>45925</v>
      </c>
      <c r="E626" s="42" t="n">
        <f aca="false">D626-WEEKDAY(D626,3)</f>
        <v>45922</v>
      </c>
      <c r="F626" s="28" t="s">
        <v>172</v>
      </c>
      <c r="G626" s="28" t="n">
        <v>2025</v>
      </c>
      <c r="H626" s="28" t="s">
        <v>239</v>
      </c>
      <c r="I626" s="28" t="n">
        <v>14</v>
      </c>
      <c r="J626" s="28" t="s">
        <v>236</v>
      </c>
      <c r="K626" s="28" t="s">
        <v>237</v>
      </c>
      <c r="L626" s="28" t="n">
        <v>0.2</v>
      </c>
      <c r="M626" s="31" t="n">
        <v>24384.68</v>
      </c>
      <c r="N626" s="31" t="n">
        <v>24396.74</v>
      </c>
      <c r="O626" s="31" t="n">
        <v>24360.55</v>
      </c>
      <c r="P626" s="44" t="n">
        <f aca="false">ABS(M626-N626)</f>
        <v>12.0600000000013</v>
      </c>
      <c r="Q626" s="44" t="n">
        <f aca="false">IF(O626="","",ABS(O626-M626))</f>
        <v>24.130000000001</v>
      </c>
      <c r="R626" s="30" t="n">
        <f aca="false">P626*L626*Summary!$C$6</f>
        <v>48.2400000000052</v>
      </c>
      <c r="S626" s="31" t="n">
        <v>24384.92</v>
      </c>
      <c r="T626" s="28" t="s">
        <v>238</v>
      </c>
      <c r="U626" s="44" t="n">
        <f aca="false">IF(J626="BUY",S626-M626,M626-S626)</f>
        <v>-0.239999999997963</v>
      </c>
      <c r="V626" s="45" t="n">
        <v>0</v>
      </c>
      <c r="W626" s="45" t="n">
        <v>0</v>
      </c>
      <c r="X626" s="45" t="n">
        <v>-0.96</v>
      </c>
      <c r="Y626" s="32" t="n">
        <f aca="false">IFERROR(X626/R626,0)</f>
        <v>-0.0199004975124357</v>
      </c>
      <c r="Z626" s="28" t="str">
        <f aca="false">IF(X626&gt;0,"Win",IF(X626&lt;0,"Loss","Flat"))</f>
        <v>Loss</v>
      </c>
      <c r="AA626" s="28" t="n">
        <f aca="false">ROUND((C626-B626)*1440,1)</f>
        <v>3.3</v>
      </c>
      <c r="AB626" s="28" t="str">
        <f aca="false">IF(AA626&lt;1,"a) &lt;1 min",IF(AA626&lt;10,"b) 1-10 min",IF(AA626&lt;60,"c) 10-60 min",IF(AA626&lt;240,"d) 1-4 h","e) 4 h+"))))</f>
        <v>b) 1-10 min</v>
      </c>
      <c r="AC626" s="28" t="str">
        <f aca="false">IF(P626&lt;10,"a) &lt;10",IF(P626&lt;20,"b) 10-20",IF(P626&lt;40,"c) 20-40",IF(P626&lt;80,"d) 40-80","e) 80+"))))</f>
        <v>b) 10-20</v>
      </c>
      <c r="AD626" s="30" t="n">
        <f aca="false">Summary!$C$5+SUM(X$2:X626)</f>
        <v>112569.34</v>
      </c>
      <c r="AE626" s="30" t="n">
        <f aca="false">MAX(AE625,AD626)</f>
        <v>113199.37</v>
      </c>
      <c r="AF626" s="30" t="n">
        <f aca="false">AE626-AD626</f>
        <v>630.029999999999</v>
      </c>
      <c r="AG626" s="29" t="n">
        <f aca="false">IFERROR(AF626/AE626,0)</f>
        <v>0.00556566701740477</v>
      </c>
    </row>
    <row r="627" customFormat="false" ht="15" hidden="false" customHeight="false" outlineLevel="0" collapsed="false">
      <c r="A627" s="28" t="n">
        <v>626</v>
      </c>
      <c r="B627" s="43" t="n">
        <v>45929.0479166667</v>
      </c>
      <c r="C627" s="43" t="n">
        <v>45929.0765162037</v>
      </c>
      <c r="D627" s="42" t="n">
        <f aca="false">INT(C627)</f>
        <v>45929</v>
      </c>
      <c r="E627" s="42" t="n">
        <f aca="false">D627-WEEKDAY(D627,3)</f>
        <v>45929</v>
      </c>
      <c r="F627" s="28" t="s">
        <v>172</v>
      </c>
      <c r="G627" s="28" t="n">
        <v>2025</v>
      </c>
      <c r="H627" s="28" t="s">
        <v>240</v>
      </c>
      <c r="I627" s="28" t="n">
        <v>1</v>
      </c>
      <c r="J627" s="28" t="s">
        <v>233</v>
      </c>
      <c r="K627" s="28" t="s">
        <v>234</v>
      </c>
      <c r="L627" s="28" t="n">
        <v>0.2</v>
      </c>
      <c r="M627" s="31" t="n">
        <v>24518.03</v>
      </c>
      <c r="N627" s="31" t="n">
        <v>24505.71</v>
      </c>
      <c r="O627" s="31" t="n">
        <v>24542.67</v>
      </c>
      <c r="P627" s="44" t="n">
        <f aca="false">ABS(M627-N627)</f>
        <v>12.3199999999997</v>
      </c>
      <c r="Q627" s="44" t="n">
        <f aca="false">IF(O627="","",ABS(O627-M627))</f>
        <v>24.6399999999994</v>
      </c>
      <c r="R627" s="30" t="n">
        <f aca="false">P627*L627*Summary!$C$6</f>
        <v>49.2799999999988</v>
      </c>
      <c r="S627" s="31" t="n">
        <v>24542.74</v>
      </c>
      <c r="T627" s="28" t="s">
        <v>214</v>
      </c>
      <c r="U627" s="44" t="n">
        <f aca="false">IF(J627="BUY",S627-M627,M627-S627)</f>
        <v>24.7100000000028</v>
      </c>
      <c r="V627" s="45" t="n">
        <v>0</v>
      </c>
      <c r="W627" s="45" t="n">
        <v>0</v>
      </c>
      <c r="X627" s="45" t="n">
        <v>98.84</v>
      </c>
      <c r="Y627" s="32" t="n">
        <f aca="false">IFERROR(X627/R627,0)</f>
        <v>2.00568181818187</v>
      </c>
      <c r="Z627" s="28" t="str">
        <f aca="false">IF(X627&gt;0,"Win",IF(X627&lt;0,"Loss","Flat"))</f>
        <v>Win</v>
      </c>
      <c r="AA627" s="28" t="n">
        <f aca="false">ROUND((C627-B627)*1440,1)</f>
        <v>41.2</v>
      </c>
      <c r="AB627" s="28" t="str">
        <f aca="false">IF(AA627&lt;1,"a) &lt;1 min",IF(AA627&lt;10,"b) 1-10 min",IF(AA627&lt;60,"c) 10-60 min",IF(AA627&lt;240,"d) 1-4 h","e) 4 h+"))))</f>
        <v>c) 10-60 min</v>
      </c>
      <c r="AC627" s="28" t="str">
        <f aca="false">IF(P627&lt;10,"a) &lt;10",IF(P627&lt;20,"b) 10-20",IF(P627&lt;40,"c) 20-40",IF(P627&lt;80,"d) 40-80","e) 80+"))))</f>
        <v>b) 10-20</v>
      </c>
      <c r="AD627" s="30" t="n">
        <f aca="false">Summary!$C$5+SUM(X$2:X627)</f>
        <v>112668.18</v>
      </c>
      <c r="AE627" s="30" t="n">
        <f aca="false">MAX(AE626,AD627)</f>
        <v>113199.37</v>
      </c>
      <c r="AF627" s="30" t="n">
        <f aca="false">AE627-AD627</f>
        <v>531.190000000002</v>
      </c>
      <c r="AG627" s="29" t="n">
        <f aca="false">IFERROR(AF627/AE627,0)</f>
        <v>0.00469251728167747</v>
      </c>
    </row>
    <row r="628" customFormat="false" ht="15" hidden="false" customHeight="false" outlineLevel="0" collapsed="false">
      <c r="A628" s="28" t="n">
        <v>627</v>
      </c>
      <c r="B628" s="43" t="n">
        <v>45931.4069444445</v>
      </c>
      <c r="C628" s="43" t="n">
        <v>45931.4080439815</v>
      </c>
      <c r="D628" s="42" t="n">
        <f aca="false">INT(C628)</f>
        <v>45931</v>
      </c>
      <c r="E628" s="42" t="n">
        <f aca="false">D628-WEEKDAY(D628,3)</f>
        <v>45929</v>
      </c>
      <c r="F628" s="28" t="s">
        <v>173</v>
      </c>
      <c r="G628" s="28" t="n">
        <v>2025</v>
      </c>
      <c r="H628" s="28" t="s">
        <v>235</v>
      </c>
      <c r="I628" s="28" t="n">
        <v>9</v>
      </c>
      <c r="J628" s="28" t="s">
        <v>236</v>
      </c>
      <c r="K628" s="28" t="s">
        <v>237</v>
      </c>
      <c r="L628" s="28" t="n">
        <v>0.2</v>
      </c>
      <c r="M628" s="31" t="n">
        <v>24488.78</v>
      </c>
      <c r="N628" s="31" t="n">
        <v>24501.51</v>
      </c>
      <c r="O628" s="31" t="n">
        <v>24460.24</v>
      </c>
      <c r="P628" s="44" t="n">
        <f aca="false">ABS(M628-N628)</f>
        <v>12.7299999999996</v>
      </c>
      <c r="Q628" s="44" t="n">
        <f aca="false">IF(O628="","",ABS(O628-M628))</f>
        <v>28.5399999999972</v>
      </c>
      <c r="R628" s="30" t="n">
        <f aca="false">P628*L628*Summary!$C$6</f>
        <v>50.9199999999983</v>
      </c>
      <c r="S628" s="31" t="n">
        <v>24459.22</v>
      </c>
      <c r="T628" s="28" t="s">
        <v>214</v>
      </c>
      <c r="U628" s="44" t="n">
        <f aca="false">IF(J628="BUY",S628-M628,M628-S628)</f>
        <v>29.5599999999977</v>
      </c>
      <c r="V628" s="45" t="n">
        <v>0</v>
      </c>
      <c r="W628" s="45" t="n">
        <v>0</v>
      </c>
      <c r="X628" s="45" t="n">
        <v>118.24</v>
      </c>
      <c r="Y628" s="32" t="n">
        <f aca="false">IFERROR(X628/R628,0)</f>
        <v>2.3220738413198</v>
      </c>
      <c r="Z628" s="28" t="str">
        <f aca="false">IF(X628&gt;0,"Win",IF(X628&lt;0,"Loss","Flat"))</f>
        <v>Win</v>
      </c>
      <c r="AA628" s="28" t="n">
        <f aca="false">ROUND((C628-B628)*1440,1)</f>
        <v>1.6</v>
      </c>
      <c r="AB628" s="28" t="str">
        <f aca="false">IF(AA628&lt;1,"a) &lt;1 min",IF(AA628&lt;10,"b) 1-10 min",IF(AA628&lt;60,"c) 10-60 min",IF(AA628&lt;240,"d) 1-4 h","e) 4 h+"))))</f>
        <v>b) 1-10 min</v>
      </c>
      <c r="AC628" s="28" t="str">
        <f aca="false">IF(P628&lt;10,"a) &lt;10",IF(P628&lt;20,"b) 10-20",IF(P628&lt;40,"c) 20-40",IF(P628&lt;80,"d) 40-80","e) 80+"))))</f>
        <v>b) 10-20</v>
      </c>
      <c r="AD628" s="30" t="n">
        <f aca="false">Summary!$C$5+SUM(X$2:X628)</f>
        <v>112786.42</v>
      </c>
      <c r="AE628" s="30" t="n">
        <f aca="false">MAX(AE627,AD628)</f>
        <v>113199.37</v>
      </c>
      <c r="AF628" s="30" t="n">
        <f aca="false">AE628-AD628</f>
        <v>412.949999999997</v>
      </c>
      <c r="AG628" s="29" t="n">
        <f aca="false">IFERROR(AF628/AE628,0)</f>
        <v>0.00364798850028933</v>
      </c>
    </row>
    <row r="629" customFormat="false" ht="15" hidden="false" customHeight="false" outlineLevel="0" collapsed="false">
      <c r="A629" s="28" t="n">
        <v>628</v>
      </c>
      <c r="B629" s="43" t="n">
        <v>45931.7506944445</v>
      </c>
      <c r="C629" s="43" t="n">
        <v>45931.7585069445</v>
      </c>
      <c r="D629" s="42" t="n">
        <f aca="false">INT(C629)</f>
        <v>45931</v>
      </c>
      <c r="E629" s="42" t="n">
        <f aca="false">D629-WEEKDAY(D629,3)</f>
        <v>45929</v>
      </c>
      <c r="F629" s="28" t="s">
        <v>173</v>
      </c>
      <c r="G629" s="28" t="n">
        <v>2025</v>
      </c>
      <c r="H629" s="28" t="s">
        <v>235</v>
      </c>
      <c r="I629" s="28" t="n">
        <v>18</v>
      </c>
      <c r="J629" s="28" t="s">
        <v>233</v>
      </c>
      <c r="K629" s="28" t="s">
        <v>234</v>
      </c>
      <c r="L629" s="28" t="n">
        <v>0.2</v>
      </c>
      <c r="M629" s="31" t="n">
        <v>24689.14</v>
      </c>
      <c r="N629" s="31" t="n">
        <v>24669.87</v>
      </c>
      <c r="O629" s="31" t="n">
        <v>24729.21</v>
      </c>
      <c r="P629" s="44" t="n">
        <f aca="false">ABS(M629-N629)</f>
        <v>19.2700000000004</v>
      </c>
      <c r="Q629" s="44" t="n">
        <f aca="false">IF(O629="","",ABS(O629-M629))</f>
        <v>40.0699999999997</v>
      </c>
      <c r="R629" s="30" t="n">
        <f aca="false">P629*L629*Summary!$C$6</f>
        <v>77.0800000000018</v>
      </c>
      <c r="S629" s="31" t="n">
        <v>24669.63</v>
      </c>
      <c r="T629" s="28" t="s">
        <v>241</v>
      </c>
      <c r="U629" s="44" t="n">
        <f aca="false">IF(J629="BUY",S629-M629,M629-S629)</f>
        <v>-19.5099999999984</v>
      </c>
      <c r="V629" s="45" t="n">
        <v>0</v>
      </c>
      <c r="W629" s="45" t="n">
        <v>0</v>
      </c>
      <c r="X629" s="45" t="n">
        <v>-78.04</v>
      </c>
      <c r="Y629" s="32" t="n">
        <f aca="false">IFERROR(X629/R629,0)</f>
        <v>-1.01245459263101</v>
      </c>
      <c r="Z629" s="28" t="str">
        <f aca="false">IF(X629&gt;0,"Win",IF(X629&lt;0,"Loss","Flat"))</f>
        <v>Loss</v>
      </c>
      <c r="AA629" s="28" t="n">
        <f aca="false">ROUND((C629-B629)*1440,1)</f>
        <v>11.3</v>
      </c>
      <c r="AB629" s="28" t="str">
        <f aca="false">IF(AA629&lt;1,"a) &lt;1 min",IF(AA629&lt;10,"b) 1-10 min",IF(AA629&lt;60,"c) 10-60 min",IF(AA629&lt;240,"d) 1-4 h","e) 4 h+"))))</f>
        <v>c) 10-60 min</v>
      </c>
      <c r="AC629" s="28" t="str">
        <f aca="false">IF(P629&lt;10,"a) &lt;10",IF(P629&lt;20,"b) 10-20",IF(P629&lt;40,"c) 20-40",IF(P629&lt;80,"d) 40-80","e) 80+"))))</f>
        <v>b) 10-20</v>
      </c>
      <c r="AD629" s="30" t="n">
        <f aca="false">Summary!$C$5+SUM(X$2:X629)</f>
        <v>112708.38</v>
      </c>
      <c r="AE629" s="30" t="n">
        <f aca="false">MAX(AE628,AD629)</f>
        <v>113199.37</v>
      </c>
      <c r="AF629" s="30" t="n">
        <f aca="false">AE629-AD629</f>
        <v>490.989999999991</v>
      </c>
      <c r="AG629" s="29" t="n">
        <f aca="false">IFERROR(AF629/AE629,0)</f>
        <v>0.0043373916303597</v>
      </c>
    </row>
    <row r="630" customFormat="false" ht="15" hidden="false" customHeight="false" outlineLevel="0" collapsed="false">
      <c r="A630" s="28" t="n">
        <v>629</v>
      </c>
      <c r="B630" s="43" t="n">
        <v>45932.1298611111</v>
      </c>
      <c r="C630" s="43" t="n">
        <v>45932.1565393519</v>
      </c>
      <c r="D630" s="42" t="n">
        <f aca="false">INT(C630)</f>
        <v>45932</v>
      </c>
      <c r="E630" s="42" t="n">
        <f aca="false">D630-WEEKDAY(D630,3)</f>
        <v>45929</v>
      </c>
      <c r="F630" s="28" t="s">
        <v>173</v>
      </c>
      <c r="G630" s="28" t="n">
        <v>2025</v>
      </c>
      <c r="H630" s="28" t="s">
        <v>239</v>
      </c>
      <c r="I630" s="28" t="n">
        <v>3</v>
      </c>
      <c r="J630" s="28" t="s">
        <v>233</v>
      </c>
      <c r="K630" s="28" t="s">
        <v>234</v>
      </c>
      <c r="L630" s="28" t="n">
        <v>0.2</v>
      </c>
      <c r="M630" s="31" t="n">
        <v>24816.98</v>
      </c>
      <c r="N630" s="31" t="n">
        <v>24805.74</v>
      </c>
      <c r="O630" s="31" t="n">
        <v>24839.51</v>
      </c>
      <c r="P630" s="44" t="n">
        <f aca="false">ABS(M630-N630)</f>
        <v>11.239999999998</v>
      </c>
      <c r="Q630" s="44" t="n">
        <f aca="false">IF(O630="","",ABS(O630-M630))</f>
        <v>22.5299999999988</v>
      </c>
      <c r="R630" s="30" t="n">
        <f aca="false">P630*L630*Summary!$C$6</f>
        <v>44.9599999999919</v>
      </c>
      <c r="S630" s="31" t="n">
        <v>24839.72</v>
      </c>
      <c r="T630" s="28" t="s">
        <v>214</v>
      </c>
      <c r="U630" s="44" t="n">
        <f aca="false">IF(J630="BUY",S630-M630,M630-S630)</f>
        <v>22.7400000000016</v>
      </c>
      <c r="V630" s="45" t="n">
        <v>0</v>
      </c>
      <c r="W630" s="45" t="n">
        <v>0</v>
      </c>
      <c r="X630" s="45" t="n">
        <v>90.96</v>
      </c>
      <c r="Y630" s="32" t="n">
        <f aca="false">IFERROR(X630/R630,0)</f>
        <v>2.02313167259823</v>
      </c>
      <c r="Z630" s="28" t="str">
        <f aca="false">IF(X630&gt;0,"Win",IF(X630&lt;0,"Loss","Flat"))</f>
        <v>Win</v>
      </c>
      <c r="AA630" s="28" t="n">
        <f aca="false">ROUND((C630-B630)*1440,1)</f>
        <v>38.4</v>
      </c>
      <c r="AB630" s="28" t="str">
        <f aca="false">IF(AA630&lt;1,"a) &lt;1 min",IF(AA630&lt;10,"b) 1-10 min",IF(AA630&lt;60,"c) 10-60 min",IF(AA630&lt;240,"d) 1-4 h","e) 4 h+"))))</f>
        <v>c) 10-60 min</v>
      </c>
      <c r="AC630" s="28" t="str">
        <f aca="false">IF(P630&lt;10,"a) &lt;10",IF(P630&lt;20,"b) 10-20",IF(P630&lt;40,"c) 20-40",IF(P630&lt;80,"d) 40-80","e) 80+"))))</f>
        <v>b) 10-20</v>
      </c>
      <c r="AD630" s="30" t="n">
        <f aca="false">Summary!$C$5+SUM(X$2:X630)</f>
        <v>112799.34</v>
      </c>
      <c r="AE630" s="30" t="n">
        <f aca="false">MAX(AE629,AD630)</f>
        <v>113199.37</v>
      </c>
      <c r="AF630" s="30" t="n">
        <f aca="false">AE630-AD630</f>
        <v>400.029999999999</v>
      </c>
      <c r="AG630" s="29" t="n">
        <f aca="false">IFERROR(AF630/AE630,0)</f>
        <v>0.00353385358946785</v>
      </c>
    </row>
    <row r="631" customFormat="false" ht="15" hidden="false" customHeight="false" outlineLevel="0" collapsed="false">
      <c r="A631" s="28" t="n">
        <v>630</v>
      </c>
      <c r="B631" s="43" t="n">
        <v>45933.2868055556</v>
      </c>
      <c r="C631" s="43" t="n">
        <v>45933.2918171296</v>
      </c>
      <c r="D631" s="42" t="n">
        <f aca="false">INT(C631)</f>
        <v>45933</v>
      </c>
      <c r="E631" s="42" t="n">
        <f aca="false">D631-WEEKDAY(D631,3)</f>
        <v>45929</v>
      </c>
      <c r="F631" s="28" t="s">
        <v>173</v>
      </c>
      <c r="G631" s="28" t="n">
        <v>2025</v>
      </c>
      <c r="H631" s="28" t="s">
        <v>242</v>
      </c>
      <c r="I631" s="28" t="n">
        <v>6</v>
      </c>
      <c r="J631" s="28" t="s">
        <v>233</v>
      </c>
      <c r="K631" s="28" t="s">
        <v>234</v>
      </c>
      <c r="L631" s="28" t="n">
        <v>0.2</v>
      </c>
      <c r="M631" s="31" t="n">
        <v>24965.98</v>
      </c>
      <c r="N631" s="31" t="n">
        <v>24960.66</v>
      </c>
      <c r="O631" s="31" t="n">
        <v>24976.29</v>
      </c>
      <c r="P631" s="44" t="n">
        <f aca="false">ABS(M631-N631)</f>
        <v>5.31999999999971</v>
      </c>
      <c r="Q631" s="44" t="n">
        <f aca="false">IF(O631="","",ABS(O631-M631))</f>
        <v>10.3100000000013</v>
      </c>
      <c r="R631" s="30" t="n">
        <f aca="false">P631*L631*Summary!$C$6</f>
        <v>21.2799999999988</v>
      </c>
      <c r="S631" s="31" t="n">
        <v>24960.46</v>
      </c>
      <c r="T631" s="28" t="s">
        <v>241</v>
      </c>
      <c r="U631" s="44" t="n">
        <f aca="false">IF(J631="BUY",S631-M631,M631-S631)</f>
        <v>-5.52000000000044</v>
      </c>
      <c r="V631" s="45" t="n">
        <v>0</v>
      </c>
      <c r="W631" s="45" t="n">
        <v>0</v>
      </c>
      <c r="X631" s="45" t="n">
        <v>-22.08</v>
      </c>
      <c r="Y631" s="32" t="n">
        <f aca="false">IFERROR(X631/R631,0)</f>
        <v>-1.03759398496246</v>
      </c>
      <c r="Z631" s="28" t="str">
        <f aca="false">IF(X631&gt;0,"Win",IF(X631&lt;0,"Loss","Flat"))</f>
        <v>Loss</v>
      </c>
      <c r="AA631" s="28" t="n">
        <f aca="false">ROUND((C631-B631)*1440,1)</f>
        <v>7.2</v>
      </c>
      <c r="AB631" s="28" t="str">
        <f aca="false">IF(AA631&lt;1,"a) &lt;1 min",IF(AA631&lt;10,"b) 1-10 min",IF(AA631&lt;60,"c) 10-60 min",IF(AA631&lt;240,"d) 1-4 h","e) 4 h+"))))</f>
        <v>b) 1-10 min</v>
      </c>
      <c r="AC631" s="28" t="str">
        <f aca="false">IF(P631&lt;10,"a) &lt;10",IF(P631&lt;20,"b) 10-20",IF(P631&lt;40,"c) 20-40",IF(P631&lt;80,"d) 40-80","e) 80+"))))</f>
        <v>a) &lt;10</v>
      </c>
      <c r="AD631" s="30" t="n">
        <f aca="false">Summary!$C$5+SUM(X$2:X631)</f>
        <v>112777.26</v>
      </c>
      <c r="AE631" s="30" t="n">
        <f aca="false">MAX(AE630,AD631)</f>
        <v>113199.37</v>
      </c>
      <c r="AF631" s="30" t="n">
        <f aca="false">AE631-AD631</f>
        <v>422.110000000001</v>
      </c>
      <c r="AG631" s="29" t="n">
        <f aca="false">IFERROR(AF631/AE631,0)</f>
        <v>0.00372890767854981</v>
      </c>
    </row>
    <row r="632" customFormat="false" ht="15" hidden="false" customHeight="false" outlineLevel="0" collapsed="false">
      <c r="A632" s="28" t="n">
        <v>631</v>
      </c>
      <c r="B632" s="43" t="n">
        <v>45933.8659722222</v>
      </c>
      <c r="C632" s="43" t="n">
        <v>45933.8710185185</v>
      </c>
      <c r="D632" s="42" t="n">
        <f aca="false">INT(C632)</f>
        <v>45933</v>
      </c>
      <c r="E632" s="42" t="n">
        <f aca="false">D632-WEEKDAY(D632,3)</f>
        <v>45929</v>
      </c>
      <c r="F632" s="28" t="s">
        <v>173</v>
      </c>
      <c r="G632" s="28" t="n">
        <v>2025</v>
      </c>
      <c r="H632" s="28" t="s">
        <v>242</v>
      </c>
      <c r="I632" s="28" t="n">
        <v>20</v>
      </c>
      <c r="J632" s="28" t="s">
        <v>236</v>
      </c>
      <c r="K632" s="28" t="s">
        <v>237</v>
      </c>
      <c r="L632" s="28" t="n">
        <v>0.2</v>
      </c>
      <c r="M632" s="31" t="n">
        <v>24778.45</v>
      </c>
      <c r="N632" s="31" t="n">
        <v>24806.11</v>
      </c>
      <c r="O632" s="31" t="n">
        <v>24717.01</v>
      </c>
      <c r="P632" s="44" t="n">
        <f aca="false">ABS(M632-N632)</f>
        <v>27.6599999999999</v>
      </c>
      <c r="Q632" s="44" t="n">
        <f aca="false">IF(O632="","",ABS(O632-M632))</f>
        <v>61.4400000000023</v>
      </c>
      <c r="R632" s="30" t="n">
        <f aca="false">P632*L632*Summary!$C$6</f>
        <v>110.639999999999</v>
      </c>
      <c r="S632" s="31" t="n">
        <v>24716.02</v>
      </c>
      <c r="T632" s="28" t="s">
        <v>214</v>
      </c>
      <c r="U632" s="44" t="n">
        <f aca="false">IF(J632="BUY",S632-M632,M632-S632)</f>
        <v>62.4300000000003</v>
      </c>
      <c r="V632" s="45" t="n">
        <v>0</v>
      </c>
      <c r="W632" s="45" t="n">
        <v>0</v>
      </c>
      <c r="X632" s="45" t="n">
        <v>249.72</v>
      </c>
      <c r="Y632" s="32" t="n">
        <f aca="false">IFERROR(X632/R632,0)</f>
        <v>2.25704989154014</v>
      </c>
      <c r="Z632" s="28" t="str">
        <f aca="false">IF(X632&gt;0,"Win",IF(X632&lt;0,"Loss","Flat"))</f>
        <v>Win</v>
      </c>
      <c r="AA632" s="28" t="n">
        <f aca="false">ROUND((C632-B632)*1440,1)</f>
        <v>7.3</v>
      </c>
      <c r="AB632" s="28" t="str">
        <f aca="false">IF(AA632&lt;1,"a) &lt;1 min",IF(AA632&lt;10,"b) 1-10 min",IF(AA632&lt;60,"c) 10-60 min",IF(AA632&lt;240,"d) 1-4 h","e) 4 h+"))))</f>
        <v>b) 1-10 min</v>
      </c>
      <c r="AC632" s="28" t="str">
        <f aca="false">IF(P632&lt;10,"a) &lt;10",IF(P632&lt;20,"b) 10-20",IF(P632&lt;40,"c) 20-40",IF(P632&lt;80,"d) 40-80","e) 80+"))))</f>
        <v>c) 20-40</v>
      </c>
      <c r="AD632" s="30" t="n">
        <f aca="false">Summary!$C$5+SUM(X$2:X632)</f>
        <v>113026.98</v>
      </c>
      <c r="AE632" s="30" t="n">
        <f aca="false">MAX(AE631,AD632)</f>
        <v>113199.37</v>
      </c>
      <c r="AF632" s="30" t="n">
        <f aca="false">AE632-AD632</f>
        <v>172.389999999999</v>
      </c>
      <c r="AG632" s="29" t="n">
        <f aca="false">IFERROR(AF632/AE632,0)</f>
        <v>0.00152288833409585</v>
      </c>
    </row>
    <row r="633" customFormat="false" ht="15" hidden="false" customHeight="false" outlineLevel="0" collapsed="false">
      <c r="A633" s="28" t="n">
        <v>632</v>
      </c>
      <c r="B633" s="43" t="n">
        <v>45936.6270833333</v>
      </c>
      <c r="C633" s="43" t="n">
        <v>45936.6322337963</v>
      </c>
      <c r="D633" s="42" t="n">
        <f aca="false">INT(C633)</f>
        <v>45936</v>
      </c>
      <c r="E633" s="42" t="n">
        <f aca="false">D633-WEEKDAY(D633,3)</f>
        <v>45936</v>
      </c>
      <c r="F633" s="28" t="s">
        <v>173</v>
      </c>
      <c r="G633" s="28" t="n">
        <v>2025</v>
      </c>
      <c r="H633" s="28" t="s">
        <v>240</v>
      </c>
      <c r="I633" s="28" t="n">
        <v>15</v>
      </c>
      <c r="J633" s="28" t="s">
        <v>233</v>
      </c>
      <c r="K633" s="28" t="s">
        <v>234</v>
      </c>
      <c r="L633" s="28" t="n">
        <v>0.2</v>
      </c>
      <c r="M633" s="31" t="n">
        <v>24995.88</v>
      </c>
      <c r="N633" s="31" t="n">
        <v>24985.82</v>
      </c>
      <c r="O633" s="31" t="n">
        <v>25015.99</v>
      </c>
      <c r="P633" s="44" t="n">
        <f aca="false">ABS(M633-N633)</f>
        <v>10.0600000000013</v>
      </c>
      <c r="Q633" s="44" t="n">
        <f aca="false">IF(O633="","",ABS(O633-M633))</f>
        <v>20.1100000000006</v>
      </c>
      <c r="R633" s="30" t="n">
        <f aca="false">P633*L633*Summary!$C$6</f>
        <v>40.2400000000052</v>
      </c>
      <c r="S633" s="31" t="n">
        <v>25016.06</v>
      </c>
      <c r="T633" s="28" t="s">
        <v>214</v>
      </c>
      <c r="U633" s="44" t="n">
        <f aca="false">IF(J633="BUY",S633-M633,M633-S633)</f>
        <v>20.1800000000003</v>
      </c>
      <c r="V633" s="45" t="n">
        <v>0</v>
      </c>
      <c r="W633" s="45" t="n">
        <v>0</v>
      </c>
      <c r="X633" s="45" t="n">
        <v>80.72</v>
      </c>
      <c r="Y633" s="32" t="n">
        <f aca="false">IFERROR(X633/R633,0)</f>
        <v>2.00596421471147</v>
      </c>
      <c r="Z633" s="28" t="str">
        <f aca="false">IF(X633&gt;0,"Win",IF(X633&lt;0,"Loss","Flat"))</f>
        <v>Win</v>
      </c>
      <c r="AA633" s="28" t="n">
        <f aca="false">ROUND((C633-B633)*1440,1)</f>
        <v>7.4</v>
      </c>
      <c r="AB633" s="28" t="str">
        <f aca="false">IF(AA633&lt;1,"a) &lt;1 min",IF(AA633&lt;10,"b) 1-10 min",IF(AA633&lt;60,"c) 10-60 min",IF(AA633&lt;240,"d) 1-4 h","e) 4 h+"))))</f>
        <v>b) 1-10 min</v>
      </c>
      <c r="AC633" s="28" t="str">
        <f aca="false">IF(P633&lt;10,"a) &lt;10",IF(P633&lt;20,"b) 10-20",IF(P633&lt;40,"c) 20-40",IF(P633&lt;80,"d) 40-80","e) 80+"))))</f>
        <v>b) 10-20</v>
      </c>
      <c r="AD633" s="30" t="n">
        <f aca="false">Summary!$C$5+SUM(X$2:X633)</f>
        <v>113107.7</v>
      </c>
      <c r="AE633" s="30" t="n">
        <f aca="false">MAX(AE632,AD633)</f>
        <v>113199.37</v>
      </c>
      <c r="AF633" s="30" t="n">
        <f aca="false">AE633-AD633</f>
        <v>91.6699999999983</v>
      </c>
      <c r="AG633" s="29" t="n">
        <f aca="false">IFERROR(AF633/AE633,0)</f>
        <v>0.000809810160604235</v>
      </c>
    </row>
    <row r="634" customFormat="false" ht="15" hidden="false" customHeight="false" outlineLevel="0" collapsed="false">
      <c r="A634" s="28" t="n">
        <v>633</v>
      </c>
      <c r="B634" s="43" t="n">
        <v>45937.6659722222</v>
      </c>
      <c r="C634" s="43" t="n">
        <v>45937.6719907407</v>
      </c>
      <c r="D634" s="42" t="n">
        <f aca="false">INT(C634)</f>
        <v>45937</v>
      </c>
      <c r="E634" s="42" t="n">
        <f aca="false">D634-WEEKDAY(D634,3)</f>
        <v>45936</v>
      </c>
      <c r="F634" s="28" t="s">
        <v>173</v>
      </c>
      <c r="G634" s="28" t="n">
        <v>2025</v>
      </c>
      <c r="H634" s="28" t="s">
        <v>232</v>
      </c>
      <c r="I634" s="28" t="n">
        <v>15</v>
      </c>
      <c r="J634" s="28" t="s">
        <v>233</v>
      </c>
      <c r="K634" s="28" t="s">
        <v>234</v>
      </c>
      <c r="L634" s="28" t="n">
        <v>0.2</v>
      </c>
      <c r="M634" s="31" t="n">
        <v>25045.68</v>
      </c>
      <c r="N634" s="31" t="n">
        <v>25035.16</v>
      </c>
      <c r="O634" s="31" t="n">
        <v>25066.73</v>
      </c>
      <c r="P634" s="44" t="n">
        <f aca="false">ABS(M634-N634)</f>
        <v>10.5200000000004</v>
      </c>
      <c r="Q634" s="44" t="n">
        <f aca="false">IF(O634="","",ABS(O634-M634))</f>
        <v>21.0499999999993</v>
      </c>
      <c r="R634" s="30" t="n">
        <f aca="false">P634*L634*Summary!$C$6</f>
        <v>42.0800000000018</v>
      </c>
      <c r="S634" s="31" t="n">
        <v>25066.9</v>
      </c>
      <c r="T634" s="28" t="s">
        <v>214</v>
      </c>
      <c r="U634" s="44" t="n">
        <f aca="false">IF(J634="BUY",S634-M634,M634-S634)</f>
        <v>21.2200000000012</v>
      </c>
      <c r="V634" s="45" t="n">
        <v>0</v>
      </c>
      <c r="W634" s="45" t="n">
        <v>0</v>
      </c>
      <c r="X634" s="45" t="n">
        <v>84.88</v>
      </c>
      <c r="Y634" s="32" t="n">
        <f aca="false">IFERROR(X634/R634,0)</f>
        <v>2.01711026615961</v>
      </c>
      <c r="Z634" s="28" t="str">
        <f aca="false">IF(X634&gt;0,"Win",IF(X634&lt;0,"Loss","Flat"))</f>
        <v>Win</v>
      </c>
      <c r="AA634" s="28" t="n">
        <f aca="false">ROUND((C634-B634)*1440,1)</f>
        <v>8.7</v>
      </c>
      <c r="AB634" s="28" t="str">
        <f aca="false">IF(AA634&lt;1,"a) &lt;1 min",IF(AA634&lt;10,"b) 1-10 min",IF(AA634&lt;60,"c) 10-60 min",IF(AA634&lt;240,"d) 1-4 h","e) 4 h+"))))</f>
        <v>b) 1-10 min</v>
      </c>
      <c r="AC634" s="28" t="str">
        <f aca="false">IF(P634&lt;10,"a) &lt;10",IF(P634&lt;20,"b) 10-20",IF(P634&lt;40,"c) 20-40",IF(P634&lt;80,"d) 40-80","e) 80+"))))</f>
        <v>b) 10-20</v>
      </c>
      <c r="AD634" s="30" t="n">
        <f aca="false">Summary!$C$5+SUM(X$2:X634)</f>
        <v>113192.58</v>
      </c>
      <c r="AE634" s="30" t="n">
        <f aca="false">MAX(AE633,AD634)</f>
        <v>113199.37</v>
      </c>
      <c r="AF634" s="30" t="n">
        <f aca="false">AE634-AD634</f>
        <v>6.7899999999936</v>
      </c>
      <c r="AG634" s="29" t="n">
        <f aca="false">IFERROR(AF634/AE634,0)</f>
        <v>5.99826659812117E-005</v>
      </c>
    </row>
    <row r="635" customFormat="false" ht="15" hidden="false" customHeight="false" outlineLevel="0" collapsed="false">
      <c r="A635" s="28" t="n">
        <v>634</v>
      </c>
      <c r="B635" s="43" t="n">
        <v>45937.7833333333</v>
      </c>
      <c r="C635" s="43" t="n">
        <v>45937.7919444444</v>
      </c>
      <c r="D635" s="42" t="n">
        <f aca="false">INT(C635)</f>
        <v>45937</v>
      </c>
      <c r="E635" s="42" t="n">
        <f aca="false">D635-WEEKDAY(D635,3)</f>
        <v>45936</v>
      </c>
      <c r="F635" s="28" t="s">
        <v>173</v>
      </c>
      <c r="G635" s="28" t="n">
        <v>2025</v>
      </c>
      <c r="H635" s="28" t="s">
        <v>232</v>
      </c>
      <c r="I635" s="28" t="n">
        <v>18</v>
      </c>
      <c r="J635" s="28" t="s">
        <v>236</v>
      </c>
      <c r="K635" s="28" t="s">
        <v>237</v>
      </c>
      <c r="L635" s="28" t="n">
        <v>0.2</v>
      </c>
      <c r="M635" s="31" t="n">
        <v>24792.34</v>
      </c>
      <c r="N635" s="31" t="n">
        <v>24833.73</v>
      </c>
      <c r="O635" s="31" t="n">
        <v>24709.56</v>
      </c>
      <c r="P635" s="44" t="n">
        <f aca="false">ABS(M635-N635)</f>
        <v>41.3899999999994</v>
      </c>
      <c r="Q635" s="44" t="n">
        <f aca="false">IF(O635="","",ABS(O635-M635))</f>
        <v>82.7799999999988</v>
      </c>
      <c r="R635" s="30" t="n">
        <f aca="false">P635*L635*Summary!$C$6</f>
        <v>165.559999999998</v>
      </c>
      <c r="S635" s="31" t="n">
        <v>24833.9</v>
      </c>
      <c r="T635" s="28" t="s">
        <v>241</v>
      </c>
      <c r="U635" s="44" t="n">
        <f aca="false">IF(J635="BUY",S635-M635,M635-S635)</f>
        <v>-41.5600000000013</v>
      </c>
      <c r="V635" s="45" t="n">
        <v>0</v>
      </c>
      <c r="W635" s="45" t="n">
        <v>0</v>
      </c>
      <c r="X635" s="45" t="n">
        <v>-166.24</v>
      </c>
      <c r="Y635" s="32" t="n">
        <f aca="false">IFERROR(X635/R635,0)</f>
        <v>-1.00410727228801</v>
      </c>
      <c r="Z635" s="28" t="str">
        <f aca="false">IF(X635&gt;0,"Win",IF(X635&lt;0,"Loss","Flat"))</f>
        <v>Loss</v>
      </c>
      <c r="AA635" s="28" t="n">
        <f aca="false">ROUND((C635-B635)*1440,1)</f>
        <v>12.4</v>
      </c>
      <c r="AB635" s="28" t="str">
        <f aca="false">IF(AA635&lt;1,"a) &lt;1 min",IF(AA635&lt;10,"b) 1-10 min",IF(AA635&lt;60,"c) 10-60 min",IF(AA635&lt;240,"d) 1-4 h","e) 4 h+"))))</f>
        <v>c) 10-60 min</v>
      </c>
      <c r="AC635" s="28" t="str">
        <f aca="false">IF(P635&lt;10,"a) &lt;10",IF(P635&lt;20,"b) 10-20",IF(P635&lt;40,"c) 20-40",IF(P635&lt;80,"d) 40-80","e) 80+"))))</f>
        <v>d) 40-80</v>
      </c>
      <c r="AD635" s="30" t="n">
        <f aca="false">Summary!$C$5+SUM(X$2:X635)</f>
        <v>113026.34</v>
      </c>
      <c r="AE635" s="30" t="n">
        <f aca="false">MAX(AE634,AD635)</f>
        <v>113199.37</v>
      </c>
      <c r="AF635" s="30" t="n">
        <f aca="false">AE635-AD635</f>
        <v>173.029999999999</v>
      </c>
      <c r="AG635" s="29" t="n">
        <f aca="false">IFERROR(AF635/AE635,0)</f>
        <v>0.00152854207580836</v>
      </c>
    </row>
    <row r="636" customFormat="false" ht="15" hidden="false" customHeight="false" outlineLevel="0" collapsed="false">
      <c r="A636" s="28" t="n">
        <v>635</v>
      </c>
      <c r="B636" s="43" t="n">
        <v>45938.8569444444</v>
      </c>
      <c r="C636" s="43" t="n">
        <v>45938.8699884259</v>
      </c>
      <c r="D636" s="42" t="n">
        <f aca="false">INT(C636)</f>
        <v>45938</v>
      </c>
      <c r="E636" s="42" t="n">
        <f aca="false">D636-WEEKDAY(D636,3)</f>
        <v>45936</v>
      </c>
      <c r="F636" s="28" t="s">
        <v>173</v>
      </c>
      <c r="G636" s="28" t="n">
        <v>2025</v>
      </c>
      <c r="H636" s="28" t="s">
        <v>235</v>
      </c>
      <c r="I636" s="28" t="n">
        <v>20</v>
      </c>
      <c r="J636" s="28" t="s">
        <v>233</v>
      </c>
      <c r="K636" s="28" t="s">
        <v>234</v>
      </c>
      <c r="L636" s="28" t="n">
        <v>0.2</v>
      </c>
      <c r="M636" s="31" t="n">
        <v>25067.27</v>
      </c>
      <c r="N636" s="31" t="n">
        <v>25058.62</v>
      </c>
      <c r="O636" s="31" t="n">
        <v>25084.56</v>
      </c>
      <c r="P636" s="44" t="n">
        <f aca="false">ABS(M636-N636)</f>
        <v>8.65000000000146</v>
      </c>
      <c r="Q636" s="44" t="n">
        <f aca="false">IF(O636="","",ABS(O636-M636))</f>
        <v>17.2900000000009</v>
      </c>
      <c r="R636" s="30" t="n">
        <f aca="false">P636*L636*Summary!$C$6</f>
        <v>34.6000000000058</v>
      </c>
      <c r="S636" s="31" t="n">
        <v>25067.23</v>
      </c>
      <c r="T636" s="28" t="s">
        <v>238</v>
      </c>
      <c r="U636" s="44" t="n">
        <f aca="false">IF(J636="BUY",S636-M636,M636-S636)</f>
        <v>-0.0400000000008731</v>
      </c>
      <c r="V636" s="45" t="n">
        <v>0</v>
      </c>
      <c r="W636" s="45" t="n">
        <v>0</v>
      </c>
      <c r="X636" s="45" t="n">
        <v>-0.16</v>
      </c>
      <c r="Y636" s="32" t="n">
        <f aca="false">IFERROR(X636/R636,0)</f>
        <v>-0.00462427745664662</v>
      </c>
      <c r="Z636" s="28" t="str">
        <f aca="false">IF(X636&gt;0,"Win",IF(X636&lt;0,"Loss","Flat"))</f>
        <v>Loss</v>
      </c>
      <c r="AA636" s="28" t="n">
        <f aca="false">ROUND((C636-B636)*1440,1)</f>
        <v>18.8</v>
      </c>
      <c r="AB636" s="28" t="str">
        <f aca="false">IF(AA636&lt;1,"a) &lt;1 min",IF(AA636&lt;10,"b) 1-10 min",IF(AA636&lt;60,"c) 10-60 min",IF(AA636&lt;240,"d) 1-4 h","e) 4 h+"))))</f>
        <v>c) 10-60 min</v>
      </c>
      <c r="AC636" s="28" t="str">
        <f aca="false">IF(P636&lt;10,"a) &lt;10",IF(P636&lt;20,"b) 10-20",IF(P636&lt;40,"c) 20-40",IF(P636&lt;80,"d) 40-80","e) 80+"))))</f>
        <v>a) &lt;10</v>
      </c>
      <c r="AD636" s="30" t="n">
        <f aca="false">Summary!$C$5+SUM(X$2:X636)</f>
        <v>113026.18</v>
      </c>
      <c r="AE636" s="30" t="n">
        <f aca="false">MAX(AE635,AD636)</f>
        <v>113199.37</v>
      </c>
      <c r="AF636" s="30" t="n">
        <f aca="false">AE636-AD636</f>
        <v>173.190000000002</v>
      </c>
      <c r="AG636" s="29" t="n">
        <f aca="false">IFERROR(AF636/AE636,0)</f>
        <v>0.00152995551123652</v>
      </c>
    </row>
    <row r="637" customFormat="false" ht="15" hidden="false" customHeight="false" outlineLevel="0" collapsed="false">
      <c r="A637" s="28" t="n">
        <v>636</v>
      </c>
      <c r="B637" s="43" t="n">
        <v>45939.0423611111</v>
      </c>
      <c r="C637" s="43" t="n">
        <v>45939.0522337963</v>
      </c>
      <c r="D637" s="42" t="n">
        <f aca="false">INT(C637)</f>
        <v>45939</v>
      </c>
      <c r="E637" s="42" t="n">
        <f aca="false">D637-WEEKDAY(D637,3)</f>
        <v>45936</v>
      </c>
      <c r="F637" s="28" t="s">
        <v>173</v>
      </c>
      <c r="G637" s="28" t="n">
        <v>2025</v>
      </c>
      <c r="H637" s="28" t="s">
        <v>239</v>
      </c>
      <c r="I637" s="28" t="n">
        <v>1</v>
      </c>
      <c r="J637" s="28" t="s">
        <v>233</v>
      </c>
      <c r="K637" s="28" t="s">
        <v>234</v>
      </c>
      <c r="L637" s="28" t="n">
        <v>0.2</v>
      </c>
      <c r="M637" s="31" t="n">
        <v>25147.47</v>
      </c>
      <c r="N637" s="31" t="n">
        <v>25137.22</v>
      </c>
      <c r="O637" s="31" t="n">
        <v>25165.75</v>
      </c>
      <c r="P637" s="44" t="n">
        <f aca="false">ABS(M637-N637)</f>
        <v>10.25</v>
      </c>
      <c r="Q637" s="44" t="n">
        <f aca="false">IF(O637="","",ABS(O637-M637))</f>
        <v>18.2799999999988</v>
      </c>
      <c r="R637" s="30" t="n">
        <f aca="false">P637*L637*Summary!$C$6</f>
        <v>41</v>
      </c>
      <c r="S637" s="31" t="n">
        <v>25165.85</v>
      </c>
      <c r="T637" s="28" t="s">
        <v>214</v>
      </c>
      <c r="U637" s="44" t="n">
        <f aca="false">IF(J637="BUY",S637-M637,M637-S637)</f>
        <v>18.3799999999974</v>
      </c>
      <c r="V637" s="45" t="n">
        <v>0</v>
      </c>
      <c r="W637" s="45" t="n">
        <v>0</v>
      </c>
      <c r="X637" s="45" t="n">
        <v>73.52</v>
      </c>
      <c r="Y637" s="32" t="n">
        <f aca="false">IFERROR(X637/R637,0)</f>
        <v>1.79317073170732</v>
      </c>
      <c r="Z637" s="28" t="str">
        <f aca="false">IF(X637&gt;0,"Win",IF(X637&lt;0,"Loss","Flat"))</f>
        <v>Win</v>
      </c>
      <c r="AA637" s="28" t="n">
        <f aca="false">ROUND((C637-B637)*1440,1)</f>
        <v>14.2</v>
      </c>
      <c r="AB637" s="28" t="str">
        <f aca="false">IF(AA637&lt;1,"a) &lt;1 min",IF(AA637&lt;10,"b) 1-10 min",IF(AA637&lt;60,"c) 10-60 min",IF(AA637&lt;240,"d) 1-4 h","e) 4 h+"))))</f>
        <v>c) 10-60 min</v>
      </c>
      <c r="AC637" s="28" t="str">
        <f aca="false">IF(P637&lt;10,"a) &lt;10",IF(P637&lt;20,"b) 10-20",IF(P637&lt;40,"c) 20-40",IF(P637&lt;80,"d) 40-80","e) 80+"))))</f>
        <v>b) 10-20</v>
      </c>
      <c r="AD637" s="30" t="n">
        <f aca="false">Summary!$C$5+SUM(X$2:X637)</f>
        <v>113099.7</v>
      </c>
      <c r="AE637" s="30" t="n">
        <f aca="false">MAX(AE636,AD637)</f>
        <v>113199.37</v>
      </c>
      <c r="AF637" s="30" t="n">
        <f aca="false">AE637-AD637</f>
        <v>99.6699999999983</v>
      </c>
      <c r="AG637" s="29" t="n">
        <f aca="false">IFERROR(AF637/AE637,0)</f>
        <v>0.000880481932010737</v>
      </c>
    </row>
    <row r="638" customFormat="false" ht="15" hidden="false" customHeight="false" outlineLevel="0" collapsed="false">
      <c r="A638" s="28" t="n">
        <v>637</v>
      </c>
      <c r="B638" s="43" t="n">
        <v>45940.6986111111</v>
      </c>
      <c r="C638" s="43" t="n">
        <v>45940.7012731481</v>
      </c>
      <c r="D638" s="42" t="n">
        <f aca="false">INT(C638)</f>
        <v>45940</v>
      </c>
      <c r="E638" s="42" t="n">
        <f aca="false">D638-WEEKDAY(D638,3)</f>
        <v>45936</v>
      </c>
      <c r="F638" s="28" t="s">
        <v>173</v>
      </c>
      <c r="G638" s="28" t="n">
        <v>2025</v>
      </c>
      <c r="H638" s="28" t="s">
        <v>242</v>
      </c>
      <c r="I638" s="28" t="n">
        <v>16</v>
      </c>
      <c r="J638" s="28" t="s">
        <v>233</v>
      </c>
      <c r="K638" s="28" t="s">
        <v>234</v>
      </c>
      <c r="L638" s="28" t="n">
        <v>0.2</v>
      </c>
      <c r="M638" s="31" t="n">
        <v>25196.12</v>
      </c>
      <c r="N638" s="31" t="n">
        <v>25166.65</v>
      </c>
      <c r="O638" s="31" t="n">
        <v>25255.07</v>
      </c>
      <c r="P638" s="44" t="n">
        <f aca="false">ABS(M638-N638)</f>
        <v>29.4699999999975</v>
      </c>
      <c r="Q638" s="44" t="n">
        <f aca="false">IF(O638="","",ABS(O638-M638))</f>
        <v>58.9500000000007</v>
      </c>
      <c r="R638" s="30" t="n">
        <f aca="false">P638*L638*Summary!$C$6</f>
        <v>117.87999999999</v>
      </c>
      <c r="S638" s="31" t="n">
        <v>25154.74</v>
      </c>
      <c r="T638" s="28" t="s">
        <v>241</v>
      </c>
      <c r="U638" s="44" t="n">
        <f aca="false">IF(J638="BUY",S638-M638,M638-S638)</f>
        <v>-41.3799999999974</v>
      </c>
      <c r="V638" s="45" t="n">
        <v>0</v>
      </c>
      <c r="W638" s="45" t="n">
        <v>0</v>
      </c>
      <c r="X638" s="45" t="n">
        <v>-165.52</v>
      </c>
      <c r="Y638" s="32" t="n">
        <f aca="false">IFERROR(X638/R638,0)</f>
        <v>-1.4041398031898</v>
      </c>
      <c r="Z638" s="28" t="str">
        <f aca="false">IF(X638&gt;0,"Win",IF(X638&lt;0,"Loss","Flat"))</f>
        <v>Loss</v>
      </c>
      <c r="AA638" s="28" t="n">
        <f aca="false">ROUND((C638-B638)*1440,1)</f>
        <v>3.8</v>
      </c>
      <c r="AB638" s="28" t="str">
        <f aca="false">IF(AA638&lt;1,"a) &lt;1 min",IF(AA638&lt;10,"b) 1-10 min",IF(AA638&lt;60,"c) 10-60 min",IF(AA638&lt;240,"d) 1-4 h","e) 4 h+"))))</f>
        <v>b) 1-10 min</v>
      </c>
      <c r="AC638" s="28" t="str">
        <f aca="false">IF(P638&lt;10,"a) &lt;10",IF(P638&lt;20,"b) 10-20",IF(P638&lt;40,"c) 20-40",IF(P638&lt;80,"d) 40-80","e) 80+"))))</f>
        <v>c) 20-40</v>
      </c>
      <c r="AD638" s="30" t="n">
        <f aca="false">Summary!$C$5+SUM(X$2:X638)</f>
        <v>112934.18</v>
      </c>
      <c r="AE638" s="30" t="n">
        <f aca="false">MAX(AE637,AD638)</f>
        <v>113199.37</v>
      </c>
      <c r="AF638" s="30" t="n">
        <f aca="false">AE638-AD638</f>
        <v>265.190000000002</v>
      </c>
      <c r="AG638" s="29" t="n">
        <f aca="false">IFERROR(AF638/AE638,0)</f>
        <v>0.00234268088241129</v>
      </c>
    </row>
    <row r="639" customFormat="false" ht="15" hidden="false" customHeight="false" outlineLevel="0" collapsed="false">
      <c r="A639" s="28" t="n">
        <v>638</v>
      </c>
      <c r="B639" s="43" t="n">
        <v>45940.7506944445</v>
      </c>
      <c r="C639" s="43" t="n">
        <v>45940.7628356482</v>
      </c>
      <c r="D639" s="42" t="n">
        <f aca="false">INT(C639)</f>
        <v>45940</v>
      </c>
      <c r="E639" s="42" t="n">
        <f aca="false">D639-WEEKDAY(D639,3)</f>
        <v>45936</v>
      </c>
      <c r="F639" s="28" t="s">
        <v>173</v>
      </c>
      <c r="G639" s="28" t="n">
        <v>2025</v>
      </c>
      <c r="H639" s="28" t="s">
        <v>242</v>
      </c>
      <c r="I639" s="28" t="n">
        <v>18</v>
      </c>
      <c r="J639" s="28" t="s">
        <v>236</v>
      </c>
      <c r="K639" s="28" t="s">
        <v>237</v>
      </c>
      <c r="L639" s="28" t="n">
        <v>0.2</v>
      </c>
      <c r="M639" s="31" t="n">
        <v>24919.33</v>
      </c>
      <c r="N639" s="31" t="n">
        <v>24992.1</v>
      </c>
      <c r="O639" s="31" t="n">
        <v>24772.88</v>
      </c>
      <c r="P639" s="44" t="n">
        <f aca="false">ABS(M639-N639)</f>
        <v>72.7699999999968</v>
      </c>
      <c r="Q639" s="44" t="n">
        <f aca="false">IF(O639="","",ABS(O639-M639))</f>
        <v>146.450000000001</v>
      </c>
      <c r="R639" s="30" t="n">
        <f aca="false">P639*L639*Summary!$C$6</f>
        <v>291.079999999987</v>
      </c>
      <c r="S639" s="31" t="n">
        <v>24772.41</v>
      </c>
      <c r="T639" s="28" t="s">
        <v>214</v>
      </c>
      <c r="U639" s="44" t="n">
        <f aca="false">IF(J639="BUY",S639-M639,M639-S639)</f>
        <v>146.920000000002</v>
      </c>
      <c r="V639" s="45" t="n">
        <v>0</v>
      </c>
      <c r="W639" s="45" t="n">
        <v>0</v>
      </c>
      <c r="X639" s="45" t="n">
        <v>587.68</v>
      </c>
      <c r="Y639" s="32" t="n">
        <f aca="false">IFERROR(X639/R639,0)</f>
        <v>2.01896385873308</v>
      </c>
      <c r="Z639" s="28" t="str">
        <f aca="false">IF(X639&gt;0,"Win",IF(X639&lt;0,"Loss","Flat"))</f>
        <v>Win</v>
      </c>
      <c r="AA639" s="28" t="n">
        <f aca="false">ROUND((C639-B639)*1440,1)</f>
        <v>17.5</v>
      </c>
      <c r="AB639" s="28" t="str">
        <f aca="false">IF(AA639&lt;1,"a) &lt;1 min",IF(AA639&lt;10,"b) 1-10 min",IF(AA639&lt;60,"c) 10-60 min",IF(AA639&lt;240,"d) 1-4 h","e) 4 h+"))))</f>
        <v>c) 10-60 min</v>
      </c>
      <c r="AC639" s="28" t="str">
        <f aca="false">IF(P639&lt;10,"a) &lt;10",IF(P639&lt;20,"b) 10-20",IF(P639&lt;40,"c) 20-40",IF(P639&lt;80,"d) 40-80","e) 80+"))))</f>
        <v>d) 40-80</v>
      </c>
      <c r="AD639" s="30" t="n">
        <f aca="false">Summary!$C$5+SUM(X$2:X639)</f>
        <v>113521.86</v>
      </c>
      <c r="AE639" s="30" t="n">
        <f aca="false">MAX(AE638,AD639)</f>
        <v>113521.86</v>
      </c>
      <c r="AF639" s="30" t="n">
        <f aca="false">AE639-AD639</f>
        <v>0</v>
      </c>
      <c r="AG639" s="29" t="n">
        <f aca="false">IFERROR(AF639/AE639,0)</f>
        <v>0</v>
      </c>
    </row>
    <row r="640" customFormat="false" ht="15" hidden="false" customHeight="false" outlineLevel="0" collapsed="false">
      <c r="A640" s="28" t="n">
        <v>639</v>
      </c>
      <c r="B640" s="43" t="n">
        <v>45944.1368055556</v>
      </c>
      <c r="C640" s="43" t="n">
        <v>45944.1460532407</v>
      </c>
      <c r="D640" s="42" t="n">
        <f aca="false">INT(C640)</f>
        <v>45944</v>
      </c>
      <c r="E640" s="42" t="n">
        <f aca="false">D640-WEEKDAY(D640,3)</f>
        <v>45943</v>
      </c>
      <c r="F640" s="28" t="s">
        <v>173</v>
      </c>
      <c r="G640" s="28" t="n">
        <v>2025</v>
      </c>
      <c r="H640" s="28" t="s">
        <v>232</v>
      </c>
      <c r="I640" s="28" t="n">
        <v>3</v>
      </c>
      <c r="J640" s="28" t="s">
        <v>233</v>
      </c>
      <c r="K640" s="28" t="s">
        <v>234</v>
      </c>
      <c r="L640" s="28" t="n">
        <v>0.2</v>
      </c>
      <c r="M640" s="31" t="n">
        <v>24790.71</v>
      </c>
      <c r="N640" s="31" t="n">
        <v>24774.24</v>
      </c>
      <c r="O640" s="31" t="n">
        <v>24824.97</v>
      </c>
      <c r="P640" s="44" t="n">
        <f aca="false">ABS(M640-N640)</f>
        <v>16.4699999999975</v>
      </c>
      <c r="Q640" s="44" t="n">
        <f aca="false">IF(O640="","",ABS(O640-M640))</f>
        <v>34.260000000002</v>
      </c>
      <c r="R640" s="30" t="n">
        <f aca="false">P640*L640*Summary!$C$6</f>
        <v>65.8799999999901</v>
      </c>
      <c r="S640" s="31" t="n">
        <v>24825.26</v>
      </c>
      <c r="T640" s="28" t="s">
        <v>214</v>
      </c>
      <c r="U640" s="44" t="n">
        <f aca="false">IF(J640="BUY",S640-M640,M640-S640)</f>
        <v>34.5499999999993</v>
      </c>
      <c r="V640" s="45" t="n">
        <v>0</v>
      </c>
      <c r="W640" s="45" t="n">
        <v>0</v>
      </c>
      <c r="X640" s="45" t="n">
        <v>138.2</v>
      </c>
      <c r="Y640" s="32" t="n">
        <f aca="false">IFERROR(X640/R640,0)</f>
        <v>2.09775349119643</v>
      </c>
      <c r="Z640" s="28" t="str">
        <f aca="false">IF(X640&gt;0,"Win",IF(X640&lt;0,"Loss","Flat"))</f>
        <v>Win</v>
      </c>
      <c r="AA640" s="28" t="n">
        <f aca="false">ROUND((C640-B640)*1440,1)</f>
        <v>13.3</v>
      </c>
      <c r="AB640" s="28" t="str">
        <f aca="false">IF(AA640&lt;1,"a) &lt;1 min",IF(AA640&lt;10,"b) 1-10 min",IF(AA640&lt;60,"c) 10-60 min",IF(AA640&lt;240,"d) 1-4 h","e) 4 h+"))))</f>
        <v>c) 10-60 min</v>
      </c>
      <c r="AC640" s="28" t="str">
        <f aca="false">IF(P640&lt;10,"a) &lt;10",IF(P640&lt;20,"b) 10-20",IF(P640&lt;40,"c) 20-40",IF(P640&lt;80,"d) 40-80","e) 80+"))))</f>
        <v>b) 10-20</v>
      </c>
      <c r="AD640" s="30" t="n">
        <f aca="false">Summary!$C$5+SUM(X$2:X640)</f>
        <v>113660.06</v>
      </c>
      <c r="AE640" s="30" t="n">
        <f aca="false">MAX(AE639,AD640)</f>
        <v>113660.06</v>
      </c>
      <c r="AF640" s="30" t="n">
        <f aca="false">AE640-AD640</f>
        <v>0</v>
      </c>
      <c r="AG640" s="29" t="n">
        <f aca="false">IFERROR(AF640/AE640,0)</f>
        <v>0</v>
      </c>
    </row>
    <row r="641" customFormat="false" ht="15" hidden="false" customHeight="false" outlineLevel="0" collapsed="false">
      <c r="A641" s="28" t="n">
        <v>640</v>
      </c>
      <c r="B641" s="43" t="n">
        <v>45944.5638888889</v>
      </c>
      <c r="C641" s="43" t="n">
        <v>45944.5830208333</v>
      </c>
      <c r="D641" s="42" t="n">
        <f aca="false">INT(C641)</f>
        <v>45944</v>
      </c>
      <c r="E641" s="42" t="n">
        <f aca="false">D641-WEEKDAY(D641,3)</f>
        <v>45943</v>
      </c>
      <c r="F641" s="28" t="s">
        <v>173</v>
      </c>
      <c r="G641" s="28" t="n">
        <v>2025</v>
      </c>
      <c r="H641" s="28" t="s">
        <v>232</v>
      </c>
      <c r="I641" s="28" t="n">
        <v>13</v>
      </c>
      <c r="J641" s="28" t="s">
        <v>236</v>
      </c>
      <c r="K641" s="28" t="s">
        <v>237</v>
      </c>
      <c r="L641" s="28" t="n">
        <v>0.2</v>
      </c>
      <c r="M641" s="31" t="n">
        <v>24378.15</v>
      </c>
      <c r="N641" s="31" t="n">
        <v>24409.49</v>
      </c>
      <c r="O641" s="31" t="n">
        <v>24318.62</v>
      </c>
      <c r="P641" s="44" t="n">
        <f aca="false">ABS(M641-N641)</f>
        <v>31.3400000000001</v>
      </c>
      <c r="Q641" s="44" t="n">
        <f aca="false">IF(O641="","",ABS(O641-M641))</f>
        <v>59.5300000000025</v>
      </c>
      <c r="R641" s="30" t="n">
        <f aca="false">P641*L641*Summary!$C$6</f>
        <v>125.360000000001</v>
      </c>
      <c r="S641" s="31" t="n">
        <v>24378.22</v>
      </c>
      <c r="T641" s="28" t="s">
        <v>238</v>
      </c>
      <c r="U641" s="44" t="n">
        <f aca="false">IF(J641="BUY",S641-M641,M641-S641)</f>
        <v>-0.069999999999709</v>
      </c>
      <c r="V641" s="45" t="n">
        <v>0</v>
      </c>
      <c r="W641" s="45" t="n">
        <v>0</v>
      </c>
      <c r="X641" s="45" t="n">
        <v>-0.28</v>
      </c>
      <c r="Y641" s="32" t="n">
        <f aca="false">IFERROR(X641/R641,0)</f>
        <v>-0.00223356732610082</v>
      </c>
      <c r="Z641" s="28" t="str">
        <f aca="false">IF(X641&gt;0,"Win",IF(X641&lt;0,"Loss","Flat"))</f>
        <v>Loss</v>
      </c>
      <c r="AA641" s="28" t="n">
        <f aca="false">ROUND((C641-B641)*1440,1)</f>
        <v>27.6</v>
      </c>
      <c r="AB641" s="28" t="str">
        <f aca="false">IF(AA641&lt;1,"a) &lt;1 min",IF(AA641&lt;10,"b) 1-10 min",IF(AA641&lt;60,"c) 10-60 min",IF(AA641&lt;240,"d) 1-4 h","e) 4 h+"))))</f>
        <v>c) 10-60 min</v>
      </c>
      <c r="AC641" s="28" t="str">
        <f aca="false">IF(P641&lt;10,"a) &lt;10",IF(P641&lt;20,"b) 10-20",IF(P641&lt;40,"c) 20-40",IF(P641&lt;80,"d) 40-80","e) 80+"))))</f>
        <v>c) 20-40</v>
      </c>
      <c r="AD641" s="30" t="n">
        <f aca="false">Summary!$C$5+SUM(X$2:X641)</f>
        <v>113659.78</v>
      </c>
      <c r="AE641" s="30" t="n">
        <f aca="false">MAX(AE640,AD641)</f>
        <v>113660.06</v>
      </c>
      <c r="AF641" s="30" t="n">
        <f aca="false">AE641-AD641</f>
        <v>0.279999999998836</v>
      </c>
      <c r="AG641" s="29" t="n">
        <f aca="false">IFERROR(AF641/AE641,0)</f>
        <v>2.46348629411982E-006</v>
      </c>
    </row>
    <row r="642" customFormat="false" ht="15" hidden="false" customHeight="false" outlineLevel="0" collapsed="false">
      <c r="A642" s="28" t="n">
        <v>641</v>
      </c>
      <c r="B642" s="43" t="n">
        <v>45945.7125</v>
      </c>
      <c r="C642" s="43" t="n">
        <v>45945.7585300926</v>
      </c>
      <c r="D642" s="42" t="n">
        <f aca="false">INT(C642)</f>
        <v>45945</v>
      </c>
      <c r="E642" s="42" t="n">
        <f aca="false">D642-WEEKDAY(D642,3)</f>
        <v>45943</v>
      </c>
      <c r="F642" s="28" t="s">
        <v>173</v>
      </c>
      <c r="G642" s="28" t="n">
        <v>2025</v>
      </c>
      <c r="H642" s="28" t="s">
        <v>235</v>
      </c>
      <c r="I642" s="28" t="n">
        <v>17</v>
      </c>
      <c r="J642" s="28" t="s">
        <v>233</v>
      </c>
      <c r="K642" s="28" t="s">
        <v>234</v>
      </c>
      <c r="L642" s="28" t="n">
        <v>0.2</v>
      </c>
      <c r="M642" s="31" t="n">
        <v>24881.43</v>
      </c>
      <c r="N642" s="31" t="n">
        <v>24850.97</v>
      </c>
      <c r="O642" s="31" t="n">
        <v>24941.6</v>
      </c>
      <c r="P642" s="44" t="n">
        <f aca="false">ABS(M642-N642)</f>
        <v>30.4599999999991</v>
      </c>
      <c r="Q642" s="44" t="n">
        <f aca="false">IF(O642="","",ABS(O642-M642))</f>
        <v>60.1699999999983</v>
      </c>
      <c r="R642" s="30" t="n">
        <f aca="false">P642*L642*Summary!$C$6</f>
        <v>121.839999999997</v>
      </c>
      <c r="S642" s="31" t="n">
        <v>24881.41</v>
      </c>
      <c r="T642" s="28" t="s">
        <v>238</v>
      </c>
      <c r="U642" s="44" t="n">
        <f aca="false">IF(J642="BUY",S642-M642,M642-S642)</f>
        <v>-0.0200000000004366</v>
      </c>
      <c r="V642" s="45" t="n">
        <v>0</v>
      </c>
      <c r="W642" s="45" t="n">
        <v>0</v>
      </c>
      <c r="X642" s="45" t="n">
        <v>-0.08</v>
      </c>
      <c r="Y642" s="32" t="n">
        <f aca="false">IFERROR(X642/R642,0)</f>
        <v>-0.000656598818122146</v>
      </c>
      <c r="Z642" s="28" t="str">
        <f aca="false">IF(X642&gt;0,"Win",IF(X642&lt;0,"Loss","Flat"))</f>
        <v>Loss</v>
      </c>
      <c r="AA642" s="28" t="n">
        <f aca="false">ROUND((C642-B642)*1440,1)</f>
        <v>66.3</v>
      </c>
      <c r="AB642" s="28" t="str">
        <f aca="false">IF(AA642&lt;1,"a) &lt;1 min",IF(AA642&lt;10,"b) 1-10 min",IF(AA642&lt;60,"c) 10-60 min",IF(AA642&lt;240,"d) 1-4 h","e) 4 h+"))))</f>
        <v>d) 1-4 h</v>
      </c>
      <c r="AC642" s="28" t="str">
        <f aca="false">IF(P642&lt;10,"a) &lt;10",IF(P642&lt;20,"b) 10-20",IF(P642&lt;40,"c) 20-40",IF(P642&lt;80,"d) 40-80","e) 80+"))))</f>
        <v>c) 20-40</v>
      </c>
      <c r="AD642" s="30" t="n">
        <f aca="false">Summary!$C$5+SUM(X$2:X642)</f>
        <v>113659.7</v>
      </c>
      <c r="AE642" s="30" t="n">
        <f aca="false">MAX(AE641,AD642)</f>
        <v>113660.06</v>
      </c>
      <c r="AF642" s="30" t="n">
        <f aca="false">AE642-AD642</f>
        <v>0.360000000000582</v>
      </c>
      <c r="AG642" s="29" t="n">
        <f aca="false">IFERROR(AF642/AE642,0)</f>
        <v>3.16733952102948E-006</v>
      </c>
    </row>
    <row r="643" customFormat="false" ht="15" hidden="false" customHeight="false" outlineLevel="0" collapsed="false">
      <c r="A643" s="28" t="n">
        <v>642</v>
      </c>
      <c r="B643" s="43" t="n">
        <v>45946.6986111111</v>
      </c>
      <c r="C643" s="43" t="n">
        <v>45946.6997453704</v>
      </c>
      <c r="D643" s="42" t="n">
        <f aca="false">INT(C643)</f>
        <v>45946</v>
      </c>
      <c r="E643" s="42" t="n">
        <f aca="false">D643-WEEKDAY(D643,3)</f>
        <v>45943</v>
      </c>
      <c r="F643" s="28" t="s">
        <v>173</v>
      </c>
      <c r="G643" s="28" t="n">
        <v>2025</v>
      </c>
      <c r="H643" s="28" t="s">
        <v>239</v>
      </c>
      <c r="I643" s="28" t="n">
        <v>16</v>
      </c>
      <c r="J643" s="28" t="s">
        <v>233</v>
      </c>
      <c r="K643" s="28" t="s">
        <v>234</v>
      </c>
      <c r="L643" s="28" t="n">
        <v>0.2</v>
      </c>
      <c r="M643" s="31" t="n">
        <v>24950.21</v>
      </c>
      <c r="N643" s="31" t="n">
        <v>24902.22</v>
      </c>
      <c r="O643" s="31" t="n">
        <v>25046.19</v>
      </c>
      <c r="P643" s="44" t="n">
        <f aca="false">ABS(M643-N643)</f>
        <v>47.989999999998</v>
      </c>
      <c r="Q643" s="44" t="n">
        <f aca="false">IF(O643="","",ABS(O643-M643))</f>
        <v>95.9799999999996</v>
      </c>
      <c r="R643" s="30" t="n">
        <f aca="false">P643*L643*Summary!$C$6</f>
        <v>191.959999999992</v>
      </c>
      <c r="S643" s="31" t="n">
        <v>24901.89</v>
      </c>
      <c r="T643" s="28" t="s">
        <v>241</v>
      </c>
      <c r="U643" s="44" t="n">
        <f aca="false">IF(J643="BUY",S643-M643,M643-S643)</f>
        <v>-48.3199999999997</v>
      </c>
      <c r="V643" s="45" t="n">
        <v>0</v>
      </c>
      <c r="W643" s="45" t="n">
        <v>0</v>
      </c>
      <c r="X643" s="45" t="n">
        <v>-193.28</v>
      </c>
      <c r="Y643" s="32" t="n">
        <f aca="false">IFERROR(X643/R643,0)</f>
        <v>-1.00687643259017</v>
      </c>
      <c r="Z643" s="28" t="str">
        <f aca="false">IF(X643&gt;0,"Win",IF(X643&lt;0,"Loss","Flat"))</f>
        <v>Loss</v>
      </c>
      <c r="AA643" s="28" t="n">
        <f aca="false">ROUND((C643-B643)*1440,1)</f>
        <v>1.6</v>
      </c>
      <c r="AB643" s="28" t="str">
        <f aca="false">IF(AA643&lt;1,"a) &lt;1 min",IF(AA643&lt;10,"b) 1-10 min",IF(AA643&lt;60,"c) 10-60 min",IF(AA643&lt;240,"d) 1-4 h","e) 4 h+"))))</f>
        <v>b) 1-10 min</v>
      </c>
      <c r="AC643" s="28" t="str">
        <f aca="false">IF(P643&lt;10,"a) &lt;10",IF(P643&lt;20,"b) 10-20",IF(P643&lt;40,"c) 20-40",IF(P643&lt;80,"d) 40-80","e) 80+"))))</f>
        <v>d) 40-80</v>
      </c>
      <c r="AD643" s="30" t="n">
        <f aca="false">Summary!$C$5+SUM(X$2:X643)</f>
        <v>113466.42</v>
      </c>
      <c r="AE643" s="30" t="n">
        <f aca="false">MAX(AE642,AD643)</f>
        <v>113660.06</v>
      </c>
      <c r="AF643" s="30" t="n">
        <f aca="false">AE643-AD643</f>
        <v>193.639999999999</v>
      </c>
      <c r="AG643" s="29" t="n">
        <f aca="false">IFERROR(AF643/AE643,0)</f>
        <v>0.00170367673569765</v>
      </c>
    </row>
    <row r="644" customFormat="false" ht="15" hidden="false" customHeight="false" outlineLevel="0" collapsed="false">
      <c r="A644" s="28" t="n">
        <v>643</v>
      </c>
      <c r="B644" s="43" t="n">
        <v>45946.8993055556</v>
      </c>
      <c r="C644" s="43" t="n">
        <v>45946.8998263889</v>
      </c>
      <c r="D644" s="42" t="n">
        <f aca="false">INT(C644)</f>
        <v>45946</v>
      </c>
      <c r="E644" s="42" t="n">
        <f aca="false">D644-WEEKDAY(D644,3)</f>
        <v>45943</v>
      </c>
      <c r="F644" s="28" t="s">
        <v>173</v>
      </c>
      <c r="G644" s="28" t="n">
        <v>2025</v>
      </c>
      <c r="H644" s="28" t="s">
        <v>239</v>
      </c>
      <c r="I644" s="28" t="n">
        <v>21</v>
      </c>
      <c r="J644" s="28" t="s">
        <v>236</v>
      </c>
      <c r="K644" s="28" t="s">
        <v>237</v>
      </c>
      <c r="L644" s="28" t="n">
        <v>0.2</v>
      </c>
      <c r="M644" s="31" t="n">
        <v>24483.78</v>
      </c>
      <c r="N644" s="31" t="n">
        <v>24530.64</v>
      </c>
      <c r="O644" s="31" t="n">
        <v>24386.89</v>
      </c>
      <c r="P644" s="44" t="n">
        <f aca="false">ABS(M644-N644)</f>
        <v>46.8600000000006</v>
      </c>
      <c r="Q644" s="44" t="n">
        <f aca="false">IF(O644="","",ABS(O644-M644))</f>
        <v>96.8899999999994</v>
      </c>
      <c r="R644" s="30" t="n">
        <f aca="false">P644*L644*Summary!$C$6</f>
        <v>187.440000000002</v>
      </c>
      <c r="S644" s="31" t="n">
        <v>24530.71</v>
      </c>
      <c r="T644" s="28" t="s">
        <v>241</v>
      </c>
      <c r="U644" s="44" t="n">
        <f aca="false">IF(J644="BUY",S644-M644,M644-S644)</f>
        <v>-46.9300000000003</v>
      </c>
      <c r="V644" s="45" t="n">
        <v>0</v>
      </c>
      <c r="W644" s="45" t="n">
        <v>0</v>
      </c>
      <c r="X644" s="45" t="n">
        <v>-187.72</v>
      </c>
      <c r="Y644" s="32" t="n">
        <f aca="false">IFERROR(X644/R644,0)</f>
        <v>-1.00149381135295</v>
      </c>
      <c r="Z644" s="28" t="str">
        <f aca="false">IF(X644&gt;0,"Win",IF(X644&lt;0,"Loss","Flat"))</f>
        <v>Loss</v>
      </c>
      <c r="AA644" s="28" t="n">
        <f aca="false">ROUND((C644-B644)*1440,1)</f>
        <v>0.8</v>
      </c>
      <c r="AB644" s="28" t="str">
        <f aca="false">IF(AA644&lt;1,"a) &lt;1 min",IF(AA644&lt;10,"b) 1-10 min",IF(AA644&lt;60,"c) 10-60 min",IF(AA644&lt;240,"d) 1-4 h","e) 4 h+"))))</f>
        <v>a) &lt;1 min</v>
      </c>
      <c r="AC644" s="28" t="str">
        <f aca="false">IF(P644&lt;10,"a) &lt;10",IF(P644&lt;20,"b) 10-20",IF(P644&lt;40,"c) 20-40",IF(P644&lt;80,"d) 40-80","e) 80+"))))</f>
        <v>d) 40-80</v>
      </c>
      <c r="AD644" s="30" t="n">
        <f aca="false">Summary!$C$5+SUM(X$2:X644)</f>
        <v>113278.7</v>
      </c>
      <c r="AE644" s="30" t="n">
        <f aca="false">MAX(AE643,AD644)</f>
        <v>113660.06</v>
      </c>
      <c r="AF644" s="30" t="n">
        <f aca="false">AE644-AD644</f>
        <v>381.360000000001</v>
      </c>
      <c r="AG644" s="29" t="n">
        <f aca="false">IFERROR(AF644/AE644,0)</f>
        <v>0.00335526833260514</v>
      </c>
    </row>
    <row r="645" customFormat="false" ht="15" hidden="false" customHeight="false" outlineLevel="0" collapsed="false">
      <c r="A645" s="28" t="n">
        <v>644</v>
      </c>
      <c r="B645" s="43" t="n">
        <v>45947.3604166667</v>
      </c>
      <c r="C645" s="43" t="n">
        <v>45947.370787037</v>
      </c>
      <c r="D645" s="42" t="n">
        <f aca="false">INT(C645)</f>
        <v>45947</v>
      </c>
      <c r="E645" s="42" t="n">
        <f aca="false">D645-WEEKDAY(D645,3)</f>
        <v>45943</v>
      </c>
      <c r="F645" s="28" t="s">
        <v>173</v>
      </c>
      <c r="G645" s="28" t="n">
        <v>2025</v>
      </c>
      <c r="H645" s="28" t="s">
        <v>242</v>
      </c>
      <c r="I645" s="28" t="n">
        <v>8</v>
      </c>
      <c r="J645" s="28" t="s">
        <v>236</v>
      </c>
      <c r="K645" s="28" t="s">
        <v>237</v>
      </c>
      <c r="L645" s="28" t="n">
        <v>0.2</v>
      </c>
      <c r="M645" s="31" t="n">
        <v>24466.03</v>
      </c>
      <c r="N645" s="31" t="n">
        <v>24486.54</v>
      </c>
      <c r="O645" s="31" t="n">
        <v>24425.02</v>
      </c>
      <c r="P645" s="44" t="n">
        <f aca="false">ABS(M645-N645)</f>
        <v>20.510000000002</v>
      </c>
      <c r="Q645" s="44" t="n">
        <f aca="false">IF(O645="","",ABS(O645-M645))</f>
        <v>41.0099999999984</v>
      </c>
      <c r="R645" s="30" t="n">
        <f aca="false">P645*L645*Summary!$C$6</f>
        <v>82.0400000000082</v>
      </c>
      <c r="S645" s="31" t="n">
        <v>24486.65</v>
      </c>
      <c r="T645" s="28" t="s">
        <v>241</v>
      </c>
      <c r="U645" s="44" t="n">
        <f aca="false">IF(J645="BUY",S645-M645,M645-S645)</f>
        <v>-20.6200000000026</v>
      </c>
      <c r="V645" s="45" t="n">
        <v>0</v>
      </c>
      <c r="W645" s="45" t="n">
        <v>0</v>
      </c>
      <c r="X645" s="45" t="n">
        <v>-82.48</v>
      </c>
      <c r="Y645" s="32" t="n">
        <f aca="false">IFERROR(X645/R645,0)</f>
        <v>-1.00536323744505</v>
      </c>
      <c r="Z645" s="28" t="str">
        <f aca="false">IF(X645&gt;0,"Win",IF(X645&lt;0,"Loss","Flat"))</f>
        <v>Loss</v>
      </c>
      <c r="AA645" s="28" t="n">
        <f aca="false">ROUND((C645-B645)*1440,1)</f>
        <v>14.9</v>
      </c>
      <c r="AB645" s="28" t="str">
        <f aca="false">IF(AA645&lt;1,"a) &lt;1 min",IF(AA645&lt;10,"b) 1-10 min",IF(AA645&lt;60,"c) 10-60 min",IF(AA645&lt;240,"d) 1-4 h","e) 4 h+"))))</f>
        <v>c) 10-60 min</v>
      </c>
      <c r="AC645" s="28" t="str">
        <f aca="false">IF(P645&lt;10,"a) &lt;10",IF(P645&lt;20,"b) 10-20",IF(P645&lt;40,"c) 20-40",IF(P645&lt;80,"d) 40-80","e) 80+"))))</f>
        <v>c) 20-40</v>
      </c>
      <c r="AD645" s="30" t="n">
        <f aca="false">Summary!$C$5+SUM(X$2:X645)</f>
        <v>113196.22</v>
      </c>
      <c r="AE645" s="30" t="n">
        <f aca="false">MAX(AE644,AD645)</f>
        <v>113660.06</v>
      </c>
      <c r="AF645" s="30" t="n">
        <f aca="false">AE645-AD645</f>
        <v>463.839999999997</v>
      </c>
      <c r="AG645" s="29" t="n">
        <f aca="false">IFERROR(AF645/AE645,0)</f>
        <v>0.00408094100953313</v>
      </c>
    </row>
    <row r="646" customFormat="false" ht="15" hidden="false" customHeight="false" outlineLevel="0" collapsed="false">
      <c r="A646" s="28" t="n">
        <v>645</v>
      </c>
      <c r="B646" s="43" t="n">
        <v>45950.0423611111</v>
      </c>
      <c r="C646" s="43" t="n">
        <v>45950.0453587963</v>
      </c>
      <c r="D646" s="42" t="n">
        <f aca="false">INT(C646)</f>
        <v>45950</v>
      </c>
      <c r="E646" s="42" t="n">
        <f aca="false">D646-WEEKDAY(D646,3)</f>
        <v>45950</v>
      </c>
      <c r="F646" s="28" t="s">
        <v>173</v>
      </c>
      <c r="G646" s="28" t="n">
        <v>2025</v>
      </c>
      <c r="H646" s="28" t="s">
        <v>240</v>
      </c>
      <c r="I646" s="28" t="n">
        <v>1</v>
      </c>
      <c r="J646" s="28" t="s">
        <v>233</v>
      </c>
      <c r="K646" s="28" t="s">
        <v>234</v>
      </c>
      <c r="L646" s="28" t="n">
        <v>0.2</v>
      </c>
      <c r="M646" s="31" t="n">
        <v>24911.5</v>
      </c>
      <c r="N646" s="31" t="n">
        <v>24884.79</v>
      </c>
      <c r="O646" s="31" t="n">
        <v>24964.92</v>
      </c>
      <c r="P646" s="44" t="n">
        <f aca="false">ABS(M646-N646)</f>
        <v>26.7099999999991</v>
      </c>
      <c r="Q646" s="44" t="n">
        <f aca="false">IF(O646="","",ABS(O646-M646))</f>
        <v>53.4199999999983</v>
      </c>
      <c r="R646" s="30" t="n">
        <f aca="false">P646*L646*Summary!$C$6</f>
        <v>106.839999999997</v>
      </c>
      <c r="S646" s="31" t="n">
        <v>24884.43</v>
      </c>
      <c r="T646" s="28" t="s">
        <v>241</v>
      </c>
      <c r="U646" s="44" t="n">
        <f aca="false">IF(J646="BUY",S646-M646,M646-S646)</f>
        <v>-27.0699999999997</v>
      </c>
      <c r="V646" s="45" t="n">
        <v>0</v>
      </c>
      <c r="W646" s="45" t="n">
        <v>0</v>
      </c>
      <c r="X646" s="45" t="n">
        <v>-108.28</v>
      </c>
      <c r="Y646" s="32" t="n">
        <f aca="false">IFERROR(X646/R646,0)</f>
        <v>-1.01347809809064</v>
      </c>
      <c r="Z646" s="28" t="str">
        <f aca="false">IF(X646&gt;0,"Win",IF(X646&lt;0,"Loss","Flat"))</f>
        <v>Loss</v>
      </c>
      <c r="AA646" s="28" t="n">
        <f aca="false">ROUND((C646-B646)*1440,1)</f>
        <v>4.3</v>
      </c>
      <c r="AB646" s="28" t="str">
        <f aca="false">IF(AA646&lt;1,"a) &lt;1 min",IF(AA646&lt;10,"b) 1-10 min",IF(AA646&lt;60,"c) 10-60 min",IF(AA646&lt;240,"d) 1-4 h","e) 4 h+"))))</f>
        <v>b) 1-10 min</v>
      </c>
      <c r="AC646" s="28" t="str">
        <f aca="false">IF(P646&lt;10,"a) &lt;10",IF(P646&lt;20,"b) 10-20",IF(P646&lt;40,"c) 20-40",IF(P646&lt;80,"d) 40-80","e) 80+"))))</f>
        <v>c) 20-40</v>
      </c>
      <c r="AD646" s="30" t="n">
        <f aca="false">Summary!$C$5+SUM(X$2:X646)</f>
        <v>113087.94</v>
      </c>
      <c r="AE646" s="30" t="n">
        <f aca="false">MAX(AE645,AD646)</f>
        <v>113660.06</v>
      </c>
      <c r="AF646" s="30" t="n">
        <f aca="false">AE646-AD646</f>
        <v>572.119999999995</v>
      </c>
      <c r="AG646" s="29" t="n">
        <f aca="false">IFERROR(AF646/AE646,0)</f>
        <v>0.00503360635213456</v>
      </c>
    </row>
    <row r="647" customFormat="false" ht="15" hidden="false" customHeight="false" outlineLevel="0" collapsed="false">
      <c r="A647" s="28" t="n">
        <v>646</v>
      </c>
      <c r="B647" s="43" t="n">
        <v>45951.1680555556</v>
      </c>
      <c r="C647" s="43" t="n">
        <v>45951.1818402778</v>
      </c>
      <c r="D647" s="42" t="n">
        <f aca="false">INT(C647)</f>
        <v>45951</v>
      </c>
      <c r="E647" s="42" t="n">
        <f aca="false">D647-WEEKDAY(D647,3)</f>
        <v>45950</v>
      </c>
      <c r="F647" s="28" t="s">
        <v>173</v>
      </c>
      <c r="G647" s="28" t="n">
        <v>2025</v>
      </c>
      <c r="H647" s="28" t="s">
        <v>232</v>
      </c>
      <c r="I647" s="28" t="n">
        <v>4</v>
      </c>
      <c r="J647" s="28" t="s">
        <v>233</v>
      </c>
      <c r="K647" s="28" t="s">
        <v>234</v>
      </c>
      <c r="L647" s="28" t="n">
        <v>0.2</v>
      </c>
      <c r="M647" s="31" t="n">
        <v>25184.54</v>
      </c>
      <c r="N647" s="31" t="n">
        <v>25178.28</v>
      </c>
      <c r="O647" s="31" t="n">
        <v>25197.06</v>
      </c>
      <c r="P647" s="44" t="n">
        <f aca="false">ABS(M647-N647)</f>
        <v>6.26000000000204</v>
      </c>
      <c r="Q647" s="44" t="n">
        <f aca="false">IF(O647="","",ABS(O647-M647))</f>
        <v>12.5200000000004</v>
      </c>
      <c r="R647" s="30" t="n">
        <f aca="false">P647*L647*Summary!$C$6</f>
        <v>25.0400000000082</v>
      </c>
      <c r="S647" s="31" t="n">
        <v>25184.04</v>
      </c>
      <c r="T647" s="28" t="s">
        <v>238</v>
      </c>
      <c r="U647" s="44" t="n">
        <f aca="false">IF(J647="BUY",S647-M647,M647-S647)</f>
        <v>-0.5</v>
      </c>
      <c r="V647" s="45" t="n">
        <v>0</v>
      </c>
      <c r="W647" s="45" t="n">
        <v>0</v>
      </c>
      <c r="X647" s="45" t="n">
        <v>-2</v>
      </c>
      <c r="Y647" s="32" t="n">
        <f aca="false">IFERROR(X647/R647,0)</f>
        <v>-0.0798722044728175</v>
      </c>
      <c r="Z647" s="28" t="str">
        <f aca="false">IF(X647&gt;0,"Win",IF(X647&lt;0,"Loss","Flat"))</f>
        <v>Loss</v>
      </c>
      <c r="AA647" s="28" t="n">
        <f aca="false">ROUND((C647-B647)*1440,1)</f>
        <v>19.9</v>
      </c>
      <c r="AB647" s="28" t="str">
        <f aca="false">IF(AA647&lt;1,"a) &lt;1 min",IF(AA647&lt;10,"b) 1-10 min",IF(AA647&lt;60,"c) 10-60 min",IF(AA647&lt;240,"d) 1-4 h","e) 4 h+"))))</f>
        <v>c) 10-60 min</v>
      </c>
      <c r="AC647" s="28" t="str">
        <f aca="false">IF(P647&lt;10,"a) &lt;10",IF(P647&lt;20,"b) 10-20",IF(P647&lt;40,"c) 20-40",IF(P647&lt;80,"d) 40-80","e) 80+"))))</f>
        <v>a) &lt;10</v>
      </c>
      <c r="AD647" s="30" t="n">
        <f aca="false">Summary!$C$5+SUM(X$2:X647)</f>
        <v>113085.94</v>
      </c>
      <c r="AE647" s="30" t="n">
        <f aca="false">MAX(AE646,AD647)</f>
        <v>113660.06</v>
      </c>
      <c r="AF647" s="30" t="n">
        <f aca="false">AE647-AD647</f>
        <v>574.119999999995</v>
      </c>
      <c r="AG647" s="29" t="n">
        <f aca="false">IFERROR(AF647/AE647,0)</f>
        <v>0.00505120268280692</v>
      </c>
    </row>
    <row r="648" customFormat="false" ht="15" hidden="false" customHeight="false" outlineLevel="0" collapsed="false">
      <c r="A648" s="28" t="n">
        <v>647</v>
      </c>
      <c r="B648" s="43" t="n">
        <v>45952.6902777778</v>
      </c>
      <c r="C648" s="43" t="n">
        <v>45952.6943518519</v>
      </c>
      <c r="D648" s="42" t="n">
        <f aca="false">INT(C648)</f>
        <v>45952</v>
      </c>
      <c r="E648" s="42" t="n">
        <f aca="false">D648-WEEKDAY(D648,3)</f>
        <v>45950</v>
      </c>
      <c r="F648" s="28" t="s">
        <v>173</v>
      </c>
      <c r="G648" s="28" t="n">
        <v>2025</v>
      </c>
      <c r="H648" s="28" t="s">
        <v>235</v>
      </c>
      <c r="I648" s="28" t="n">
        <v>16</v>
      </c>
      <c r="J648" s="28" t="s">
        <v>236</v>
      </c>
      <c r="K648" s="28" t="s">
        <v>237</v>
      </c>
      <c r="L648" s="28" t="n">
        <v>0.2</v>
      </c>
      <c r="M648" s="31" t="n">
        <v>25035.38</v>
      </c>
      <c r="N648" s="31" t="n">
        <v>25064.95</v>
      </c>
      <c r="O648" s="31" t="n">
        <v>24976.24</v>
      </c>
      <c r="P648" s="44" t="n">
        <f aca="false">ABS(M648-N648)</f>
        <v>29.5699999999997</v>
      </c>
      <c r="Q648" s="44" t="n">
        <f aca="false">IF(O648="","",ABS(O648-M648))</f>
        <v>59.1399999999994</v>
      </c>
      <c r="R648" s="30" t="n">
        <f aca="false">P648*L648*Summary!$C$6</f>
        <v>118.279999999999</v>
      </c>
      <c r="S648" s="31" t="n">
        <v>25064.95</v>
      </c>
      <c r="T648" s="28" t="s">
        <v>241</v>
      </c>
      <c r="U648" s="44" t="n">
        <f aca="false">IF(J648="BUY",S648-M648,M648-S648)</f>
        <v>-29.5699999999997</v>
      </c>
      <c r="V648" s="45" t="n">
        <v>0</v>
      </c>
      <c r="W648" s="45" t="n">
        <v>0</v>
      </c>
      <c r="X648" s="45" t="n">
        <v>-118.28</v>
      </c>
      <c r="Y648" s="32" t="n">
        <f aca="false">IFERROR(X648/R648,0)</f>
        <v>-1.00000000000001</v>
      </c>
      <c r="Z648" s="28" t="str">
        <f aca="false">IF(X648&gt;0,"Win",IF(X648&lt;0,"Loss","Flat"))</f>
        <v>Loss</v>
      </c>
      <c r="AA648" s="28" t="n">
        <f aca="false">ROUND((C648-B648)*1440,1)</f>
        <v>5.9</v>
      </c>
      <c r="AB648" s="28" t="str">
        <f aca="false">IF(AA648&lt;1,"a) &lt;1 min",IF(AA648&lt;10,"b) 1-10 min",IF(AA648&lt;60,"c) 10-60 min",IF(AA648&lt;240,"d) 1-4 h","e) 4 h+"))))</f>
        <v>b) 1-10 min</v>
      </c>
      <c r="AC648" s="28" t="str">
        <f aca="false">IF(P648&lt;10,"a) &lt;10",IF(P648&lt;20,"b) 10-20",IF(P648&lt;40,"c) 20-40",IF(P648&lt;80,"d) 40-80","e) 80+"))))</f>
        <v>c) 20-40</v>
      </c>
      <c r="AD648" s="30" t="n">
        <f aca="false">Summary!$C$5+SUM(X$2:X648)</f>
        <v>112967.66</v>
      </c>
      <c r="AE648" s="30" t="n">
        <f aca="false">MAX(AE647,AD648)</f>
        <v>113660.06</v>
      </c>
      <c r="AF648" s="30" t="n">
        <f aca="false">AE648-AD648</f>
        <v>692.399999999994</v>
      </c>
      <c r="AG648" s="29" t="n">
        <f aca="false">IFERROR(AF648/AE648,0)</f>
        <v>0.00609184967877014</v>
      </c>
    </row>
    <row r="649" customFormat="false" ht="15" hidden="false" customHeight="false" outlineLevel="0" collapsed="false">
      <c r="A649" s="28" t="n">
        <v>648</v>
      </c>
      <c r="B649" s="43" t="n">
        <v>45954.0423611111</v>
      </c>
      <c r="C649" s="43" t="n">
        <v>45954.264849537</v>
      </c>
      <c r="D649" s="42" t="n">
        <f aca="false">INT(C649)</f>
        <v>45954</v>
      </c>
      <c r="E649" s="42" t="n">
        <f aca="false">D649-WEEKDAY(D649,3)</f>
        <v>45950</v>
      </c>
      <c r="F649" s="28" t="s">
        <v>173</v>
      </c>
      <c r="G649" s="28" t="n">
        <v>2025</v>
      </c>
      <c r="H649" s="28" t="s">
        <v>242</v>
      </c>
      <c r="I649" s="28" t="n">
        <v>1</v>
      </c>
      <c r="J649" s="28" t="s">
        <v>233</v>
      </c>
      <c r="K649" s="28" t="s">
        <v>234</v>
      </c>
      <c r="L649" s="28" t="n">
        <v>0.2</v>
      </c>
      <c r="M649" s="31" t="n">
        <v>25139.89</v>
      </c>
      <c r="N649" s="31" t="n">
        <v>25121.3</v>
      </c>
      <c r="O649" s="31" t="n">
        <v>25177.07</v>
      </c>
      <c r="P649" s="44" t="n">
        <f aca="false">ABS(M649-N649)</f>
        <v>18.5900000000001</v>
      </c>
      <c r="Q649" s="44" t="n">
        <f aca="false">IF(O649="","",ABS(O649-M649))</f>
        <v>37.1800000000003</v>
      </c>
      <c r="R649" s="30" t="n">
        <f aca="false">P649*L649*Summary!$C$6</f>
        <v>74.3600000000006</v>
      </c>
      <c r="S649" s="31" t="n">
        <v>25177.29</v>
      </c>
      <c r="T649" s="28" t="s">
        <v>214</v>
      </c>
      <c r="U649" s="44" t="n">
        <f aca="false">IF(J649="BUY",S649-M649,M649-S649)</f>
        <v>37.4000000000015</v>
      </c>
      <c r="V649" s="45" t="n">
        <v>0</v>
      </c>
      <c r="W649" s="45" t="n">
        <v>0</v>
      </c>
      <c r="X649" s="45" t="n">
        <v>149.6</v>
      </c>
      <c r="Y649" s="32" t="n">
        <f aca="false">IFERROR(X649/R649,0)</f>
        <v>2.01183431952661</v>
      </c>
      <c r="Z649" s="28" t="str">
        <f aca="false">IF(X649&gt;0,"Win",IF(X649&lt;0,"Loss","Flat"))</f>
        <v>Win</v>
      </c>
      <c r="AA649" s="28" t="n">
        <f aca="false">ROUND((C649-B649)*1440,1)</f>
        <v>320.4</v>
      </c>
      <c r="AB649" s="28" t="str">
        <f aca="false">IF(AA649&lt;1,"a) &lt;1 min",IF(AA649&lt;10,"b) 1-10 min",IF(AA649&lt;60,"c) 10-60 min",IF(AA649&lt;240,"d) 1-4 h","e) 4 h+"))))</f>
        <v>e) 4 h+</v>
      </c>
      <c r="AC649" s="28" t="str">
        <f aca="false">IF(P649&lt;10,"a) &lt;10",IF(P649&lt;20,"b) 10-20",IF(P649&lt;40,"c) 20-40",IF(P649&lt;80,"d) 40-80","e) 80+"))))</f>
        <v>b) 10-20</v>
      </c>
      <c r="AD649" s="30" t="n">
        <f aca="false">Summary!$C$5+SUM(X$2:X649)</f>
        <v>113117.26</v>
      </c>
      <c r="AE649" s="30" t="n">
        <f aca="false">MAX(AE648,AD649)</f>
        <v>113660.06</v>
      </c>
      <c r="AF649" s="30" t="n">
        <f aca="false">AE649-AD649</f>
        <v>542.800000000003</v>
      </c>
      <c r="AG649" s="29" t="n">
        <f aca="false">IFERROR(AF649/AE649,0)</f>
        <v>0.00477564414447787</v>
      </c>
    </row>
    <row r="650" customFormat="false" ht="15" hidden="false" customHeight="false" outlineLevel="0" collapsed="false">
      <c r="A650" s="28" t="n">
        <v>649</v>
      </c>
      <c r="B650" s="43" t="n">
        <v>45957.0423611111</v>
      </c>
      <c r="C650" s="43" t="n">
        <v>45957.5525347222</v>
      </c>
      <c r="D650" s="42" t="n">
        <f aca="false">INT(C650)</f>
        <v>45957</v>
      </c>
      <c r="E650" s="42" t="n">
        <f aca="false">D650-WEEKDAY(D650,3)</f>
        <v>45957</v>
      </c>
      <c r="F650" s="28" t="s">
        <v>173</v>
      </c>
      <c r="G650" s="28" t="n">
        <v>2025</v>
      </c>
      <c r="H650" s="28" t="s">
        <v>240</v>
      </c>
      <c r="I650" s="28" t="n">
        <v>1</v>
      </c>
      <c r="J650" s="28" t="s">
        <v>233</v>
      </c>
      <c r="K650" s="28" t="s">
        <v>234</v>
      </c>
      <c r="L650" s="28" t="n">
        <v>0.19</v>
      </c>
      <c r="M650" s="31" t="n">
        <v>25578.66</v>
      </c>
      <c r="N650" s="31" t="n">
        <v>25518.3</v>
      </c>
      <c r="O650" s="31" t="n">
        <v>25697.8</v>
      </c>
      <c r="P650" s="44" t="n">
        <f aca="false">ABS(M650-N650)</f>
        <v>60.3600000000006</v>
      </c>
      <c r="Q650" s="44" t="n">
        <f aca="false">IF(O650="","",ABS(O650-M650))</f>
        <v>119.139999999999</v>
      </c>
      <c r="R650" s="30" t="n">
        <f aca="false">P650*L650*Summary!$C$6</f>
        <v>229.368000000002</v>
      </c>
      <c r="S650" s="31" t="n">
        <v>25697.96</v>
      </c>
      <c r="T650" s="28" t="s">
        <v>214</v>
      </c>
      <c r="U650" s="44" t="n">
        <f aca="false">IF(J650="BUY",S650-M650,M650-S650)</f>
        <v>119.299999999999</v>
      </c>
      <c r="V650" s="45" t="n">
        <v>0</v>
      </c>
      <c r="W650" s="45" t="n">
        <v>0</v>
      </c>
      <c r="X650" s="45" t="n">
        <v>453.34</v>
      </c>
      <c r="Y650" s="32" t="n">
        <f aca="false">IFERROR(X650/R650,0)</f>
        <v>1.97647448641483</v>
      </c>
      <c r="Z650" s="28" t="str">
        <f aca="false">IF(X650&gt;0,"Win",IF(X650&lt;0,"Loss","Flat"))</f>
        <v>Win</v>
      </c>
      <c r="AA650" s="28" t="n">
        <f aca="false">ROUND((C650-B650)*1440,1)</f>
        <v>734.7</v>
      </c>
      <c r="AB650" s="28" t="str">
        <f aca="false">IF(AA650&lt;1,"a) &lt;1 min",IF(AA650&lt;10,"b) 1-10 min",IF(AA650&lt;60,"c) 10-60 min",IF(AA650&lt;240,"d) 1-4 h","e) 4 h+"))))</f>
        <v>e) 4 h+</v>
      </c>
      <c r="AC650" s="28" t="str">
        <f aca="false">IF(P650&lt;10,"a) &lt;10",IF(P650&lt;20,"b) 10-20",IF(P650&lt;40,"c) 20-40",IF(P650&lt;80,"d) 40-80","e) 80+"))))</f>
        <v>d) 40-80</v>
      </c>
      <c r="AD650" s="30" t="n">
        <f aca="false">Summary!$C$5+SUM(X$2:X650)</f>
        <v>113570.6</v>
      </c>
      <c r="AE650" s="30" t="n">
        <f aca="false">MAX(AE649,AD650)</f>
        <v>113660.06</v>
      </c>
      <c r="AF650" s="30" t="n">
        <f aca="false">AE650-AD650</f>
        <v>89.4599999999919</v>
      </c>
      <c r="AG650" s="29" t="n">
        <f aca="false">IFERROR(AF650/AE650,0)</f>
        <v>0.000787083870974482</v>
      </c>
    </row>
    <row r="651" customFormat="false" ht="15" hidden="false" customHeight="false" outlineLevel="0" collapsed="false">
      <c r="A651" s="28" t="n">
        <v>650</v>
      </c>
      <c r="B651" s="43" t="n">
        <v>45958.0423611111</v>
      </c>
      <c r="C651" s="43" t="n">
        <v>45958.1229976852</v>
      </c>
      <c r="D651" s="42" t="n">
        <f aca="false">INT(C651)</f>
        <v>45958</v>
      </c>
      <c r="E651" s="42" t="n">
        <f aca="false">D651-WEEKDAY(D651,3)</f>
        <v>45957</v>
      </c>
      <c r="F651" s="28" t="s">
        <v>173</v>
      </c>
      <c r="G651" s="28" t="n">
        <v>2025</v>
      </c>
      <c r="H651" s="28" t="s">
        <v>232</v>
      </c>
      <c r="I651" s="28" t="n">
        <v>1</v>
      </c>
      <c r="J651" s="28" t="s">
        <v>233</v>
      </c>
      <c r="K651" s="28" t="s">
        <v>234</v>
      </c>
      <c r="L651" s="28" t="n">
        <v>0.19</v>
      </c>
      <c r="M651" s="31" t="n">
        <v>25850.91</v>
      </c>
      <c r="N651" s="31" t="n">
        <v>25838.1</v>
      </c>
      <c r="O651" s="31" t="n">
        <v>25876.54</v>
      </c>
      <c r="P651" s="44" t="n">
        <f aca="false">ABS(M651-N651)</f>
        <v>12.8100000000013</v>
      </c>
      <c r="Q651" s="44" t="n">
        <f aca="false">IF(O651="","",ABS(O651-M651))</f>
        <v>25.630000000001</v>
      </c>
      <c r="R651" s="30" t="n">
        <f aca="false">P651*L651*Summary!$C$6</f>
        <v>48.678000000005</v>
      </c>
      <c r="S651" s="31" t="n">
        <v>25850.81</v>
      </c>
      <c r="T651" s="28" t="s">
        <v>238</v>
      </c>
      <c r="U651" s="44" t="n">
        <f aca="false">IF(J651="BUY",S651-M651,M651-S651)</f>
        <v>-0.0999999999985448</v>
      </c>
      <c r="V651" s="45" t="n">
        <v>0</v>
      </c>
      <c r="W651" s="45" t="n">
        <v>0</v>
      </c>
      <c r="X651" s="45" t="n">
        <v>-0.38</v>
      </c>
      <c r="Y651" s="32" t="n">
        <f aca="false">IFERROR(X651/R651,0)</f>
        <v>-0.0078064012490234</v>
      </c>
      <c r="Z651" s="28" t="str">
        <f aca="false">IF(X651&gt;0,"Win",IF(X651&lt;0,"Loss","Flat"))</f>
        <v>Loss</v>
      </c>
      <c r="AA651" s="28" t="n">
        <f aca="false">ROUND((C651-B651)*1440,1)</f>
        <v>116.1</v>
      </c>
      <c r="AB651" s="28" t="str">
        <f aca="false">IF(AA651&lt;1,"a) &lt;1 min",IF(AA651&lt;10,"b) 1-10 min",IF(AA651&lt;60,"c) 10-60 min",IF(AA651&lt;240,"d) 1-4 h","e) 4 h+"))))</f>
        <v>d) 1-4 h</v>
      </c>
      <c r="AC651" s="28" t="str">
        <f aca="false">IF(P651&lt;10,"a) &lt;10",IF(P651&lt;20,"b) 10-20",IF(P651&lt;40,"c) 20-40",IF(P651&lt;80,"d) 40-80","e) 80+"))))</f>
        <v>b) 10-20</v>
      </c>
      <c r="AD651" s="30" t="n">
        <f aca="false">Summary!$C$5+SUM(X$2:X651)</f>
        <v>113570.22</v>
      </c>
      <c r="AE651" s="30" t="n">
        <f aca="false">MAX(AE650,AD651)</f>
        <v>113660.06</v>
      </c>
      <c r="AF651" s="30" t="n">
        <f aca="false">AE651-AD651</f>
        <v>89.8399999999965</v>
      </c>
      <c r="AG651" s="29" t="n">
        <f aca="false">IFERROR(AF651/AE651,0)</f>
        <v>0.000790427173802271</v>
      </c>
    </row>
    <row r="652" customFormat="false" ht="15" hidden="false" customHeight="false" outlineLevel="0" collapsed="false">
      <c r="A652" s="28" t="n">
        <v>651</v>
      </c>
      <c r="B652" s="43" t="n">
        <v>45959.2104166667</v>
      </c>
      <c r="C652" s="43" t="n">
        <v>45959.2720023148</v>
      </c>
      <c r="D652" s="42" t="n">
        <f aca="false">INT(C652)</f>
        <v>45959</v>
      </c>
      <c r="E652" s="42" t="n">
        <f aca="false">D652-WEEKDAY(D652,3)</f>
        <v>45957</v>
      </c>
      <c r="F652" s="28" t="s">
        <v>173</v>
      </c>
      <c r="G652" s="28" t="n">
        <v>2025</v>
      </c>
      <c r="H652" s="28" t="s">
        <v>235</v>
      </c>
      <c r="I652" s="28" t="n">
        <v>5</v>
      </c>
      <c r="J652" s="28" t="s">
        <v>233</v>
      </c>
      <c r="K652" s="28" t="s">
        <v>234</v>
      </c>
      <c r="L652" s="28" t="n">
        <v>0.19</v>
      </c>
      <c r="M652" s="31" t="n">
        <v>26087.64</v>
      </c>
      <c r="N652" s="31" t="n">
        <v>26072.06</v>
      </c>
      <c r="O652" s="31" t="n">
        <v>26118.79</v>
      </c>
      <c r="P652" s="44" t="n">
        <f aca="false">ABS(M652-N652)</f>
        <v>15.5799999999981</v>
      </c>
      <c r="Q652" s="44" t="n">
        <f aca="false">IF(O652="","",ABS(O652-M652))</f>
        <v>31.1500000000015</v>
      </c>
      <c r="R652" s="30" t="n">
        <f aca="false">P652*L652*Summary!$C$6</f>
        <v>59.2039999999928</v>
      </c>
      <c r="S652" s="31" t="n">
        <v>26087.63</v>
      </c>
      <c r="T652" s="28" t="s">
        <v>238</v>
      </c>
      <c r="U652" s="44" t="n">
        <f aca="false">IF(J652="BUY",S652-M652,M652-S652)</f>
        <v>-0.00999999999839929</v>
      </c>
      <c r="V652" s="45" t="n">
        <v>0</v>
      </c>
      <c r="W652" s="45" t="n">
        <v>0</v>
      </c>
      <c r="X652" s="45" t="n">
        <v>-0.04</v>
      </c>
      <c r="Y652" s="32" t="n">
        <f aca="false">IFERROR(X652/R652,0)</f>
        <v>-0.000675630024998393</v>
      </c>
      <c r="Z652" s="28" t="str">
        <f aca="false">IF(X652&gt;0,"Win",IF(X652&lt;0,"Loss","Flat"))</f>
        <v>Loss</v>
      </c>
      <c r="AA652" s="28" t="n">
        <f aca="false">ROUND((C652-B652)*1440,1)</f>
        <v>88.7</v>
      </c>
      <c r="AB652" s="28" t="str">
        <f aca="false">IF(AA652&lt;1,"a) &lt;1 min",IF(AA652&lt;10,"b) 1-10 min",IF(AA652&lt;60,"c) 10-60 min",IF(AA652&lt;240,"d) 1-4 h","e) 4 h+"))))</f>
        <v>d) 1-4 h</v>
      </c>
      <c r="AC652" s="28" t="str">
        <f aca="false">IF(P652&lt;10,"a) &lt;10",IF(P652&lt;20,"b) 10-20",IF(P652&lt;40,"c) 20-40",IF(P652&lt;80,"d) 40-80","e) 80+"))))</f>
        <v>b) 10-20</v>
      </c>
      <c r="AD652" s="30" t="n">
        <f aca="false">Summary!$C$5+SUM(X$2:X652)</f>
        <v>113570.18</v>
      </c>
      <c r="AE652" s="30" t="n">
        <f aca="false">MAX(AE651,AD652)</f>
        <v>113660.06</v>
      </c>
      <c r="AF652" s="30" t="n">
        <f aca="false">AE652-AD652</f>
        <v>89.8800000000047</v>
      </c>
      <c r="AG652" s="29" t="n">
        <f aca="false">IFERROR(AF652/AE652,0)</f>
        <v>0.00079077910041579</v>
      </c>
    </row>
    <row r="653" customFormat="false" ht="15" hidden="false" customHeight="false" outlineLevel="0" collapsed="false">
      <c r="A653" s="28" t="n">
        <v>652</v>
      </c>
      <c r="B653" s="43" t="n">
        <v>45960.2548611111</v>
      </c>
      <c r="C653" s="43" t="n">
        <v>45960.2588888889</v>
      </c>
      <c r="D653" s="42" t="n">
        <f aca="false">INT(C653)</f>
        <v>45960</v>
      </c>
      <c r="E653" s="42" t="n">
        <f aca="false">D653-WEEKDAY(D653,3)</f>
        <v>45957</v>
      </c>
      <c r="F653" s="28" t="s">
        <v>173</v>
      </c>
      <c r="G653" s="28" t="n">
        <v>2025</v>
      </c>
      <c r="H653" s="28" t="s">
        <v>239</v>
      </c>
      <c r="I653" s="28" t="n">
        <v>6</v>
      </c>
      <c r="J653" s="28" t="s">
        <v>233</v>
      </c>
      <c r="K653" s="28" t="s">
        <v>234</v>
      </c>
      <c r="L653" s="28" t="n">
        <v>0.19</v>
      </c>
      <c r="M653" s="31" t="n">
        <v>26230.37</v>
      </c>
      <c r="N653" s="31" t="n">
        <v>26221.05</v>
      </c>
      <c r="O653" s="31" t="n">
        <v>26249.01</v>
      </c>
      <c r="P653" s="44" t="n">
        <f aca="false">ABS(M653-N653)</f>
        <v>9.31999999999971</v>
      </c>
      <c r="Q653" s="44" t="n">
        <f aca="false">IF(O653="","",ABS(O653-M653))</f>
        <v>18.6399999999994</v>
      </c>
      <c r="R653" s="30" t="n">
        <f aca="false">P653*L653*Summary!$C$6</f>
        <v>35.4159999999989</v>
      </c>
      <c r="S653" s="31" t="n">
        <v>26220.87</v>
      </c>
      <c r="T653" s="28" t="s">
        <v>241</v>
      </c>
      <c r="U653" s="44" t="n">
        <f aca="false">IF(J653="BUY",S653-M653,M653-S653)</f>
        <v>-9.5</v>
      </c>
      <c r="V653" s="45" t="n">
        <v>0</v>
      </c>
      <c r="W653" s="45" t="n">
        <v>0</v>
      </c>
      <c r="X653" s="45" t="n">
        <v>-36.1</v>
      </c>
      <c r="Y653" s="32" t="n">
        <f aca="false">IFERROR(X653/R653,0)</f>
        <v>-1.01931330472106</v>
      </c>
      <c r="Z653" s="28" t="str">
        <f aca="false">IF(X653&gt;0,"Win",IF(X653&lt;0,"Loss","Flat"))</f>
        <v>Loss</v>
      </c>
      <c r="AA653" s="28" t="n">
        <f aca="false">ROUND((C653-B653)*1440,1)</f>
        <v>5.8</v>
      </c>
      <c r="AB653" s="28" t="str">
        <f aca="false">IF(AA653&lt;1,"a) &lt;1 min",IF(AA653&lt;10,"b) 1-10 min",IF(AA653&lt;60,"c) 10-60 min",IF(AA653&lt;240,"d) 1-4 h","e) 4 h+"))))</f>
        <v>b) 1-10 min</v>
      </c>
      <c r="AC653" s="28" t="str">
        <f aca="false">IF(P653&lt;10,"a) &lt;10",IF(P653&lt;20,"b) 10-20",IF(P653&lt;40,"c) 20-40",IF(P653&lt;80,"d) 40-80","e) 80+"))))</f>
        <v>a) &lt;10</v>
      </c>
      <c r="AD653" s="30" t="n">
        <f aca="false">Summary!$C$5+SUM(X$2:X653)</f>
        <v>113534.08</v>
      </c>
      <c r="AE653" s="30" t="n">
        <f aca="false">MAX(AE652,AD653)</f>
        <v>113660.06</v>
      </c>
      <c r="AF653" s="30" t="n">
        <f aca="false">AE653-AD653</f>
        <v>125.979999999996</v>
      </c>
      <c r="AG653" s="29" t="n">
        <f aca="false">IFERROR(AF653/AE653,0)</f>
        <v>0.00110839286905177</v>
      </c>
    </row>
    <row r="654" customFormat="false" ht="15" hidden="false" customHeight="false" outlineLevel="0" collapsed="false">
      <c r="A654" s="28" t="n">
        <v>653</v>
      </c>
      <c r="B654" s="43" t="n">
        <v>45960.6909722222</v>
      </c>
      <c r="C654" s="43" t="n">
        <v>45960.6943402778</v>
      </c>
      <c r="D654" s="42" t="n">
        <f aca="false">INT(C654)</f>
        <v>45960</v>
      </c>
      <c r="E654" s="42" t="n">
        <f aca="false">D654-WEEKDAY(D654,3)</f>
        <v>45957</v>
      </c>
      <c r="F654" s="28" t="s">
        <v>173</v>
      </c>
      <c r="G654" s="28" t="n">
        <v>2025</v>
      </c>
      <c r="H654" s="28" t="s">
        <v>239</v>
      </c>
      <c r="I654" s="28" t="n">
        <v>16</v>
      </c>
      <c r="J654" s="28" t="s">
        <v>236</v>
      </c>
      <c r="K654" s="28" t="s">
        <v>237</v>
      </c>
      <c r="L654" s="28" t="n">
        <v>0.19</v>
      </c>
      <c r="M654" s="31" t="n">
        <v>25902.09</v>
      </c>
      <c r="N654" s="31" t="n">
        <v>25948.64</v>
      </c>
      <c r="O654" s="31" t="n">
        <v>25808.99</v>
      </c>
      <c r="P654" s="44" t="n">
        <f aca="false">ABS(M654-N654)</f>
        <v>46.5499999999993</v>
      </c>
      <c r="Q654" s="44" t="n">
        <f aca="false">IF(O654="","",ABS(O654-M654))</f>
        <v>93.0999999999985</v>
      </c>
      <c r="R654" s="30" t="n">
        <f aca="false">P654*L654*Summary!$C$6</f>
        <v>176.889999999997</v>
      </c>
      <c r="S654" s="31" t="n">
        <v>25808.47</v>
      </c>
      <c r="T654" s="28" t="s">
        <v>214</v>
      </c>
      <c r="U654" s="44" t="n">
        <f aca="false">IF(J654="BUY",S654-M654,M654-S654)</f>
        <v>93.619999999999</v>
      </c>
      <c r="V654" s="45" t="n">
        <v>0</v>
      </c>
      <c r="W654" s="45" t="n">
        <v>0</v>
      </c>
      <c r="X654" s="45" t="n">
        <v>355.76</v>
      </c>
      <c r="Y654" s="32" t="n">
        <f aca="false">IFERROR(X654/R654,0)</f>
        <v>2.01119339702643</v>
      </c>
      <c r="Z654" s="28" t="str">
        <f aca="false">IF(X654&gt;0,"Win",IF(X654&lt;0,"Loss","Flat"))</f>
        <v>Win</v>
      </c>
      <c r="AA654" s="28" t="n">
        <f aca="false">ROUND((C654-B654)*1440,1)</f>
        <v>4.9</v>
      </c>
      <c r="AB654" s="28" t="str">
        <f aca="false">IF(AA654&lt;1,"a) &lt;1 min",IF(AA654&lt;10,"b) 1-10 min",IF(AA654&lt;60,"c) 10-60 min",IF(AA654&lt;240,"d) 1-4 h","e) 4 h+"))))</f>
        <v>b) 1-10 min</v>
      </c>
      <c r="AC654" s="28" t="str">
        <f aca="false">IF(P654&lt;10,"a) &lt;10",IF(P654&lt;20,"b) 10-20",IF(P654&lt;40,"c) 20-40",IF(P654&lt;80,"d) 40-80","e) 80+"))))</f>
        <v>d) 40-80</v>
      </c>
      <c r="AD654" s="30" t="n">
        <f aca="false">Summary!$C$5+SUM(X$2:X654)</f>
        <v>113889.84</v>
      </c>
      <c r="AE654" s="30" t="n">
        <f aca="false">MAX(AE653,AD654)</f>
        <v>113889.84</v>
      </c>
      <c r="AF654" s="30" t="n">
        <f aca="false">AE654-AD654</f>
        <v>0</v>
      </c>
      <c r="AG654" s="29" t="n">
        <f aca="false">IFERROR(AF654/AE654,0)</f>
        <v>0</v>
      </c>
    </row>
    <row r="655" customFormat="false" ht="15" hidden="false" customHeight="false" outlineLevel="0" collapsed="false">
      <c r="A655" s="28" t="n">
        <v>654</v>
      </c>
      <c r="B655" s="43" t="n">
        <v>45965.0965277778</v>
      </c>
      <c r="C655" s="43" t="n">
        <v>45965.1084837963</v>
      </c>
      <c r="D655" s="42" t="n">
        <f aca="false">INT(C655)</f>
        <v>45965</v>
      </c>
      <c r="E655" s="42" t="n">
        <f aca="false">D655-WEEKDAY(D655,3)</f>
        <v>45964</v>
      </c>
      <c r="F655" s="28" t="s">
        <v>174</v>
      </c>
      <c r="G655" s="28" t="n">
        <v>2025</v>
      </c>
      <c r="H655" s="28" t="s">
        <v>232</v>
      </c>
      <c r="I655" s="28" t="n">
        <v>2</v>
      </c>
      <c r="J655" s="28" t="s">
        <v>236</v>
      </c>
      <c r="K655" s="28" t="s">
        <v>237</v>
      </c>
      <c r="L655" s="28" t="n">
        <v>0.19</v>
      </c>
      <c r="M655" s="31" t="n">
        <v>25877.16</v>
      </c>
      <c r="N655" s="31" t="n">
        <v>25892.45</v>
      </c>
      <c r="O655" s="31" t="n">
        <v>25850.09</v>
      </c>
      <c r="P655" s="44" t="n">
        <f aca="false">ABS(M655-N655)</f>
        <v>15.2900000000009</v>
      </c>
      <c r="Q655" s="44" t="n">
        <f aca="false">IF(O655="","",ABS(O655-M655))</f>
        <v>27.0699999999997</v>
      </c>
      <c r="R655" s="30" t="n">
        <f aca="false">P655*L655*Summary!$C$6</f>
        <v>58.1020000000033</v>
      </c>
      <c r="S655" s="31" t="n">
        <v>25877.19</v>
      </c>
      <c r="T655" s="28" t="s">
        <v>238</v>
      </c>
      <c r="U655" s="44" t="n">
        <f aca="false">IF(J655="BUY",S655-M655,M655-S655)</f>
        <v>-0.0299999999988358</v>
      </c>
      <c r="V655" s="45" t="n">
        <v>0</v>
      </c>
      <c r="W655" s="45" t="n">
        <v>0</v>
      </c>
      <c r="X655" s="45" t="n">
        <v>-0.11</v>
      </c>
      <c r="Y655" s="32" t="n">
        <f aca="false">IFERROR(X655/R655,0)</f>
        <v>-0.00189322226429372</v>
      </c>
      <c r="Z655" s="28" t="str">
        <f aca="false">IF(X655&gt;0,"Win",IF(X655&lt;0,"Loss","Flat"))</f>
        <v>Loss</v>
      </c>
      <c r="AA655" s="28" t="n">
        <f aca="false">ROUND((C655-B655)*1440,1)</f>
        <v>17.2</v>
      </c>
      <c r="AB655" s="28" t="str">
        <f aca="false">IF(AA655&lt;1,"a) &lt;1 min",IF(AA655&lt;10,"b) 1-10 min",IF(AA655&lt;60,"c) 10-60 min",IF(AA655&lt;240,"d) 1-4 h","e) 4 h+"))))</f>
        <v>c) 10-60 min</v>
      </c>
      <c r="AC655" s="28" t="str">
        <f aca="false">IF(P655&lt;10,"a) &lt;10",IF(P655&lt;20,"b) 10-20",IF(P655&lt;40,"c) 20-40",IF(P655&lt;80,"d) 40-80","e) 80+"))))</f>
        <v>b) 10-20</v>
      </c>
      <c r="AD655" s="30" t="n">
        <f aca="false">Summary!$C$5+SUM(X$2:X655)</f>
        <v>113889.73</v>
      </c>
      <c r="AE655" s="30" t="n">
        <f aca="false">MAX(AE654,AD655)</f>
        <v>113889.84</v>
      </c>
      <c r="AF655" s="30" t="n">
        <f aca="false">AE655-AD655</f>
        <v>0.110000000000582</v>
      </c>
      <c r="AG655" s="29" t="n">
        <f aca="false">IFERROR(AF655/AE655,0)</f>
        <v>9.65845592553138E-007</v>
      </c>
    </row>
    <row r="656" customFormat="false" ht="15" hidden="false" customHeight="false" outlineLevel="0" collapsed="false">
      <c r="A656" s="28" t="n">
        <v>655</v>
      </c>
      <c r="B656" s="43" t="n">
        <v>45966.0444444444</v>
      </c>
      <c r="C656" s="43" t="n">
        <v>45966.0841666667</v>
      </c>
      <c r="D656" s="42" t="n">
        <f aca="false">INT(C656)</f>
        <v>45966</v>
      </c>
      <c r="E656" s="42" t="n">
        <f aca="false">D656-WEEKDAY(D656,3)</f>
        <v>45964</v>
      </c>
      <c r="F656" s="28" t="s">
        <v>174</v>
      </c>
      <c r="G656" s="28" t="n">
        <v>2025</v>
      </c>
      <c r="H656" s="28" t="s">
        <v>235</v>
      </c>
      <c r="I656" s="28" t="n">
        <v>1</v>
      </c>
      <c r="J656" s="28" t="s">
        <v>236</v>
      </c>
      <c r="K656" s="28" t="s">
        <v>237</v>
      </c>
      <c r="L656" s="28" t="n">
        <v>0.2</v>
      </c>
      <c r="M656" s="31" t="n">
        <v>25415.82</v>
      </c>
      <c r="N656" s="31" t="n">
        <v>25439.33</v>
      </c>
      <c r="O656" s="31" t="n">
        <v>25368.8</v>
      </c>
      <c r="P656" s="44" t="n">
        <f aca="false">ABS(M656-N656)</f>
        <v>23.510000000002</v>
      </c>
      <c r="Q656" s="44" t="n">
        <f aca="false">IF(O656="","",ABS(O656-M656))</f>
        <v>47.0200000000004</v>
      </c>
      <c r="R656" s="30" t="n">
        <f aca="false">P656*L656*Summary!$C$6</f>
        <v>94.0400000000082</v>
      </c>
      <c r="S656" s="31" t="n">
        <v>25367.72</v>
      </c>
      <c r="T656" s="28" t="s">
        <v>214</v>
      </c>
      <c r="U656" s="44" t="n">
        <f aca="false">IF(J656="BUY",S656-M656,M656-S656)</f>
        <v>48.0999999999985</v>
      </c>
      <c r="V656" s="45" t="n">
        <v>0</v>
      </c>
      <c r="W656" s="45" t="n">
        <v>0</v>
      </c>
      <c r="X656" s="45" t="n">
        <v>192.4</v>
      </c>
      <c r="Y656" s="32" t="n">
        <f aca="false">IFERROR(X656/R656,0)</f>
        <v>2.04593789876631</v>
      </c>
      <c r="Z656" s="28" t="str">
        <f aca="false">IF(X656&gt;0,"Win",IF(X656&lt;0,"Loss","Flat"))</f>
        <v>Win</v>
      </c>
      <c r="AA656" s="28" t="n">
        <f aca="false">ROUND((C656-B656)*1440,1)</f>
        <v>57.2</v>
      </c>
      <c r="AB656" s="28" t="str">
        <f aca="false">IF(AA656&lt;1,"a) &lt;1 min",IF(AA656&lt;10,"b) 1-10 min",IF(AA656&lt;60,"c) 10-60 min",IF(AA656&lt;240,"d) 1-4 h","e) 4 h+"))))</f>
        <v>c) 10-60 min</v>
      </c>
      <c r="AC656" s="28" t="str">
        <f aca="false">IF(P656&lt;10,"a) &lt;10",IF(P656&lt;20,"b) 10-20",IF(P656&lt;40,"c) 20-40",IF(P656&lt;80,"d) 40-80","e) 80+"))))</f>
        <v>c) 20-40</v>
      </c>
      <c r="AD656" s="30" t="n">
        <f aca="false">Summary!$C$5+SUM(X$2:X656)</f>
        <v>114082.13</v>
      </c>
      <c r="AE656" s="30" t="n">
        <f aca="false">MAX(AE655,AD656)</f>
        <v>114082.13</v>
      </c>
      <c r="AF656" s="30" t="n">
        <f aca="false">AE656-AD656</f>
        <v>0</v>
      </c>
      <c r="AG656" s="29" t="n">
        <f aca="false">IFERROR(AF656/AE656,0)</f>
        <v>0</v>
      </c>
    </row>
    <row r="657" customFormat="false" ht="15" hidden="false" customHeight="false" outlineLevel="0" collapsed="false">
      <c r="A657" s="28" t="n">
        <v>656</v>
      </c>
      <c r="B657" s="43" t="n">
        <v>45967.775</v>
      </c>
      <c r="C657" s="43" t="n">
        <v>45967.7997453704</v>
      </c>
      <c r="D657" s="42" t="n">
        <f aca="false">INT(C657)</f>
        <v>45967</v>
      </c>
      <c r="E657" s="42" t="n">
        <f aca="false">D657-WEEKDAY(D657,3)</f>
        <v>45964</v>
      </c>
      <c r="F657" s="28" t="s">
        <v>174</v>
      </c>
      <c r="G657" s="28" t="n">
        <v>2025</v>
      </c>
      <c r="H657" s="28" t="s">
        <v>239</v>
      </c>
      <c r="I657" s="28" t="n">
        <v>18</v>
      </c>
      <c r="J657" s="28" t="s">
        <v>236</v>
      </c>
      <c r="K657" s="28" t="s">
        <v>237</v>
      </c>
      <c r="L657" s="28" t="n">
        <v>0.2</v>
      </c>
      <c r="M657" s="31" t="n">
        <v>25133.74</v>
      </c>
      <c r="N657" s="31" t="n">
        <v>25186.57</v>
      </c>
      <c r="O657" s="31" t="n">
        <v>25028.09</v>
      </c>
      <c r="P657" s="44" t="n">
        <f aca="false">ABS(M657-N657)</f>
        <v>52.8299999999981</v>
      </c>
      <c r="Q657" s="44" t="n">
        <f aca="false">IF(O657="","",ABS(O657-M657))</f>
        <v>105.650000000001</v>
      </c>
      <c r="R657" s="30" t="n">
        <f aca="false">P657*L657*Summary!$C$6</f>
        <v>211.319999999992</v>
      </c>
      <c r="S657" s="31" t="n">
        <v>25186.76</v>
      </c>
      <c r="T657" s="28" t="s">
        <v>241</v>
      </c>
      <c r="U657" s="44" t="n">
        <f aca="false">IF(J657="BUY",S657-M657,M657-S657)</f>
        <v>-53.0199999999968</v>
      </c>
      <c r="V657" s="45" t="n">
        <v>0</v>
      </c>
      <c r="W657" s="45" t="n">
        <v>0</v>
      </c>
      <c r="X657" s="45" t="n">
        <v>-212.08</v>
      </c>
      <c r="Y657" s="32" t="n">
        <f aca="false">IFERROR(X657/R657,0)</f>
        <v>-1.0035964414159</v>
      </c>
      <c r="Z657" s="28" t="str">
        <f aca="false">IF(X657&gt;0,"Win",IF(X657&lt;0,"Loss","Flat"))</f>
        <v>Loss</v>
      </c>
      <c r="AA657" s="28" t="n">
        <f aca="false">ROUND((C657-B657)*1440,1)</f>
        <v>35.6</v>
      </c>
      <c r="AB657" s="28" t="str">
        <f aca="false">IF(AA657&lt;1,"a) &lt;1 min",IF(AA657&lt;10,"b) 1-10 min",IF(AA657&lt;60,"c) 10-60 min",IF(AA657&lt;240,"d) 1-4 h","e) 4 h+"))))</f>
        <v>c) 10-60 min</v>
      </c>
      <c r="AC657" s="28" t="str">
        <f aca="false">IF(P657&lt;10,"a) &lt;10",IF(P657&lt;20,"b) 10-20",IF(P657&lt;40,"c) 20-40",IF(P657&lt;80,"d) 40-80","e) 80+"))))</f>
        <v>d) 40-80</v>
      </c>
      <c r="AD657" s="30" t="n">
        <f aca="false">Summary!$C$5+SUM(X$2:X657)</f>
        <v>113870.05</v>
      </c>
      <c r="AE657" s="30" t="n">
        <f aca="false">MAX(AE656,AD657)</f>
        <v>114082.13</v>
      </c>
      <c r="AF657" s="30" t="n">
        <f aca="false">AE657-AD657</f>
        <v>212.080000000002</v>
      </c>
      <c r="AG657" s="29" t="n">
        <f aca="false">IFERROR(AF657/AE657,0)</f>
        <v>0.00185901157350412</v>
      </c>
    </row>
    <row r="658" customFormat="false" ht="15" hidden="false" customHeight="false" outlineLevel="0" collapsed="false">
      <c r="A658" s="28" t="n">
        <v>657</v>
      </c>
      <c r="B658" s="43" t="n">
        <v>45968.2520833333</v>
      </c>
      <c r="C658" s="43" t="n">
        <v>45968.260474537</v>
      </c>
      <c r="D658" s="42" t="n">
        <f aca="false">INT(C658)</f>
        <v>45968</v>
      </c>
      <c r="E658" s="42" t="n">
        <f aca="false">D658-WEEKDAY(D658,3)</f>
        <v>45964</v>
      </c>
      <c r="F658" s="28" t="s">
        <v>174</v>
      </c>
      <c r="G658" s="28" t="n">
        <v>2025</v>
      </c>
      <c r="H658" s="28" t="s">
        <v>242</v>
      </c>
      <c r="I658" s="28" t="n">
        <v>6</v>
      </c>
      <c r="J658" s="28" t="s">
        <v>236</v>
      </c>
      <c r="K658" s="28" t="s">
        <v>237</v>
      </c>
      <c r="L658" s="28" t="n">
        <v>0.2</v>
      </c>
      <c r="M658" s="31" t="n">
        <v>25062.71</v>
      </c>
      <c r="N658" s="31" t="n">
        <v>25086.22</v>
      </c>
      <c r="O658" s="31" t="n">
        <v>25019.92</v>
      </c>
      <c r="P658" s="44" t="n">
        <f aca="false">ABS(M658-N658)</f>
        <v>23.510000000002</v>
      </c>
      <c r="Q658" s="44" t="n">
        <f aca="false">IF(O658="","",ABS(O658-M658))</f>
        <v>42.7900000000009</v>
      </c>
      <c r="R658" s="30" t="n">
        <f aca="false">P658*L658*Summary!$C$6</f>
        <v>94.0400000000082</v>
      </c>
      <c r="S658" s="31" t="n">
        <v>25086.96</v>
      </c>
      <c r="T658" s="28" t="s">
        <v>241</v>
      </c>
      <c r="U658" s="44" t="n">
        <f aca="false">IF(J658="BUY",S658-M658,M658-S658)</f>
        <v>-24.25</v>
      </c>
      <c r="V658" s="45" t="n">
        <v>0</v>
      </c>
      <c r="W658" s="45" t="n">
        <v>0</v>
      </c>
      <c r="X658" s="45" t="n">
        <v>-97</v>
      </c>
      <c r="Y658" s="32" t="n">
        <f aca="false">IFERROR(X658/R658,0)</f>
        <v>-1.03147596767324</v>
      </c>
      <c r="Z658" s="28" t="str">
        <f aca="false">IF(X658&gt;0,"Win",IF(X658&lt;0,"Loss","Flat"))</f>
        <v>Loss</v>
      </c>
      <c r="AA658" s="28" t="n">
        <f aca="false">ROUND((C658-B658)*1440,1)</f>
        <v>12.1</v>
      </c>
      <c r="AB658" s="28" t="str">
        <f aca="false">IF(AA658&lt;1,"a) &lt;1 min",IF(AA658&lt;10,"b) 1-10 min",IF(AA658&lt;60,"c) 10-60 min",IF(AA658&lt;240,"d) 1-4 h","e) 4 h+"))))</f>
        <v>c) 10-60 min</v>
      </c>
      <c r="AC658" s="28" t="str">
        <f aca="false">IF(P658&lt;10,"a) &lt;10",IF(P658&lt;20,"b) 10-20",IF(P658&lt;40,"c) 20-40",IF(P658&lt;80,"d) 40-80","e) 80+"))))</f>
        <v>c) 20-40</v>
      </c>
      <c r="AD658" s="30" t="n">
        <f aca="false">Summary!$C$5+SUM(X$2:X658)</f>
        <v>113773.05</v>
      </c>
      <c r="AE658" s="30" t="n">
        <f aca="false">MAX(AE657,AD658)</f>
        <v>114082.13</v>
      </c>
      <c r="AF658" s="30" t="n">
        <f aca="false">AE658-AD658</f>
        <v>309.080000000002</v>
      </c>
      <c r="AG658" s="29" t="n">
        <f aca="false">IFERROR(AF658/AE658,0)</f>
        <v>0.00270927620303024</v>
      </c>
    </row>
    <row r="659" customFormat="false" ht="15" hidden="false" customHeight="false" outlineLevel="0" collapsed="false">
      <c r="A659" s="28" t="n">
        <v>658</v>
      </c>
      <c r="B659" s="43" t="n">
        <v>45971.0423611111</v>
      </c>
      <c r="C659" s="43" t="n">
        <v>45971.0618865741</v>
      </c>
      <c r="D659" s="42" t="n">
        <f aca="false">INT(C659)</f>
        <v>45971</v>
      </c>
      <c r="E659" s="42" t="n">
        <f aca="false">D659-WEEKDAY(D659,3)</f>
        <v>45971</v>
      </c>
      <c r="F659" s="28" t="s">
        <v>174</v>
      </c>
      <c r="G659" s="28" t="n">
        <v>2025</v>
      </c>
      <c r="H659" s="28" t="s">
        <v>240</v>
      </c>
      <c r="I659" s="28" t="n">
        <v>1</v>
      </c>
      <c r="J659" s="28" t="s">
        <v>233</v>
      </c>
      <c r="K659" s="28" t="s">
        <v>234</v>
      </c>
      <c r="L659" s="28" t="n">
        <v>0.2</v>
      </c>
      <c r="M659" s="31" t="n">
        <v>25246.25</v>
      </c>
      <c r="N659" s="31" t="n">
        <v>25196.13</v>
      </c>
      <c r="O659" s="31" t="n">
        <v>25352.4</v>
      </c>
      <c r="P659" s="44" t="n">
        <f aca="false">ABS(M659-N659)</f>
        <v>50.119999999999</v>
      </c>
      <c r="Q659" s="44" t="n">
        <f aca="false">IF(O659="","",ABS(O659-M659))</f>
        <v>106.150000000001</v>
      </c>
      <c r="R659" s="30" t="n">
        <f aca="false">P659*L659*Summary!$C$6</f>
        <v>200.479999999996</v>
      </c>
      <c r="S659" s="31" t="n">
        <v>25195.84</v>
      </c>
      <c r="T659" s="28" t="s">
        <v>241</v>
      </c>
      <c r="U659" s="44" t="n">
        <f aca="false">IF(J659="BUY",S659-M659,M659-S659)</f>
        <v>-50.4099999999999</v>
      </c>
      <c r="V659" s="45" t="n">
        <v>0</v>
      </c>
      <c r="W659" s="45" t="n">
        <v>0</v>
      </c>
      <c r="X659" s="45" t="n">
        <v>-201.64</v>
      </c>
      <c r="Y659" s="32" t="n">
        <f aca="false">IFERROR(X659/R659,0)</f>
        <v>-1.00578611332803</v>
      </c>
      <c r="Z659" s="28" t="str">
        <f aca="false">IF(X659&gt;0,"Win",IF(X659&lt;0,"Loss","Flat"))</f>
        <v>Loss</v>
      </c>
      <c r="AA659" s="28" t="n">
        <f aca="false">ROUND((C659-B659)*1440,1)</f>
        <v>28.1</v>
      </c>
      <c r="AB659" s="28" t="str">
        <f aca="false">IF(AA659&lt;1,"a) &lt;1 min",IF(AA659&lt;10,"b) 1-10 min",IF(AA659&lt;60,"c) 10-60 min",IF(AA659&lt;240,"d) 1-4 h","e) 4 h+"))))</f>
        <v>c) 10-60 min</v>
      </c>
      <c r="AC659" s="28" t="str">
        <f aca="false">IF(P659&lt;10,"a) &lt;10",IF(P659&lt;20,"b) 10-20",IF(P659&lt;40,"c) 20-40",IF(P659&lt;80,"d) 40-80","e) 80+"))))</f>
        <v>d) 40-80</v>
      </c>
      <c r="AD659" s="30" t="n">
        <f aca="false">Summary!$C$5+SUM(X$2:X659)</f>
        <v>113571.41</v>
      </c>
      <c r="AE659" s="30" t="n">
        <f aca="false">MAX(AE658,AD659)</f>
        <v>114082.13</v>
      </c>
      <c r="AF659" s="30" t="n">
        <f aca="false">AE659-AD659</f>
        <v>510.720000000001</v>
      </c>
      <c r="AG659" s="29" t="n">
        <f aca="false">IFERROR(AF659/AE659,0)</f>
        <v>0.00447677475867606</v>
      </c>
    </row>
    <row r="660" customFormat="false" ht="15" hidden="false" customHeight="false" outlineLevel="0" collapsed="false">
      <c r="A660" s="28" t="n">
        <v>659</v>
      </c>
      <c r="B660" s="43" t="n">
        <v>45972.0868055556</v>
      </c>
      <c r="C660" s="43" t="n">
        <v>45972.087962963</v>
      </c>
      <c r="D660" s="42" t="n">
        <f aca="false">INT(C660)</f>
        <v>45972</v>
      </c>
      <c r="E660" s="42" t="n">
        <f aca="false">D660-WEEKDAY(D660,3)</f>
        <v>45971</v>
      </c>
      <c r="F660" s="28" t="s">
        <v>174</v>
      </c>
      <c r="G660" s="28" t="n">
        <v>2025</v>
      </c>
      <c r="H660" s="28" t="s">
        <v>232</v>
      </c>
      <c r="I660" s="28" t="n">
        <v>2</v>
      </c>
      <c r="J660" s="28" t="s">
        <v>233</v>
      </c>
      <c r="K660" s="28" t="s">
        <v>234</v>
      </c>
      <c r="L660" s="28" t="n">
        <v>0.19</v>
      </c>
      <c r="M660" s="31" t="n">
        <v>25665.76</v>
      </c>
      <c r="N660" s="31" t="n">
        <v>25651.01</v>
      </c>
      <c r="O660" s="31" t="n">
        <v>25696.9</v>
      </c>
      <c r="P660" s="44" t="n">
        <f aca="false">ABS(M660-N660)</f>
        <v>14.75</v>
      </c>
      <c r="Q660" s="44" t="n">
        <f aca="false">IF(O660="","",ABS(O660-M660))</f>
        <v>31.1400000000031</v>
      </c>
      <c r="R660" s="30" t="n">
        <f aca="false">P660*L660*Summary!$C$6</f>
        <v>56.05</v>
      </c>
      <c r="S660" s="31" t="n">
        <v>25650.97</v>
      </c>
      <c r="T660" s="28" t="s">
        <v>241</v>
      </c>
      <c r="U660" s="44" t="n">
        <f aca="false">IF(J660="BUY",S660-M660,M660-S660)</f>
        <v>-14.7899999999972</v>
      </c>
      <c r="V660" s="45" t="n">
        <v>0</v>
      </c>
      <c r="W660" s="45" t="n">
        <v>0</v>
      </c>
      <c r="X660" s="45" t="n">
        <v>-56.2</v>
      </c>
      <c r="Y660" s="32" t="n">
        <f aca="false">IFERROR(X660/R660,0)</f>
        <v>-1.00267618198037</v>
      </c>
      <c r="Z660" s="28" t="str">
        <f aca="false">IF(X660&gt;0,"Win",IF(X660&lt;0,"Loss","Flat"))</f>
        <v>Loss</v>
      </c>
      <c r="AA660" s="28" t="n">
        <f aca="false">ROUND((C660-B660)*1440,1)</f>
        <v>1.7</v>
      </c>
      <c r="AB660" s="28" t="str">
        <f aca="false">IF(AA660&lt;1,"a) &lt;1 min",IF(AA660&lt;10,"b) 1-10 min",IF(AA660&lt;60,"c) 10-60 min",IF(AA660&lt;240,"d) 1-4 h","e) 4 h+"))))</f>
        <v>b) 1-10 min</v>
      </c>
      <c r="AC660" s="28" t="str">
        <f aca="false">IF(P660&lt;10,"a) &lt;10",IF(P660&lt;20,"b) 10-20",IF(P660&lt;40,"c) 20-40",IF(P660&lt;80,"d) 40-80","e) 80+"))))</f>
        <v>b) 10-20</v>
      </c>
      <c r="AD660" s="30" t="n">
        <f aca="false">Summary!$C$5+SUM(X$2:X660)</f>
        <v>113515.21</v>
      </c>
      <c r="AE660" s="30" t="n">
        <f aca="false">MAX(AE659,AD660)</f>
        <v>114082.13</v>
      </c>
      <c r="AF660" s="30" t="n">
        <f aca="false">AE660-AD660</f>
        <v>566.919999999998</v>
      </c>
      <c r="AG660" s="29" t="n">
        <f aca="false">IFERROR(AF660/AE660,0)</f>
        <v>0.00496940230691694</v>
      </c>
    </row>
    <row r="661" customFormat="false" ht="15" hidden="false" customHeight="false" outlineLevel="0" collapsed="false">
      <c r="A661" s="28" t="n">
        <v>660</v>
      </c>
      <c r="B661" s="43" t="n">
        <v>45973.3659722222</v>
      </c>
      <c r="C661" s="43" t="n">
        <v>45973.3940393519</v>
      </c>
      <c r="D661" s="42" t="n">
        <f aca="false">INT(C661)</f>
        <v>45973</v>
      </c>
      <c r="E661" s="42" t="n">
        <f aca="false">D661-WEEKDAY(D661,3)</f>
        <v>45971</v>
      </c>
      <c r="F661" s="28" t="s">
        <v>174</v>
      </c>
      <c r="G661" s="28" t="n">
        <v>2025</v>
      </c>
      <c r="H661" s="28" t="s">
        <v>235</v>
      </c>
      <c r="I661" s="28" t="n">
        <v>8</v>
      </c>
      <c r="J661" s="28" t="s">
        <v>233</v>
      </c>
      <c r="K661" s="28" t="s">
        <v>234</v>
      </c>
      <c r="L661" s="28" t="n">
        <v>0.19</v>
      </c>
      <c r="M661" s="31" t="n">
        <v>25669.62</v>
      </c>
      <c r="N661" s="31" t="n">
        <v>25661.4</v>
      </c>
      <c r="O661" s="31" t="n">
        <v>25686.05</v>
      </c>
      <c r="P661" s="44" t="n">
        <f aca="false">ABS(M661-N661)</f>
        <v>8.21999999999753</v>
      </c>
      <c r="Q661" s="44" t="n">
        <f aca="false">IF(O661="","",ABS(O661-M661))</f>
        <v>16.4300000000003</v>
      </c>
      <c r="R661" s="30" t="n">
        <f aca="false">P661*L661*Summary!$C$6</f>
        <v>31.2359999999906</v>
      </c>
      <c r="S661" s="31" t="n">
        <v>25686.98</v>
      </c>
      <c r="T661" s="28" t="s">
        <v>214</v>
      </c>
      <c r="U661" s="44" t="n">
        <f aca="false">IF(J661="BUY",S661-M661,M661-S661)</f>
        <v>17.3600000000006</v>
      </c>
      <c r="V661" s="45" t="n">
        <v>0</v>
      </c>
      <c r="W661" s="45" t="n">
        <v>0</v>
      </c>
      <c r="X661" s="45" t="n">
        <v>65.97</v>
      </c>
      <c r="Y661" s="32" t="n">
        <f aca="false">IFERROR(X661/R661,0)</f>
        <v>2.11198616980471</v>
      </c>
      <c r="Z661" s="28" t="str">
        <f aca="false">IF(X661&gt;0,"Win",IF(X661&lt;0,"Loss","Flat"))</f>
        <v>Win</v>
      </c>
      <c r="AA661" s="28" t="n">
        <f aca="false">ROUND((C661-B661)*1440,1)</f>
        <v>40.4</v>
      </c>
      <c r="AB661" s="28" t="str">
        <f aca="false">IF(AA661&lt;1,"a) &lt;1 min",IF(AA661&lt;10,"b) 1-10 min",IF(AA661&lt;60,"c) 10-60 min",IF(AA661&lt;240,"d) 1-4 h","e) 4 h+"))))</f>
        <v>c) 10-60 min</v>
      </c>
      <c r="AC661" s="28" t="str">
        <f aca="false">IF(P661&lt;10,"a) &lt;10",IF(P661&lt;20,"b) 10-20",IF(P661&lt;40,"c) 20-40",IF(P661&lt;80,"d) 40-80","e) 80+"))))</f>
        <v>a) &lt;10</v>
      </c>
      <c r="AD661" s="30" t="n">
        <f aca="false">Summary!$C$5+SUM(X$2:X661)</f>
        <v>113581.18</v>
      </c>
      <c r="AE661" s="30" t="n">
        <f aca="false">MAX(AE660,AD661)</f>
        <v>114082.13</v>
      </c>
      <c r="AF661" s="30" t="n">
        <f aca="false">AE661-AD661</f>
        <v>500.950000000012</v>
      </c>
      <c r="AG661" s="29" t="n">
        <f aca="false">IFERROR(AF661/AE661,0)</f>
        <v>0.00439113470269193</v>
      </c>
    </row>
    <row r="662" customFormat="false" ht="15" hidden="false" customHeight="false" outlineLevel="0" collapsed="false">
      <c r="A662" s="28" t="n">
        <v>661</v>
      </c>
      <c r="B662" s="43" t="n">
        <v>45974.6715277778</v>
      </c>
      <c r="C662" s="43" t="n">
        <v>45974.6791782407</v>
      </c>
      <c r="D662" s="42" t="n">
        <f aca="false">INT(C662)</f>
        <v>45974</v>
      </c>
      <c r="E662" s="42" t="n">
        <f aca="false">D662-WEEKDAY(D662,3)</f>
        <v>45971</v>
      </c>
      <c r="F662" s="28" t="s">
        <v>174</v>
      </c>
      <c r="G662" s="28" t="n">
        <v>2025</v>
      </c>
      <c r="H662" s="28" t="s">
        <v>239</v>
      </c>
      <c r="I662" s="28" t="n">
        <v>16</v>
      </c>
      <c r="J662" s="28" t="s">
        <v>236</v>
      </c>
      <c r="K662" s="28" t="s">
        <v>237</v>
      </c>
      <c r="L662" s="28" t="n">
        <v>0.2</v>
      </c>
      <c r="M662" s="31" t="n">
        <v>25372.35</v>
      </c>
      <c r="N662" s="31" t="n">
        <v>25398.04</v>
      </c>
      <c r="O662" s="31" t="n">
        <v>25317.77</v>
      </c>
      <c r="P662" s="44" t="n">
        <f aca="false">ABS(M662-N662)</f>
        <v>25.6900000000023</v>
      </c>
      <c r="Q662" s="44" t="n">
        <f aca="false">IF(O662="","",ABS(O662-M662))</f>
        <v>54.5799999999981</v>
      </c>
      <c r="R662" s="30" t="n">
        <f aca="false">P662*L662*Summary!$C$6</f>
        <v>102.760000000009</v>
      </c>
      <c r="S662" s="31" t="n">
        <v>25373.58</v>
      </c>
      <c r="T662" s="28" t="s">
        <v>238</v>
      </c>
      <c r="U662" s="44" t="n">
        <f aca="false">IF(J662="BUY",S662-M662,M662-S662)</f>
        <v>-1.2300000000032</v>
      </c>
      <c r="V662" s="45" t="n">
        <v>0</v>
      </c>
      <c r="W662" s="45" t="n">
        <v>0</v>
      </c>
      <c r="X662" s="45" t="n">
        <v>-4.92</v>
      </c>
      <c r="Y662" s="32" t="n">
        <f aca="false">IFERROR(X662/R662,0)</f>
        <v>-0.0478785519657411</v>
      </c>
      <c r="Z662" s="28" t="str">
        <f aca="false">IF(X662&gt;0,"Win",IF(X662&lt;0,"Loss","Flat"))</f>
        <v>Loss</v>
      </c>
      <c r="AA662" s="28" t="n">
        <f aca="false">ROUND((C662-B662)*1440,1)</f>
        <v>11</v>
      </c>
      <c r="AB662" s="28" t="str">
        <f aca="false">IF(AA662&lt;1,"a) &lt;1 min",IF(AA662&lt;10,"b) 1-10 min",IF(AA662&lt;60,"c) 10-60 min",IF(AA662&lt;240,"d) 1-4 h","e) 4 h+"))))</f>
        <v>c) 10-60 min</v>
      </c>
      <c r="AC662" s="28" t="str">
        <f aca="false">IF(P662&lt;10,"a) &lt;10",IF(P662&lt;20,"b) 10-20",IF(P662&lt;40,"c) 20-40",IF(P662&lt;80,"d) 40-80","e) 80+"))))</f>
        <v>c) 20-40</v>
      </c>
      <c r="AD662" s="30" t="n">
        <f aca="false">Summary!$C$5+SUM(X$2:X662)</f>
        <v>113576.26</v>
      </c>
      <c r="AE662" s="30" t="n">
        <f aca="false">MAX(AE661,AD662)</f>
        <v>114082.13</v>
      </c>
      <c r="AF662" s="30" t="n">
        <f aca="false">AE662-AD662</f>
        <v>505.87000000001</v>
      </c>
      <c r="AG662" s="29" t="n">
        <f aca="false">IFERROR(AF662/AE662,0)</f>
        <v>0.00443426152719983</v>
      </c>
    </row>
    <row r="663" customFormat="false" ht="15" hidden="false" customHeight="false" outlineLevel="0" collapsed="false">
      <c r="A663" s="28" t="n">
        <v>662</v>
      </c>
      <c r="B663" s="43" t="n">
        <v>45975.3027777778</v>
      </c>
      <c r="C663" s="43" t="n">
        <v>45975.3049652778</v>
      </c>
      <c r="D663" s="42" t="n">
        <f aca="false">INT(C663)</f>
        <v>45975</v>
      </c>
      <c r="E663" s="42" t="n">
        <f aca="false">D663-WEEKDAY(D663,3)</f>
        <v>45971</v>
      </c>
      <c r="F663" s="28" t="s">
        <v>174</v>
      </c>
      <c r="G663" s="28" t="n">
        <v>2025</v>
      </c>
      <c r="H663" s="28" t="s">
        <v>242</v>
      </c>
      <c r="I663" s="28" t="n">
        <v>7</v>
      </c>
      <c r="J663" s="28" t="s">
        <v>236</v>
      </c>
      <c r="K663" s="28" t="s">
        <v>237</v>
      </c>
      <c r="L663" s="28" t="n">
        <v>0.2</v>
      </c>
      <c r="M663" s="31" t="n">
        <v>24889.79</v>
      </c>
      <c r="N663" s="31" t="n">
        <v>24915.95</v>
      </c>
      <c r="O663" s="31" t="n">
        <v>24837.46</v>
      </c>
      <c r="P663" s="44" t="n">
        <f aca="false">ABS(M663-N663)</f>
        <v>26.1599999999999</v>
      </c>
      <c r="Q663" s="44" t="n">
        <f aca="false">IF(O663="","",ABS(O663-M663))</f>
        <v>52.3300000000017</v>
      </c>
      <c r="R663" s="30" t="n">
        <f aca="false">P663*L663*Summary!$C$6</f>
        <v>104.639999999999</v>
      </c>
      <c r="S663" s="31" t="n">
        <v>24916.08</v>
      </c>
      <c r="T663" s="28" t="s">
        <v>241</v>
      </c>
      <c r="U663" s="44" t="n">
        <f aca="false">IF(J663="BUY",S663-M663,M663-S663)</f>
        <v>-26.2900000000009</v>
      </c>
      <c r="V663" s="45" t="n">
        <v>0</v>
      </c>
      <c r="W663" s="45" t="n">
        <v>0</v>
      </c>
      <c r="X663" s="45" t="n">
        <v>-105.16</v>
      </c>
      <c r="Y663" s="32" t="n">
        <f aca="false">IFERROR(X663/R663,0)</f>
        <v>-1.00496941896025</v>
      </c>
      <c r="Z663" s="28" t="str">
        <f aca="false">IF(X663&gt;0,"Win",IF(X663&lt;0,"Loss","Flat"))</f>
        <v>Loss</v>
      </c>
      <c r="AA663" s="28" t="n">
        <f aca="false">ROUND((C663-B663)*1440,1)</f>
        <v>3.2</v>
      </c>
      <c r="AB663" s="28" t="str">
        <f aca="false">IF(AA663&lt;1,"a) &lt;1 min",IF(AA663&lt;10,"b) 1-10 min",IF(AA663&lt;60,"c) 10-60 min",IF(AA663&lt;240,"d) 1-4 h","e) 4 h+"))))</f>
        <v>b) 1-10 min</v>
      </c>
      <c r="AC663" s="28" t="str">
        <f aca="false">IF(P663&lt;10,"a) &lt;10",IF(P663&lt;20,"b) 10-20",IF(P663&lt;40,"c) 20-40",IF(P663&lt;80,"d) 40-80","e) 80+"))))</f>
        <v>c) 20-40</v>
      </c>
      <c r="AD663" s="30" t="n">
        <f aca="false">Summary!$C$5+SUM(X$2:X663)</f>
        <v>113471.1</v>
      </c>
      <c r="AE663" s="30" t="n">
        <f aca="false">MAX(AE662,AD663)</f>
        <v>114082.13</v>
      </c>
      <c r="AF663" s="30" t="n">
        <f aca="false">AE663-AD663</f>
        <v>611.029999999999</v>
      </c>
      <c r="AG663" s="29" t="n">
        <f aca="false">IFERROR(AF663/AE663,0)</f>
        <v>0.00535605357298289</v>
      </c>
    </row>
    <row r="664" customFormat="false" ht="15" hidden="false" customHeight="false" outlineLevel="0" collapsed="false">
      <c r="A664" s="28" t="n">
        <v>663</v>
      </c>
      <c r="B664" s="43" t="n">
        <v>45978.3861111111</v>
      </c>
      <c r="C664" s="43" t="n">
        <v>45978.397037037</v>
      </c>
      <c r="D664" s="42" t="n">
        <f aca="false">INT(C664)</f>
        <v>45978</v>
      </c>
      <c r="E664" s="42" t="n">
        <f aca="false">D664-WEEKDAY(D664,3)</f>
        <v>45978</v>
      </c>
      <c r="F664" s="28" t="s">
        <v>174</v>
      </c>
      <c r="G664" s="28" t="n">
        <v>2025</v>
      </c>
      <c r="H664" s="28" t="s">
        <v>240</v>
      </c>
      <c r="I664" s="28" t="n">
        <v>9</v>
      </c>
      <c r="J664" s="28" t="s">
        <v>233</v>
      </c>
      <c r="K664" s="28" t="s">
        <v>234</v>
      </c>
      <c r="L664" s="28" t="n">
        <v>0.2</v>
      </c>
      <c r="M664" s="31" t="n">
        <v>25202.59</v>
      </c>
      <c r="N664" s="31" t="n">
        <v>25184.19</v>
      </c>
      <c r="O664" s="31" t="n">
        <v>25239.4</v>
      </c>
      <c r="P664" s="44" t="n">
        <f aca="false">ABS(M664-N664)</f>
        <v>18.4000000000015</v>
      </c>
      <c r="Q664" s="44" t="n">
        <f aca="false">IF(O664="","",ABS(O664-M664))</f>
        <v>36.8100000000013</v>
      </c>
      <c r="R664" s="30" t="n">
        <f aca="false">P664*L664*Summary!$C$6</f>
        <v>73.6000000000058</v>
      </c>
      <c r="S664" s="31" t="n">
        <v>25239.44</v>
      </c>
      <c r="T664" s="28" t="s">
        <v>214</v>
      </c>
      <c r="U664" s="44" t="n">
        <f aca="false">IF(J664="BUY",S664-M664,M664-S664)</f>
        <v>36.8499999999985</v>
      </c>
      <c r="V664" s="45" t="n">
        <v>0</v>
      </c>
      <c r="W664" s="45" t="n">
        <v>0</v>
      </c>
      <c r="X664" s="45" t="n">
        <v>147.4</v>
      </c>
      <c r="Y664" s="32" t="n">
        <f aca="false">IFERROR(X664/R664,0)</f>
        <v>2.00271739130419</v>
      </c>
      <c r="Z664" s="28" t="str">
        <f aca="false">IF(X664&gt;0,"Win",IF(X664&lt;0,"Loss","Flat"))</f>
        <v>Win</v>
      </c>
      <c r="AA664" s="28" t="n">
        <f aca="false">ROUND((C664-B664)*1440,1)</f>
        <v>15.7</v>
      </c>
      <c r="AB664" s="28" t="str">
        <f aca="false">IF(AA664&lt;1,"a) &lt;1 min",IF(AA664&lt;10,"b) 1-10 min",IF(AA664&lt;60,"c) 10-60 min",IF(AA664&lt;240,"d) 1-4 h","e) 4 h+"))))</f>
        <v>c) 10-60 min</v>
      </c>
      <c r="AC664" s="28" t="str">
        <f aca="false">IF(P664&lt;10,"a) &lt;10",IF(P664&lt;20,"b) 10-20",IF(P664&lt;40,"c) 20-40",IF(P664&lt;80,"d) 40-80","e) 80+"))))</f>
        <v>b) 10-20</v>
      </c>
      <c r="AD664" s="30" t="n">
        <f aca="false">Summary!$C$5+SUM(X$2:X664)</f>
        <v>113618.5</v>
      </c>
      <c r="AE664" s="30" t="n">
        <f aca="false">MAX(AE663,AD664)</f>
        <v>114082.13</v>
      </c>
      <c r="AF664" s="30" t="n">
        <f aca="false">AE664-AD664</f>
        <v>463.630000000005</v>
      </c>
      <c r="AG664" s="29" t="n">
        <f aca="false">IFERROR(AF664/AE664,0)</f>
        <v>0.00406400196069275</v>
      </c>
    </row>
    <row r="665" customFormat="false" ht="15" hidden="false" customHeight="false" outlineLevel="0" collapsed="false">
      <c r="A665" s="28" t="n">
        <v>664</v>
      </c>
      <c r="B665" s="43" t="n">
        <v>45979.2583333333</v>
      </c>
      <c r="C665" s="43" t="n">
        <v>45979.2620833333</v>
      </c>
      <c r="D665" s="42" t="n">
        <f aca="false">INT(C665)</f>
        <v>45979</v>
      </c>
      <c r="E665" s="42" t="n">
        <f aca="false">D665-WEEKDAY(D665,3)</f>
        <v>45978</v>
      </c>
      <c r="F665" s="28" t="s">
        <v>174</v>
      </c>
      <c r="G665" s="28" t="n">
        <v>2025</v>
      </c>
      <c r="H665" s="28" t="s">
        <v>232</v>
      </c>
      <c r="I665" s="28" t="n">
        <v>6</v>
      </c>
      <c r="J665" s="28" t="s">
        <v>236</v>
      </c>
      <c r="K665" s="28" t="s">
        <v>237</v>
      </c>
      <c r="L665" s="28" t="n">
        <v>0.2</v>
      </c>
      <c r="M665" s="31" t="n">
        <v>24643.14</v>
      </c>
      <c r="N665" s="31" t="n">
        <v>24665.02</v>
      </c>
      <c r="O665" s="31" t="n">
        <v>24594.52</v>
      </c>
      <c r="P665" s="44" t="n">
        <f aca="false">ABS(M665-N665)</f>
        <v>21.880000000001</v>
      </c>
      <c r="Q665" s="44" t="n">
        <f aca="false">IF(O665="","",ABS(O665-M665))</f>
        <v>48.619999999999</v>
      </c>
      <c r="R665" s="30" t="n">
        <f aca="false">P665*L665*Summary!$C$6</f>
        <v>87.5200000000041</v>
      </c>
      <c r="S665" s="31" t="n">
        <v>24591.18</v>
      </c>
      <c r="T665" s="28" t="s">
        <v>214</v>
      </c>
      <c r="U665" s="44" t="n">
        <f aca="false">IF(J665="BUY",S665-M665,M665-S665)</f>
        <v>51.9599999999991</v>
      </c>
      <c r="V665" s="45" t="n">
        <v>0</v>
      </c>
      <c r="W665" s="45" t="n">
        <v>0</v>
      </c>
      <c r="X665" s="45" t="n">
        <v>207.84</v>
      </c>
      <c r="Y665" s="32" t="n">
        <f aca="false">IFERROR(X665/R665,0)</f>
        <v>2.37477148080428</v>
      </c>
      <c r="Z665" s="28" t="str">
        <f aca="false">IF(X665&gt;0,"Win",IF(X665&lt;0,"Loss","Flat"))</f>
        <v>Win</v>
      </c>
      <c r="AA665" s="28" t="n">
        <f aca="false">ROUND((C665-B665)*1440,1)</f>
        <v>5.4</v>
      </c>
      <c r="AB665" s="28" t="str">
        <f aca="false">IF(AA665&lt;1,"a) &lt;1 min",IF(AA665&lt;10,"b) 1-10 min",IF(AA665&lt;60,"c) 10-60 min",IF(AA665&lt;240,"d) 1-4 h","e) 4 h+"))))</f>
        <v>b) 1-10 min</v>
      </c>
      <c r="AC665" s="28" t="str">
        <f aca="false">IF(P665&lt;10,"a) &lt;10",IF(P665&lt;20,"b) 10-20",IF(P665&lt;40,"c) 20-40",IF(P665&lt;80,"d) 40-80","e) 80+"))))</f>
        <v>c) 20-40</v>
      </c>
      <c r="AD665" s="30" t="n">
        <f aca="false">Summary!$C$5+SUM(X$2:X665)</f>
        <v>113826.34</v>
      </c>
      <c r="AE665" s="30" t="n">
        <f aca="false">MAX(AE664,AD665)</f>
        <v>114082.13</v>
      </c>
      <c r="AF665" s="30" t="n">
        <f aca="false">AE665-AD665</f>
        <v>255.790000000008</v>
      </c>
      <c r="AG665" s="29" t="n">
        <f aca="false">IFERROR(AF665/AE665,0)</f>
        <v>0.00224215659367517</v>
      </c>
    </row>
    <row r="666" customFormat="false" ht="15" hidden="false" customHeight="false" outlineLevel="0" collapsed="false">
      <c r="A666" s="28" t="n">
        <v>665</v>
      </c>
      <c r="B666" s="43" t="n">
        <v>45980.7194444445</v>
      </c>
      <c r="C666" s="43" t="n">
        <v>45980.7298958333</v>
      </c>
      <c r="D666" s="42" t="n">
        <f aca="false">INT(C666)</f>
        <v>45980</v>
      </c>
      <c r="E666" s="42" t="n">
        <f aca="false">D666-WEEKDAY(D666,3)</f>
        <v>45978</v>
      </c>
      <c r="F666" s="28" t="s">
        <v>174</v>
      </c>
      <c r="G666" s="28" t="n">
        <v>2025</v>
      </c>
      <c r="H666" s="28" t="s">
        <v>235</v>
      </c>
      <c r="I666" s="28" t="n">
        <v>17</v>
      </c>
      <c r="J666" s="28" t="s">
        <v>233</v>
      </c>
      <c r="K666" s="28" t="s">
        <v>234</v>
      </c>
      <c r="L666" s="28" t="n">
        <v>0.2</v>
      </c>
      <c r="M666" s="31" t="n">
        <v>24892.2</v>
      </c>
      <c r="N666" s="31" t="n">
        <v>24849.55</v>
      </c>
      <c r="O666" s="31" t="n">
        <v>24976.95</v>
      </c>
      <c r="P666" s="44" t="n">
        <f aca="false">ABS(M666-N666)</f>
        <v>42.6500000000015</v>
      </c>
      <c r="Q666" s="44" t="n">
        <f aca="false">IF(O666="","",ABS(O666-M666))</f>
        <v>84.75</v>
      </c>
      <c r="R666" s="30" t="n">
        <f aca="false">P666*L666*Summary!$C$6</f>
        <v>170.600000000006</v>
      </c>
      <c r="S666" s="31" t="n">
        <v>24848.64</v>
      </c>
      <c r="T666" s="28" t="s">
        <v>241</v>
      </c>
      <c r="U666" s="44" t="n">
        <f aca="false">IF(J666="BUY",S666-M666,M666-S666)</f>
        <v>-43.5600000000013</v>
      </c>
      <c r="V666" s="45" t="n">
        <v>0</v>
      </c>
      <c r="W666" s="45" t="n">
        <v>0</v>
      </c>
      <c r="X666" s="45" t="n">
        <v>-174.24</v>
      </c>
      <c r="Y666" s="32" t="n">
        <f aca="false">IFERROR(X666/R666,0)</f>
        <v>-1.02133645955448</v>
      </c>
      <c r="Z666" s="28" t="str">
        <f aca="false">IF(X666&gt;0,"Win",IF(X666&lt;0,"Loss","Flat"))</f>
        <v>Loss</v>
      </c>
      <c r="AA666" s="28" t="n">
        <f aca="false">ROUND((C666-B666)*1440,1)</f>
        <v>15.1</v>
      </c>
      <c r="AB666" s="28" t="str">
        <f aca="false">IF(AA666&lt;1,"a) &lt;1 min",IF(AA666&lt;10,"b) 1-10 min",IF(AA666&lt;60,"c) 10-60 min",IF(AA666&lt;240,"d) 1-4 h","e) 4 h+"))))</f>
        <v>c) 10-60 min</v>
      </c>
      <c r="AC666" s="28" t="str">
        <f aca="false">IF(P666&lt;10,"a) &lt;10",IF(P666&lt;20,"b) 10-20",IF(P666&lt;40,"c) 20-40",IF(P666&lt;80,"d) 40-80","e) 80+"))))</f>
        <v>d) 40-80</v>
      </c>
      <c r="AD666" s="30" t="n">
        <f aca="false">Summary!$C$5+SUM(X$2:X666)</f>
        <v>113652.1</v>
      </c>
      <c r="AE666" s="30" t="n">
        <f aca="false">MAX(AE665,AD666)</f>
        <v>114082.13</v>
      </c>
      <c r="AF666" s="30" t="n">
        <f aca="false">AE666-AD666</f>
        <v>430.029999999999</v>
      </c>
      <c r="AG666" s="29" t="n">
        <f aca="false">IFERROR(AF666/AE666,0)</f>
        <v>0.00376947730551664</v>
      </c>
    </row>
    <row r="667" customFormat="false" ht="15" hidden="false" customHeight="false" outlineLevel="0" collapsed="false">
      <c r="A667" s="28" t="n">
        <v>666</v>
      </c>
      <c r="B667" s="43" t="n">
        <v>45981.0430555556</v>
      </c>
      <c r="C667" s="43" t="n">
        <v>45981.2116319445</v>
      </c>
      <c r="D667" s="42" t="n">
        <f aca="false">INT(C667)</f>
        <v>45981</v>
      </c>
      <c r="E667" s="42" t="n">
        <f aca="false">D667-WEEKDAY(D667,3)</f>
        <v>45978</v>
      </c>
      <c r="F667" s="28" t="s">
        <v>174</v>
      </c>
      <c r="G667" s="28" t="n">
        <v>2025</v>
      </c>
      <c r="H667" s="28" t="s">
        <v>239</v>
      </c>
      <c r="I667" s="28" t="n">
        <v>1</v>
      </c>
      <c r="J667" s="28" t="s">
        <v>233</v>
      </c>
      <c r="K667" s="28" t="s">
        <v>234</v>
      </c>
      <c r="L667" s="28" t="n">
        <v>0.2</v>
      </c>
      <c r="M667" s="31" t="n">
        <v>24933.48</v>
      </c>
      <c r="N667" s="31" t="n">
        <v>24846.28</v>
      </c>
      <c r="O667" s="31" t="n">
        <v>25107.89</v>
      </c>
      <c r="P667" s="44" t="n">
        <f aca="false">ABS(M667-N667)</f>
        <v>87.2000000000007</v>
      </c>
      <c r="Q667" s="44" t="n">
        <f aca="false">IF(O667="","",ABS(O667-M667))</f>
        <v>174.41</v>
      </c>
      <c r="R667" s="30" t="n">
        <f aca="false">P667*L667*Summary!$C$6</f>
        <v>348.800000000003</v>
      </c>
      <c r="S667" s="31" t="n">
        <v>25108.56</v>
      </c>
      <c r="T667" s="28" t="s">
        <v>214</v>
      </c>
      <c r="U667" s="44" t="n">
        <f aca="false">IF(J667="BUY",S667-M667,M667-S667)</f>
        <v>175.080000000002</v>
      </c>
      <c r="V667" s="45" t="n">
        <v>0</v>
      </c>
      <c r="W667" s="45" t="n">
        <v>0</v>
      </c>
      <c r="X667" s="45" t="n">
        <v>700.32</v>
      </c>
      <c r="Y667" s="32" t="n">
        <f aca="false">IFERROR(X667/R667,0)</f>
        <v>2.0077981651376</v>
      </c>
      <c r="Z667" s="28" t="str">
        <f aca="false">IF(X667&gt;0,"Win",IF(X667&lt;0,"Loss","Flat"))</f>
        <v>Win</v>
      </c>
      <c r="AA667" s="28" t="n">
        <f aca="false">ROUND((C667-B667)*1440,1)</f>
        <v>242.8</v>
      </c>
      <c r="AB667" s="28" t="str">
        <f aca="false">IF(AA667&lt;1,"a) &lt;1 min",IF(AA667&lt;10,"b) 1-10 min",IF(AA667&lt;60,"c) 10-60 min",IF(AA667&lt;240,"d) 1-4 h","e) 4 h+"))))</f>
        <v>e) 4 h+</v>
      </c>
      <c r="AC667" s="28" t="str">
        <f aca="false">IF(P667&lt;10,"a) &lt;10",IF(P667&lt;20,"b) 10-20",IF(P667&lt;40,"c) 20-40",IF(P667&lt;80,"d) 40-80","e) 80+"))))</f>
        <v>e) 80+</v>
      </c>
      <c r="AD667" s="30" t="n">
        <f aca="false">Summary!$C$5+SUM(X$2:X667)</f>
        <v>114352.42</v>
      </c>
      <c r="AE667" s="30" t="n">
        <f aca="false">MAX(AE666,AD667)</f>
        <v>114352.42</v>
      </c>
      <c r="AF667" s="30" t="n">
        <f aca="false">AE667-AD667</f>
        <v>0</v>
      </c>
      <c r="AG667" s="29" t="n">
        <f aca="false">IFERROR(AF667/AE667,0)</f>
        <v>0</v>
      </c>
    </row>
    <row r="668" customFormat="false" ht="15" hidden="false" customHeight="false" outlineLevel="0" collapsed="false">
      <c r="A668" s="28" t="n">
        <v>667</v>
      </c>
      <c r="B668" s="43" t="n">
        <v>45981.8013888889</v>
      </c>
      <c r="C668" s="43" t="n">
        <v>45981.8188310185</v>
      </c>
      <c r="D668" s="42" t="n">
        <f aca="false">INT(C668)</f>
        <v>45981</v>
      </c>
      <c r="E668" s="42" t="n">
        <f aca="false">D668-WEEKDAY(D668,3)</f>
        <v>45978</v>
      </c>
      <c r="F668" s="28" t="s">
        <v>174</v>
      </c>
      <c r="G668" s="28" t="n">
        <v>2025</v>
      </c>
      <c r="H668" s="28" t="s">
        <v>239</v>
      </c>
      <c r="I668" s="28" t="n">
        <v>19</v>
      </c>
      <c r="J668" s="28" t="s">
        <v>236</v>
      </c>
      <c r="K668" s="28" t="s">
        <v>237</v>
      </c>
      <c r="L668" s="28" t="n">
        <v>0.21</v>
      </c>
      <c r="M668" s="31" t="n">
        <v>24355.73</v>
      </c>
      <c r="N668" s="31" t="n">
        <v>24464.65</v>
      </c>
      <c r="O668" s="31" t="n">
        <v>24133.31</v>
      </c>
      <c r="P668" s="44" t="n">
        <f aca="false">ABS(M668-N668)</f>
        <v>108.920000000002</v>
      </c>
      <c r="Q668" s="44" t="n">
        <f aca="false">IF(O668="","",ABS(O668-M668))</f>
        <v>222.419999999998</v>
      </c>
      <c r="R668" s="30" t="n">
        <f aca="false">P668*L668*Summary!$C$6</f>
        <v>457.464000000008</v>
      </c>
      <c r="S668" s="31" t="n">
        <v>24355.75</v>
      </c>
      <c r="T668" s="28" t="s">
        <v>238</v>
      </c>
      <c r="U668" s="44" t="n">
        <f aca="false">IF(J668="BUY",S668-M668,M668-S668)</f>
        <v>-0.0200000000004366</v>
      </c>
      <c r="V668" s="45" t="n">
        <v>0</v>
      </c>
      <c r="W668" s="45" t="n">
        <v>0</v>
      </c>
      <c r="X668" s="45" t="n">
        <v>-0.08</v>
      </c>
      <c r="Y668" s="32" t="n">
        <f aca="false">IFERROR(X668/R668,0)</f>
        <v>-0.000174877148802963</v>
      </c>
      <c r="Z668" s="28" t="str">
        <f aca="false">IF(X668&gt;0,"Win",IF(X668&lt;0,"Loss","Flat"))</f>
        <v>Loss</v>
      </c>
      <c r="AA668" s="28" t="n">
        <f aca="false">ROUND((C668-B668)*1440,1)</f>
        <v>25.1</v>
      </c>
      <c r="AB668" s="28" t="str">
        <f aca="false">IF(AA668&lt;1,"a) &lt;1 min",IF(AA668&lt;10,"b) 1-10 min",IF(AA668&lt;60,"c) 10-60 min",IF(AA668&lt;240,"d) 1-4 h","e) 4 h+"))))</f>
        <v>c) 10-60 min</v>
      </c>
      <c r="AC668" s="28" t="str">
        <f aca="false">IF(P668&lt;10,"a) &lt;10",IF(P668&lt;20,"b) 10-20",IF(P668&lt;40,"c) 20-40",IF(P668&lt;80,"d) 40-80","e) 80+"))))</f>
        <v>e) 80+</v>
      </c>
      <c r="AD668" s="30" t="n">
        <f aca="false">Summary!$C$5+SUM(X$2:X668)</f>
        <v>114352.34</v>
      </c>
      <c r="AE668" s="30" t="n">
        <f aca="false">MAX(AE667,AD668)</f>
        <v>114352.42</v>
      </c>
      <c r="AF668" s="30" t="n">
        <f aca="false">AE668-AD668</f>
        <v>0.0800000000017462</v>
      </c>
      <c r="AG668" s="29" t="n">
        <f aca="false">IFERROR(AF668/AE668,0)</f>
        <v>6.99591665849715E-007</v>
      </c>
    </row>
    <row r="669" customFormat="false" ht="15" hidden="false" customHeight="false" outlineLevel="0" collapsed="false">
      <c r="A669" s="28" t="n">
        <v>668</v>
      </c>
      <c r="B669" s="43" t="n">
        <v>45982.04375</v>
      </c>
      <c r="C669" s="43" t="n">
        <v>45982.053912037</v>
      </c>
      <c r="D669" s="42" t="n">
        <f aca="false">INT(C669)</f>
        <v>45982</v>
      </c>
      <c r="E669" s="42" t="n">
        <f aca="false">D669-WEEKDAY(D669,3)</f>
        <v>45978</v>
      </c>
      <c r="F669" s="28" t="s">
        <v>174</v>
      </c>
      <c r="G669" s="28" t="n">
        <v>2025</v>
      </c>
      <c r="H669" s="28" t="s">
        <v>242</v>
      </c>
      <c r="I669" s="28" t="n">
        <v>1</v>
      </c>
      <c r="J669" s="28" t="s">
        <v>236</v>
      </c>
      <c r="K669" s="28" t="s">
        <v>237</v>
      </c>
      <c r="L669" s="28" t="n">
        <v>0.21</v>
      </c>
      <c r="M669" s="31" t="n">
        <v>23986.57</v>
      </c>
      <c r="N669" s="31" t="n">
        <v>24031.29</v>
      </c>
      <c r="O669" s="31" t="n">
        <v>23897.12</v>
      </c>
      <c r="P669" s="44" t="n">
        <f aca="false">ABS(M669-N669)</f>
        <v>44.7200000000012</v>
      </c>
      <c r="Q669" s="44" t="n">
        <f aca="false">IF(O669="","",ABS(O669-M669))</f>
        <v>89.4500000000007</v>
      </c>
      <c r="R669" s="30" t="n">
        <f aca="false">P669*L669*Summary!$C$6</f>
        <v>187.824000000005</v>
      </c>
      <c r="S669" s="31" t="n">
        <v>24031.31</v>
      </c>
      <c r="T669" s="28" t="s">
        <v>241</v>
      </c>
      <c r="U669" s="44" t="n">
        <f aca="false">IF(J669="BUY",S669-M669,M669-S669)</f>
        <v>-44.7400000000016</v>
      </c>
      <c r="V669" s="45" t="n">
        <v>0</v>
      </c>
      <c r="W669" s="45" t="n">
        <v>0</v>
      </c>
      <c r="X669" s="45" t="n">
        <v>-187.91</v>
      </c>
      <c r="Y669" s="32" t="n">
        <f aca="false">IFERROR(X669/R669,0)</f>
        <v>-1.00045787545785</v>
      </c>
      <c r="Z669" s="28" t="str">
        <f aca="false">IF(X669&gt;0,"Win",IF(X669&lt;0,"Loss","Flat"))</f>
        <v>Loss</v>
      </c>
      <c r="AA669" s="28" t="n">
        <f aca="false">ROUND((C669-B669)*1440,1)</f>
        <v>14.6</v>
      </c>
      <c r="AB669" s="28" t="str">
        <f aca="false">IF(AA669&lt;1,"a) &lt;1 min",IF(AA669&lt;10,"b) 1-10 min",IF(AA669&lt;60,"c) 10-60 min",IF(AA669&lt;240,"d) 1-4 h","e) 4 h+"))))</f>
        <v>c) 10-60 min</v>
      </c>
      <c r="AC669" s="28" t="str">
        <f aca="false">IF(P669&lt;10,"a) &lt;10",IF(P669&lt;20,"b) 10-20",IF(P669&lt;40,"c) 20-40",IF(P669&lt;80,"d) 40-80","e) 80+"))))</f>
        <v>d) 40-80</v>
      </c>
      <c r="AD669" s="30" t="n">
        <f aca="false">Summary!$C$5+SUM(X$2:X669)</f>
        <v>114164.43</v>
      </c>
      <c r="AE669" s="30" t="n">
        <f aca="false">MAX(AE668,AD669)</f>
        <v>114352.42</v>
      </c>
      <c r="AF669" s="30" t="n">
        <f aca="false">AE669-AD669</f>
        <v>187.990000000005</v>
      </c>
      <c r="AG669" s="29" t="n">
        <f aca="false">IFERROR(AF669/AE669,0)</f>
        <v>0.00164395296575276</v>
      </c>
    </row>
    <row r="670" customFormat="false" ht="15" hidden="false" customHeight="false" outlineLevel="0" collapsed="false">
      <c r="A670" s="28" t="n">
        <v>669</v>
      </c>
      <c r="B670" s="43" t="n">
        <v>45985.6895833333</v>
      </c>
      <c r="C670" s="43" t="n">
        <v>45985.6913773148</v>
      </c>
      <c r="D670" s="42" t="n">
        <f aca="false">INT(C670)</f>
        <v>45985</v>
      </c>
      <c r="E670" s="42" t="n">
        <f aca="false">D670-WEEKDAY(D670,3)</f>
        <v>45985</v>
      </c>
      <c r="F670" s="28" t="s">
        <v>174</v>
      </c>
      <c r="G670" s="28" t="n">
        <v>2025</v>
      </c>
      <c r="H670" s="28" t="s">
        <v>240</v>
      </c>
      <c r="I670" s="28" t="n">
        <v>16</v>
      </c>
      <c r="J670" s="28" t="s">
        <v>233</v>
      </c>
      <c r="K670" s="28" t="s">
        <v>234</v>
      </c>
      <c r="L670" s="28" t="n">
        <v>0.2</v>
      </c>
      <c r="M670" s="31" t="n">
        <v>24567.52</v>
      </c>
      <c r="N670" s="31" t="n">
        <v>24528.85</v>
      </c>
      <c r="O670" s="31" t="n">
        <v>24645.67</v>
      </c>
      <c r="P670" s="44" t="n">
        <f aca="false">ABS(M670-N670)</f>
        <v>38.6700000000019</v>
      </c>
      <c r="Q670" s="44" t="n">
        <f aca="false">IF(O670="","",ABS(O670-M670))</f>
        <v>78.1499999999978</v>
      </c>
      <c r="R670" s="30" t="n">
        <f aca="false">P670*L670*Summary!$C$6</f>
        <v>154.680000000008</v>
      </c>
      <c r="S670" s="31" t="n">
        <v>24646.13</v>
      </c>
      <c r="T670" s="28" t="s">
        <v>214</v>
      </c>
      <c r="U670" s="44" t="n">
        <f aca="false">IF(J670="BUY",S670-M670,M670-S670)</f>
        <v>78.6100000000006</v>
      </c>
      <c r="V670" s="45" t="n">
        <v>0</v>
      </c>
      <c r="W670" s="45" t="n">
        <v>0</v>
      </c>
      <c r="X670" s="45" t="n">
        <v>314.44</v>
      </c>
      <c r="Y670" s="32" t="n">
        <f aca="false">IFERROR(X670/R670,0)</f>
        <v>2.03284199637952</v>
      </c>
      <c r="Z670" s="28" t="str">
        <f aca="false">IF(X670&gt;0,"Win",IF(X670&lt;0,"Loss","Flat"))</f>
        <v>Win</v>
      </c>
      <c r="AA670" s="28" t="n">
        <f aca="false">ROUND((C670-B670)*1440,1)</f>
        <v>2.6</v>
      </c>
      <c r="AB670" s="28" t="str">
        <f aca="false">IF(AA670&lt;1,"a) &lt;1 min",IF(AA670&lt;10,"b) 1-10 min",IF(AA670&lt;60,"c) 10-60 min",IF(AA670&lt;240,"d) 1-4 h","e) 4 h+"))))</f>
        <v>b) 1-10 min</v>
      </c>
      <c r="AC670" s="28" t="str">
        <f aca="false">IF(P670&lt;10,"a) &lt;10",IF(P670&lt;20,"b) 10-20",IF(P670&lt;40,"c) 20-40",IF(P670&lt;80,"d) 40-80","e) 80+"))))</f>
        <v>c) 20-40</v>
      </c>
      <c r="AD670" s="30" t="n">
        <f aca="false">Summary!$C$5+SUM(X$2:X670)</f>
        <v>114478.87</v>
      </c>
      <c r="AE670" s="30" t="n">
        <f aca="false">MAX(AE669,AD670)</f>
        <v>114478.87</v>
      </c>
      <c r="AF670" s="30" t="n">
        <f aca="false">AE670-AD670</f>
        <v>0</v>
      </c>
      <c r="AG670" s="29" t="n">
        <f aca="false">IFERROR(AF670/AE670,0)</f>
        <v>0</v>
      </c>
    </row>
    <row r="671" customFormat="false" ht="15" hidden="false" customHeight="false" outlineLevel="0" collapsed="false">
      <c r="A671" s="28" t="n">
        <v>670</v>
      </c>
      <c r="B671" s="43" t="n">
        <v>45986.8083333333</v>
      </c>
      <c r="C671" s="43" t="n">
        <v>45986.8172569444</v>
      </c>
      <c r="D671" s="42" t="n">
        <f aca="false">INT(C671)</f>
        <v>45986</v>
      </c>
      <c r="E671" s="42" t="n">
        <f aca="false">D671-WEEKDAY(D671,3)</f>
        <v>45985</v>
      </c>
      <c r="F671" s="28" t="s">
        <v>174</v>
      </c>
      <c r="G671" s="28" t="n">
        <v>2025</v>
      </c>
      <c r="H671" s="28" t="s">
        <v>232</v>
      </c>
      <c r="I671" s="28" t="n">
        <v>19</v>
      </c>
      <c r="J671" s="28" t="s">
        <v>233</v>
      </c>
      <c r="K671" s="28" t="s">
        <v>234</v>
      </c>
      <c r="L671" s="28" t="n">
        <v>0.2</v>
      </c>
      <c r="M671" s="31" t="n">
        <v>24928.69</v>
      </c>
      <c r="N671" s="31" t="n">
        <v>24903.81</v>
      </c>
      <c r="O671" s="31" t="n">
        <v>24978.45</v>
      </c>
      <c r="P671" s="44" t="n">
        <f aca="false">ABS(M671-N671)</f>
        <v>24.8799999999974</v>
      </c>
      <c r="Q671" s="44" t="n">
        <f aca="false">IF(O671="","",ABS(O671-M671))</f>
        <v>49.760000000002</v>
      </c>
      <c r="R671" s="30" t="n">
        <f aca="false">P671*L671*Summary!$C$6</f>
        <v>99.5199999999895</v>
      </c>
      <c r="S671" s="31" t="n">
        <v>24978.72</v>
      </c>
      <c r="T671" s="28" t="s">
        <v>214</v>
      </c>
      <c r="U671" s="44" t="n">
        <f aca="false">IF(J671="BUY",S671-M671,M671-S671)</f>
        <v>50.0300000000025</v>
      </c>
      <c r="V671" s="45" t="n">
        <v>0</v>
      </c>
      <c r="W671" s="45" t="n">
        <v>0</v>
      </c>
      <c r="X671" s="45" t="n">
        <v>200.12</v>
      </c>
      <c r="Y671" s="32" t="n">
        <f aca="false">IFERROR(X671/R671,0)</f>
        <v>2.01085209003237</v>
      </c>
      <c r="Z671" s="28" t="str">
        <f aca="false">IF(X671&gt;0,"Win",IF(X671&lt;0,"Loss","Flat"))</f>
        <v>Win</v>
      </c>
      <c r="AA671" s="28" t="n">
        <f aca="false">ROUND((C671-B671)*1440,1)</f>
        <v>12.9</v>
      </c>
      <c r="AB671" s="28" t="str">
        <f aca="false">IF(AA671&lt;1,"a) &lt;1 min",IF(AA671&lt;10,"b) 1-10 min",IF(AA671&lt;60,"c) 10-60 min",IF(AA671&lt;240,"d) 1-4 h","e) 4 h+"))))</f>
        <v>c) 10-60 min</v>
      </c>
      <c r="AC671" s="28" t="str">
        <f aca="false">IF(P671&lt;10,"a) &lt;10",IF(P671&lt;20,"b) 10-20",IF(P671&lt;40,"c) 20-40",IF(P671&lt;80,"d) 40-80","e) 80+"))))</f>
        <v>c) 20-40</v>
      </c>
      <c r="AD671" s="30" t="n">
        <f aca="false">Summary!$C$5+SUM(X$2:X671)</f>
        <v>114678.99</v>
      </c>
      <c r="AE671" s="30" t="n">
        <f aca="false">MAX(AE670,AD671)</f>
        <v>114678.99</v>
      </c>
      <c r="AF671" s="30" t="n">
        <f aca="false">AE671-AD671</f>
        <v>0</v>
      </c>
      <c r="AG671" s="29" t="n">
        <f aca="false">IFERROR(AF671/AE671,0)</f>
        <v>0</v>
      </c>
    </row>
    <row r="672" customFormat="false" ht="15" hidden="false" customHeight="false" outlineLevel="0" collapsed="false">
      <c r="A672" s="28" t="n">
        <v>671</v>
      </c>
      <c r="B672" s="43" t="n">
        <v>45987.1326388889</v>
      </c>
      <c r="C672" s="43" t="n">
        <v>45987.1363194444</v>
      </c>
      <c r="D672" s="42" t="n">
        <f aca="false">INT(C672)</f>
        <v>45987</v>
      </c>
      <c r="E672" s="42" t="n">
        <f aca="false">D672-WEEKDAY(D672,3)</f>
        <v>45985</v>
      </c>
      <c r="F672" s="28" t="s">
        <v>174</v>
      </c>
      <c r="G672" s="28" t="n">
        <v>2025</v>
      </c>
      <c r="H672" s="28" t="s">
        <v>235</v>
      </c>
      <c r="I672" s="28" t="n">
        <v>3</v>
      </c>
      <c r="J672" s="28" t="s">
        <v>233</v>
      </c>
      <c r="K672" s="28" t="s">
        <v>234</v>
      </c>
      <c r="L672" s="28" t="n">
        <v>0.2</v>
      </c>
      <c r="M672" s="31" t="n">
        <v>25067.58</v>
      </c>
      <c r="N672" s="31" t="n">
        <v>25057.34</v>
      </c>
      <c r="O672" s="31" t="n">
        <v>25088.05</v>
      </c>
      <c r="P672" s="44" t="n">
        <f aca="false">ABS(M672-N672)</f>
        <v>10.2400000000016</v>
      </c>
      <c r="Q672" s="44" t="n">
        <f aca="false">IF(O672="","",ABS(O672-M672))</f>
        <v>20.4699999999975</v>
      </c>
      <c r="R672" s="30" t="n">
        <f aca="false">P672*L672*Summary!$C$6</f>
        <v>40.9600000000064</v>
      </c>
      <c r="S672" s="31" t="n">
        <v>25088.15</v>
      </c>
      <c r="T672" s="28" t="s">
        <v>214</v>
      </c>
      <c r="U672" s="44" t="n">
        <f aca="false">IF(J672="BUY",S672-M672,M672-S672)</f>
        <v>20.5699999999997</v>
      </c>
      <c r="V672" s="45" t="n">
        <v>0</v>
      </c>
      <c r="W672" s="45" t="n">
        <v>0</v>
      </c>
      <c r="X672" s="45" t="n">
        <v>82.28</v>
      </c>
      <c r="Y672" s="32" t="n">
        <f aca="false">IFERROR(X672/R672,0)</f>
        <v>2.00878906249969</v>
      </c>
      <c r="Z672" s="28" t="str">
        <f aca="false">IF(X672&gt;0,"Win",IF(X672&lt;0,"Loss","Flat"))</f>
        <v>Win</v>
      </c>
      <c r="AA672" s="28" t="n">
        <f aca="false">ROUND((C672-B672)*1440,1)</f>
        <v>5.3</v>
      </c>
      <c r="AB672" s="28" t="str">
        <f aca="false">IF(AA672&lt;1,"a) &lt;1 min",IF(AA672&lt;10,"b) 1-10 min",IF(AA672&lt;60,"c) 10-60 min",IF(AA672&lt;240,"d) 1-4 h","e) 4 h+"))))</f>
        <v>b) 1-10 min</v>
      </c>
      <c r="AC672" s="28" t="str">
        <f aca="false">IF(P672&lt;10,"a) &lt;10",IF(P672&lt;20,"b) 10-20",IF(P672&lt;40,"c) 20-40",IF(P672&lt;80,"d) 40-80","e) 80+"))))</f>
        <v>b) 10-20</v>
      </c>
      <c r="AD672" s="30" t="n">
        <f aca="false">Summary!$C$5+SUM(X$2:X672)</f>
        <v>114761.27</v>
      </c>
      <c r="AE672" s="30" t="n">
        <f aca="false">MAX(AE671,AD672)</f>
        <v>114761.27</v>
      </c>
      <c r="AF672" s="30" t="n">
        <f aca="false">AE672-AD672</f>
        <v>0</v>
      </c>
      <c r="AG672" s="29" t="n">
        <f aca="false">IFERROR(AF672/AE672,0)</f>
        <v>0</v>
      </c>
    </row>
    <row r="673" customFormat="false" ht="15" hidden="false" customHeight="false" outlineLevel="0" collapsed="false">
      <c r="A673" s="28" t="n">
        <v>672</v>
      </c>
      <c r="B673" s="43" t="n">
        <v>45989.0847222222</v>
      </c>
      <c r="C673" s="43" t="n">
        <v>45989.0918981481</v>
      </c>
      <c r="D673" s="42" t="n">
        <f aca="false">INT(C673)</f>
        <v>45989</v>
      </c>
      <c r="E673" s="42" t="n">
        <f aca="false">D673-WEEKDAY(D673,3)</f>
        <v>45985</v>
      </c>
      <c r="F673" s="28" t="s">
        <v>174</v>
      </c>
      <c r="G673" s="28" t="n">
        <v>2025</v>
      </c>
      <c r="H673" s="28" t="s">
        <v>242</v>
      </c>
      <c r="I673" s="28" t="n">
        <v>2</v>
      </c>
      <c r="J673" s="28" t="s">
        <v>233</v>
      </c>
      <c r="K673" s="28" t="s">
        <v>234</v>
      </c>
      <c r="L673" s="28" t="n">
        <v>0.2</v>
      </c>
      <c r="M673" s="31" t="n">
        <v>25278.77</v>
      </c>
      <c r="N673" s="31" t="n">
        <v>25272.37</v>
      </c>
      <c r="O673" s="31" t="n">
        <v>25291.57</v>
      </c>
      <c r="P673" s="44" t="n">
        <f aca="false">ABS(M673-N673)</f>
        <v>6.40000000000146</v>
      </c>
      <c r="Q673" s="44" t="n">
        <f aca="false">IF(O673="","",ABS(O673-M673))</f>
        <v>12.7999999999993</v>
      </c>
      <c r="R673" s="30" t="n">
        <f aca="false">P673*L673*Summary!$C$6</f>
        <v>25.6000000000058</v>
      </c>
      <c r="S673" s="31" t="n">
        <v>25291.73</v>
      </c>
      <c r="T673" s="28" t="s">
        <v>214</v>
      </c>
      <c r="U673" s="44" t="n">
        <f aca="false">IF(J673="BUY",S673-M673,M673-S673)</f>
        <v>12.9599999999991</v>
      </c>
      <c r="V673" s="45" t="n">
        <v>0</v>
      </c>
      <c r="W673" s="45" t="n">
        <v>0</v>
      </c>
      <c r="X673" s="45" t="n">
        <v>51.84</v>
      </c>
      <c r="Y673" s="32" t="n">
        <f aca="false">IFERROR(X673/R673,0)</f>
        <v>2.02499999999954</v>
      </c>
      <c r="Z673" s="28" t="str">
        <f aca="false">IF(X673&gt;0,"Win",IF(X673&lt;0,"Loss","Flat"))</f>
        <v>Win</v>
      </c>
      <c r="AA673" s="28" t="n">
        <f aca="false">ROUND((C673-B673)*1440,1)</f>
        <v>10.3</v>
      </c>
      <c r="AB673" s="28" t="str">
        <f aca="false">IF(AA673&lt;1,"a) &lt;1 min",IF(AA673&lt;10,"b) 1-10 min",IF(AA673&lt;60,"c) 10-60 min",IF(AA673&lt;240,"d) 1-4 h","e) 4 h+"))))</f>
        <v>c) 10-60 min</v>
      </c>
      <c r="AC673" s="28" t="str">
        <f aca="false">IF(P673&lt;10,"a) &lt;10",IF(P673&lt;20,"b) 10-20",IF(P673&lt;40,"c) 20-40",IF(P673&lt;80,"d) 40-80","e) 80+"))))</f>
        <v>a) &lt;10</v>
      </c>
      <c r="AD673" s="30" t="n">
        <f aca="false">Summary!$C$5+SUM(X$2:X673)</f>
        <v>114813.11</v>
      </c>
      <c r="AE673" s="30" t="n">
        <f aca="false">MAX(AE672,AD673)</f>
        <v>114813.11</v>
      </c>
      <c r="AF673" s="30" t="n">
        <f aca="false">AE673-AD673</f>
        <v>0</v>
      </c>
      <c r="AG673" s="29" t="n">
        <f aca="false">IFERROR(AF673/AE673,0)</f>
        <v>0</v>
      </c>
    </row>
    <row r="674" customFormat="false" ht="15" hidden="false" customHeight="false" outlineLevel="0" collapsed="false">
      <c r="A674" s="28" t="n">
        <v>673</v>
      </c>
      <c r="B674" s="43" t="n">
        <v>45992.0423611111</v>
      </c>
      <c r="C674" s="43" t="n">
        <v>45992.0437847222</v>
      </c>
      <c r="D674" s="42" t="n">
        <f aca="false">INT(C674)</f>
        <v>45992</v>
      </c>
      <c r="E674" s="42" t="n">
        <f aca="false">D674-WEEKDAY(D674,3)</f>
        <v>45992</v>
      </c>
      <c r="F674" s="28" t="s">
        <v>175</v>
      </c>
      <c r="G674" s="28" t="n">
        <v>2025</v>
      </c>
      <c r="H674" s="28" t="s">
        <v>240</v>
      </c>
      <c r="I674" s="28" t="n">
        <v>1</v>
      </c>
      <c r="J674" s="28" t="s">
        <v>233</v>
      </c>
      <c r="K674" s="28" t="s">
        <v>234</v>
      </c>
      <c r="L674" s="28" t="n">
        <v>0.2</v>
      </c>
      <c r="M674" s="31" t="n">
        <v>25462.77</v>
      </c>
      <c r="N674" s="31" t="n">
        <v>25435.8</v>
      </c>
      <c r="O674" s="31" t="n">
        <v>25516.71</v>
      </c>
      <c r="P674" s="44" t="n">
        <f aca="false">ABS(M674-N674)</f>
        <v>26.9700000000012</v>
      </c>
      <c r="Q674" s="44" t="n">
        <f aca="false">IF(O674="","",ABS(O674-M674))</f>
        <v>53.9399999999987</v>
      </c>
      <c r="R674" s="30" t="n">
        <f aca="false">P674*L674*Summary!$C$6</f>
        <v>107.880000000005</v>
      </c>
      <c r="S674" s="31" t="n">
        <v>25435.54</v>
      </c>
      <c r="T674" s="28" t="s">
        <v>241</v>
      </c>
      <c r="U674" s="44" t="n">
        <f aca="false">IF(J674="BUY",S674-M674,M674-S674)</f>
        <v>-27.2299999999996</v>
      </c>
      <c r="V674" s="45" t="n">
        <v>0</v>
      </c>
      <c r="W674" s="45" t="n">
        <v>0</v>
      </c>
      <c r="X674" s="45" t="n">
        <v>-108.92</v>
      </c>
      <c r="Y674" s="32" t="n">
        <f aca="false">IFERROR(X674/R674,0)</f>
        <v>-1.00964034111972</v>
      </c>
      <c r="Z674" s="28" t="str">
        <f aca="false">IF(X674&gt;0,"Win",IF(X674&lt;0,"Loss","Flat"))</f>
        <v>Loss</v>
      </c>
      <c r="AA674" s="28" t="n">
        <f aca="false">ROUND((C674-B674)*1440,1)</f>
        <v>2.1</v>
      </c>
      <c r="AB674" s="28" t="str">
        <f aca="false">IF(AA674&lt;1,"a) &lt;1 min",IF(AA674&lt;10,"b) 1-10 min",IF(AA674&lt;60,"c) 10-60 min",IF(AA674&lt;240,"d) 1-4 h","e) 4 h+"))))</f>
        <v>b) 1-10 min</v>
      </c>
      <c r="AC674" s="28" t="str">
        <f aca="false">IF(P674&lt;10,"a) &lt;10",IF(P674&lt;20,"b) 10-20",IF(P674&lt;40,"c) 20-40",IF(P674&lt;80,"d) 40-80","e) 80+"))))</f>
        <v>c) 20-40</v>
      </c>
      <c r="AD674" s="30" t="n">
        <f aca="false">Summary!$C$5+SUM(X$2:X674)</f>
        <v>114704.19</v>
      </c>
      <c r="AE674" s="30" t="n">
        <f aca="false">MAX(AE673,AD674)</f>
        <v>114813.11</v>
      </c>
      <c r="AF674" s="30" t="n">
        <f aca="false">AE674-AD674</f>
        <v>108.919999999998</v>
      </c>
      <c r="AG674" s="29" t="n">
        <f aca="false">IFERROR(AF674/AE674,0)</f>
        <v>0.000948672150767436</v>
      </c>
    </row>
    <row r="675" customFormat="false" ht="15" hidden="false" customHeight="false" outlineLevel="0" collapsed="false">
      <c r="A675" s="28" t="n">
        <v>674</v>
      </c>
      <c r="B675" s="43" t="n">
        <v>45992.1326388889</v>
      </c>
      <c r="C675" s="43" t="n">
        <v>45992.1366898148</v>
      </c>
      <c r="D675" s="42" t="n">
        <f aca="false">INT(C675)</f>
        <v>45992</v>
      </c>
      <c r="E675" s="42" t="n">
        <f aca="false">D675-WEEKDAY(D675,3)</f>
        <v>45992</v>
      </c>
      <c r="F675" s="28" t="s">
        <v>175</v>
      </c>
      <c r="G675" s="28" t="n">
        <v>2025</v>
      </c>
      <c r="H675" s="28" t="s">
        <v>240</v>
      </c>
      <c r="I675" s="28" t="n">
        <v>3</v>
      </c>
      <c r="J675" s="28" t="s">
        <v>236</v>
      </c>
      <c r="K675" s="28" t="s">
        <v>237</v>
      </c>
      <c r="L675" s="28" t="n">
        <v>0.2</v>
      </c>
      <c r="M675" s="31" t="n">
        <v>25241.56</v>
      </c>
      <c r="N675" s="31" t="n">
        <v>25268.72</v>
      </c>
      <c r="O675" s="31" t="n">
        <v>25187.25</v>
      </c>
      <c r="P675" s="44" t="n">
        <f aca="false">ABS(M675-N675)</f>
        <v>27.1599999999999</v>
      </c>
      <c r="Q675" s="44" t="n">
        <f aca="false">IF(O675="","",ABS(O675-M675))</f>
        <v>54.3100000000013</v>
      </c>
      <c r="R675" s="30" t="n">
        <f aca="false">P675*L675*Summary!$C$6</f>
        <v>108.639999999999</v>
      </c>
      <c r="S675" s="31" t="n">
        <v>25268.76</v>
      </c>
      <c r="T675" s="28" t="s">
        <v>241</v>
      </c>
      <c r="U675" s="44" t="n">
        <f aca="false">IF(J675="BUY",S675-M675,M675-S675)</f>
        <v>-27.1999999999971</v>
      </c>
      <c r="V675" s="45" t="n">
        <v>0</v>
      </c>
      <c r="W675" s="45" t="n">
        <v>0</v>
      </c>
      <c r="X675" s="45" t="n">
        <v>-108.8</v>
      </c>
      <c r="Y675" s="32" t="n">
        <f aca="false">IFERROR(X675/R675,0)</f>
        <v>-1.00147275405008</v>
      </c>
      <c r="Z675" s="28" t="str">
        <f aca="false">IF(X675&gt;0,"Win",IF(X675&lt;0,"Loss","Flat"))</f>
        <v>Loss</v>
      </c>
      <c r="AA675" s="28" t="n">
        <f aca="false">ROUND((C675-B675)*1440,1)</f>
        <v>5.8</v>
      </c>
      <c r="AB675" s="28" t="str">
        <f aca="false">IF(AA675&lt;1,"a) &lt;1 min",IF(AA675&lt;10,"b) 1-10 min",IF(AA675&lt;60,"c) 10-60 min",IF(AA675&lt;240,"d) 1-4 h","e) 4 h+"))))</f>
        <v>b) 1-10 min</v>
      </c>
      <c r="AC675" s="28" t="str">
        <f aca="false">IF(P675&lt;10,"a) &lt;10",IF(P675&lt;20,"b) 10-20",IF(P675&lt;40,"c) 20-40",IF(P675&lt;80,"d) 40-80","e) 80+"))))</f>
        <v>c) 20-40</v>
      </c>
      <c r="AD675" s="30" t="n">
        <f aca="false">Summary!$C$5+SUM(X$2:X675)</f>
        <v>114595.39</v>
      </c>
      <c r="AE675" s="30" t="n">
        <f aca="false">MAX(AE674,AD675)</f>
        <v>114813.11</v>
      </c>
      <c r="AF675" s="30" t="n">
        <f aca="false">AE675-AD675</f>
        <v>217.720000000001</v>
      </c>
      <c r="AG675" s="29" t="n">
        <f aca="false">IFERROR(AF675/AE675,0)</f>
        <v>0.0018962991247254</v>
      </c>
    </row>
    <row r="676" customFormat="false" ht="15" hidden="false" customHeight="false" outlineLevel="0" collapsed="false">
      <c r="A676" s="28" t="n">
        <v>675</v>
      </c>
      <c r="B676" s="43" t="n">
        <v>45993.6916666667</v>
      </c>
      <c r="C676" s="43" t="n">
        <v>45993.7088194444</v>
      </c>
      <c r="D676" s="42" t="n">
        <f aca="false">INT(C676)</f>
        <v>45993</v>
      </c>
      <c r="E676" s="42" t="n">
        <f aca="false">D676-WEEKDAY(D676,3)</f>
        <v>45992</v>
      </c>
      <c r="F676" s="28" t="s">
        <v>175</v>
      </c>
      <c r="G676" s="28" t="n">
        <v>2025</v>
      </c>
      <c r="H676" s="28" t="s">
        <v>232</v>
      </c>
      <c r="I676" s="28" t="n">
        <v>16</v>
      </c>
      <c r="J676" s="28" t="s">
        <v>233</v>
      </c>
      <c r="K676" s="28" t="s">
        <v>234</v>
      </c>
      <c r="L676" s="28" t="n">
        <v>0.2</v>
      </c>
      <c r="M676" s="31" t="n">
        <v>25493.06</v>
      </c>
      <c r="N676" s="31" t="n">
        <v>25456.14</v>
      </c>
      <c r="O676" s="31" t="n">
        <v>25566</v>
      </c>
      <c r="P676" s="44" t="n">
        <f aca="false">ABS(M676-N676)</f>
        <v>36.9200000000019</v>
      </c>
      <c r="Q676" s="44" t="n">
        <f aca="false">IF(O676="","",ABS(O676-M676))</f>
        <v>72.9399999999987</v>
      </c>
      <c r="R676" s="30" t="n">
        <f aca="false">P676*L676*Summary!$C$6</f>
        <v>147.680000000008</v>
      </c>
      <c r="S676" s="31" t="n">
        <v>25569.4</v>
      </c>
      <c r="T676" s="28" t="s">
        <v>214</v>
      </c>
      <c r="U676" s="44" t="n">
        <f aca="false">IF(J676="BUY",S676-M676,M676-S676)</f>
        <v>76.3400000000002</v>
      </c>
      <c r="V676" s="45" t="n">
        <v>0</v>
      </c>
      <c r="W676" s="45" t="n">
        <v>0</v>
      </c>
      <c r="X676" s="45" t="n">
        <v>305.36</v>
      </c>
      <c r="Y676" s="32" t="n">
        <f aca="false">IFERROR(X676/R676,0)</f>
        <v>2.06771397616457</v>
      </c>
      <c r="Z676" s="28" t="str">
        <f aca="false">IF(X676&gt;0,"Win",IF(X676&lt;0,"Loss","Flat"))</f>
        <v>Win</v>
      </c>
      <c r="AA676" s="28" t="n">
        <f aca="false">ROUND((C676-B676)*1440,1)</f>
        <v>24.7</v>
      </c>
      <c r="AB676" s="28" t="str">
        <f aca="false">IF(AA676&lt;1,"a) &lt;1 min",IF(AA676&lt;10,"b) 1-10 min",IF(AA676&lt;60,"c) 10-60 min",IF(AA676&lt;240,"d) 1-4 h","e) 4 h+"))))</f>
        <v>c) 10-60 min</v>
      </c>
      <c r="AC676" s="28" t="str">
        <f aca="false">IF(P676&lt;10,"a) &lt;10",IF(P676&lt;20,"b) 10-20",IF(P676&lt;40,"c) 20-40",IF(P676&lt;80,"d) 40-80","e) 80+"))))</f>
        <v>c) 20-40</v>
      </c>
      <c r="AD676" s="30" t="n">
        <f aca="false">Summary!$C$5+SUM(X$2:X676)</f>
        <v>114900.75</v>
      </c>
      <c r="AE676" s="30" t="n">
        <f aca="false">MAX(AE675,AD676)</f>
        <v>114900.75</v>
      </c>
      <c r="AF676" s="30" t="n">
        <f aca="false">AE676-AD676</f>
        <v>0</v>
      </c>
      <c r="AG676" s="29" t="n">
        <f aca="false">IFERROR(AF676/AE676,0)</f>
        <v>0</v>
      </c>
    </row>
    <row r="677" customFormat="false" ht="15" hidden="false" customHeight="false" outlineLevel="0" collapsed="false">
      <c r="A677" s="28" t="n">
        <v>676</v>
      </c>
      <c r="B677" s="43" t="n">
        <v>45994.1854166667</v>
      </c>
      <c r="C677" s="43" t="n">
        <v>45994.1880671296</v>
      </c>
      <c r="D677" s="42" t="n">
        <f aca="false">INT(C677)</f>
        <v>45994</v>
      </c>
      <c r="E677" s="42" t="n">
        <f aca="false">D677-WEEKDAY(D677,3)</f>
        <v>45992</v>
      </c>
      <c r="F677" s="28" t="s">
        <v>175</v>
      </c>
      <c r="G677" s="28" t="n">
        <v>2025</v>
      </c>
      <c r="H677" s="28" t="s">
        <v>235</v>
      </c>
      <c r="I677" s="28" t="n">
        <v>4</v>
      </c>
      <c r="J677" s="28" t="s">
        <v>233</v>
      </c>
      <c r="K677" s="28" t="s">
        <v>234</v>
      </c>
      <c r="L677" s="28" t="n">
        <v>0.2</v>
      </c>
      <c r="M677" s="31" t="n">
        <v>25622.1</v>
      </c>
      <c r="N677" s="31" t="n">
        <v>25614.4</v>
      </c>
      <c r="O677" s="31" t="n">
        <v>25637.5</v>
      </c>
      <c r="P677" s="44" t="n">
        <f aca="false">ABS(M677-N677)</f>
        <v>7.69999999999709</v>
      </c>
      <c r="Q677" s="44" t="n">
        <f aca="false">IF(O677="","",ABS(O677-M677))</f>
        <v>15.4000000000015</v>
      </c>
      <c r="R677" s="30" t="n">
        <f aca="false">P677*L677*Summary!$C$6</f>
        <v>30.7999999999884</v>
      </c>
      <c r="S677" s="31" t="n">
        <v>25614.33</v>
      </c>
      <c r="T677" s="28" t="s">
        <v>241</v>
      </c>
      <c r="U677" s="44" t="n">
        <f aca="false">IF(J677="BUY",S677-M677,M677-S677)</f>
        <v>-7.7699999999968</v>
      </c>
      <c r="V677" s="45" t="n">
        <v>0</v>
      </c>
      <c r="W677" s="45" t="n">
        <v>0</v>
      </c>
      <c r="X677" s="45" t="n">
        <v>-31.08</v>
      </c>
      <c r="Y677" s="32" t="n">
        <f aca="false">IFERROR(X677/R677,0)</f>
        <v>-1.00909090909129</v>
      </c>
      <c r="Z677" s="28" t="str">
        <f aca="false">IF(X677&gt;0,"Win",IF(X677&lt;0,"Loss","Flat"))</f>
        <v>Loss</v>
      </c>
      <c r="AA677" s="28" t="n">
        <f aca="false">ROUND((C677-B677)*1440,1)</f>
        <v>3.8</v>
      </c>
      <c r="AB677" s="28" t="str">
        <f aca="false">IF(AA677&lt;1,"a) &lt;1 min",IF(AA677&lt;10,"b) 1-10 min",IF(AA677&lt;60,"c) 10-60 min",IF(AA677&lt;240,"d) 1-4 h","e) 4 h+"))))</f>
        <v>b) 1-10 min</v>
      </c>
      <c r="AC677" s="28" t="str">
        <f aca="false">IF(P677&lt;10,"a) &lt;10",IF(P677&lt;20,"b) 10-20",IF(P677&lt;40,"c) 20-40",IF(P677&lt;80,"d) 40-80","e) 80+"))))</f>
        <v>a) &lt;10</v>
      </c>
      <c r="AD677" s="30" t="n">
        <f aca="false">Summary!$C$5+SUM(X$2:X677)</f>
        <v>114869.67</v>
      </c>
      <c r="AE677" s="30" t="n">
        <f aca="false">MAX(AE676,AD677)</f>
        <v>114900.75</v>
      </c>
      <c r="AF677" s="30" t="n">
        <f aca="false">AE677-AD677</f>
        <v>31.0800000000017</v>
      </c>
      <c r="AG677" s="29" t="n">
        <f aca="false">IFERROR(AF677/AE677,0)</f>
        <v>0.000270494317922222</v>
      </c>
    </row>
    <row r="678" customFormat="false" ht="15" hidden="false" customHeight="false" outlineLevel="0" collapsed="false">
      <c r="A678" s="28" t="n">
        <v>677</v>
      </c>
      <c r="B678" s="43" t="n">
        <v>45995.4868055556</v>
      </c>
      <c r="C678" s="43" t="n">
        <v>45995.5118287037</v>
      </c>
      <c r="D678" s="42" t="n">
        <f aca="false">INT(C678)</f>
        <v>45995</v>
      </c>
      <c r="E678" s="42" t="n">
        <f aca="false">D678-WEEKDAY(D678,3)</f>
        <v>45992</v>
      </c>
      <c r="F678" s="28" t="s">
        <v>175</v>
      </c>
      <c r="G678" s="28" t="n">
        <v>2025</v>
      </c>
      <c r="H678" s="28" t="s">
        <v>239</v>
      </c>
      <c r="I678" s="28" t="n">
        <v>11</v>
      </c>
      <c r="J678" s="28" t="s">
        <v>233</v>
      </c>
      <c r="K678" s="28" t="s">
        <v>234</v>
      </c>
      <c r="L678" s="28" t="n">
        <v>0.2</v>
      </c>
      <c r="M678" s="31" t="n">
        <v>25642.72</v>
      </c>
      <c r="N678" s="31" t="n">
        <v>25627.65</v>
      </c>
      <c r="O678" s="31" t="n">
        <v>25671.15</v>
      </c>
      <c r="P678" s="44" t="n">
        <f aca="false">ABS(M678-N678)</f>
        <v>15.0699999999997</v>
      </c>
      <c r="Q678" s="44" t="n">
        <f aca="false">IF(O678="","",ABS(O678-M678))</f>
        <v>28.4300000000003</v>
      </c>
      <c r="R678" s="30" t="n">
        <f aca="false">P678*L678*Summary!$C$6</f>
        <v>60.2799999999988</v>
      </c>
      <c r="S678" s="31" t="n">
        <v>25627.62</v>
      </c>
      <c r="T678" s="28" t="s">
        <v>241</v>
      </c>
      <c r="U678" s="44" t="n">
        <f aca="false">IF(J678="BUY",S678-M678,M678-S678)</f>
        <v>-15.1000000000022</v>
      </c>
      <c r="V678" s="45" t="n">
        <v>0</v>
      </c>
      <c r="W678" s="45" t="n">
        <v>0</v>
      </c>
      <c r="X678" s="45" t="n">
        <v>-60.4</v>
      </c>
      <c r="Y678" s="32" t="n">
        <f aca="false">IFERROR(X678/R678,0)</f>
        <v>-1.00199071001993</v>
      </c>
      <c r="Z678" s="28" t="str">
        <f aca="false">IF(X678&gt;0,"Win",IF(X678&lt;0,"Loss","Flat"))</f>
        <v>Loss</v>
      </c>
      <c r="AA678" s="28" t="n">
        <f aca="false">ROUND((C678-B678)*1440,1)</f>
        <v>36</v>
      </c>
      <c r="AB678" s="28" t="str">
        <f aca="false">IF(AA678&lt;1,"a) &lt;1 min",IF(AA678&lt;10,"b) 1-10 min",IF(AA678&lt;60,"c) 10-60 min",IF(AA678&lt;240,"d) 1-4 h","e) 4 h+"))))</f>
        <v>c) 10-60 min</v>
      </c>
      <c r="AC678" s="28" t="str">
        <f aca="false">IF(P678&lt;10,"a) &lt;10",IF(P678&lt;20,"b) 10-20",IF(P678&lt;40,"c) 20-40",IF(P678&lt;80,"d) 40-80","e) 80+"))))</f>
        <v>b) 10-20</v>
      </c>
      <c r="AD678" s="30" t="n">
        <f aca="false">Summary!$C$5+SUM(X$2:X678)</f>
        <v>114809.27</v>
      </c>
      <c r="AE678" s="30" t="n">
        <f aca="false">MAX(AE677,AD678)</f>
        <v>114900.75</v>
      </c>
      <c r="AF678" s="30" t="n">
        <f aca="false">AE678-AD678</f>
        <v>91.4799999999959</v>
      </c>
      <c r="AG678" s="29" t="n">
        <f aca="false">IFERROR(AF678/AE678,0)</f>
        <v>0.000796165386213719</v>
      </c>
    </row>
    <row r="679" customFormat="false" ht="15" hidden="false" customHeight="false" outlineLevel="0" collapsed="false">
      <c r="A679" s="28" t="n">
        <v>678</v>
      </c>
      <c r="B679" s="43" t="n">
        <v>45996.3416666667</v>
      </c>
      <c r="C679" s="43" t="n">
        <v>45996.3426041667</v>
      </c>
      <c r="D679" s="42" t="n">
        <f aca="false">INT(C679)</f>
        <v>45996</v>
      </c>
      <c r="E679" s="42" t="n">
        <f aca="false">D679-WEEKDAY(D679,3)</f>
        <v>45992</v>
      </c>
      <c r="F679" s="28" t="s">
        <v>175</v>
      </c>
      <c r="G679" s="28" t="n">
        <v>2025</v>
      </c>
      <c r="H679" s="28" t="s">
        <v>242</v>
      </c>
      <c r="I679" s="28" t="n">
        <v>8</v>
      </c>
      <c r="J679" s="28" t="s">
        <v>233</v>
      </c>
      <c r="K679" s="28" t="s">
        <v>234</v>
      </c>
      <c r="L679" s="28" t="n">
        <v>0.2</v>
      </c>
      <c r="M679" s="31" t="n">
        <v>25688.25</v>
      </c>
      <c r="N679" s="31" t="n">
        <v>25682.22</v>
      </c>
      <c r="O679" s="31" t="n">
        <v>25700.75</v>
      </c>
      <c r="P679" s="44" t="n">
        <f aca="false">ABS(M679-N679)</f>
        <v>6.02999999999884</v>
      </c>
      <c r="Q679" s="44" t="n">
        <f aca="false">IF(O679="","",ABS(O679-M679))</f>
        <v>12.5</v>
      </c>
      <c r="R679" s="30" t="n">
        <f aca="false">P679*L679*Summary!$C$6</f>
        <v>24.1199999999953</v>
      </c>
      <c r="S679" s="31" t="n">
        <v>25682.13</v>
      </c>
      <c r="T679" s="28" t="s">
        <v>241</v>
      </c>
      <c r="U679" s="44" t="n">
        <f aca="false">IF(J679="BUY",S679-M679,M679-S679)</f>
        <v>-6.11999999999898</v>
      </c>
      <c r="V679" s="45" t="n">
        <v>0</v>
      </c>
      <c r="W679" s="45" t="n">
        <v>0</v>
      </c>
      <c r="X679" s="45" t="n">
        <v>-24.48</v>
      </c>
      <c r="Y679" s="32" t="n">
        <f aca="false">IFERROR(X679/R679,0)</f>
        <v>-1.01492537313452</v>
      </c>
      <c r="Z679" s="28" t="str">
        <f aca="false">IF(X679&gt;0,"Win",IF(X679&lt;0,"Loss","Flat"))</f>
        <v>Loss</v>
      </c>
      <c r="AA679" s="28" t="n">
        <f aca="false">ROUND((C679-B679)*1440,1)</f>
        <v>1.4</v>
      </c>
      <c r="AB679" s="28" t="str">
        <f aca="false">IF(AA679&lt;1,"a) &lt;1 min",IF(AA679&lt;10,"b) 1-10 min",IF(AA679&lt;60,"c) 10-60 min",IF(AA679&lt;240,"d) 1-4 h","e) 4 h+"))))</f>
        <v>b) 1-10 min</v>
      </c>
      <c r="AC679" s="28" t="str">
        <f aca="false">IF(P679&lt;10,"a) &lt;10",IF(P679&lt;20,"b) 10-20",IF(P679&lt;40,"c) 20-40",IF(P679&lt;80,"d) 40-80","e) 80+"))))</f>
        <v>a) &lt;10</v>
      </c>
      <c r="AD679" s="30" t="n">
        <f aca="false">Summary!$C$5+SUM(X$2:X679)</f>
        <v>114784.79</v>
      </c>
      <c r="AE679" s="30" t="n">
        <f aca="false">MAX(AE678,AD679)</f>
        <v>114900.75</v>
      </c>
      <c r="AF679" s="30" t="n">
        <f aca="false">AE679-AD679</f>
        <v>115.959999999992</v>
      </c>
      <c r="AG679" s="29" t="n">
        <f aca="false">IFERROR(AF679/AE679,0)</f>
        <v>0.00100921882581264</v>
      </c>
    </row>
    <row r="680" customFormat="false" ht="15" hidden="false" customHeight="false" outlineLevel="0" collapsed="false">
      <c r="A680" s="28" t="n">
        <v>679</v>
      </c>
      <c r="B680" s="43" t="n">
        <v>45999.8743055556</v>
      </c>
      <c r="C680" s="43" t="n">
        <v>45999.8888888889</v>
      </c>
      <c r="D680" s="42" t="n">
        <f aca="false">INT(C680)</f>
        <v>45999</v>
      </c>
      <c r="E680" s="42" t="n">
        <f aca="false">D680-WEEKDAY(D680,3)</f>
        <v>45999</v>
      </c>
      <c r="F680" s="28" t="s">
        <v>175</v>
      </c>
      <c r="G680" s="28" t="n">
        <v>2025</v>
      </c>
      <c r="H680" s="28" t="s">
        <v>240</v>
      </c>
      <c r="I680" s="28" t="n">
        <v>20</v>
      </c>
      <c r="J680" s="28" t="s">
        <v>236</v>
      </c>
      <c r="K680" s="28" t="s">
        <v>237</v>
      </c>
      <c r="L680" s="28" t="n">
        <v>0.2</v>
      </c>
      <c r="M680" s="31" t="n">
        <v>25539.67</v>
      </c>
      <c r="N680" s="31" t="n">
        <v>25564.57</v>
      </c>
      <c r="O680" s="31" t="n">
        <v>25485.66</v>
      </c>
      <c r="P680" s="44" t="n">
        <f aca="false">ABS(M680-N680)</f>
        <v>24.9000000000015</v>
      </c>
      <c r="Q680" s="44" t="n">
        <f aca="false">IF(O680="","",ABS(O680-M680))</f>
        <v>54.0099999999984</v>
      </c>
      <c r="R680" s="30" t="n">
        <f aca="false">P680*L680*Summary!$C$6</f>
        <v>99.6000000000058</v>
      </c>
      <c r="S680" s="31" t="n">
        <v>25565.39</v>
      </c>
      <c r="T680" s="28" t="s">
        <v>241</v>
      </c>
      <c r="U680" s="44" t="n">
        <f aca="false">IF(J680="BUY",S680-M680,M680-S680)</f>
        <v>-25.7200000000012</v>
      </c>
      <c r="V680" s="45" t="n">
        <v>0</v>
      </c>
      <c r="W680" s="45" t="n">
        <v>0</v>
      </c>
      <c r="X680" s="45" t="n">
        <v>-102.88</v>
      </c>
      <c r="Y680" s="32" t="n">
        <f aca="false">IFERROR(X680/R680,0)</f>
        <v>-1.03293172690757</v>
      </c>
      <c r="Z680" s="28" t="str">
        <f aca="false">IF(X680&gt;0,"Win",IF(X680&lt;0,"Loss","Flat"))</f>
        <v>Loss</v>
      </c>
      <c r="AA680" s="28" t="n">
        <f aca="false">ROUND((C680-B680)*1440,1)</f>
        <v>21</v>
      </c>
      <c r="AB680" s="28" t="str">
        <f aca="false">IF(AA680&lt;1,"a) &lt;1 min",IF(AA680&lt;10,"b) 1-10 min",IF(AA680&lt;60,"c) 10-60 min",IF(AA680&lt;240,"d) 1-4 h","e) 4 h+"))))</f>
        <v>c) 10-60 min</v>
      </c>
      <c r="AC680" s="28" t="str">
        <f aca="false">IF(P680&lt;10,"a) &lt;10",IF(P680&lt;20,"b) 10-20",IF(P680&lt;40,"c) 20-40",IF(P680&lt;80,"d) 40-80","e) 80+"))))</f>
        <v>c) 20-40</v>
      </c>
      <c r="AD680" s="30" t="n">
        <f aca="false">Summary!$C$5+SUM(X$2:X680)</f>
        <v>114681.91</v>
      </c>
      <c r="AE680" s="30" t="n">
        <f aca="false">MAX(AE679,AD680)</f>
        <v>114900.75</v>
      </c>
      <c r="AF680" s="30" t="n">
        <f aca="false">AE680-AD680</f>
        <v>218.839999999997</v>
      </c>
      <c r="AG680" s="29" t="n">
        <f aca="false">IFERROR(AF680/AE680,0)</f>
        <v>0.00190460027458477</v>
      </c>
    </row>
    <row r="681" customFormat="false" ht="15" hidden="false" customHeight="false" outlineLevel="0" collapsed="false">
      <c r="A681" s="28" t="n">
        <v>680</v>
      </c>
      <c r="B681" s="43" t="n">
        <v>46001.4215277778</v>
      </c>
      <c r="C681" s="43" t="n">
        <v>46001.4262037037</v>
      </c>
      <c r="D681" s="42" t="n">
        <f aca="false">INT(C681)</f>
        <v>46001</v>
      </c>
      <c r="E681" s="42" t="n">
        <f aca="false">D681-WEEKDAY(D681,3)</f>
        <v>45999</v>
      </c>
      <c r="F681" s="28" t="s">
        <v>175</v>
      </c>
      <c r="G681" s="28" t="n">
        <v>2025</v>
      </c>
      <c r="H681" s="28" t="s">
        <v>235</v>
      </c>
      <c r="I681" s="28" t="n">
        <v>10</v>
      </c>
      <c r="J681" s="28" t="s">
        <v>233</v>
      </c>
      <c r="K681" s="28" t="s">
        <v>234</v>
      </c>
      <c r="L681" s="28" t="n">
        <v>0.2</v>
      </c>
      <c r="M681" s="31" t="n">
        <v>25703.77</v>
      </c>
      <c r="N681" s="31" t="n">
        <v>25694.55</v>
      </c>
      <c r="O681" s="31" t="n">
        <v>25722.54</v>
      </c>
      <c r="P681" s="44" t="n">
        <f aca="false">ABS(M681-N681)</f>
        <v>9.22000000000116</v>
      </c>
      <c r="Q681" s="44" t="n">
        <f aca="false">IF(O681="","",ABS(O681-M681))</f>
        <v>18.7700000000004</v>
      </c>
      <c r="R681" s="30" t="n">
        <f aca="false">P681*L681*Summary!$C$6</f>
        <v>36.8800000000047</v>
      </c>
      <c r="S681" s="31" t="n">
        <v>25703.71</v>
      </c>
      <c r="T681" s="28" t="s">
        <v>238</v>
      </c>
      <c r="U681" s="44" t="n">
        <f aca="false">IF(J681="BUY",S681-M681,M681-S681)</f>
        <v>-0.0600000000013097</v>
      </c>
      <c r="V681" s="45" t="n">
        <v>0</v>
      </c>
      <c r="W681" s="45" t="n">
        <v>0</v>
      </c>
      <c r="X681" s="45" t="n">
        <v>-0.24</v>
      </c>
      <c r="Y681" s="32" t="n">
        <f aca="false">IFERROR(X681/R681,0)</f>
        <v>-0.00650759219088855</v>
      </c>
      <c r="Z681" s="28" t="str">
        <f aca="false">IF(X681&gt;0,"Win",IF(X681&lt;0,"Loss","Flat"))</f>
        <v>Loss</v>
      </c>
      <c r="AA681" s="28" t="n">
        <f aca="false">ROUND((C681-B681)*1440,1)</f>
        <v>6.7</v>
      </c>
      <c r="AB681" s="28" t="str">
        <f aca="false">IF(AA681&lt;1,"a) &lt;1 min",IF(AA681&lt;10,"b) 1-10 min",IF(AA681&lt;60,"c) 10-60 min",IF(AA681&lt;240,"d) 1-4 h","e) 4 h+"))))</f>
        <v>b) 1-10 min</v>
      </c>
      <c r="AC681" s="28" t="str">
        <f aca="false">IF(P681&lt;10,"a) &lt;10",IF(P681&lt;20,"b) 10-20",IF(P681&lt;40,"c) 20-40",IF(P681&lt;80,"d) 40-80","e) 80+"))))</f>
        <v>a) &lt;10</v>
      </c>
      <c r="AD681" s="30" t="n">
        <f aca="false">Summary!$C$5+SUM(X$2:X681)</f>
        <v>114681.67</v>
      </c>
      <c r="AE681" s="30" t="n">
        <f aca="false">MAX(AE680,AD681)</f>
        <v>114900.75</v>
      </c>
      <c r="AF681" s="30" t="n">
        <f aca="false">AE681-AD681</f>
        <v>219.080000000002</v>
      </c>
      <c r="AG681" s="29" t="n">
        <f aca="false">IFERROR(AF681/AE681,0)</f>
        <v>0.00190668903379657</v>
      </c>
    </row>
    <row r="682" customFormat="false" ht="15" hidden="false" customHeight="false" outlineLevel="0" collapsed="false">
      <c r="A682" s="28" t="n">
        <v>681</v>
      </c>
      <c r="B682" s="43" t="n">
        <v>46001.7472222222</v>
      </c>
      <c r="C682" s="43" t="n">
        <v>46001.7577314815</v>
      </c>
      <c r="D682" s="42" t="n">
        <f aca="false">INT(C682)</f>
        <v>46001</v>
      </c>
      <c r="E682" s="42" t="n">
        <f aca="false">D682-WEEKDAY(D682,3)</f>
        <v>45999</v>
      </c>
      <c r="F682" s="28" t="s">
        <v>175</v>
      </c>
      <c r="G682" s="28" t="n">
        <v>2025</v>
      </c>
      <c r="H682" s="28" t="s">
        <v>235</v>
      </c>
      <c r="I682" s="28" t="n">
        <v>17</v>
      </c>
      <c r="J682" s="28" t="s">
        <v>236</v>
      </c>
      <c r="K682" s="28" t="s">
        <v>237</v>
      </c>
      <c r="L682" s="28" t="n">
        <v>0.2</v>
      </c>
      <c r="M682" s="31" t="n">
        <v>25523.6</v>
      </c>
      <c r="N682" s="31" t="n">
        <v>25555.22</v>
      </c>
      <c r="O682" s="31" t="n">
        <v>25459.61</v>
      </c>
      <c r="P682" s="44" t="n">
        <f aca="false">ABS(M682-N682)</f>
        <v>31.6200000000026</v>
      </c>
      <c r="Q682" s="44" t="n">
        <f aca="false">IF(O682="","",ABS(O682-M682))</f>
        <v>63.989999999998</v>
      </c>
      <c r="R682" s="30" t="n">
        <f aca="false">P682*L682*Summary!$C$6</f>
        <v>126.48000000001</v>
      </c>
      <c r="S682" s="31" t="n">
        <v>25555.67</v>
      </c>
      <c r="T682" s="28" t="s">
        <v>241</v>
      </c>
      <c r="U682" s="44" t="n">
        <f aca="false">IF(J682="BUY",S682-M682,M682-S682)</f>
        <v>-32.0699999999997</v>
      </c>
      <c r="V682" s="45" t="n">
        <v>0</v>
      </c>
      <c r="W682" s="45" t="n">
        <v>0</v>
      </c>
      <c r="X682" s="45" t="n">
        <v>-128.28</v>
      </c>
      <c r="Y682" s="32" t="n">
        <f aca="false">IFERROR(X682/R682,0)</f>
        <v>-1.01423149905115</v>
      </c>
      <c r="Z682" s="28" t="str">
        <f aca="false">IF(X682&gt;0,"Win",IF(X682&lt;0,"Loss","Flat"))</f>
        <v>Loss</v>
      </c>
      <c r="AA682" s="28" t="n">
        <f aca="false">ROUND((C682-B682)*1440,1)</f>
        <v>15.1</v>
      </c>
      <c r="AB682" s="28" t="str">
        <f aca="false">IF(AA682&lt;1,"a) &lt;1 min",IF(AA682&lt;10,"b) 1-10 min",IF(AA682&lt;60,"c) 10-60 min",IF(AA682&lt;240,"d) 1-4 h","e) 4 h+"))))</f>
        <v>c) 10-60 min</v>
      </c>
      <c r="AC682" s="28" t="str">
        <f aca="false">IF(P682&lt;10,"a) &lt;10",IF(P682&lt;20,"b) 10-20",IF(P682&lt;40,"c) 20-40",IF(P682&lt;80,"d) 40-80","e) 80+"))))</f>
        <v>c) 20-40</v>
      </c>
      <c r="AD682" s="30" t="n">
        <f aca="false">Summary!$C$5+SUM(X$2:X682)</f>
        <v>114553.39</v>
      </c>
      <c r="AE682" s="30" t="n">
        <f aca="false">MAX(AE681,AD682)</f>
        <v>114900.75</v>
      </c>
      <c r="AF682" s="30" t="n">
        <f aca="false">AE682-AD682</f>
        <v>347.360000000001</v>
      </c>
      <c r="AG682" s="29" t="n">
        <f aca="false">IFERROR(AF682/AE682,0)</f>
        <v>0.00302313083247934</v>
      </c>
    </row>
    <row r="683" customFormat="false" ht="15" hidden="false" customHeight="false" outlineLevel="0" collapsed="false">
      <c r="A683" s="28" t="n">
        <v>682</v>
      </c>
      <c r="B683" s="43" t="n">
        <v>46002.2097222222</v>
      </c>
      <c r="C683" s="43" t="n">
        <v>46002.2111342593</v>
      </c>
      <c r="D683" s="42" t="n">
        <f aca="false">INT(C683)</f>
        <v>46002</v>
      </c>
      <c r="E683" s="42" t="n">
        <f aca="false">D683-WEEKDAY(D683,3)</f>
        <v>45999</v>
      </c>
      <c r="F683" s="28" t="s">
        <v>175</v>
      </c>
      <c r="G683" s="28" t="n">
        <v>2025</v>
      </c>
      <c r="H683" s="28" t="s">
        <v>239</v>
      </c>
      <c r="I683" s="28" t="n">
        <v>5</v>
      </c>
      <c r="J683" s="28" t="s">
        <v>236</v>
      </c>
      <c r="K683" s="28" t="s">
        <v>237</v>
      </c>
      <c r="L683" s="28" t="n">
        <v>0.2</v>
      </c>
      <c r="M683" s="31" t="n">
        <v>25495.58</v>
      </c>
      <c r="N683" s="31" t="n">
        <v>25520.1</v>
      </c>
      <c r="O683" s="31" t="n">
        <v>25447.88</v>
      </c>
      <c r="P683" s="44" t="n">
        <f aca="false">ABS(M683-N683)</f>
        <v>24.5199999999968</v>
      </c>
      <c r="Q683" s="44" t="n">
        <f aca="false">IF(O683="","",ABS(O683-M683))</f>
        <v>47.7000000000007</v>
      </c>
      <c r="R683" s="30" t="n">
        <f aca="false">P683*L683*Summary!$C$6</f>
        <v>98.0799999999872</v>
      </c>
      <c r="S683" s="31" t="n">
        <v>25446.05</v>
      </c>
      <c r="T683" s="28" t="s">
        <v>214</v>
      </c>
      <c r="U683" s="44" t="n">
        <f aca="false">IF(J683="BUY",S683-M683,M683-S683)</f>
        <v>49.5300000000025</v>
      </c>
      <c r="V683" s="45" t="n">
        <v>0</v>
      </c>
      <c r="W683" s="45" t="n">
        <v>0</v>
      </c>
      <c r="X683" s="45" t="n">
        <v>198.12</v>
      </c>
      <c r="Y683" s="32" t="n">
        <f aca="false">IFERROR(X683/R683,0)</f>
        <v>2.01998368678656</v>
      </c>
      <c r="Z683" s="28" t="str">
        <f aca="false">IF(X683&gt;0,"Win",IF(X683&lt;0,"Loss","Flat"))</f>
        <v>Win</v>
      </c>
      <c r="AA683" s="28" t="n">
        <f aca="false">ROUND((C683-B683)*1440,1)</f>
        <v>2</v>
      </c>
      <c r="AB683" s="28" t="str">
        <f aca="false">IF(AA683&lt;1,"a) &lt;1 min",IF(AA683&lt;10,"b) 1-10 min",IF(AA683&lt;60,"c) 10-60 min",IF(AA683&lt;240,"d) 1-4 h","e) 4 h+"))))</f>
        <v>b) 1-10 min</v>
      </c>
      <c r="AC683" s="28" t="str">
        <f aca="false">IF(P683&lt;10,"a) &lt;10",IF(P683&lt;20,"b) 10-20",IF(P683&lt;40,"c) 20-40",IF(P683&lt;80,"d) 40-80","e) 80+"))))</f>
        <v>c) 20-40</v>
      </c>
      <c r="AD683" s="30" t="n">
        <f aca="false">Summary!$C$5+SUM(X$2:X683)</f>
        <v>114751.51</v>
      </c>
      <c r="AE683" s="30" t="n">
        <f aca="false">MAX(AE682,AD683)</f>
        <v>114900.75</v>
      </c>
      <c r="AF683" s="30" t="n">
        <f aca="false">AE683-AD683</f>
        <v>149.240000000005</v>
      </c>
      <c r="AG683" s="29" t="n">
        <f aca="false">IFERROR(AF683/AE683,0)</f>
        <v>0.00129886010317605</v>
      </c>
    </row>
    <row r="684" customFormat="false" ht="15" hidden="false" customHeight="false" outlineLevel="0" collapsed="false">
      <c r="A684" s="28" t="n">
        <v>683</v>
      </c>
      <c r="B684" s="43" t="n">
        <v>46003.7263888889</v>
      </c>
      <c r="C684" s="43" t="n">
        <v>46003.7318287037</v>
      </c>
      <c r="D684" s="42" t="n">
        <f aca="false">INT(C684)</f>
        <v>46003</v>
      </c>
      <c r="E684" s="42" t="n">
        <f aca="false">D684-WEEKDAY(D684,3)</f>
        <v>45999</v>
      </c>
      <c r="F684" s="28" t="s">
        <v>175</v>
      </c>
      <c r="G684" s="28" t="n">
        <v>2025</v>
      </c>
      <c r="H684" s="28" t="s">
        <v>242</v>
      </c>
      <c r="I684" s="28" t="n">
        <v>17</v>
      </c>
      <c r="J684" s="28" t="s">
        <v>236</v>
      </c>
      <c r="K684" s="28" t="s">
        <v>237</v>
      </c>
      <c r="L684" s="28" t="n">
        <v>0.2</v>
      </c>
      <c r="M684" s="31" t="n">
        <v>25354.97</v>
      </c>
      <c r="N684" s="31" t="n">
        <v>25402.55</v>
      </c>
      <c r="O684" s="31" t="n">
        <v>25259.81</v>
      </c>
      <c r="P684" s="44" t="n">
        <f aca="false">ABS(M684-N684)</f>
        <v>47.5799999999981</v>
      </c>
      <c r="Q684" s="44" t="n">
        <f aca="false">IF(O684="","",ABS(O684-M684))</f>
        <v>95.1599999999999</v>
      </c>
      <c r="R684" s="30" t="n">
        <f aca="false">P684*L684*Summary!$C$6</f>
        <v>190.319999999992</v>
      </c>
      <c r="S684" s="31" t="n">
        <v>25355.25</v>
      </c>
      <c r="T684" s="28" t="s">
        <v>238</v>
      </c>
      <c r="U684" s="44" t="n">
        <f aca="false">IF(J684="BUY",S684-M684,M684-S684)</f>
        <v>-0.279999999998836</v>
      </c>
      <c r="V684" s="45" t="n">
        <v>0</v>
      </c>
      <c r="W684" s="45" t="n">
        <v>0</v>
      </c>
      <c r="X684" s="45" t="n">
        <v>-1.12</v>
      </c>
      <c r="Y684" s="32" t="n">
        <f aca="false">IFERROR(X684/R684,0)</f>
        <v>-0.00588482555695694</v>
      </c>
      <c r="Z684" s="28" t="str">
        <f aca="false">IF(X684&gt;0,"Win",IF(X684&lt;0,"Loss","Flat"))</f>
        <v>Loss</v>
      </c>
      <c r="AA684" s="28" t="n">
        <f aca="false">ROUND((C684-B684)*1440,1)</f>
        <v>7.8</v>
      </c>
      <c r="AB684" s="28" t="str">
        <f aca="false">IF(AA684&lt;1,"a) &lt;1 min",IF(AA684&lt;10,"b) 1-10 min",IF(AA684&lt;60,"c) 10-60 min",IF(AA684&lt;240,"d) 1-4 h","e) 4 h+"))))</f>
        <v>b) 1-10 min</v>
      </c>
      <c r="AC684" s="28" t="str">
        <f aca="false">IF(P684&lt;10,"a) &lt;10",IF(P684&lt;20,"b) 10-20",IF(P684&lt;40,"c) 20-40",IF(P684&lt;80,"d) 40-80","e) 80+"))))</f>
        <v>d) 40-80</v>
      </c>
      <c r="AD684" s="30" t="n">
        <f aca="false">Summary!$C$5+SUM(X$2:X684)</f>
        <v>114750.39</v>
      </c>
      <c r="AE684" s="30" t="n">
        <f aca="false">MAX(AE683,AD684)</f>
        <v>114900.75</v>
      </c>
      <c r="AF684" s="30" t="n">
        <f aca="false">AE684-AD684</f>
        <v>150.360000000001</v>
      </c>
      <c r="AG684" s="29" t="n">
        <f aca="false">IFERROR(AF684/AE684,0)</f>
        <v>0.00130860764616419</v>
      </c>
    </row>
    <row r="685" customFormat="false" ht="15" hidden="false" customHeight="false" outlineLevel="0" collapsed="false">
      <c r="A685" s="28" t="n">
        <v>684</v>
      </c>
      <c r="B685" s="43" t="n">
        <v>46006.7256944445</v>
      </c>
      <c r="C685" s="43" t="n">
        <v>46006.7319907407</v>
      </c>
      <c r="D685" s="42" t="n">
        <f aca="false">INT(C685)</f>
        <v>46006</v>
      </c>
      <c r="E685" s="42" t="n">
        <f aca="false">D685-WEEKDAY(D685,3)</f>
        <v>46006</v>
      </c>
      <c r="F685" s="28" t="s">
        <v>175</v>
      </c>
      <c r="G685" s="28" t="n">
        <v>2025</v>
      </c>
      <c r="H685" s="28" t="s">
        <v>240</v>
      </c>
      <c r="I685" s="28" t="n">
        <v>17</v>
      </c>
      <c r="J685" s="28" t="s">
        <v>236</v>
      </c>
      <c r="K685" s="28" t="s">
        <v>237</v>
      </c>
      <c r="L685" s="28" t="n">
        <v>0.2</v>
      </c>
      <c r="M685" s="31" t="n">
        <v>25059.32</v>
      </c>
      <c r="N685" s="31" t="n">
        <v>25114.07</v>
      </c>
      <c r="O685" s="31" t="n">
        <v>24953.66</v>
      </c>
      <c r="P685" s="44" t="n">
        <f aca="false">ABS(M685-N685)</f>
        <v>54.75</v>
      </c>
      <c r="Q685" s="44" t="n">
        <f aca="false">IF(O685="","",ABS(O685-M685))</f>
        <v>105.66</v>
      </c>
      <c r="R685" s="30" t="n">
        <f aca="false">P685*L685*Summary!$C$6</f>
        <v>219</v>
      </c>
      <c r="S685" s="31" t="n">
        <v>25114.48</v>
      </c>
      <c r="T685" s="28" t="s">
        <v>241</v>
      </c>
      <c r="U685" s="44" t="n">
        <f aca="false">IF(J685="BUY",S685-M685,M685-S685)</f>
        <v>-55.1599999999999</v>
      </c>
      <c r="V685" s="45" t="n">
        <v>0</v>
      </c>
      <c r="W685" s="45" t="n">
        <v>0</v>
      </c>
      <c r="X685" s="45" t="n">
        <v>-220.64</v>
      </c>
      <c r="Y685" s="32" t="n">
        <f aca="false">IFERROR(X685/R685,0)</f>
        <v>-1.00748858447489</v>
      </c>
      <c r="Z685" s="28" t="str">
        <f aca="false">IF(X685&gt;0,"Win",IF(X685&lt;0,"Loss","Flat"))</f>
        <v>Loss</v>
      </c>
      <c r="AA685" s="28" t="n">
        <f aca="false">ROUND((C685-B685)*1440,1)</f>
        <v>9.1</v>
      </c>
      <c r="AB685" s="28" t="str">
        <f aca="false">IF(AA685&lt;1,"a) &lt;1 min",IF(AA685&lt;10,"b) 1-10 min",IF(AA685&lt;60,"c) 10-60 min",IF(AA685&lt;240,"d) 1-4 h","e) 4 h+"))))</f>
        <v>b) 1-10 min</v>
      </c>
      <c r="AC685" s="28" t="str">
        <f aca="false">IF(P685&lt;10,"a) &lt;10",IF(P685&lt;20,"b) 10-20",IF(P685&lt;40,"c) 20-40",IF(P685&lt;80,"d) 40-80","e) 80+"))))</f>
        <v>d) 40-80</v>
      </c>
      <c r="AD685" s="30" t="n">
        <f aca="false">Summary!$C$5+SUM(X$2:X685)</f>
        <v>114529.75</v>
      </c>
      <c r="AE685" s="30" t="n">
        <f aca="false">MAX(AE684,AD685)</f>
        <v>114900.75</v>
      </c>
      <c r="AF685" s="30" t="n">
        <f aca="false">AE685-AD685</f>
        <v>371</v>
      </c>
      <c r="AG685" s="29" t="n">
        <f aca="false">IFERROR(AF685/AE685,0)</f>
        <v>0.00322887361483715</v>
      </c>
    </row>
    <row r="686" customFormat="false" ht="15" hidden="false" customHeight="false" outlineLevel="0" collapsed="false">
      <c r="A686" s="28" t="n">
        <v>685</v>
      </c>
      <c r="B686" s="43" t="n">
        <v>46007.0902777778</v>
      </c>
      <c r="C686" s="43" t="n">
        <v>46007.0985532407</v>
      </c>
      <c r="D686" s="42" t="n">
        <f aca="false">INT(C686)</f>
        <v>46007</v>
      </c>
      <c r="E686" s="42" t="n">
        <f aca="false">D686-WEEKDAY(D686,3)</f>
        <v>46006</v>
      </c>
      <c r="F686" s="28" t="s">
        <v>175</v>
      </c>
      <c r="G686" s="28" t="n">
        <v>2025</v>
      </c>
      <c r="H686" s="28" t="s">
        <v>232</v>
      </c>
      <c r="I686" s="28" t="n">
        <v>2</v>
      </c>
      <c r="J686" s="28" t="s">
        <v>236</v>
      </c>
      <c r="K686" s="28" t="s">
        <v>237</v>
      </c>
      <c r="L686" s="28" t="n">
        <v>0.2</v>
      </c>
      <c r="M686" s="31" t="n">
        <v>25008.34</v>
      </c>
      <c r="N686" s="31" t="n">
        <v>25030.66</v>
      </c>
      <c r="O686" s="31" t="n">
        <v>24963.7</v>
      </c>
      <c r="P686" s="44" t="n">
        <f aca="false">ABS(M686-N686)</f>
        <v>22.3199999999997</v>
      </c>
      <c r="Q686" s="44" t="n">
        <f aca="false">IF(O686="","",ABS(O686-M686))</f>
        <v>44.6399999999994</v>
      </c>
      <c r="R686" s="30" t="n">
        <f aca="false">P686*L686*Summary!$C$6</f>
        <v>89.2799999999988</v>
      </c>
      <c r="S686" s="31" t="n">
        <v>25008.9</v>
      </c>
      <c r="T686" s="28" t="s">
        <v>238</v>
      </c>
      <c r="U686" s="44" t="n">
        <f aca="false">IF(J686="BUY",S686-M686,M686-S686)</f>
        <v>-0.56000000000131</v>
      </c>
      <c r="V686" s="45" t="n">
        <v>0</v>
      </c>
      <c r="W686" s="45" t="n">
        <v>0</v>
      </c>
      <c r="X686" s="45" t="n">
        <v>-2.24</v>
      </c>
      <c r="Y686" s="32" t="n">
        <f aca="false">IFERROR(X686/R686,0)</f>
        <v>-0.0250896057347674</v>
      </c>
      <c r="Z686" s="28" t="str">
        <f aca="false">IF(X686&gt;0,"Win",IF(X686&lt;0,"Loss","Flat"))</f>
        <v>Loss</v>
      </c>
      <c r="AA686" s="28" t="n">
        <f aca="false">ROUND((C686-B686)*1440,1)</f>
        <v>11.9</v>
      </c>
      <c r="AB686" s="28" t="str">
        <f aca="false">IF(AA686&lt;1,"a) &lt;1 min",IF(AA686&lt;10,"b) 1-10 min",IF(AA686&lt;60,"c) 10-60 min",IF(AA686&lt;240,"d) 1-4 h","e) 4 h+"))))</f>
        <v>c) 10-60 min</v>
      </c>
      <c r="AC686" s="28" t="str">
        <f aca="false">IF(P686&lt;10,"a) &lt;10",IF(P686&lt;20,"b) 10-20",IF(P686&lt;40,"c) 20-40",IF(P686&lt;80,"d) 40-80","e) 80+"))))</f>
        <v>c) 20-40</v>
      </c>
      <c r="AD686" s="30" t="n">
        <f aca="false">Summary!$C$5+SUM(X$2:X686)</f>
        <v>114527.51</v>
      </c>
      <c r="AE686" s="30" t="n">
        <f aca="false">MAX(AE685,AD686)</f>
        <v>114900.75</v>
      </c>
      <c r="AF686" s="30" t="n">
        <f aca="false">AE686-AD686</f>
        <v>373.240000000005</v>
      </c>
      <c r="AG686" s="29" t="n">
        <f aca="false">IFERROR(AF686/AE686,0)</f>
        <v>0.00324836870081357</v>
      </c>
    </row>
    <row r="687" customFormat="false" ht="15" hidden="false" customHeight="false" outlineLevel="0" collapsed="false">
      <c r="A687" s="28" t="n">
        <v>686</v>
      </c>
      <c r="B687" s="43" t="n">
        <v>46008.4743055556</v>
      </c>
      <c r="C687" s="43" t="n">
        <v>46008.5094907407</v>
      </c>
      <c r="D687" s="42" t="n">
        <f aca="false">INT(C687)</f>
        <v>46008</v>
      </c>
      <c r="E687" s="42" t="n">
        <f aca="false">D687-WEEKDAY(D687,3)</f>
        <v>46006</v>
      </c>
      <c r="F687" s="28" t="s">
        <v>175</v>
      </c>
      <c r="G687" s="28" t="n">
        <v>2025</v>
      </c>
      <c r="H687" s="28" t="s">
        <v>235</v>
      </c>
      <c r="I687" s="28" t="n">
        <v>11</v>
      </c>
      <c r="J687" s="28" t="s">
        <v>233</v>
      </c>
      <c r="K687" s="28" t="s">
        <v>234</v>
      </c>
      <c r="L687" s="28" t="n">
        <v>0.2</v>
      </c>
      <c r="M687" s="31" t="n">
        <v>25190.14</v>
      </c>
      <c r="N687" s="31" t="n">
        <v>25170.75</v>
      </c>
      <c r="O687" s="31" t="n">
        <v>25228.92</v>
      </c>
      <c r="P687" s="44" t="n">
        <f aca="false">ABS(M687-N687)</f>
        <v>19.3899999999994</v>
      </c>
      <c r="Q687" s="44" t="n">
        <f aca="false">IF(O687="","",ABS(O687-M687))</f>
        <v>38.7799999999988</v>
      </c>
      <c r="R687" s="30" t="n">
        <f aca="false">P687*L687*Summary!$C$6</f>
        <v>77.5599999999977</v>
      </c>
      <c r="S687" s="31" t="n">
        <v>25228.96</v>
      </c>
      <c r="T687" s="28" t="s">
        <v>214</v>
      </c>
      <c r="U687" s="44" t="n">
        <f aca="false">IF(J687="BUY",S687-M687,M687-S687)</f>
        <v>38.8199999999997</v>
      </c>
      <c r="V687" s="45" t="n">
        <v>0</v>
      </c>
      <c r="W687" s="45" t="n">
        <v>0</v>
      </c>
      <c r="X687" s="45" t="n">
        <v>155.28</v>
      </c>
      <c r="Y687" s="32" t="n">
        <f aca="false">IFERROR(X687/R687,0)</f>
        <v>2.00206291903049</v>
      </c>
      <c r="Z687" s="28" t="str">
        <f aca="false">IF(X687&gt;0,"Win",IF(X687&lt;0,"Loss","Flat"))</f>
        <v>Win</v>
      </c>
      <c r="AA687" s="28" t="n">
        <f aca="false">ROUND((C687-B687)*1440,1)</f>
        <v>50.7</v>
      </c>
      <c r="AB687" s="28" t="str">
        <f aca="false">IF(AA687&lt;1,"a) &lt;1 min",IF(AA687&lt;10,"b) 1-10 min",IF(AA687&lt;60,"c) 10-60 min",IF(AA687&lt;240,"d) 1-4 h","e) 4 h+"))))</f>
        <v>c) 10-60 min</v>
      </c>
      <c r="AC687" s="28" t="str">
        <f aca="false">IF(P687&lt;10,"a) &lt;10",IF(P687&lt;20,"b) 10-20",IF(P687&lt;40,"c) 20-40",IF(P687&lt;80,"d) 40-80","e) 80+"))))</f>
        <v>b) 10-20</v>
      </c>
      <c r="AD687" s="30" t="n">
        <f aca="false">Summary!$C$5+SUM(X$2:X687)</f>
        <v>114682.79</v>
      </c>
      <c r="AE687" s="30" t="n">
        <f aca="false">MAX(AE686,AD687)</f>
        <v>114900.75</v>
      </c>
      <c r="AF687" s="30" t="n">
        <f aca="false">AE687-AD687</f>
        <v>217.959999999992</v>
      </c>
      <c r="AG687" s="29" t="n">
        <f aca="false">IFERROR(AF687/AE687,0)</f>
        <v>0.0018969414908083</v>
      </c>
    </row>
    <row r="688" customFormat="false" ht="15" hidden="false" customHeight="false" outlineLevel="0" collapsed="false">
      <c r="A688" s="28" t="n">
        <v>687</v>
      </c>
      <c r="B688" s="43" t="n">
        <v>46008.7493055556</v>
      </c>
      <c r="C688" s="43" t="n">
        <v>46008.7546990741</v>
      </c>
      <c r="D688" s="42" t="n">
        <f aca="false">INT(C688)</f>
        <v>46008</v>
      </c>
      <c r="E688" s="42" t="n">
        <f aca="false">D688-WEEKDAY(D688,3)</f>
        <v>46006</v>
      </c>
      <c r="F688" s="28" t="s">
        <v>175</v>
      </c>
      <c r="G688" s="28" t="n">
        <v>2025</v>
      </c>
      <c r="H688" s="28" t="s">
        <v>235</v>
      </c>
      <c r="I688" s="28" t="n">
        <v>17</v>
      </c>
      <c r="J688" s="28" t="s">
        <v>236</v>
      </c>
      <c r="K688" s="28" t="s">
        <v>237</v>
      </c>
      <c r="L688" s="28" t="n">
        <v>0.2</v>
      </c>
      <c r="M688" s="31" t="n">
        <v>24806.46</v>
      </c>
      <c r="N688" s="31" t="n">
        <v>24867.87</v>
      </c>
      <c r="O688" s="31" t="n">
        <v>24686.98</v>
      </c>
      <c r="P688" s="44" t="n">
        <f aca="false">ABS(M688-N688)</f>
        <v>61.4099999999999</v>
      </c>
      <c r="Q688" s="44" t="n">
        <f aca="false">IF(O688="","",ABS(O688-M688))</f>
        <v>119.48</v>
      </c>
      <c r="R688" s="30" t="n">
        <f aca="false">P688*L688*Summary!$C$6</f>
        <v>245.639999999999</v>
      </c>
      <c r="S688" s="31" t="n">
        <v>24868.38</v>
      </c>
      <c r="T688" s="28" t="s">
        <v>241</v>
      </c>
      <c r="U688" s="44" t="n">
        <f aca="false">IF(J688="BUY",S688-M688,M688-S688)</f>
        <v>-61.9200000000019</v>
      </c>
      <c r="V688" s="45" t="n">
        <v>0</v>
      </c>
      <c r="W688" s="45" t="n">
        <v>0</v>
      </c>
      <c r="X688" s="45" t="n">
        <v>-247.68</v>
      </c>
      <c r="Y688" s="32" t="n">
        <f aca="false">IFERROR(X688/R688,0)</f>
        <v>-1.00830483634587</v>
      </c>
      <c r="Z688" s="28" t="str">
        <f aca="false">IF(X688&gt;0,"Win",IF(X688&lt;0,"Loss","Flat"))</f>
        <v>Loss</v>
      </c>
      <c r="AA688" s="28" t="n">
        <f aca="false">ROUND((C688-B688)*1440,1)</f>
        <v>7.8</v>
      </c>
      <c r="AB688" s="28" t="str">
        <f aca="false">IF(AA688&lt;1,"a) &lt;1 min",IF(AA688&lt;10,"b) 1-10 min",IF(AA688&lt;60,"c) 10-60 min",IF(AA688&lt;240,"d) 1-4 h","e) 4 h+"))))</f>
        <v>b) 1-10 min</v>
      </c>
      <c r="AC688" s="28" t="str">
        <f aca="false">IF(P688&lt;10,"a) &lt;10",IF(P688&lt;20,"b) 10-20",IF(P688&lt;40,"c) 20-40",IF(P688&lt;80,"d) 40-80","e) 80+"))))</f>
        <v>d) 40-80</v>
      </c>
      <c r="AD688" s="30" t="n">
        <f aca="false">Summary!$C$5+SUM(X$2:X688)</f>
        <v>114435.11</v>
      </c>
      <c r="AE688" s="30" t="n">
        <f aca="false">MAX(AE687,AD688)</f>
        <v>114900.75</v>
      </c>
      <c r="AF688" s="30" t="n">
        <f aca="false">AE688-AD688</f>
        <v>465.639999999999</v>
      </c>
      <c r="AG688" s="29" t="n">
        <f aca="false">IFERROR(AF688/AE688,0)</f>
        <v>0.004052540997339</v>
      </c>
    </row>
    <row r="689" customFormat="false" ht="15" hidden="false" customHeight="false" outlineLevel="0" collapsed="false">
      <c r="A689" s="28" t="n">
        <v>688</v>
      </c>
      <c r="B689" s="43" t="n">
        <v>46010.6888888889</v>
      </c>
      <c r="C689" s="43" t="n">
        <v>46010.6924074074</v>
      </c>
      <c r="D689" s="42" t="n">
        <f aca="false">INT(C689)</f>
        <v>46010</v>
      </c>
      <c r="E689" s="42" t="n">
        <f aca="false">D689-WEEKDAY(D689,3)</f>
        <v>46006</v>
      </c>
      <c r="F689" s="28" t="s">
        <v>175</v>
      </c>
      <c r="G689" s="28" t="n">
        <v>2025</v>
      </c>
      <c r="H689" s="28" t="s">
        <v>242</v>
      </c>
      <c r="I689" s="28" t="n">
        <v>16</v>
      </c>
      <c r="J689" s="28" t="s">
        <v>233</v>
      </c>
      <c r="K689" s="28" t="s">
        <v>234</v>
      </c>
      <c r="L689" s="28" t="n">
        <v>0.2</v>
      </c>
      <c r="M689" s="31" t="n">
        <v>25184.97</v>
      </c>
      <c r="N689" s="31" t="n">
        <v>25142.73</v>
      </c>
      <c r="O689" s="31" t="n">
        <v>25276.36</v>
      </c>
      <c r="P689" s="44" t="n">
        <f aca="false">ABS(M689-N689)</f>
        <v>42.2400000000016</v>
      </c>
      <c r="Q689" s="44" t="n">
        <f aca="false">IF(O689="","",ABS(O689-M689))</f>
        <v>91.3899999999994</v>
      </c>
      <c r="R689" s="30" t="n">
        <f aca="false">P689*L689*Summary!$C$6</f>
        <v>168.960000000006</v>
      </c>
      <c r="S689" s="31" t="n">
        <v>25184.04</v>
      </c>
      <c r="T689" s="28" t="s">
        <v>238</v>
      </c>
      <c r="U689" s="44" t="n">
        <f aca="false">IF(J689="BUY",S689-M689,M689-S689)</f>
        <v>-0.930000000000291</v>
      </c>
      <c r="V689" s="45" t="n">
        <v>0</v>
      </c>
      <c r="W689" s="45" t="n">
        <v>0</v>
      </c>
      <c r="X689" s="45" t="n">
        <v>-3.72</v>
      </c>
      <c r="Y689" s="32" t="n">
        <f aca="false">IFERROR(X689/R689,0)</f>
        <v>-0.0220170454545446</v>
      </c>
      <c r="Z689" s="28" t="str">
        <f aca="false">IF(X689&gt;0,"Win",IF(X689&lt;0,"Loss","Flat"))</f>
        <v>Loss</v>
      </c>
      <c r="AA689" s="28" t="n">
        <f aca="false">ROUND((C689-B689)*1440,1)</f>
        <v>5.1</v>
      </c>
      <c r="AB689" s="28" t="str">
        <f aca="false">IF(AA689&lt;1,"a) &lt;1 min",IF(AA689&lt;10,"b) 1-10 min",IF(AA689&lt;60,"c) 10-60 min",IF(AA689&lt;240,"d) 1-4 h","e) 4 h+"))))</f>
        <v>b) 1-10 min</v>
      </c>
      <c r="AC689" s="28" t="str">
        <f aca="false">IF(P689&lt;10,"a) &lt;10",IF(P689&lt;20,"b) 10-20",IF(P689&lt;40,"c) 20-40",IF(P689&lt;80,"d) 40-80","e) 80+"))))</f>
        <v>d) 40-80</v>
      </c>
      <c r="AD689" s="30" t="n">
        <f aca="false">Summary!$C$5+SUM(X$2:X689)</f>
        <v>114431.39</v>
      </c>
      <c r="AE689" s="30" t="n">
        <f aca="false">MAX(AE688,AD689)</f>
        <v>114900.75</v>
      </c>
      <c r="AF689" s="30" t="n">
        <f aca="false">AE689-AD689</f>
        <v>469.360000000001</v>
      </c>
      <c r="AG689" s="29" t="n">
        <f aca="false">IFERROR(AF689/AE689,0)</f>
        <v>0.00408491676512121</v>
      </c>
    </row>
    <row r="690" customFormat="false" ht="15" hidden="false" customHeight="false" outlineLevel="0" collapsed="false">
      <c r="A690" s="28" t="n">
        <v>689</v>
      </c>
      <c r="B690" s="43" t="n">
        <v>46013.0423611111</v>
      </c>
      <c r="C690" s="43" t="n">
        <v>46013.0522685185</v>
      </c>
      <c r="D690" s="42" t="n">
        <f aca="false">INT(C690)</f>
        <v>46013</v>
      </c>
      <c r="E690" s="42" t="n">
        <f aca="false">D690-WEEKDAY(D690,3)</f>
        <v>46013</v>
      </c>
      <c r="F690" s="28" t="s">
        <v>175</v>
      </c>
      <c r="G690" s="28" t="n">
        <v>2025</v>
      </c>
      <c r="H690" s="28" t="s">
        <v>240</v>
      </c>
      <c r="I690" s="28" t="n">
        <v>1</v>
      </c>
      <c r="J690" s="28" t="s">
        <v>233</v>
      </c>
      <c r="K690" s="28" t="s">
        <v>234</v>
      </c>
      <c r="L690" s="28" t="n">
        <v>0.2</v>
      </c>
      <c r="M690" s="31" t="n">
        <v>25421.71</v>
      </c>
      <c r="N690" s="31" t="n">
        <v>25395.98</v>
      </c>
      <c r="O690" s="31" t="n">
        <v>25470.39</v>
      </c>
      <c r="P690" s="44" t="n">
        <f aca="false">ABS(M690-N690)</f>
        <v>25.7299999999996</v>
      </c>
      <c r="Q690" s="44" t="n">
        <f aca="false">IF(O690="","",ABS(O690-M690))</f>
        <v>48.6800000000003</v>
      </c>
      <c r="R690" s="30" t="n">
        <f aca="false">P690*L690*Summary!$C$6</f>
        <v>102.919999999998</v>
      </c>
      <c r="S690" s="31" t="n">
        <v>25394.88</v>
      </c>
      <c r="T690" s="28" t="s">
        <v>241</v>
      </c>
      <c r="U690" s="44" t="n">
        <f aca="false">IF(J690="BUY",S690-M690,M690-S690)</f>
        <v>-26.8299999999981</v>
      </c>
      <c r="V690" s="45" t="n">
        <v>0</v>
      </c>
      <c r="W690" s="45" t="n">
        <v>0</v>
      </c>
      <c r="X690" s="45" t="n">
        <v>-107.32</v>
      </c>
      <c r="Y690" s="32" t="n">
        <f aca="false">IFERROR(X690/R690,0)</f>
        <v>-1.04275165176838</v>
      </c>
      <c r="Z690" s="28" t="str">
        <f aca="false">IF(X690&gt;0,"Win",IF(X690&lt;0,"Loss","Flat"))</f>
        <v>Loss</v>
      </c>
      <c r="AA690" s="28" t="n">
        <f aca="false">ROUND((C690-B690)*1440,1)</f>
        <v>14.3</v>
      </c>
      <c r="AB690" s="28" t="str">
        <f aca="false">IF(AA690&lt;1,"a) &lt;1 min",IF(AA690&lt;10,"b) 1-10 min",IF(AA690&lt;60,"c) 10-60 min",IF(AA690&lt;240,"d) 1-4 h","e) 4 h+"))))</f>
        <v>c) 10-60 min</v>
      </c>
      <c r="AC690" s="28" t="str">
        <f aca="false">IF(P690&lt;10,"a) &lt;10",IF(P690&lt;20,"b) 10-20",IF(P690&lt;40,"c) 20-40",IF(P690&lt;80,"d) 40-80","e) 80+"))))</f>
        <v>c) 20-40</v>
      </c>
      <c r="AD690" s="30" t="n">
        <f aca="false">Summary!$C$5+SUM(X$2:X690)</f>
        <v>114324.07</v>
      </c>
      <c r="AE690" s="30" t="n">
        <f aca="false">MAX(AE689,AD690)</f>
        <v>114900.75</v>
      </c>
      <c r="AF690" s="30" t="n">
        <f aca="false">AE690-AD690</f>
        <v>576.679999999993</v>
      </c>
      <c r="AG690" s="29" t="n">
        <f aca="false">IFERROR(AF690/AE690,0)</f>
        <v>0.00501894025931069</v>
      </c>
    </row>
    <row r="691" customFormat="false" ht="15" hidden="false" customHeight="false" outlineLevel="0" collapsed="false">
      <c r="A691" s="28" t="n">
        <v>690</v>
      </c>
      <c r="B691" s="43" t="n">
        <v>46014.6527777778</v>
      </c>
      <c r="C691" s="43" t="n">
        <v>46014.6560300926</v>
      </c>
      <c r="D691" s="42" t="n">
        <f aca="false">INT(C691)</f>
        <v>46014</v>
      </c>
      <c r="E691" s="42" t="n">
        <f aca="false">D691-WEEKDAY(D691,3)</f>
        <v>46013</v>
      </c>
      <c r="F691" s="28" t="s">
        <v>175</v>
      </c>
      <c r="G691" s="28" t="n">
        <v>2025</v>
      </c>
      <c r="H691" s="28" t="s">
        <v>232</v>
      </c>
      <c r="I691" s="28" t="n">
        <v>15</v>
      </c>
      <c r="J691" s="28" t="s">
        <v>236</v>
      </c>
      <c r="K691" s="28" t="s">
        <v>237</v>
      </c>
      <c r="L691" s="28" t="n">
        <v>0.2</v>
      </c>
      <c r="M691" s="31" t="n">
        <v>25381.84</v>
      </c>
      <c r="N691" s="31" t="n">
        <v>25407</v>
      </c>
      <c r="O691" s="31" t="n">
        <v>25334.01</v>
      </c>
      <c r="P691" s="44" t="n">
        <f aca="false">ABS(M691-N691)</f>
        <v>25.1599999999999</v>
      </c>
      <c r="Q691" s="44" t="n">
        <f aca="false">IF(O691="","",ABS(O691-M691))</f>
        <v>47.8300000000017</v>
      </c>
      <c r="R691" s="30" t="n">
        <f aca="false">P691*L691*Summary!$C$6</f>
        <v>100.639999999999</v>
      </c>
      <c r="S691" s="31" t="n">
        <v>25407.08</v>
      </c>
      <c r="T691" s="28" t="s">
        <v>241</v>
      </c>
      <c r="U691" s="44" t="n">
        <f aca="false">IF(J691="BUY",S691-M691,M691-S691)</f>
        <v>-25.2400000000016</v>
      </c>
      <c r="V691" s="45" t="n">
        <v>0</v>
      </c>
      <c r="W691" s="45" t="n">
        <v>0</v>
      </c>
      <c r="X691" s="45" t="n">
        <v>-100.96</v>
      </c>
      <c r="Y691" s="32" t="n">
        <f aca="false">IFERROR(X691/R691,0)</f>
        <v>-1.00317965023848</v>
      </c>
      <c r="Z691" s="28" t="str">
        <f aca="false">IF(X691&gt;0,"Win",IF(X691&lt;0,"Loss","Flat"))</f>
        <v>Loss</v>
      </c>
      <c r="AA691" s="28" t="n">
        <f aca="false">ROUND((C691-B691)*1440,1)</f>
        <v>4.7</v>
      </c>
      <c r="AB691" s="28" t="str">
        <f aca="false">IF(AA691&lt;1,"a) &lt;1 min",IF(AA691&lt;10,"b) 1-10 min",IF(AA691&lt;60,"c) 10-60 min",IF(AA691&lt;240,"d) 1-4 h","e) 4 h+"))))</f>
        <v>b) 1-10 min</v>
      </c>
      <c r="AC691" s="28" t="str">
        <f aca="false">IF(P691&lt;10,"a) &lt;10",IF(P691&lt;20,"b) 10-20",IF(P691&lt;40,"c) 20-40",IF(P691&lt;80,"d) 40-80","e) 80+"))))</f>
        <v>c) 20-40</v>
      </c>
      <c r="AD691" s="30" t="n">
        <f aca="false">Summary!$C$5+SUM(X$2:X691)</f>
        <v>114223.11</v>
      </c>
      <c r="AE691" s="30" t="n">
        <f aca="false">MAX(AE690,AD691)</f>
        <v>114900.75</v>
      </c>
      <c r="AF691" s="30" t="n">
        <f aca="false">AE691-AD691</f>
        <v>677.639999999999</v>
      </c>
      <c r="AG691" s="29" t="n">
        <f aca="false">IFERROR(AF691/AE691,0)</f>
        <v>0.0058976116343888</v>
      </c>
    </row>
    <row r="692" customFormat="false" ht="15" hidden="false" customHeight="false" outlineLevel="0" collapsed="false">
      <c r="A692" s="28" t="n">
        <v>691</v>
      </c>
      <c r="B692" s="43" t="n">
        <v>46014.9111111111</v>
      </c>
      <c r="C692" s="43" t="n">
        <v>46014.9189699074</v>
      </c>
      <c r="D692" s="42" t="n">
        <f aca="false">INT(C692)</f>
        <v>46014</v>
      </c>
      <c r="E692" s="42" t="n">
        <f aca="false">D692-WEEKDAY(D692,3)</f>
        <v>46013</v>
      </c>
      <c r="F692" s="28" t="s">
        <v>175</v>
      </c>
      <c r="G692" s="28" t="n">
        <v>2025</v>
      </c>
      <c r="H692" s="28" t="s">
        <v>232</v>
      </c>
      <c r="I692" s="28" t="n">
        <v>21</v>
      </c>
      <c r="J692" s="28" t="s">
        <v>233</v>
      </c>
      <c r="K692" s="28" t="s">
        <v>234</v>
      </c>
      <c r="L692" s="28" t="n">
        <v>0.2</v>
      </c>
      <c r="M692" s="31" t="n">
        <v>25558.45</v>
      </c>
      <c r="N692" s="31" t="n">
        <v>25553.37</v>
      </c>
      <c r="O692" s="31" t="n">
        <v>25568.61</v>
      </c>
      <c r="P692" s="44" t="n">
        <f aca="false">ABS(M692-N692)</f>
        <v>5.08000000000175</v>
      </c>
      <c r="Q692" s="44" t="n">
        <f aca="false">IF(O692="","",ABS(O692-M692))</f>
        <v>10.1599999999999</v>
      </c>
      <c r="R692" s="30" t="n">
        <f aca="false">P692*L692*Summary!$C$6</f>
        <v>20.320000000007</v>
      </c>
      <c r="S692" s="31" t="n">
        <v>25568.64</v>
      </c>
      <c r="T692" s="28" t="s">
        <v>214</v>
      </c>
      <c r="U692" s="44" t="n">
        <f aca="false">IF(J692="BUY",S692-M692,M692-S692)</f>
        <v>10.1899999999987</v>
      </c>
      <c r="V692" s="45" t="n">
        <v>0</v>
      </c>
      <c r="W692" s="45" t="n">
        <v>0</v>
      </c>
      <c r="X692" s="45" t="n">
        <v>40.76</v>
      </c>
      <c r="Y692" s="32" t="n">
        <f aca="false">IFERROR(X692/R692,0)</f>
        <v>2.00590551181033</v>
      </c>
      <c r="Z692" s="28" t="str">
        <f aca="false">IF(X692&gt;0,"Win",IF(X692&lt;0,"Loss","Flat"))</f>
        <v>Win</v>
      </c>
      <c r="AA692" s="28" t="n">
        <f aca="false">ROUND((C692-B692)*1440,1)</f>
        <v>11.3</v>
      </c>
      <c r="AB692" s="28" t="str">
        <f aca="false">IF(AA692&lt;1,"a) &lt;1 min",IF(AA692&lt;10,"b) 1-10 min",IF(AA692&lt;60,"c) 10-60 min",IF(AA692&lt;240,"d) 1-4 h","e) 4 h+"))))</f>
        <v>c) 10-60 min</v>
      </c>
      <c r="AC692" s="28" t="str">
        <f aca="false">IF(P692&lt;10,"a) &lt;10",IF(P692&lt;20,"b) 10-20",IF(P692&lt;40,"c) 20-40",IF(P692&lt;80,"d) 40-80","e) 80+"))))</f>
        <v>a) &lt;10</v>
      </c>
      <c r="AD692" s="30" t="n">
        <f aca="false">Summary!$C$5+SUM(X$2:X692)</f>
        <v>114263.87</v>
      </c>
      <c r="AE692" s="30" t="n">
        <f aca="false">MAX(AE691,AD692)</f>
        <v>114900.75</v>
      </c>
      <c r="AF692" s="30" t="n">
        <f aca="false">AE692-AD692</f>
        <v>636.880000000005</v>
      </c>
      <c r="AG692" s="29" t="n">
        <f aca="false">IFERROR(AF692/AE692,0)</f>
        <v>0.00554287069492588</v>
      </c>
    </row>
    <row r="693" customFormat="false" ht="15" hidden="false" customHeight="false" outlineLevel="0" collapsed="false">
      <c r="A693" s="28" t="n">
        <v>692</v>
      </c>
      <c r="B693" s="43" t="n">
        <v>46015.0861111111</v>
      </c>
      <c r="C693" s="43" t="n">
        <v>46015.1463541667</v>
      </c>
      <c r="D693" s="42" t="n">
        <f aca="false">INT(C693)</f>
        <v>46015</v>
      </c>
      <c r="E693" s="42" t="n">
        <f aca="false">D693-WEEKDAY(D693,3)</f>
        <v>46013</v>
      </c>
      <c r="F693" s="28" t="s">
        <v>175</v>
      </c>
      <c r="G693" s="28" t="n">
        <v>2025</v>
      </c>
      <c r="H693" s="28" t="s">
        <v>235</v>
      </c>
      <c r="I693" s="28" t="n">
        <v>2</v>
      </c>
      <c r="J693" s="28" t="s">
        <v>233</v>
      </c>
      <c r="K693" s="28" t="s">
        <v>234</v>
      </c>
      <c r="L693" s="28" t="n">
        <v>0.2</v>
      </c>
      <c r="M693" s="31" t="n">
        <v>25591.41</v>
      </c>
      <c r="N693" s="31" t="n">
        <v>25583.69</v>
      </c>
      <c r="O693" s="31" t="n">
        <v>25606.84</v>
      </c>
      <c r="P693" s="44" t="n">
        <f aca="false">ABS(M693-N693)</f>
        <v>7.72000000000116</v>
      </c>
      <c r="Q693" s="44" t="n">
        <f aca="false">IF(O693="","",ABS(O693-M693))</f>
        <v>15.4300000000003</v>
      </c>
      <c r="R693" s="30" t="n">
        <f aca="false">P693*L693*Summary!$C$6</f>
        <v>30.8800000000047</v>
      </c>
      <c r="S693" s="31" t="n">
        <v>25583.58</v>
      </c>
      <c r="T693" s="28" t="s">
        <v>241</v>
      </c>
      <c r="U693" s="44" t="n">
        <f aca="false">IF(J693="BUY",S693-M693,M693-S693)</f>
        <v>-7.82999999999811</v>
      </c>
      <c r="V693" s="45" t="n">
        <v>0</v>
      </c>
      <c r="W693" s="45" t="n">
        <v>0</v>
      </c>
      <c r="X693" s="45" t="n">
        <v>-31.32</v>
      </c>
      <c r="Y693" s="32" t="n">
        <f aca="false">IFERROR(X693/R693,0)</f>
        <v>-1.01424870466306</v>
      </c>
      <c r="Z693" s="28" t="str">
        <f aca="false">IF(X693&gt;0,"Win",IF(X693&lt;0,"Loss","Flat"))</f>
        <v>Loss</v>
      </c>
      <c r="AA693" s="28" t="n">
        <f aca="false">ROUND((C693-B693)*1440,1)</f>
        <v>86.8</v>
      </c>
      <c r="AB693" s="28" t="str">
        <f aca="false">IF(AA693&lt;1,"a) &lt;1 min",IF(AA693&lt;10,"b) 1-10 min",IF(AA693&lt;60,"c) 10-60 min",IF(AA693&lt;240,"d) 1-4 h","e) 4 h+"))))</f>
        <v>d) 1-4 h</v>
      </c>
      <c r="AC693" s="28" t="str">
        <f aca="false">IF(P693&lt;10,"a) &lt;10",IF(P693&lt;20,"b) 10-20",IF(P693&lt;40,"c) 20-40",IF(P693&lt;80,"d) 40-80","e) 80+"))))</f>
        <v>a) &lt;10</v>
      </c>
      <c r="AD693" s="30" t="n">
        <f aca="false">Summary!$C$5+SUM(X$2:X693)</f>
        <v>114232.55</v>
      </c>
      <c r="AE693" s="30" t="n">
        <f aca="false">MAX(AE692,AD693)</f>
        <v>114900.75</v>
      </c>
      <c r="AF693" s="30" t="n">
        <f aca="false">AE693-AD693</f>
        <v>668.199999999997</v>
      </c>
      <c r="AG693" s="29" t="n">
        <f aca="false">IFERROR(AF693/AE693,0)</f>
        <v>0.00581545377205977</v>
      </c>
    </row>
    <row r="694" customFormat="false" ht="15" hidden="false" customHeight="false" outlineLevel="0" collapsed="false">
      <c r="A694" s="28" t="n">
        <v>693</v>
      </c>
      <c r="B694" s="43" t="n">
        <v>46017.0465277778</v>
      </c>
      <c r="C694" s="43" t="n">
        <v>46017.0486921296</v>
      </c>
      <c r="D694" s="42" t="n">
        <f aca="false">INT(C694)</f>
        <v>46017</v>
      </c>
      <c r="E694" s="42" t="n">
        <f aca="false">D694-WEEKDAY(D694,3)</f>
        <v>46013</v>
      </c>
      <c r="F694" s="28" t="s">
        <v>175</v>
      </c>
      <c r="G694" s="28" t="n">
        <v>2025</v>
      </c>
      <c r="H694" s="28" t="s">
        <v>242</v>
      </c>
      <c r="I694" s="28" t="n">
        <v>1</v>
      </c>
      <c r="J694" s="28" t="s">
        <v>233</v>
      </c>
      <c r="K694" s="28" t="s">
        <v>234</v>
      </c>
      <c r="L694" s="28" t="n">
        <v>0.2</v>
      </c>
      <c r="M694" s="31" t="n">
        <v>25668.5</v>
      </c>
      <c r="N694" s="31" t="n">
        <v>25648.35</v>
      </c>
      <c r="O694" s="31" t="n">
        <v>25708.81</v>
      </c>
      <c r="P694" s="44" t="n">
        <f aca="false">ABS(M694-N694)</f>
        <v>20.1500000000015</v>
      </c>
      <c r="Q694" s="44" t="n">
        <f aca="false">IF(O694="","",ABS(O694-M694))</f>
        <v>40.3100000000013</v>
      </c>
      <c r="R694" s="30" t="n">
        <f aca="false">P694*L694*Summary!$C$6</f>
        <v>80.6000000000058</v>
      </c>
      <c r="S694" s="31" t="n">
        <v>25648.28</v>
      </c>
      <c r="T694" s="28" t="s">
        <v>241</v>
      </c>
      <c r="U694" s="44" t="n">
        <f aca="false">IF(J694="BUY",S694-M694,M694-S694)</f>
        <v>-20.2200000000012</v>
      </c>
      <c r="V694" s="45" t="n">
        <v>0</v>
      </c>
      <c r="W694" s="45" t="n">
        <v>0</v>
      </c>
      <c r="X694" s="45" t="n">
        <v>-80.88</v>
      </c>
      <c r="Y694" s="32" t="n">
        <f aca="false">IFERROR(X694/R694,0)</f>
        <v>-1.00347394540936</v>
      </c>
      <c r="Z694" s="28" t="str">
        <f aca="false">IF(X694&gt;0,"Win",IF(X694&lt;0,"Loss","Flat"))</f>
        <v>Loss</v>
      </c>
      <c r="AA694" s="28" t="n">
        <f aca="false">ROUND((C694-B694)*1440,1)</f>
        <v>3.1</v>
      </c>
      <c r="AB694" s="28" t="str">
        <f aca="false">IF(AA694&lt;1,"a) &lt;1 min",IF(AA694&lt;10,"b) 1-10 min",IF(AA694&lt;60,"c) 10-60 min",IF(AA694&lt;240,"d) 1-4 h","e) 4 h+"))))</f>
        <v>b) 1-10 min</v>
      </c>
      <c r="AC694" s="28" t="str">
        <f aca="false">IF(P694&lt;10,"a) &lt;10",IF(P694&lt;20,"b) 10-20",IF(P694&lt;40,"c) 20-40",IF(P694&lt;80,"d) 40-80","e) 80+"))))</f>
        <v>c) 20-40</v>
      </c>
      <c r="AD694" s="30" t="n">
        <f aca="false">Summary!$C$5+SUM(X$2:X694)</f>
        <v>114151.67</v>
      </c>
      <c r="AE694" s="30" t="n">
        <f aca="false">MAX(AE693,AD694)</f>
        <v>114900.75</v>
      </c>
      <c r="AF694" s="30" t="n">
        <f aca="false">AE694-AD694</f>
        <v>749.080000000002</v>
      </c>
      <c r="AG694" s="29" t="n">
        <f aca="false">IFERROR(AF694/AE694,0)</f>
        <v>0.00651936562642108</v>
      </c>
    </row>
    <row r="695" customFormat="false" ht="15" hidden="false" customHeight="false" outlineLevel="0" collapsed="false">
      <c r="A695" s="28" t="n">
        <v>694</v>
      </c>
      <c r="B695" s="43" t="n">
        <v>46020.1923611111</v>
      </c>
      <c r="C695" s="43" t="n">
        <v>46020.1931134259</v>
      </c>
      <c r="D695" s="42" t="n">
        <f aca="false">INT(C695)</f>
        <v>46020</v>
      </c>
      <c r="E695" s="42" t="n">
        <f aca="false">D695-WEEKDAY(D695,3)</f>
        <v>46020</v>
      </c>
      <c r="F695" s="28" t="s">
        <v>175</v>
      </c>
      <c r="G695" s="28" t="n">
        <v>2025</v>
      </c>
      <c r="H695" s="28" t="s">
        <v>240</v>
      </c>
      <c r="I695" s="28" t="n">
        <v>4</v>
      </c>
      <c r="J695" s="28" t="s">
        <v>236</v>
      </c>
      <c r="K695" s="28" t="s">
        <v>237</v>
      </c>
      <c r="L695" s="28" t="n">
        <v>0.2</v>
      </c>
      <c r="M695" s="31" t="n">
        <v>25611.64</v>
      </c>
      <c r="N695" s="31" t="n">
        <v>25619.91</v>
      </c>
      <c r="O695" s="31" t="n">
        <v>25595.1</v>
      </c>
      <c r="P695" s="44" t="n">
        <f aca="false">ABS(M695-N695)</f>
        <v>8.27000000000044</v>
      </c>
      <c r="Q695" s="44" t="n">
        <f aca="false">IF(O695="","",ABS(O695-M695))</f>
        <v>16.5400000000009</v>
      </c>
      <c r="R695" s="30" t="n">
        <f aca="false">P695*L695*Summary!$C$6</f>
        <v>33.0800000000017</v>
      </c>
      <c r="S695" s="31" t="n">
        <v>25620.53</v>
      </c>
      <c r="T695" s="28" t="s">
        <v>241</v>
      </c>
      <c r="U695" s="44" t="n">
        <f aca="false">IF(J695="BUY",S695-M695,M695-S695)</f>
        <v>-8.88999999999942</v>
      </c>
      <c r="V695" s="45" t="n">
        <v>0</v>
      </c>
      <c r="W695" s="45" t="n">
        <v>0</v>
      </c>
      <c r="X695" s="45" t="n">
        <v>-35.56</v>
      </c>
      <c r="Y695" s="32" t="n">
        <f aca="false">IFERROR(X695/R695,0)</f>
        <v>-1.07496977025387</v>
      </c>
      <c r="Z695" s="28" t="str">
        <f aca="false">IF(X695&gt;0,"Win",IF(X695&lt;0,"Loss","Flat"))</f>
        <v>Loss</v>
      </c>
      <c r="AA695" s="28" t="n">
        <f aca="false">ROUND((C695-B695)*1440,1)</f>
        <v>1.1</v>
      </c>
      <c r="AB695" s="28" t="str">
        <f aca="false">IF(AA695&lt;1,"a) &lt;1 min",IF(AA695&lt;10,"b) 1-10 min",IF(AA695&lt;60,"c) 10-60 min",IF(AA695&lt;240,"d) 1-4 h","e) 4 h+"))))</f>
        <v>b) 1-10 min</v>
      </c>
      <c r="AC695" s="28" t="str">
        <f aca="false">IF(P695&lt;10,"a) &lt;10",IF(P695&lt;20,"b) 10-20",IF(P695&lt;40,"c) 20-40",IF(P695&lt;80,"d) 40-80","e) 80+"))))</f>
        <v>a) &lt;10</v>
      </c>
      <c r="AD695" s="30" t="n">
        <f aca="false">Summary!$C$5+SUM(X$2:X695)</f>
        <v>114116.11</v>
      </c>
      <c r="AE695" s="30" t="n">
        <f aca="false">MAX(AE694,AD695)</f>
        <v>114900.75</v>
      </c>
      <c r="AF695" s="30" t="n">
        <f aca="false">AE695-AD695</f>
        <v>784.639999999999</v>
      </c>
      <c r="AG695" s="29" t="n">
        <f aca="false">IFERROR(AF695/AE695,0)</f>
        <v>0.00682885011629602</v>
      </c>
    </row>
    <row r="696" customFormat="false" ht="15" hidden="false" customHeight="false" outlineLevel="0" collapsed="false">
      <c r="A696" s="28" t="n">
        <v>695</v>
      </c>
      <c r="B696" s="43" t="n">
        <v>46022.0513888889</v>
      </c>
      <c r="C696" s="43" t="n">
        <v>46022.0599768519</v>
      </c>
      <c r="D696" s="42" t="n">
        <f aca="false">INT(C696)</f>
        <v>46022</v>
      </c>
      <c r="E696" s="42" t="n">
        <f aca="false">D696-WEEKDAY(D696,3)</f>
        <v>46020</v>
      </c>
      <c r="F696" s="28" t="s">
        <v>175</v>
      </c>
      <c r="G696" s="28" t="n">
        <v>2025</v>
      </c>
      <c r="H696" s="28" t="s">
        <v>235</v>
      </c>
      <c r="I696" s="28" t="n">
        <v>1</v>
      </c>
      <c r="J696" s="28" t="s">
        <v>236</v>
      </c>
      <c r="K696" s="28" t="s">
        <v>237</v>
      </c>
      <c r="L696" s="28" t="n">
        <v>0.2</v>
      </c>
      <c r="M696" s="31" t="n">
        <v>25452.06</v>
      </c>
      <c r="N696" s="31" t="n">
        <v>25464.19</v>
      </c>
      <c r="O696" s="31" t="n">
        <v>25427.8</v>
      </c>
      <c r="P696" s="44" t="n">
        <f aca="false">ABS(M696-N696)</f>
        <v>12.1299999999974</v>
      </c>
      <c r="Q696" s="44" t="n">
        <f aca="false">IF(O696="","",ABS(O696-M696))</f>
        <v>24.260000000002</v>
      </c>
      <c r="R696" s="30" t="n">
        <f aca="false">P696*L696*Summary!$C$6</f>
        <v>48.5199999999895</v>
      </c>
      <c r="S696" s="31" t="n">
        <v>25464.33</v>
      </c>
      <c r="T696" s="28" t="s">
        <v>241</v>
      </c>
      <c r="U696" s="44" t="n">
        <f aca="false">IF(J696="BUY",S696-M696,M696-S696)</f>
        <v>-12.2700000000004</v>
      </c>
      <c r="V696" s="45" t="n">
        <v>0</v>
      </c>
      <c r="W696" s="45" t="n">
        <v>0</v>
      </c>
      <c r="X696" s="45" t="n">
        <v>-49.08</v>
      </c>
      <c r="Y696" s="32" t="n">
        <f aca="false">IFERROR(X696/R696,0)</f>
        <v>-1.01154163231679</v>
      </c>
      <c r="Z696" s="28" t="str">
        <f aca="false">IF(X696&gt;0,"Win",IF(X696&lt;0,"Loss","Flat"))</f>
        <v>Loss</v>
      </c>
      <c r="AA696" s="28" t="n">
        <f aca="false">ROUND((C696-B696)*1440,1)</f>
        <v>12.4</v>
      </c>
      <c r="AB696" s="28" t="str">
        <f aca="false">IF(AA696&lt;1,"a) &lt;1 min",IF(AA696&lt;10,"b) 1-10 min",IF(AA696&lt;60,"c) 10-60 min",IF(AA696&lt;240,"d) 1-4 h","e) 4 h+"))))</f>
        <v>c) 10-60 min</v>
      </c>
      <c r="AC696" s="28" t="str">
        <f aca="false">IF(P696&lt;10,"a) &lt;10",IF(P696&lt;20,"b) 10-20",IF(P696&lt;40,"c) 20-40",IF(P696&lt;80,"d) 40-80","e) 80+"))))</f>
        <v>b) 10-20</v>
      </c>
      <c r="AD696" s="30" t="n">
        <f aca="false">Summary!$C$5+SUM(X$2:X696)</f>
        <v>114067.03</v>
      </c>
      <c r="AE696" s="30" t="n">
        <f aca="false">MAX(AE695,AD696)</f>
        <v>114900.75</v>
      </c>
      <c r="AF696" s="30" t="n">
        <f aca="false">AE696-AD696</f>
        <v>833.720000000001</v>
      </c>
      <c r="AG696" s="29" t="n">
        <f aca="false">IFERROR(AF696/AE696,0)</f>
        <v>0.00725600137509982</v>
      </c>
    </row>
    <row r="697" customFormat="false" ht="15" hidden="false" customHeight="false" outlineLevel="0" collapsed="false">
      <c r="A697" s="28" t="n">
        <v>696</v>
      </c>
      <c r="B697" s="43" t="n">
        <v>46024.4534722222</v>
      </c>
      <c r="C697" s="43" t="n">
        <v>46024.4608101852</v>
      </c>
      <c r="D697" s="42" t="n">
        <f aca="false">INT(C697)</f>
        <v>46024</v>
      </c>
      <c r="E697" s="42" t="n">
        <f aca="false">D697-WEEKDAY(D697,3)</f>
        <v>46020</v>
      </c>
      <c r="F697" s="28" t="s">
        <v>176</v>
      </c>
      <c r="G697" s="28" t="n">
        <v>2026</v>
      </c>
      <c r="H697" s="28" t="s">
        <v>242</v>
      </c>
      <c r="I697" s="28" t="n">
        <v>10</v>
      </c>
      <c r="J697" s="28" t="s">
        <v>233</v>
      </c>
      <c r="K697" s="28" t="s">
        <v>234</v>
      </c>
      <c r="L697" s="28" t="n">
        <v>0.2</v>
      </c>
      <c r="M697" s="31" t="n">
        <v>25510.4</v>
      </c>
      <c r="N697" s="31" t="n">
        <v>25499.33</v>
      </c>
      <c r="O697" s="31" t="n">
        <v>25532.53</v>
      </c>
      <c r="P697" s="44" t="n">
        <f aca="false">ABS(M697-N697)</f>
        <v>11.0699999999997</v>
      </c>
      <c r="Q697" s="44" t="n">
        <f aca="false">IF(O697="","",ABS(O697-M697))</f>
        <v>22.1299999999974</v>
      </c>
      <c r="R697" s="30" t="n">
        <f aca="false">P697*L697*Summary!$C$6</f>
        <v>44.2799999999988</v>
      </c>
      <c r="S697" s="31" t="n">
        <v>25510</v>
      </c>
      <c r="T697" s="28" t="s">
        <v>238</v>
      </c>
      <c r="U697" s="44" t="n">
        <f aca="false">IF(J697="BUY",S697-M697,M697-S697)</f>
        <v>-0.400000000001455</v>
      </c>
      <c r="V697" s="45" t="n">
        <v>0</v>
      </c>
      <c r="W697" s="45" t="n">
        <v>0</v>
      </c>
      <c r="X697" s="45" t="n">
        <v>-1.6</v>
      </c>
      <c r="Y697" s="32" t="n">
        <f aca="false">IFERROR(X697/R697,0)</f>
        <v>-0.036133694670281</v>
      </c>
      <c r="Z697" s="28" t="str">
        <f aca="false">IF(X697&gt;0,"Win",IF(X697&lt;0,"Loss","Flat"))</f>
        <v>Loss</v>
      </c>
      <c r="AA697" s="28" t="n">
        <f aca="false">ROUND((C697-B697)*1440,1)</f>
        <v>10.6</v>
      </c>
      <c r="AB697" s="28" t="str">
        <f aca="false">IF(AA697&lt;1,"a) &lt;1 min",IF(AA697&lt;10,"b) 1-10 min",IF(AA697&lt;60,"c) 10-60 min",IF(AA697&lt;240,"d) 1-4 h","e) 4 h+"))))</f>
        <v>c) 10-60 min</v>
      </c>
      <c r="AC697" s="28" t="str">
        <f aca="false">IF(P697&lt;10,"a) &lt;10",IF(P697&lt;20,"b) 10-20",IF(P697&lt;40,"c) 20-40",IF(P697&lt;80,"d) 40-80","e) 80+"))))</f>
        <v>b) 10-20</v>
      </c>
      <c r="AD697" s="30" t="n">
        <f aca="false">Summary!$C$5+SUM(X$2:X697)</f>
        <v>114065.43</v>
      </c>
      <c r="AE697" s="30" t="n">
        <f aca="false">MAX(AE696,AD697)</f>
        <v>114900.75</v>
      </c>
      <c r="AF697" s="30" t="n">
        <f aca="false">AE697-AD697</f>
        <v>835.320000000007</v>
      </c>
      <c r="AG697" s="29" t="n">
        <f aca="false">IFERROR(AF697/AE697,0)</f>
        <v>0.00726992643651157</v>
      </c>
    </row>
    <row r="698" customFormat="false" ht="15" hidden="false" customHeight="false" outlineLevel="0" collapsed="false">
      <c r="A698" s="28" t="n">
        <v>697</v>
      </c>
      <c r="B698" s="43" t="n">
        <v>46024.7486111111</v>
      </c>
      <c r="C698" s="43" t="n">
        <v>46024.7605092593</v>
      </c>
      <c r="D698" s="42" t="n">
        <f aca="false">INT(C698)</f>
        <v>46024</v>
      </c>
      <c r="E698" s="42" t="n">
        <f aca="false">D698-WEEKDAY(D698,3)</f>
        <v>46020</v>
      </c>
      <c r="F698" s="28" t="s">
        <v>176</v>
      </c>
      <c r="G698" s="28" t="n">
        <v>2026</v>
      </c>
      <c r="H698" s="28" t="s">
        <v>242</v>
      </c>
      <c r="I698" s="28" t="n">
        <v>17</v>
      </c>
      <c r="J698" s="28" t="s">
        <v>236</v>
      </c>
      <c r="K698" s="28" t="s">
        <v>237</v>
      </c>
      <c r="L698" s="28" t="n">
        <v>0.2</v>
      </c>
      <c r="M698" s="31" t="n">
        <v>25198.08</v>
      </c>
      <c r="N698" s="31" t="n">
        <v>25267.59</v>
      </c>
      <c r="O698" s="31" t="n">
        <v>25065.52</v>
      </c>
      <c r="P698" s="44" t="n">
        <f aca="false">ABS(M698-N698)</f>
        <v>69.5099999999984</v>
      </c>
      <c r="Q698" s="44" t="n">
        <f aca="false">IF(O698="","",ABS(O698-M698))</f>
        <v>132.560000000001</v>
      </c>
      <c r="R698" s="30" t="n">
        <f aca="false">P698*L698*Summary!$C$6</f>
        <v>278.039999999994</v>
      </c>
      <c r="S698" s="31" t="n">
        <v>25198.93</v>
      </c>
      <c r="T698" s="28" t="s">
        <v>238</v>
      </c>
      <c r="U698" s="44" t="n">
        <f aca="false">IF(J698="BUY",S698-M698,M698-S698)</f>
        <v>-0.849999999998545</v>
      </c>
      <c r="V698" s="45" t="n">
        <v>0</v>
      </c>
      <c r="W698" s="45" t="n">
        <v>0</v>
      </c>
      <c r="X698" s="45" t="n">
        <v>-3.4</v>
      </c>
      <c r="Y698" s="32" t="n">
        <f aca="false">IFERROR(X698/R698,0)</f>
        <v>-0.0122284563372179</v>
      </c>
      <c r="Z698" s="28" t="str">
        <f aca="false">IF(X698&gt;0,"Win",IF(X698&lt;0,"Loss","Flat"))</f>
        <v>Loss</v>
      </c>
      <c r="AA698" s="28" t="n">
        <f aca="false">ROUND((C698-B698)*1440,1)</f>
        <v>17.1</v>
      </c>
      <c r="AB698" s="28" t="str">
        <f aca="false">IF(AA698&lt;1,"a) &lt;1 min",IF(AA698&lt;10,"b) 1-10 min",IF(AA698&lt;60,"c) 10-60 min",IF(AA698&lt;240,"d) 1-4 h","e) 4 h+"))))</f>
        <v>c) 10-60 min</v>
      </c>
      <c r="AC698" s="28" t="str">
        <f aca="false">IF(P698&lt;10,"a) &lt;10",IF(P698&lt;20,"b) 10-20",IF(P698&lt;40,"c) 20-40",IF(P698&lt;80,"d) 40-80","e) 80+"))))</f>
        <v>d) 40-80</v>
      </c>
      <c r="AD698" s="30" t="n">
        <f aca="false">Summary!$C$5+SUM(X$2:X698)</f>
        <v>114062.03</v>
      </c>
      <c r="AE698" s="30" t="n">
        <f aca="false">MAX(AE697,AD698)</f>
        <v>114900.75</v>
      </c>
      <c r="AF698" s="30" t="n">
        <f aca="false">AE698-AD698</f>
        <v>838.720000000001</v>
      </c>
      <c r="AG698" s="29" t="n">
        <f aca="false">IFERROR(AF698/AE698,0)</f>
        <v>0.00729951719201138</v>
      </c>
    </row>
    <row r="699" customFormat="false" ht="15" hidden="false" customHeight="false" outlineLevel="0" collapsed="false">
      <c r="A699" s="28" t="n">
        <v>698</v>
      </c>
      <c r="B699" s="43" t="n">
        <v>46028.7</v>
      </c>
      <c r="C699" s="43" t="n">
        <v>46028.7399421296</v>
      </c>
      <c r="D699" s="42" t="n">
        <f aca="false">INT(C699)</f>
        <v>46028</v>
      </c>
      <c r="E699" s="42" t="n">
        <f aca="false">D699-WEEKDAY(D699,3)</f>
        <v>46027</v>
      </c>
      <c r="F699" s="28" t="s">
        <v>176</v>
      </c>
      <c r="G699" s="28" t="n">
        <v>2026</v>
      </c>
      <c r="H699" s="28" t="s">
        <v>232</v>
      </c>
      <c r="I699" s="28" t="n">
        <v>16</v>
      </c>
      <c r="J699" s="28" t="s">
        <v>233</v>
      </c>
      <c r="K699" s="28" t="s">
        <v>234</v>
      </c>
      <c r="L699" s="28" t="n">
        <v>0.2</v>
      </c>
      <c r="M699" s="31" t="n">
        <v>25527.53</v>
      </c>
      <c r="N699" s="31" t="n">
        <v>25481.79</v>
      </c>
      <c r="O699" s="31" t="n">
        <v>25621.09</v>
      </c>
      <c r="P699" s="44" t="n">
        <f aca="false">ABS(M699-N699)</f>
        <v>45.739999999998</v>
      </c>
      <c r="Q699" s="44" t="n">
        <f aca="false">IF(O699="","",ABS(O699-M699))</f>
        <v>93.5600000000013</v>
      </c>
      <c r="R699" s="30" t="n">
        <f aca="false">P699*L699*Summary!$C$6</f>
        <v>182.959999999992</v>
      </c>
      <c r="S699" s="31" t="n">
        <v>25527.4</v>
      </c>
      <c r="T699" s="28" t="s">
        <v>238</v>
      </c>
      <c r="U699" s="44" t="n">
        <f aca="false">IF(J699="BUY",S699-M699,M699-S699)</f>
        <v>-0.129999999997381</v>
      </c>
      <c r="V699" s="45" t="n">
        <v>0</v>
      </c>
      <c r="W699" s="45" t="n">
        <v>0</v>
      </c>
      <c r="X699" s="45" t="n">
        <v>-0.52</v>
      </c>
      <c r="Y699" s="32" t="n">
        <f aca="false">IFERROR(X699/R699,0)</f>
        <v>-0.00284215128989956</v>
      </c>
      <c r="Z699" s="28" t="str">
        <f aca="false">IF(X699&gt;0,"Win",IF(X699&lt;0,"Loss","Flat"))</f>
        <v>Loss</v>
      </c>
      <c r="AA699" s="28" t="n">
        <f aca="false">ROUND((C699-B699)*1440,1)</f>
        <v>57.5</v>
      </c>
      <c r="AB699" s="28" t="str">
        <f aca="false">IF(AA699&lt;1,"a) &lt;1 min",IF(AA699&lt;10,"b) 1-10 min",IF(AA699&lt;60,"c) 10-60 min",IF(AA699&lt;240,"d) 1-4 h","e) 4 h+"))))</f>
        <v>c) 10-60 min</v>
      </c>
      <c r="AC699" s="28" t="str">
        <f aca="false">IF(P699&lt;10,"a) &lt;10",IF(P699&lt;20,"b) 10-20",IF(P699&lt;40,"c) 20-40",IF(P699&lt;80,"d) 40-80","e) 80+"))))</f>
        <v>d) 40-80</v>
      </c>
      <c r="AD699" s="30" t="n">
        <f aca="false">Summary!$C$5+SUM(X$2:X699)</f>
        <v>114061.51</v>
      </c>
      <c r="AE699" s="30" t="n">
        <f aca="false">MAX(AE698,AD699)</f>
        <v>114900.75</v>
      </c>
      <c r="AF699" s="30" t="n">
        <f aca="false">AE699-AD699</f>
        <v>839.240000000005</v>
      </c>
      <c r="AG699" s="29" t="n">
        <f aca="false">IFERROR(AF699/AE699,0)</f>
        <v>0.00730404283697021</v>
      </c>
    </row>
    <row r="700" customFormat="false" ht="15" hidden="false" customHeight="false" outlineLevel="0" collapsed="false">
      <c r="A700" s="28" t="n">
        <v>699</v>
      </c>
      <c r="B700" s="43" t="n">
        <v>46029.0430555556</v>
      </c>
      <c r="C700" s="43" t="n">
        <v>46029.0463310185</v>
      </c>
      <c r="D700" s="42" t="n">
        <f aca="false">INT(C700)</f>
        <v>46029</v>
      </c>
      <c r="E700" s="42" t="n">
        <f aca="false">D700-WEEKDAY(D700,3)</f>
        <v>46027</v>
      </c>
      <c r="F700" s="28" t="s">
        <v>176</v>
      </c>
      <c r="G700" s="28" t="n">
        <v>2026</v>
      </c>
      <c r="H700" s="28" t="s">
        <v>235</v>
      </c>
      <c r="I700" s="28" t="n">
        <v>1</v>
      </c>
      <c r="J700" s="28" t="s">
        <v>233</v>
      </c>
      <c r="K700" s="28" t="s">
        <v>234</v>
      </c>
      <c r="L700" s="28" t="n">
        <v>0.2</v>
      </c>
      <c r="M700" s="31" t="n">
        <v>25658.5</v>
      </c>
      <c r="N700" s="31" t="n">
        <v>25646.35</v>
      </c>
      <c r="O700" s="31" t="n">
        <v>25679.62</v>
      </c>
      <c r="P700" s="44" t="n">
        <f aca="false">ABS(M700-N700)</f>
        <v>12.1500000000015</v>
      </c>
      <c r="Q700" s="44" t="n">
        <f aca="false">IF(O700="","",ABS(O700-M700))</f>
        <v>21.119999999999</v>
      </c>
      <c r="R700" s="30" t="n">
        <f aca="false">P700*L700*Summary!$C$6</f>
        <v>48.6000000000058</v>
      </c>
      <c r="S700" s="31" t="n">
        <v>25645.62</v>
      </c>
      <c r="T700" s="28" t="s">
        <v>241</v>
      </c>
      <c r="U700" s="44" t="n">
        <f aca="false">IF(J700="BUY",S700-M700,M700-S700)</f>
        <v>-12.880000000001</v>
      </c>
      <c r="V700" s="45" t="n">
        <v>0</v>
      </c>
      <c r="W700" s="45" t="n">
        <v>0</v>
      </c>
      <c r="X700" s="45" t="n">
        <v>-51.52</v>
      </c>
      <c r="Y700" s="32" t="n">
        <f aca="false">IFERROR(X700/R700,0)</f>
        <v>-1.06008230452662</v>
      </c>
      <c r="Z700" s="28" t="str">
        <f aca="false">IF(X700&gt;0,"Win",IF(X700&lt;0,"Loss","Flat"))</f>
        <v>Loss</v>
      </c>
      <c r="AA700" s="28" t="n">
        <f aca="false">ROUND((C700-B700)*1440,1)</f>
        <v>4.7</v>
      </c>
      <c r="AB700" s="28" t="str">
        <f aca="false">IF(AA700&lt;1,"a) &lt;1 min",IF(AA700&lt;10,"b) 1-10 min",IF(AA700&lt;60,"c) 10-60 min",IF(AA700&lt;240,"d) 1-4 h","e) 4 h+"))))</f>
        <v>b) 1-10 min</v>
      </c>
      <c r="AC700" s="28" t="str">
        <f aca="false">IF(P700&lt;10,"a) &lt;10",IF(P700&lt;20,"b) 10-20",IF(P700&lt;40,"c) 20-40",IF(P700&lt;80,"d) 40-80","e) 80+"))))</f>
        <v>b) 10-20</v>
      </c>
      <c r="AD700" s="30" t="n">
        <f aca="false">Summary!$C$5+SUM(X$2:X700)</f>
        <v>114009.99</v>
      </c>
      <c r="AE700" s="30" t="n">
        <f aca="false">MAX(AE699,AD700)</f>
        <v>114900.75</v>
      </c>
      <c r="AF700" s="30" t="n">
        <f aca="false">AE700-AD700</f>
        <v>890.759999999995</v>
      </c>
      <c r="AG700" s="29" t="n">
        <f aca="false">IFERROR(AF700/AE700,0)</f>
        <v>0.00775242981442675</v>
      </c>
    </row>
    <row r="701" customFormat="false" ht="15" hidden="false" customHeight="false" outlineLevel="0" collapsed="false">
      <c r="A701" s="28" t="n">
        <v>700</v>
      </c>
      <c r="B701" s="43" t="n">
        <v>46030.3347222222</v>
      </c>
      <c r="C701" s="43" t="n">
        <v>46030.3372453704</v>
      </c>
      <c r="D701" s="42" t="n">
        <f aca="false">INT(C701)</f>
        <v>46030</v>
      </c>
      <c r="E701" s="42" t="n">
        <f aca="false">D701-WEEKDAY(D701,3)</f>
        <v>46027</v>
      </c>
      <c r="F701" s="28" t="s">
        <v>176</v>
      </c>
      <c r="G701" s="28" t="n">
        <v>2026</v>
      </c>
      <c r="H701" s="28" t="s">
        <v>239</v>
      </c>
      <c r="I701" s="28" t="n">
        <v>8</v>
      </c>
      <c r="J701" s="28" t="s">
        <v>236</v>
      </c>
      <c r="K701" s="28" t="s">
        <v>237</v>
      </c>
      <c r="L701" s="28" t="n">
        <v>0.2</v>
      </c>
      <c r="M701" s="31" t="n">
        <v>25544.55</v>
      </c>
      <c r="N701" s="31" t="n">
        <v>25555.82</v>
      </c>
      <c r="O701" s="31" t="n">
        <v>25522</v>
      </c>
      <c r="P701" s="44" t="n">
        <f aca="false">ABS(M701-N701)</f>
        <v>11.2700000000004</v>
      </c>
      <c r="Q701" s="44" t="n">
        <f aca="false">IF(O701="","",ABS(O701-M701))</f>
        <v>22.5499999999993</v>
      </c>
      <c r="R701" s="30" t="n">
        <f aca="false">P701*L701*Summary!$C$6</f>
        <v>45.0800000000017</v>
      </c>
      <c r="S701" s="31" t="n">
        <v>25519.59</v>
      </c>
      <c r="T701" s="28" t="s">
        <v>214</v>
      </c>
      <c r="U701" s="44" t="n">
        <f aca="false">IF(J701="BUY",S701-M701,M701-S701)</f>
        <v>24.9599999999991</v>
      </c>
      <c r="V701" s="45" t="n">
        <v>0</v>
      </c>
      <c r="W701" s="45" t="n">
        <v>0</v>
      </c>
      <c r="X701" s="45" t="n">
        <v>99.84</v>
      </c>
      <c r="Y701" s="32" t="n">
        <f aca="false">IFERROR(X701/R701,0)</f>
        <v>2.21472937000879</v>
      </c>
      <c r="Z701" s="28" t="str">
        <f aca="false">IF(X701&gt;0,"Win",IF(X701&lt;0,"Loss","Flat"))</f>
        <v>Win</v>
      </c>
      <c r="AA701" s="28" t="n">
        <f aca="false">ROUND((C701-B701)*1440,1)</f>
        <v>3.6</v>
      </c>
      <c r="AB701" s="28" t="str">
        <f aca="false">IF(AA701&lt;1,"a) &lt;1 min",IF(AA701&lt;10,"b) 1-10 min",IF(AA701&lt;60,"c) 10-60 min",IF(AA701&lt;240,"d) 1-4 h","e) 4 h+"))))</f>
        <v>b) 1-10 min</v>
      </c>
      <c r="AC701" s="28" t="str">
        <f aca="false">IF(P701&lt;10,"a) &lt;10",IF(P701&lt;20,"b) 10-20",IF(P701&lt;40,"c) 20-40",IF(P701&lt;80,"d) 40-80","e) 80+"))))</f>
        <v>b) 10-20</v>
      </c>
      <c r="AD701" s="30" t="n">
        <f aca="false">Summary!$C$5+SUM(X$2:X701)</f>
        <v>114109.83</v>
      </c>
      <c r="AE701" s="30" t="n">
        <f aca="false">MAX(AE700,AD701)</f>
        <v>114900.75</v>
      </c>
      <c r="AF701" s="30" t="n">
        <f aca="false">AE701-AD701</f>
        <v>790.919999999998</v>
      </c>
      <c r="AG701" s="29" t="n">
        <f aca="false">IFERROR(AF701/AE701,0)</f>
        <v>0.00688350598233692</v>
      </c>
    </row>
    <row r="702" customFormat="false" ht="15" hidden="false" customHeight="false" outlineLevel="0" collapsed="false">
      <c r="A702" s="28" t="n">
        <v>701</v>
      </c>
      <c r="B702" s="43" t="n">
        <v>46031.7284722222</v>
      </c>
      <c r="C702" s="43" t="n">
        <v>46031.7375347222</v>
      </c>
      <c r="D702" s="42" t="n">
        <f aca="false">INT(C702)</f>
        <v>46031</v>
      </c>
      <c r="E702" s="42" t="n">
        <f aca="false">D702-WEEKDAY(D702,3)</f>
        <v>46027</v>
      </c>
      <c r="F702" s="28" t="s">
        <v>176</v>
      </c>
      <c r="G702" s="28" t="n">
        <v>2026</v>
      </c>
      <c r="H702" s="28" t="s">
        <v>242</v>
      </c>
      <c r="I702" s="28" t="n">
        <v>17</v>
      </c>
      <c r="J702" s="28" t="s">
        <v>233</v>
      </c>
      <c r="K702" s="28" t="s">
        <v>234</v>
      </c>
      <c r="L702" s="28" t="n">
        <v>0.19</v>
      </c>
      <c r="M702" s="31" t="n">
        <v>25680.58</v>
      </c>
      <c r="N702" s="31" t="n">
        <v>25639.13</v>
      </c>
      <c r="O702" s="31" t="n">
        <v>25761.2</v>
      </c>
      <c r="P702" s="44" t="n">
        <f aca="false">ABS(M702-N702)</f>
        <v>41.4500000000007</v>
      </c>
      <c r="Q702" s="44" t="n">
        <f aca="false">IF(O702="","",ABS(O702-M702))</f>
        <v>80.619999999999</v>
      </c>
      <c r="R702" s="30" t="n">
        <f aca="false">P702*L702*Summary!$C$6</f>
        <v>157.510000000003</v>
      </c>
      <c r="S702" s="31" t="n">
        <v>25639.08</v>
      </c>
      <c r="T702" s="28" t="s">
        <v>241</v>
      </c>
      <c r="U702" s="44" t="n">
        <f aca="false">IF(J702="BUY",S702-M702,M702-S702)</f>
        <v>-41.5</v>
      </c>
      <c r="V702" s="45" t="n">
        <v>0</v>
      </c>
      <c r="W702" s="45" t="n">
        <v>0</v>
      </c>
      <c r="X702" s="45" t="n">
        <v>-157.7</v>
      </c>
      <c r="Y702" s="32" t="n">
        <f aca="false">IFERROR(X702/R702,0)</f>
        <v>-1.00120627261759</v>
      </c>
      <c r="Z702" s="28" t="str">
        <f aca="false">IF(X702&gt;0,"Win",IF(X702&lt;0,"Loss","Flat"))</f>
        <v>Loss</v>
      </c>
      <c r="AA702" s="28" t="n">
        <f aca="false">ROUND((C702-B702)*1440,1)</f>
        <v>13.1</v>
      </c>
      <c r="AB702" s="28" t="str">
        <f aca="false">IF(AA702&lt;1,"a) &lt;1 min",IF(AA702&lt;10,"b) 1-10 min",IF(AA702&lt;60,"c) 10-60 min",IF(AA702&lt;240,"d) 1-4 h","e) 4 h+"))))</f>
        <v>c) 10-60 min</v>
      </c>
      <c r="AC702" s="28" t="str">
        <f aca="false">IF(P702&lt;10,"a) &lt;10",IF(P702&lt;20,"b) 10-20",IF(P702&lt;40,"c) 20-40",IF(P702&lt;80,"d) 40-80","e) 80+"))))</f>
        <v>d) 40-80</v>
      </c>
      <c r="AD702" s="30" t="n">
        <f aca="false">Summary!$C$5+SUM(X$2:X702)</f>
        <v>113952.13</v>
      </c>
      <c r="AE702" s="30" t="n">
        <f aca="false">MAX(AE701,AD702)</f>
        <v>114900.75</v>
      </c>
      <c r="AF702" s="30" t="n">
        <f aca="false">AE702-AD702</f>
        <v>948.619999999995</v>
      </c>
      <c r="AG702" s="29" t="n">
        <f aca="false">IFERROR(AF702/AE702,0)</f>
        <v>0.00825599484772724</v>
      </c>
    </row>
    <row r="703" customFormat="false" ht="15" hidden="false" customHeight="false" outlineLevel="0" collapsed="false">
      <c r="A703" s="28" t="n">
        <v>702</v>
      </c>
      <c r="B703" s="43" t="n">
        <v>46034.8375</v>
      </c>
      <c r="C703" s="43" t="n">
        <v>46034.856724537</v>
      </c>
      <c r="D703" s="42" t="n">
        <f aca="false">INT(C703)</f>
        <v>46034</v>
      </c>
      <c r="E703" s="42" t="n">
        <f aca="false">D703-WEEKDAY(D703,3)</f>
        <v>46034</v>
      </c>
      <c r="F703" s="28" t="s">
        <v>176</v>
      </c>
      <c r="G703" s="28" t="n">
        <v>2026</v>
      </c>
      <c r="H703" s="28" t="s">
        <v>240</v>
      </c>
      <c r="I703" s="28" t="n">
        <v>20</v>
      </c>
      <c r="J703" s="28" t="s">
        <v>233</v>
      </c>
      <c r="K703" s="28" t="s">
        <v>234</v>
      </c>
      <c r="L703" s="28" t="n">
        <v>0.19</v>
      </c>
      <c r="M703" s="31" t="n">
        <v>25816.12</v>
      </c>
      <c r="N703" s="31" t="n">
        <v>25806.17</v>
      </c>
      <c r="O703" s="31" t="n">
        <v>25835.75</v>
      </c>
      <c r="P703" s="44" t="n">
        <f aca="false">ABS(M703-N703)</f>
        <v>9.95000000000073</v>
      </c>
      <c r="Q703" s="44" t="n">
        <f aca="false">IF(O703="","",ABS(O703-M703))</f>
        <v>19.630000000001</v>
      </c>
      <c r="R703" s="30" t="n">
        <f aca="false">P703*L703*Summary!$C$6</f>
        <v>37.8100000000028</v>
      </c>
      <c r="S703" s="31" t="n">
        <v>25815.65</v>
      </c>
      <c r="T703" s="28" t="s">
        <v>238</v>
      </c>
      <c r="U703" s="44" t="n">
        <f aca="false">IF(J703="BUY",S703-M703,M703-S703)</f>
        <v>-0.469999999997526</v>
      </c>
      <c r="V703" s="45" t="n">
        <v>0</v>
      </c>
      <c r="W703" s="45" t="n">
        <v>0</v>
      </c>
      <c r="X703" s="45" t="n">
        <v>-1.79</v>
      </c>
      <c r="Y703" s="32" t="n">
        <f aca="false">IFERROR(X703/R703,0)</f>
        <v>-0.0473419730230063</v>
      </c>
      <c r="Z703" s="28" t="str">
        <f aca="false">IF(X703&gt;0,"Win",IF(X703&lt;0,"Loss","Flat"))</f>
        <v>Loss</v>
      </c>
      <c r="AA703" s="28" t="n">
        <f aca="false">ROUND((C703-B703)*1440,1)</f>
        <v>27.7</v>
      </c>
      <c r="AB703" s="28" t="str">
        <f aca="false">IF(AA703&lt;1,"a) &lt;1 min",IF(AA703&lt;10,"b) 1-10 min",IF(AA703&lt;60,"c) 10-60 min",IF(AA703&lt;240,"d) 1-4 h","e) 4 h+"))))</f>
        <v>c) 10-60 min</v>
      </c>
      <c r="AC703" s="28" t="str">
        <f aca="false">IF(P703&lt;10,"a) &lt;10",IF(P703&lt;20,"b) 10-20",IF(P703&lt;40,"c) 20-40",IF(P703&lt;80,"d) 40-80","e) 80+"))))</f>
        <v>a) &lt;10</v>
      </c>
      <c r="AD703" s="30" t="n">
        <f aca="false">Summary!$C$5+SUM(X$2:X703)</f>
        <v>113950.34</v>
      </c>
      <c r="AE703" s="30" t="n">
        <f aca="false">MAX(AE702,AD703)</f>
        <v>114900.75</v>
      </c>
      <c r="AF703" s="30" t="n">
        <f aca="false">AE703-AD703</f>
        <v>950.410000000004</v>
      </c>
      <c r="AG703" s="29" t="n">
        <f aca="false">IFERROR(AF703/AE703,0)</f>
        <v>0.00827157351018164</v>
      </c>
    </row>
    <row r="704" customFormat="false" ht="15" hidden="false" customHeight="false" outlineLevel="0" collapsed="false">
      <c r="A704" s="28" t="n">
        <v>703</v>
      </c>
      <c r="B704" s="43" t="n">
        <v>46035.6472222222</v>
      </c>
      <c r="C704" s="43" t="n">
        <v>46035.651087963</v>
      </c>
      <c r="D704" s="42" t="n">
        <f aca="false">INT(C704)</f>
        <v>46035</v>
      </c>
      <c r="E704" s="42" t="n">
        <f aca="false">D704-WEEKDAY(D704,3)</f>
        <v>46034</v>
      </c>
      <c r="F704" s="28" t="s">
        <v>176</v>
      </c>
      <c r="G704" s="28" t="n">
        <v>2026</v>
      </c>
      <c r="H704" s="28" t="s">
        <v>232</v>
      </c>
      <c r="I704" s="28" t="n">
        <v>15</v>
      </c>
      <c r="J704" s="28" t="s">
        <v>233</v>
      </c>
      <c r="K704" s="28" t="s">
        <v>234</v>
      </c>
      <c r="L704" s="28" t="n">
        <v>0.19</v>
      </c>
      <c r="M704" s="31" t="n">
        <v>25871.18</v>
      </c>
      <c r="N704" s="31" t="n">
        <v>25829.99</v>
      </c>
      <c r="O704" s="31" t="n">
        <v>25953.56</v>
      </c>
      <c r="P704" s="44" t="n">
        <f aca="false">ABS(M704-N704)</f>
        <v>41.1899999999987</v>
      </c>
      <c r="Q704" s="44" t="n">
        <f aca="false">IF(O704="","",ABS(O704-M704))</f>
        <v>82.380000000001</v>
      </c>
      <c r="R704" s="30" t="n">
        <f aca="false">P704*L704*Summary!$C$6</f>
        <v>156.521999999995</v>
      </c>
      <c r="S704" s="31" t="n">
        <v>25828.01</v>
      </c>
      <c r="T704" s="28" t="s">
        <v>241</v>
      </c>
      <c r="U704" s="44" t="n">
        <f aca="false">IF(J704="BUY",S704-M704,M704-S704)</f>
        <v>-43.1700000000019</v>
      </c>
      <c r="V704" s="45" t="n">
        <v>0</v>
      </c>
      <c r="W704" s="45" t="n">
        <v>0</v>
      </c>
      <c r="X704" s="45" t="n">
        <v>-164.05</v>
      </c>
      <c r="Y704" s="32" t="n">
        <f aca="false">IFERROR(X704/R704,0)</f>
        <v>-1.04809547539646</v>
      </c>
      <c r="Z704" s="28" t="str">
        <f aca="false">IF(X704&gt;0,"Win",IF(X704&lt;0,"Loss","Flat"))</f>
        <v>Loss</v>
      </c>
      <c r="AA704" s="28" t="n">
        <f aca="false">ROUND((C704-B704)*1440,1)</f>
        <v>5.6</v>
      </c>
      <c r="AB704" s="28" t="str">
        <f aca="false">IF(AA704&lt;1,"a) &lt;1 min",IF(AA704&lt;10,"b) 1-10 min",IF(AA704&lt;60,"c) 10-60 min",IF(AA704&lt;240,"d) 1-4 h","e) 4 h+"))))</f>
        <v>b) 1-10 min</v>
      </c>
      <c r="AC704" s="28" t="str">
        <f aca="false">IF(P704&lt;10,"a) &lt;10",IF(P704&lt;20,"b) 10-20",IF(P704&lt;40,"c) 20-40",IF(P704&lt;80,"d) 40-80","e) 80+"))))</f>
        <v>d) 40-80</v>
      </c>
      <c r="AD704" s="30" t="n">
        <f aca="false">Summary!$C$5+SUM(X$2:X704)</f>
        <v>113786.29</v>
      </c>
      <c r="AE704" s="30" t="n">
        <f aca="false">MAX(AE703,AD704)</f>
        <v>114900.75</v>
      </c>
      <c r="AF704" s="30" t="n">
        <f aca="false">AE704-AD704</f>
        <v>1114.45999999999</v>
      </c>
      <c r="AG704" s="29" t="n">
        <f aca="false">IFERROR(AF704/AE704,0)</f>
        <v>0.00969932746304956</v>
      </c>
    </row>
    <row r="705" customFormat="false" ht="15" hidden="false" customHeight="false" outlineLevel="0" collapsed="false">
      <c r="A705" s="28" t="n">
        <v>704</v>
      </c>
      <c r="B705" s="43" t="n">
        <v>46036.5152777778</v>
      </c>
      <c r="C705" s="43" t="n">
        <v>46036.5236921296</v>
      </c>
      <c r="D705" s="42" t="n">
        <f aca="false">INT(C705)</f>
        <v>46036</v>
      </c>
      <c r="E705" s="42" t="n">
        <f aca="false">D705-WEEKDAY(D705,3)</f>
        <v>46034</v>
      </c>
      <c r="F705" s="28" t="s">
        <v>176</v>
      </c>
      <c r="G705" s="28" t="n">
        <v>2026</v>
      </c>
      <c r="H705" s="28" t="s">
        <v>235</v>
      </c>
      <c r="I705" s="28" t="n">
        <v>12</v>
      </c>
      <c r="J705" s="28" t="s">
        <v>236</v>
      </c>
      <c r="K705" s="28" t="s">
        <v>237</v>
      </c>
      <c r="L705" s="28" t="n">
        <v>0.19</v>
      </c>
      <c r="M705" s="31" t="n">
        <v>25626.95</v>
      </c>
      <c r="N705" s="31" t="n">
        <v>25647.91</v>
      </c>
      <c r="O705" s="31" t="n">
        <v>25588.75</v>
      </c>
      <c r="P705" s="44" t="n">
        <f aca="false">ABS(M705-N705)</f>
        <v>20.9599999999991</v>
      </c>
      <c r="Q705" s="44" t="n">
        <f aca="false">IF(O705="","",ABS(O705-M705))</f>
        <v>38.2000000000007</v>
      </c>
      <c r="R705" s="30" t="n">
        <f aca="false">P705*L705*Summary!$C$6</f>
        <v>79.6479999999967</v>
      </c>
      <c r="S705" s="31" t="n">
        <v>25588.71</v>
      </c>
      <c r="T705" s="28" t="s">
        <v>214</v>
      </c>
      <c r="U705" s="44" t="n">
        <f aca="false">IF(J705="BUY",S705-M705,M705-S705)</f>
        <v>38.2400000000016</v>
      </c>
      <c r="V705" s="45" t="n">
        <v>0</v>
      </c>
      <c r="W705" s="45" t="n">
        <v>0</v>
      </c>
      <c r="X705" s="45" t="n">
        <v>145.31</v>
      </c>
      <c r="Y705" s="32" t="n">
        <f aca="false">IFERROR(X705/R705,0)</f>
        <v>1.82440237042997</v>
      </c>
      <c r="Z705" s="28" t="str">
        <f aca="false">IF(X705&gt;0,"Win",IF(X705&lt;0,"Loss","Flat"))</f>
        <v>Win</v>
      </c>
      <c r="AA705" s="28" t="n">
        <f aca="false">ROUND((C705-B705)*1440,1)</f>
        <v>12.1</v>
      </c>
      <c r="AB705" s="28" t="str">
        <f aca="false">IF(AA705&lt;1,"a) &lt;1 min",IF(AA705&lt;10,"b) 1-10 min",IF(AA705&lt;60,"c) 10-60 min",IF(AA705&lt;240,"d) 1-4 h","e) 4 h+"))))</f>
        <v>c) 10-60 min</v>
      </c>
      <c r="AC705" s="28" t="str">
        <f aca="false">IF(P705&lt;10,"a) &lt;10",IF(P705&lt;20,"b) 10-20",IF(P705&lt;40,"c) 20-40",IF(P705&lt;80,"d) 40-80","e) 80+"))))</f>
        <v>c) 20-40</v>
      </c>
      <c r="AD705" s="30" t="n">
        <f aca="false">Summary!$C$5+SUM(X$2:X705)</f>
        <v>113931.6</v>
      </c>
      <c r="AE705" s="30" t="n">
        <f aca="false">MAX(AE704,AD705)</f>
        <v>114900.75</v>
      </c>
      <c r="AF705" s="30" t="n">
        <f aca="false">AE705-AD705</f>
        <v>969.149999999994</v>
      </c>
      <c r="AG705" s="29" t="n">
        <f aca="false">IFERROR(AF705/AE705,0)</f>
        <v>0.00843467079196606</v>
      </c>
    </row>
    <row r="706" customFormat="false" ht="15" hidden="false" customHeight="false" outlineLevel="0" collapsed="false">
      <c r="A706" s="28" t="n">
        <v>705</v>
      </c>
      <c r="B706" s="43" t="n">
        <v>46037.6826388889</v>
      </c>
      <c r="C706" s="43" t="n">
        <v>46037.6874884259</v>
      </c>
      <c r="D706" s="42" t="n">
        <f aca="false">INT(C706)</f>
        <v>46037</v>
      </c>
      <c r="E706" s="42" t="n">
        <f aca="false">D706-WEEKDAY(D706,3)</f>
        <v>46034</v>
      </c>
      <c r="F706" s="28" t="s">
        <v>176</v>
      </c>
      <c r="G706" s="28" t="n">
        <v>2026</v>
      </c>
      <c r="H706" s="28" t="s">
        <v>239</v>
      </c>
      <c r="I706" s="28" t="n">
        <v>16</v>
      </c>
      <c r="J706" s="28" t="s">
        <v>233</v>
      </c>
      <c r="K706" s="28" t="s">
        <v>234</v>
      </c>
      <c r="L706" s="28" t="n">
        <v>0.19</v>
      </c>
      <c r="M706" s="31" t="n">
        <v>25765.87</v>
      </c>
      <c r="N706" s="31" t="n">
        <v>25750.22</v>
      </c>
      <c r="O706" s="31" t="n">
        <v>25797.18</v>
      </c>
      <c r="P706" s="44" t="n">
        <f aca="false">ABS(M706-N706)</f>
        <v>15.6499999999978</v>
      </c>
      <c r="Q706" s="44" t="n">
        <f aca="false">IF(O706="","",ABS(O706-M706))</f>
        <v>31.3100000000013</v>
      </c>
      <c r="R706" s="30" t="n">
        <f aca="false">P706*L706*Summary!$C$6</f>
        <v>59.4699999999917</v>
      </c>
      <c r="S706" s="31" t="n">
        <v>25764.94</v>
      </c>
      <c r="T706" s="28" t="s">
        <v>238</v>
      </c>
      <c r="U706" s="44" t="n">
        <f aca="false">IF(J706="BUY",S706-M706,M706-S706)</f>
        <v>-0.930000000000291</v>
      </c>
      <c r="V706" s="45" t="n">
        <v>0</v>
      </c>
      <c r="W706" s="45" t="n">
        <v>0</v>
      </c>
      <c r="X706" s="45" t="n">
        <v>-3.53</v>
      </c>
      <c r="Y706" s="32" t="n">
        <f aca="false">IFERROR(X706/R706,0)</f>
        <v>-0.0593576593240372</v>
      </c>
      <c r="Z706" s="28" t="str">
        <f aca="false">IF(X706&gt;0,"Win",IF(X706&lt;0,"Loss","Flat"))</f>
        <v>Loss</v>
      </c>
      <c r="AA706" s="28" t="n">
        <f aca="false">ROUND((C706-B706)*1440,1)</f>
        <v>7</v>
      </c>
      <c r="AB706" s="28" t="str">
        <f aca="false">IF(AA706&lt;1,"a) &lt;1 min",IF(AA706&lt;10,"b) 1-10 min",IF(AA706&lt;60,"c) 10-60 min",IF(AA706&lt;240,"d) 1-4 h","e) 4 h+"))))</f>
        <v>b) 1-10 min</v>
      </c>
      <c r="AC706" s="28" t="str">
        <f aca="false">IF(P706&lt;10,"a) &lt;10",IF(P706&lt;20,"b) 10-20",IF(P706&lt;40,"c) 20-40",IF(P706&lt;80,"d) 40-80","e) 80+"))))</f>
        <v>b) 10-20</v>
      </c>
      <c r="AD706" s="30" t="n">
        <f aca="false">Summary!$C$5+SUM(X$2:X706)</f>
        <v>113928.07</v>
      </c>
      <c r="AE706" s="30" t="n">
        <f aca="false">MAX(AE705,AD706)</f>
        <v>114900.75</v>
      </c>
      <c r="AF706" s="30" t="n">
        <f aca="false">AE706-AD706</f>
        <v>972.679999999993</v>
      </c>
      <c r="AG706" s="29" t="n">
        <f aca="false">IFERROR(AF706/AE706,0)</f>
        <v>0.00846539295870561</v>
      </c>
    </row>
    <row r="707" customFormat="false" ht="15" hidden="false" customHeight="false" outlineLevel="0" collapsed="false">
      <c r="A707" s="28" t="n">
        <v>706</v>
      </c>
      <c r="B707" s="43" t="n">
        <v>46041.0423611111</v>
      </c>
      <c r="C707" s="43" t="n">
        <v>46041.4757291667</v>
      </c>
      <c r="D707" s="42" t="n">
        <f aca="false">INT(C707)</f>
        <v>46041</v>
      </c>
      <c r="E707" s="42" t="n">
        <f aca="false">D707-WEEKDAY(D707,3)</f>
        <v>46041</v>
      </c>
      <c r="F707" s="28" t="s">
        <v>176</v>
      </c>
      <c r="G707" s="28" t="n">
        <v>2026</v>
      </c>
      <c r="H707" s="28" t="s">
        <v>240</v>
      </c>
      <c r="I707" s="28" t="n">
        <v>1</v>
      </c>
      <c r="J707" s="28" t="s">
        <v>236</v>
      </c>
      <c r="K707" s="28" t="s">
        <v>237</v>
      </c>
      <c r="L707" s="28" t="n">
        <v>0.2</v>
      </c>
      <c r="M707" s="31" t="n">
        <v>25293.76</v>
      </c>
      <c r="N707" s="31" t="n">
        <v>25360.36</v>
      </c>
      <c r="O707" s="31" t="n">
        <v>25161.53</v>
      </c>
      <c r="P707" s="44" t="n">
        <f aca="false">ABS(M707-N707)</f>
        <v>66.6000000000022</v>
      </c>
      <c r="Q707" s="44" t="n">
        <f aca="false">IF(O707="","",ABS(O707-M707))</f>
        <v>132.23</v>
      </c>
      <c r="R707" s="30" t="n">
        <f aca="false">P707*L707*Summary!$C$6</f>
        <v>266.400000000009</v>
      </c>
      <c r="S707" s="31" t="n">
        <v>25161.48</v>
      </c>
      <c r="T707" s="28" t="s">
        <v>214</v>
      </c>
      <c r="U707" s="44" t="n">
        <f aca="false">IF(J707="BUY",S707-M707,M707-S707)</f>
        <v>132.279999999999</v>
      </c>
      <c r="V707" s="45" t="n">
        <v>0</v>
      </c>
      <c r="W707" s="45" t="n">
        <v>0</v>
      </c>
      <c r="X707" s="45" t="n">
        <v>529.12</v>
      </c>
      <c r="Y707" s="32" t="n">
        <f aca="false">IFERROR(X707/R707,0)</f>
        <v>1.98618618618612</v>
      </c>
      <c r="Z707" s="28" t="str">
        <f aca="false">IF(X707&gt;0,"Win",IF(X707&lt;0,"Loss","Flat"))</f>
        <v>Win</v>
      </c>
      <c r="AA707" s="28" t="n">
        <f aca="false">ROUND((C707-B707)*1440,1)</f>
        <v>624.1</v>
      </c>
      <c r="AB707" s="28" t="str">
        <f aca="false">IF(AA707&lt;1,"a) &lt;1 min",IF(AA707&lt;10,"b) 1-10 min",IF(AA707&lt;60,"c) 10-60 min",IF(AA707&lt;240,"d) 1-4 h","e) 4 h+"))))</f>
        <v>e) 4 h+</v>
      </c>
      <c r="AC707" s="28" t="str">
        <f aca="false">IF(P707&lt;10,"a) &lt;10",IF(P707&lt;20,"b) 10-20",IF(P707&lt;40,"c) 20-40",IF(P707&lt;80,"d) 40-80","e) 80+"))))</f>
        <v>d) 40-80</v>
      </c>
      <c r="AD707" s="30" t="n">
        <f aca="false">Summary!$C$5+SUM(X$2:X707)</f>
        <v>114457.19</v>
      </c>
      <c r="AE707" s="30" t="n">
        <f aca="false">MAX(AE706,AD707)</f>
        <v>114900.75</v>
      </c>
      <c r="AF707" s="30" t="n">
        <f aca="false">AE707-AD707</f>
        <v>443.559999999998</v>
      </c>
      <c r="AG707" s="29" t="n">
        <f aca="false">IFERROR(AF707/AE707,0)</f>
        <v>0.00386037514985757</v>
      </c>
    </row>
    <row r="708" customFormat="false" ht="15" hidden="false" customHeight="false" outlineLevel="0" collapsed="false">
      <c r="A708" s="28" t="n">
        <v>707</v>
      </c>
      <c r="B708" s="43" t="n">
        <v>46042.4215277778</v>
      </c>
      <c r="C708" s="43" t="n">
        <v>46042.4230671296</v>
      </c>
      <c r="D708" s="42" t="n">
        <f aca="false">INT(C708)</f>
        <v>46042</v>
      </c>
      <c r="E708" s="42" t="n">
        <f aca="false">D708-WEEKDAY(D708,3)</f>
        <v>46041</v>
      </c>
      <c r="F708" s="28" t="s">
        <v>176</v>
      </c>
      <c r="G708" s="28" t="n">
        <v>2026</v>
      </c>
      <c r="H708" s="28" t="s">
        <v>232</v>
      </c>
      <c r="I708" s="28" t="n">
        <v>10</v>
      </c>
      <c r="J708" s="28" t="s">
        <v>236</v>
      </c>
      <c r="K708" s="28" t="s">
        <v>237</v>
      </c>
      <c r="L708" s="28" t="n">
        <v>0.2</v>
      </c>
      <c r="M708" s="31" t="n">
        <v>25076.83</v>
      </c>
      <c r="N708" s="31" t="n">
        <v>25109.64</v>
      </c>
      <c r="O708" s="31" t="n">
        <v>25012.18</v>
      </c>
      <c r="P708" s="44" t="n">
        <f aca="false">ABS(M708-N708)</f>
        <v>32.8099999999977</v>
      </c>
      <c r="Q708" s="44" t="n">
        <f aca="false">IF(O708="","",ABS(O708-M708))</f>
        <v>64.6500000000015</v>
      </c>
      <c r="R708" s="30" t="n">
        <f aca="false">P708*L708*Summary!$C$6</f>
        <v>131.239999999991</v>
      </c>
      <c r="S708" s="31" t="n">
        <v>25110.22</v>
      </c>
      <c r="T708" s="28" t="s">
        <v>241</v>
      </c>
      <c r="U708" s="44" t="n">
        <f aca="false">IF(J708="BUY",S708-M708,M708-S708)</f>
        <v>-33.3899999999994</v>
      </c>
      <c r="V708" s="45" t="n">
        <v>0</v>
      </c>
      <c r="W708" s="45" t="n">
        <v>0</v>
      </c>
      <c r="X708" s="45" t="n">
        <v>-133.56</v>
      </c>
      <c r="Y708" s="32" t="n">
        <f aca="false">IFERROR(X708/R708,0)</f>
        <v>-1.01767753733625</v>
      </c>
      <c r="Z708" s="28" t="str">
        <f aca="false">IF(X708&gt;0,"Win",IF(X708&lt;0,"Loss","Flat"))</f>
        <v>Loss</v>
      </c>
      <c r="AA708" s="28" t="n">
        <f aca="false">ROUND((C708-B708)*1440,1)</f>
        <v>2.2</v>
      </c>
      <c r="AB708" s="28" t="str">
        <f aca="false">IF(AA708&lt;1,"a) &lt;1 min",IF(AA708&lt;10,"b) 1-10 min",IF(AA708&lt;60,"c) 10-60 min",IF(AA708&lt;240,"d) 1-4 h","e) 4 h+"))))</f>
        <v>b) 1-10 min</v>
      </c>
      <c r="AC708" s="28" t="str">
        <f aca="false">IF(P708&lt;10,"a) &lt;10",IF(P708&lt;20,"b) 10-20",IF(P708&lt;40,"c) 20-40",IF(P708&lt;80,"d) 40-80","e) 80+"))))</f>
        <v>c) 20-40</v>
      </c>
      <c r="AD708" s="30" t="n">
        <f aca="false">Summary!$C$5+SUM(X$2:X708)</f>
        <v>114323.63</v>
      </c>
      <c r="AE708" s="30" t="n">
        <f aca="false">MAX(AE707,AD708)</f>
        <v>114900.75</v>
      </c>
      <c r="AF708" s="30" t="n">
        <f aca="false">AE708-AD708</f>
        <v>577.119999999995</v>
      </c>
      <c r="AG708" s="29" t="n">
        <f aca="false">IFERROR(AF708/AE708,0)</f>
        <v>0.00502276965119893</v>
      </c>
    </row>
    <row r="709" customFormat="false" ht="15" hidden="false" customHeight="false" outlineLevel="0" collapsed="false">
      <c r="A709" s="28" t="n">
        <v>708</v>
      </c>
      <c r="B709" s="43" t="n">
        <v>46043.5777777778</v>
      </c>
      <c r="C709" s="43" t="n">
        <v>46043.5822337963</v>
      </c>
      <c r="D709" s="42" t="n">
        <f aca="false">INT(C709)</f>
        <v>46043</v>
      </c>
      <c r="E709" s="42" t="n">
        <f aca="false">D709-WEEKDAY(D709,3)</f>
        <v>46041</v>
      </c>
      <c r="F709" s="28" t="s">
        <v>176</v>
      </c>
      <c r="G709" s="28" t="n">
        <v>2026</v>
      </c>
      <c r="H709" s="28" t="s">
        <v>235</v>
      </c>
      <c r="I709" s="28" t="n">
        <v>13</v>
      </c>
      <c r="J709" s="28" t="s">
        <v>236</v>
      </c>
      <c r="K709" s="28" t="s">
        <v>237</v>
      </c>
      <c r="L709" s="28" t="n">
        <v>0.2</v>
      </c>
      <c r="M709" s="31" t="n">
        <v>24942.75</v>
      </c>
      <c r="N709" s="31" t="n">
        <v>24964.69</v>
      </c>
      <c r="O709" s="31" t="n">
        <v>24898.88</v>
      </c>
      <c r="P709" s="44" t="n">
        <f aca="false">ABS(M709-N709)</f>
        <v>21.9399999999987</v>
      </c>
      <c r="Q709" s="44" t="n">
        <f aca="false">IF(O709="","",ABS(O709-M709))</f>
        <v>43.869999999999</v>
      </c>
      <c r="R709" s="30" t="n">
        <f aca="false">P709*L709*Summary!$C$6</f>
        <v>87.7599999999948</v>
      </c>
      <c r="S709" s="31" t="n">
        <v>24898.38</v>
      </c>
      <c r="T709" s="28" t="s">
        <v>214</v>
      </c>
      <c r="U709" s="44" t="n">
        <f aca="false">IF(J709="BUY",S709-M709,M709-S709)</f>
        <v>44.369999999999</v>
      </c>
      <c r="V709" s="45" t="n">
        <v>0</v>
      </c>
      <c r="W709" s="45" t="n">
        <v>0</v>
      </c>
      <c r="X709" s="45" t="n">
        <v>177.48</v>
      </c>
      <c r="Y709" s="32" t="n">
        <f aca="false">IFERROR(X709/R709,0)</f>
        <v>2.02233363719246</v>
      </c>
      <c r="Z709" s="28" t="str">
        <f aca="false">IF(X709&gt;0,"Win",IF(X709&lt;0,"Loss","Flat"))</f>
        <v>Win</v>
      </c>
      <c r="AA709" s="28" t="n">
        <f aca="false">ROUND((C709-B709)*1440,1)</f>
        <v>6.4</v>
      </c>
      <c r="AB709" s="28" t="str">
        <f aca="false">IF(AA709&lt;1,"a) &lt;1 min",IF(AA709&lt;10,"b) 1-10 min",IF(AA709&lt;60,"c) 10-60 min",IF(AA709&lt;240,"d) 1-4 h","e) 4 h+"))))</f>
        <v>b) 1-10 min</v>
      </c>
      <c r="AC709" s="28" t="str">
        <f aca="false">IF(P709&lt;10,"a) &lt;10",IF(P709&lt;20,"b) 10-20",IF(P709&lt;40,"c) 20-40",IF(P709&lt;80,"d) 40-80","e) 80+"))))</f>
        <v>c) 20-40</v>
      </c>
      <c r="AD709" s="30" t="n">
        <f aca="false">Summary!$C$5+SUM(X$2:X709)</f>
        <v>114501.11</v>
      </c>
      <c r="AE709" s="30" t="n">
        <f aca="false">MAX(AE708,AD709)</f>
        <v>114900.75</v>
      </c>
      <c r="AF709" s="30" t="n">
        <f aca="false">AE709-AD709</f>
        <v>399.639999999999</v>
      </c>
      <c r="AG709" s="29" t="n">
        <f aca="false">IFERROR(AF709/AE709,0)</f>
        <v>0.00347813221410652</v>
      </c>
    </row>
    <row r="710" customFormat="false" ht="15" hidden="false" customHeight="false" outlineLevel="0" collapsed="false">
      <c r="A710" s="28" t="n">
        <v>709</v>
      </c>
      <c r="B710" s="43" t="n">
        <v>46043.7333333333</v>
      </c>
      <c r="C710" s="43" t="n">
        <v>46043.7715277778</v>
      </c>
      <c r="D710" s="42" t="n">
        <f aca="false">INT(C710)</f>
        <v>46043</v>
      </c>
      <c r="E710" s="42" t="n">
        <f aca="false">D710-WEEKDAY(D710,3)</f>
        <v>46041</v>
      </c>
      <c r="F710" s="28" t="s">
        <v>176</v>
      </c>
      <c r="G710" s="28" t="n">
        <v>2026</v>
      </c>
      <c r="H710" s="28" t="s">
        <v>235</v>
      </c>
      <c r="I710" s="28" t="n">
        <v>17</v>
      </c>
      <c r="J710" s="28" t="s">
        <v>233</v>
      </c>
      <c r="K710" s="28" t="s">
        <v>234</v>
      </c>
      <c r="L710" s="28" t="n">
        <v>0.2</v>
      </c>
      <c r="M710" s="31" t="n">
        <v>25294.9</v>
      </c>
      <c r="N710" s="31" t="n">
        <v>25256.99</v>
      </c>
      <c r="O710" s="31" t="n">
        <v>25370.13</v>
      </c>
      <c r="P710" s="44" t="n">
        <f aca="false">ABS(M710-N710)</f>
        <v>37.9099999999999</v>
      </c>
      <c r="Q710" s="44" t="n">
        <f aca="false">IF(O710="","",ABS(O710-M710))</f>
        <v>75.2299999999996</v>
      </c>
      <c r="R710" s="30" t="n">
        <f aca="false">P710*L710*Summary!$C$6</f>
        <v>151.639999999999</v>
      </c>
      <c r="S710" s="31" t="n">
        <v>25294.54</v>
      </c>
      <c r="T710" s="28" t="s">
        <v>238</v>
      </c>
      <c r="U710" s="44" t="n">
        <f aca="false">IF(J710="BUY",S710-M710,M710-S710)</f>
        <v>-0.360000000000582</v>
      </c>
      <c r="V710" s="45" t="n">
        <v>0</v>
      </c>
      <c r="W710" s="45" t="n">
        <v>0</v>
      </c>
      <c r="X710" s="45" t="n">
        <v>-1.44</v>
      </c>
      <c r="Y710" s="32" t="n">
        <f aca="false">IFERROR(X710/R710,0)</f>
        <v>-0.00949617515167506</v>
      </c>
      <c r="Z710" s="28" t="str">
        <f aca="false">IF(X710&gt;0,"Win",IF(X710&lt;0,"Loss","Flat"))</f>
        <v>Loss</v>
      </c>
      <c r="AA710" s="28" t="n">
        <f aca="false">ROUND((C710-B710)*1440,1)</f>
        <v>55</v>
      </c>
      <c r="AB710" s="28" t="str">
        <f aca="false">IF(AA710&lt;1,"a) &lt;1 min",IF(AA710&lt;10,"b) 1-10 min",IF(AA710&lt;60,"c) 10-60 min",IF(AA710&lt;240,"d) 1-4 h","e) 4 h+"))))</f>
        <v>c) 10-60 min</v>
      </c>
      <c r="AC710" s="28" t="str">
        <f aca="false">IF(P710&lt;10,"a) &lt;10",IF(P710&lt;20,"b) 10-20",IF(P710&lt;40,"c) 20-40",IF(P710&lt;80,"d) 40-80","e) 80+"))))</f>
        <v>c) 20-40</v>
      </c>
      <c r="AD710" s="30" t="n">
        <f aca="false">Summary!$C$5+SUM(X$2:X710)</f>
        <v>114499.67</v>
      </c>
      <c r="AE710" s="30" t="n">
        <f aca="false">MAX(AE709,AD710)</f>
        <v>114900.75</v>
      </c>
      <c r="AF710" s="30" t="n">
        <f aca="false">AE710-AD710</f>
        <v>401.080000000002</v>
      </c>
      <c r="AG710" s="29" t="n">
        <f aca="false">IFERROR(AF710/AE710,0)</f>
        <v>0.00349066476937706</v>
      </c>
    </row>
    <row r="711" customFormat="false" ht="15" hidden="false" customHeight="false" outlineLevel="0" collapsed="false">
      <c r="A711" s="28" t="n">
        <v>710</v>
      </c>
      <c r="B711" s="43" t="n">
        <v>46044.4361111111</v>
      </c>
      <c r="C711" s="43" t="n">
        <v>46044.4379398148</v>
      </c>
      <c r="D711" s="42" t="n">
        <f aca="false">INT(C711)</f>
        <v>46044</v>
      </c>
      <c r="E711" s="42" t="n">
        <f aca="false">D711-WEEKDAY(D711,3)</f>
        <v>46041</v>
      </c>
      <c r="F711" s="28" t="s">
        <v>176</v>
      </c>
      <c r="G711" s="28" t="n">
        <v>2026</v>
      </c>
      <c r="H711" s="28" t="s">
        <v>239</v>
      </c>
      <c r="I711" s="28" t="n">
        <v>10</v>
      </c>
      <c r="J711" s="28" t="s">
        <v>233</v>
      </c>
      <c r="K711" s="28" t="s">
        <v>234</v>
      </c>
      <c r="L711" s="28" t="n">
        <v>0.2</v>
      </c>
      <c r="M711" s="31" t="n">
        <v>25523.4</v>
      </c>
      <c r="N711" s="31" t="n">
        <v>25501.99</v>
      </c>
      <c r="O711" s="31" t="n">
        <v>25566.22</v>
      </c>
      <c r="P711" s="44" t="n">
        <f aca="false">ABS(M711-N711)</f>
        <v>21.4099999999999</v>
      </c>
      <c r="Q711" s="44" t="n">
        <f aca="false">IF(O711="","",ABS(O711-M711))</f>
        <v>42.8199999999997</v>
      </c>
      <c r="R711" s="30" t="n">
        <f aca="false">P711*L711*Summary!$C$6</f>
        <v>85.6399999999994</v>
      </c>
      <c r="S711" s="31" t="n">
        <v>25501.85</v>
      </c>
      <c r="T711" s="28" t="s">
        <v>241</v>
      </c>
      <c r="U711" s="44" t="n">
        <f aca="false">IF(J711="BUY",S711-M711,M711-S711)</f>
        <v>-21.5500000000029</v>
      </c>
      <c r="V711" s="45" t="n">
        <v>0</v>
      </c>
      <c r="W711" s="45" t="n">
        <v>0</v>
      </c>
      <c r="X711" s="45" t="n">
        <v>-86.2</v>
      </c>
      <c r="Y711" s="32" t="n">
        <f aca="false">IFERROR(X711/R711,0)</f>
        <v>-1.00653900046708</v>
      </c>
      <c r="Z711" s="28" t="str">
        <f aca="false">IF(X711&gt;0,"Win",IF(X711&lt;0,"Loss","Flat"))</f>
        <v>Loss</v>
      </c>
      <c r="AA711" s="28" t="n">
        <f aca="false">ROUND((C711-B711)*1440,1)</f>
        <v>2.6</v>
      </c>
      <c r="AB711" s="28" t="str">
        <f aca="false">IF(AA711&lt;1,"a) &lt;1 min",IF(AA711&lt;10,"b) 1-10 min",IF(AA711&lt;60,"c) 10-60 min",IF(AA711&lt;240,"d) 1-4 h","e) 4 h+"))))</f>
        <v>b) 1-10 min</v>
      </c>
      <c r="AC711" s="28" t="str">
        <f aca="false">IF(P711&lt;10,"a) &lt;10",IF(P711&lt;20,"b) 10-20",IF(P711&lt;40,"c) 20-40",IF(P711&lt;80,"d) 40-80","e) 80+"))))</f>
        <v>c) 20-40</v>
      </c>
      <c r="AD711" s="30" t="n">
        <f aca="false">Summary!$C$5+SUM(X$2:X711)</f>
        <v>114413.47</v>
      </c>
      <c r="AE711" s="30" t="n">
        <f aca="false">MAX(AE710,AD711)</f>
        <v>114900.75</v>
      </c>
      <c r="AF711" s="30" t="n">
        <f aca="false">AE711-AD711</f>
        <v>487.279999999999</v>
      </c>
      <c r="AG711" s="29" t="n">
        <f aca="false">IFERROR(AF711/AE711,0)</f>
        <v>0.00424087745293219</v>
      </c>
    </row>
    <row r="712" customFormat="false" ht="15" hidden="false" customHeight="false" outlineLevel="0" collapsed="false">
      <c r="A712" s="28" t="n">
        <v>711</v>
      </c>
      <c r="B712" s="43" t="n">
        <v>46045.7243055556</v>
      </c>
      <c r="C712" s="43" t="n">
        <v>46045.7510532407</v>
      </c>
      <c r="D712" s="42" t="n">
        <f aca="false">INT(C712)</f>
        <v>46045</v>
      </c>
      <c r="E712" s="42" t="n">
        <f aca="false">D712-WEEKDAY(D712,3)</f>
        <v>46041</v>
      </c>
      <c r="F712" s="28" t="s">
        <v>176</v>
      </c>
      <c r="G712" s="28" t="n">
        <v>2026</v>
      </c>
      <c r="H712" s="28" t="s">
        <v>242</v>
      </c>
      <c r="I712" s="28" t="n">
        <v>17</v>
      </c>
      <c r="J712" s="28" t="s">
        <v>233</v>
      </c>
      <c r="K712" s="28" t="s">
        <v>234</v>
      </c>
      <c r="L712" s="28" t="n">
        <v>0.2</v>
      </c>
      <c r="M712" s="31" t="n">
        <v>25617.42</v>
      </c>
      <c r="N712" s="31" t="n">
        <v>25575.89</v>
      </c>
      <c r="O712" s="31" t="n">
        <v>25701.71</v>
      </c>
      <c r="P712" s="44" t="n">
        <f aca="false">ABS(M712-N712)</f>
        <v>41.5299999999988</v>
      </c>
      <c r="Q712" s="44" t="n">
        <f aca="false">IF(O712="","",ABS(O712-M712))</f>
        <v>84.2900000000009</v>
      </c>
      <c r="R712" s="30" t="n">
        <f aca="false">P712*L712*Summary!$C$6</f>
        <v>166.119999999995</v>
      </c>
      <c r="S712" s="31" t="n">
        <v>25701.72</v>
      </c>
      <c r="T712" s="28" t="s">
        <v>214</v>
      </c>
      <c r="U712" s="44" t="n">
        <f aca="false">IF(J712="BUY",S712-M712,M712-S712)</f>
        <v>84.3000000000029</v>
      </c>
      <c r="V712" s="45" t="n">
        <v>0</v>
      </c>
      <c r="W712" s="45" t="n">
        <v>0</v>
      </c>
      <c r="X712" s="45" t="n">
        <v>337.2</v>
      </c>
      <c r="Y712" s="32" t="n">
        <f aca="false">IFERROR(X712/R712,0)</f>
        <v>2.02985793402365</v>
      </c>
      <c r="Z712" s="28" t="str">
        <f aca="false">IF(X712&gt;0,"Win",IF(X712&lt;0,"Loss","Flat"))</f>
        <v>Win</v>
      </c>
      <c r="AA712" s="28" t="n">
        <f aca="false">ROUND((C712-B712)*1440,1)</f>
        <v>38.5</v>
      </c>
      <c r="AB712" s="28" t="str">
        <f aca="false">IF(AA712&lt;1,"a) &lt;1 min",IF(AA712&lt;10,"b) 1-10 min",IF(AA712&lt;60,"c) 10-60 min",IF(AA712&lt;240,"d) 1-4 h","e) 4 h+"))))</f>
        <v>c) 10-60 min</v>
      </c>
      <c r="AC712" s="28" t="str">
        <f aca="false">IF(P712&lt;10,"a) &lt;10",IF(P712&lt;20,"b) 10-20",IF(P712&lt;40,"c) 20-40",IF(P712&lt;80,"d) 40-80","e) 80+"))))</f>
        <v>d) 40-80</v>
      </c>
      <c r="AD712" s="30" t="n">
        <f aca="false">Summary!$C$5+SUM(X$2:X712)</f>
        <v>114750.67</v>
      </c>
      <c r="AE712" s="30" t="n">
        <f aca="false">MAX(AE711,AD712)</f>
        <v>114900.75</v>
      </c>
      <c r="AF712" s="30" t="n">
        <f aca="false">AE712-AD712</f>
        <v>150.080000000002</v>
      </c>
      <c r="AG712" s="29" t="n">
        <f aca="false">IFERROR(AF712/AE712,0)</f>
        <v>0.00130617076041716</v>
      </c>
    </row>
    <row r="713" customFormat="false" ht="15" hidden="false" customHeight="false" outlineLevel="0" collapsed="false">
      <c r="A713" s="28" t="n">
        <v>712</v>
      </c>
      <c r="B713" s="43" t="n">
        <v>46048.0423611111</v>
      </c>
      <c r="C713" s="43" t="n">
        <v>46048.0633217593</v>
      </c>
      <c r="D713" s="42" t="n">
        <f aca="false">INT(C713)</f>
        <v>46048</v>
      </c>
      <c r="E713" s="42" t="n">
        <f aca="false">D713-WEEKDAY(D713,3)</f>
        <v>46048</v>
      </c>
      <c r="F713" s="28" t="s">
        <v>176</v>
      </c>
      <c r="G713" s="28" t="n">
        <v>2026</v>
      </c>
      <c r="H713" s="28" t="s">
        <v>240</v>
      </c>
      <c r="I713" s="28" t="n">
        <v>1</v>
      </c>
      <c r="J713" s="28" t="s">
        <v>236</v>
      </c>
      <c r="K713" s="28" t="s">
        <v>237</v>
      </c>
      <c r="L713" s="28" t="n">
        <v>0.2</v>
      </c>
      <c r="M713" s="31" t="n">
        <v>25347.26</v>
      </c>
      <c r="N713" s="31" t="n">
        <v>25413.21</v>
      </c>
      <c r="O713" s="31" t="n">
        <v>25199.77</v>
      </c>
      <c r="P713" s="44" t="n">
        <f aca="false">ABS(M713-N713)</f>
        <v>65.9500000000007</v>
      </c>
      <c r="Q713" s="44" t="n">
        <f aca="false">IF(O713="","",ABS(O713-M713))</f>
        <v>147.489999999998</v>
      </c>
      <c r="R713" s="30" t="n">
        <f aca="false">P713*L713*Summary!$C$6</f>
        <v>263.800000000003</v>
      </c>
      <c r="S713" s="31" t="n">
        <v>25413.78</v>
      </c>
      <c r="T713" s="28" t="s">
        <v>241</v>
      </c>
      <c r="U713" s="44" t="n">
        <f aca="false">IF(J713="BUY",S713-M713,M713-S713)</f>
        <v>-66.5200000000004</v>
      </c>
      <c r="V713" s="45" t="n">
        <v>0</v>
      </c>
      <c r="W713" s="45" t="n">
        <v>0</v>
      </c>
      <c r="X713" s="45" t="n">
        <v>-266.08</v>
      </c>
      <c r="Y713" s="32" t="n">
        <f aca="false">IFERROR(X713/R713,0)</f>
        <v>-1.00864291129643</v>
      </c>
      <c r="Z713" s="28" t="str">
        <f aca="false">IF(X713&gt;0,"Win",IF(X713&lt;0,"Loss","Flat"))</f>
        <v>Loss</v>
      </c>
      <c r="AA713" s="28" t="n">
        <f aca="false">ROUND((C713-B713)*1440,1)</f>
        <v>30.2</v>
      </c>
      <c r="AB713" s="28" t="str">
        <f aca="false">IF(AA713&lt;1,"a) &lt;1 min",IF(AA713&lt;10,"b) 1-10 min",IF(AA713&lt;60,"c) 10-60 min",IF(AA713&lt;240,"d) 1-4 h","e) 4 h+"))))</f>
        <v>c) 10-60 min</v>
      </c>
      <c r="AC713" s="28" t="str">
        <f aca="false">IF(P713&lt;10,"a) &lt;10",IF(P713&lt;20,"b) 10-20",IF(P713&lt;40,"c) 20-40",IF(P713&lt;80,"d) 40-80","e) 80+"))))</f>
        <v>d) 40-80</v>
      </c>
      <c r="AD713" s="30" t="n">
        <f aca="false">Summary!$C$5+SUM(X$2:X713)</f>
        <v>114484.59</v>
      </c>
      <c r="AE713" s="30" t="n">
        <f aca="false">MAX(AE712,AD713)</f>
        <v>114900.75</v>
      </c>
      <c r="AF713" s="30" t="n">
        <f aca="false">AE713-AD713</f>
        <v>416.160000000004</v>
      </c>
      <c r="AG713" s="29" t="n">
        <f aca="false">IFERROR(AF713/AE713,0)</f>
        <v>0.00362190847318232</v>
      </c>
    </row>
    <row r="714" customFormat="false" ht="15" hidden="false" customHeight="false" outlineLevel="0" collapsed="false">
      <c r="A714" s="28" t="n">
        <v>713</v>
      </c>
      <c r="B714" s="43" t="n">
        <v>46048.7069444444</v>
      </c>
      <c r="C714" s="43" t="n">
        <v>46048.7155439815</v>
      </c>
      <c r="D714" s="42" t="n">
        <f aca="false">INT(C714)</f>
        <v>46048</v>
      </c>
      <c r="E714" s="42" t="n">
        <f aca="false">D714-WEEKDAY(D714,3)</f>
        <v>46048</v>
      </c>
      <c r="F714" s="28" t="s">
        <v>176</v>
      </c>
      <c r="G714" s="28" t="n">
        <v>2026</v>
      </c>
      <c r="H714" s="28" t="s">
        <v>240</v>
      </c>
      <c r="I714" s="28" t="n">
        <v>16</v>
      </c>
      <c r="J714" s="28" t="s">
        <v>233</v>
      </c>
      <c r="K714" s="28" t="s">
        <v>234</v>
      </c>
      <c r="L714" s="28" t="n">
        <v>0.2</v>
      </c>
      <c r="M714" s="31" t="n">
        <v>25719.16</v>
      </c>
      <c r="N714" s="31" t="n">
        <v>25686.33</v>
      </c>
      <c r="O714" s="31" t="n">
        <v>25784.83</v>
      </c>
      <c r="P714" s="44" t="n">
        <f aca="false">ABS(M714-N714)</f>
        <v>32.8299999999981</v>
      </c>
      <c r="Q714" s="44" t="n">
        <f aca="false">IF(O714="","",ABS(O714-M714))</f>
        <v>65.6700000000019</v>
      </c>
      <c r="R714" s="30" t="n">
        <f aca="false">P714*L714*Summary!$C$6</f>
        <v>131.319999999992</v>
      </c>
      <c r="S714" s="31" t="n">
        <v>25685.96</v>
      </c>
      <c r="T714" s="28" t="s">
        <v>241</v>
      </c>
      <c r="U714" s="44" t="n">
        <f aca="false">IF(J714="BUY",S714-M714,M714-S714)</f>
        <v>-33.2000000000007</v>
      </c>
      <c r="V714" s="45" t="n">
        <v>0</v>
      </c>
      <c r="W714" s="45" t="n">
        <v>0</v>
      </c>
      <c r="X714" s="45" t="n">
        <v>-132.8</v>
      </c>
      <c r="Y714" s="32" t="n">
        <f aca="false">IFERROR(X714/R714,0)</f>
        <v>-1.01127017971374</v>
      </c>
      <c r="Z714" s="28" t="str">
        <f aca="false">IF(X714&gt;0,"Win",IF(X714&lt;0,"Loss","Flat"))</f>
        <v>Loss</v>
      </c>
      <c r="AA714" s="28" t="n">
        <f aca="false">ROUND((C714-B714)*1440,1)</f>
        <v>12.4</v>
      </c>
      <c r="AB714" s="28" t="str">
        <f aca="false">IF(AA714&lt;1,"a) &lt;1 min",IF(AA714&lt;10,"b) 1-10 min",IF(AA714&lt;60,"c) 10-60 min",IF(AA714&lt;240,"d) 1-4 h","e) 4 h+"))))</f>
        <v>c) 10-60 min</v>
      </c>
      <c r="AC714" s="28" t="str">
        <f aca="false">IF(P714&lt;10,"a) &lt;10",IF(P714&lt;20,"b) 10-20",IF(P714&lt;40,"c) 20-40",IF(P714&lt;80,"d) 40-80","e) 80+"))))</f>
        <v>c) 20-40</v>
      </c>
      <c r="AD714" s="30" t="n">
        <f aca="false">Summary!$C$5+SUM(X$2:X714)</f>
        <v>114351.79</v>
      </c>
      <c r="AE714" s="30" t="n">
        <f aca="false">MAX(AE713,AD714)</f>
        <v>114900.75</v>
      </c>
      <c r="AF714" s="30" t="n">
        <f aca="false">AE714-AD714</f>
        <v>548.959999999992</v>
      </c>
      <c r="AG714" s="29" t="n">
        <f aca="false">IFERROR(AF714/AE714,0)</f>
        <v>0.00477768857035304</v>
      </c>
    </row>
    <row r="715" customFormat="false" ht="15" hidden="false" customHeight="false" outlineLevel="0" collapsed="false">
      <c r="A715" s="28" t="n">
        <v>714</v>
      </c>
      <c r="B715" s="43" t="n">
        <v>46049.1673611111</v>
      </c>
      <c r="C715" s="43" t="n">
        <v>46049.17125</v>
      </c>
      <c r="D715" s="42" t="n">
        <f aca="false">INT(C715)</f>
        <v>46049</v>
      </c>
      <c r="E715" s="42" t="n">
        <f aca="false">D715-WEEKDAY(D715,3)</f>
        <v>46048</v>
      </c>
      <c r="F715" s="28" t="s">
        <v>176</v>
      </c>
      <c r="G715" s="28" t="n">
        <v>2026</v>
      </c>
      <c r="H715" s="28" t="s">
        <v>232</v>
      </c>
      <c r="I715" s="28" t="n">
        <v>4</v>
      </c>
      <c r="J715" s="28" t="s">
        <v>233</v>
      </c>
      <c r="K715" s="28" t="s">
        <v>234</v>
      </c>
      <c r="L715" s="28" t="n">
        <v>0.19</v>
      </c>
      <c r="M715" s="31" t="n">
        <v>25798.82</v>
      </c>
      <c r="N715" s="31" t="n">
        <v>25792.04</v>
      </c>
      <c r="O715" s="31" t="n">
        <v>25812.37</v>
      </c>
      <c r="P715" s="44" t="n">
        <f aca="false">ABS(M715-N715)</f>
        <v>6.77999999999884</v>
      </c>
      <c r="Q715" s="44" t="n">
        <f aca="false">IF(O715="","",ABS(O715-M715))</f>
        <v>13.5499999999993</v>
      </c>
      <c r="R715" s="30" t="n">
        <f aca="false">P715*L715*Summary!$C$6</f>
        <v>25.7639999999956</v>
      </c>
      <c r="S715" s="31" t="n">
        <v>25812.4</v>
      </c>
      <c r="T715" s="28" t="s">
        <v>214</v>
      </c>
      <c r="U715" s="44" t="n">
        <f aca="false">IF(J715="BUY",S715-M715,M715-S715)</f>
        <v>13.5800000000017</v>
      </c>
      <c r="V715" s="45" t="n">
        <v>0</v>
      </c>
      <c r="W715" s="45" t="n">
        <v>0</v>
      </c>
      <c r="X715" s="45" t="n">
        <v>51.6</v>
      </c>
      <c r="Y715" s="32" t="n">
        <f aca="false">IFERROR(X715/R715,0)</f>
        <v>2.00279459711259</v>
      </c>
      <c r="Z715" s="28" t="str">
        <f aca="false">IF(X715&gt;0,"Win",IF(X715&lt;0,"Loss","Flat"))</f>
        <v>Win</v>
      </c>
      <c r="AA715" s="28" t="n">
        <f aca="false">ROUND((C715-B715)*1440,1)</f>
        <v>5.6</v>
      </c>
      <c r="AB715" s="28" t="str">
        <f aca="false">IF(AA715&lt;1,"a) &lt;1 min",IF(AA715&lt;10,"b) 1-10 min",IF(AA715&lt;60,"c) 10-60 min",IF(AA715&lt;240,"d) 1-4 h","e) 4 h+"))))</f>
        <v>b) 1-10 min</v>
      </c>
      <c r="AC715" s="28" t="str">
        <f aca="false">IF(P715&lt;10,"a) &lt;10",IF(P715&lt;20,"b) 10-20",IF(P715&lt;40,"c) 20-40",IF(P715&lt;80,"d) 40-80","e) 80+"))))</f>
        <v>a) &lt;10</v>
      </c>
      <c r="AD715" s="30" t="n">
        <f aca="false">Summary!$C$5+SUM(X$2:X715)</f>
        <v>114403.39</v>
      </c>
      <c r="AE715" s="30" t="n">
        <f aca="false">MAX(AE714,AD715)</f>
        <v>114900.75</v>
      </c>
      <c r="AF715" s="30" t="n">
        <f aca="false">AE715-AD715</f>
        <v>497.360000000001</v>
      </c>
      <c r="AG715" s="29" t="n">
        <f aca="false">IFERROR(AF715/AE715,0)</f>
        <v>0.0043286053398259</v>
      </c>
    </row>
    <row r="716" customFormat="false" ht="15" hidden="false" customHeight="false" outlineLevel="0" collapsed="false">
      <c r="A716" s="28" t="n">
        <v>715</v>
      </c>
      <c r="B716" s="43" t="n">
        <v>46050.0423611111</v>
      </c>
      <c r="C716" s="43" t="n">
        <v>46050.1049652778</v>
      </c>
      <c r="D716" s="42" t="n">
        <f aca="false">INT(C716)</f>
        <v>46050</v>
      </c>
      <c r="E716" s="42" t="n">
        <f aca="false">D716-WEEKDAY(D716,3)</f>
        <v>46048</v>
      </c>
      <c r="F716" s="28" t="s">
        <v>176</v>
      </c>
      <c r="G716" s="28" t="n">
        <v>2026</v>
      </c>
      <c r="H716" s="28" t="s">
        <v>235</v>
      </c>
      <c r="I716" s="28" t="n">
        <v>1</v>
      </c>
      <c r="J716" s="28" t="s">
        <v>233</v>
      </c>
      <c r="K716" s="28" t="s">
        <v>234</v>
      </c>
      <c r="L716" s="28" t="n">
        <v>0.19</v>
      </c>
      <c r="M716" s="31" t="n">
        <v>26003.81</v>
      </c>
      <c r="N716" s="31" t="n">
        <v>25983.81</v>
      </c>
      <c r="O716" s="31" t="n">
        <v>26043.8</v>
      </c>
      <c r="P716" s="44" t="n">
        <f aca="false">ABS(M716-N716)</f>
        <v>20</v>
      </c>
      <c r="Q716" s="44" t="n">
        <f aca="false">IF(O716="","",ABS(O716-M716))</f>
        <v>39.989999999998</v>
      </c>
      <c r="R716" s="30" t="n">
        <f aca="false">P716*L716*Summary!$C$6</f>
        <v>76</v>
      </c>
      <c r="S716" s="31" t="n">
        <v>26044.21</v>
      </c>
      <c r="T716" s="28" t="s">
        <v>214</v>
      </c>
      <c r="U716" s="44" t="n">
        <f aca="false">IF(J716="BUY",S716-M716,M716-S716)</f>
        <v>40.3999999999978</v>
      </c>
      <c r="V716" s="45" t="n">
        <v>0</v>
      </c>
      <c r="W716" s="45" t="n">
        <v>0</v>
      </c>
      <c r="X716" s="45" t="n">
        <v>153.52</v>
      </c>
      <c r="Y716" s="32" t="n">
        <f aca="false">IFERROR(X716/R716,0)</f>
        <v>2.02</v>
      </c>
      <c r="Z716" s="28" t="str">
        <f aca="false">IF(X716&gt;0,"Win",IF(X716&lt;0,"Loss","Flat"))</f>
        <v>Win</v>
      </c>
      <c r="AA716" s="28" t="n">
        <f aca="false">ROUND((C716-B716)*1440,1)</f>
        <v>90.2</v>
      </c>
      <c r="AB716" s="28" t="str">
        <f aca="false">IF(AA716&lt;1,"a) &lt;1 min",IF(AA716&lt;10,"b) 1-10 min",IF(AA716&lt;60,"c) 10-60 min",IF(AA716&lt;240,"d) 1-4 h","e) 4 h+"))))</f>
        <v>d) 1-4 h</v>
      </c>
      <c r="AC716" s="28" t="str">
        <f aca="false">IF(P716&lt;10,"a) &lt;10",IF(P716&lt;20,"b) 10-20",IF(P716&lt;40,"c) 20-40",IF(P716&lt;80,"d) 40-80","e) 80+"))))</f>
        <v>c) 20-40</v>
      </c>
      <c r="AD716" s="30" t="n">
        <f aca="false">Summary!$C$5+SUM(X$2:X716)</f>
        <v>114556.91</v>
      </c>
      <c r="AE716" s="30" t="n">
        <f aca="false">MAX(AE715,AD716)</f>
        <v>114900.75</v>
      </c>
      <c r="AF716" s="30" t="n">
        <f aca="false">AE716-AD716</f>
        <v>343.839999999997</v>
      </c>
      <c r="AG716" s="29" t="n">
        <f aca="false">IFERROR(AF716/AE716,0)</f>
        <v>0.00299249569737357</v>
      </c>
    </row>
    <row r="717" customFormat="false" ht="15" hidden="false" customHeight="false" outlineLevel="0" collapsed="false">
      <c r="A717" s="28" t="n">
        <v>716</v>
      </c>
      <c r="B717" s="43" t="n">
        <v>46051.6965277778</v>
      </c>
      <c r="C717" s="43" t="n">
        <v>46051.7000810185</v>
      </c>
      <c r="D717" s="42" t="n">
        <f aca="false">INT(C717)</f>
        <v>46051</v>
      </c>
      <c r="E717" s="42" t="n">
        <f aca="false">D717-WEEKDAY(D717,3)</f>
        <v>46048</v>
      </c>
      <c r="F717" s="28" t="s">
        <v>176</v>
      </c>
      <c r="G717" s="28" t="n">
        <v>2026</v>
      </c>
      <c r="H717" s="28" t="s">
        <v>239</v>
      </c>
      <c r="I717" s="28" t="n">
        <v>16</v>
      </c>
      <c r="J717" s="28" t="s">
        <v>236</v>
      </c>
      <c r="K717" s="28" t="s">
        <v>237</v>
      </c>
      <c r="L717" s="28" t="n">
        <v>0.19</v>
      </c>
      <c r="M717" s="31" t="n">
        <v>25860.05</v>
      </c>
      <c r="N717" s="31" t="n">
        <v>25926.45</v>
      </c>
      <c r="O717" s="31" t="n">
        <v>25728.94</v>
      </c>
      <c r="P717" s="44" t="n">
        <f aca="false">ABS(M717-N717)</f>
        <v>66.4000000000015</v>
      </c>
      <c r="Q717" s="44" t="n">
        <f aca="false">IF(O717="","",ABS(O717-M717))</f>
        <v>131.110000000001</v>
      </c>
      <c r="R717" s="30" t="n">
        <f aca="false">P717*L717*Summary!$C$6</f>
        <v>252.320000000006</v>
      </c>
      <c r="S717" s="31" t="n">
        <v>25860.57</v>
      </c>
      <c r="T717" s="28" t="s">
        <v>238</v>
      </c>
      <c r="U717" s="44" t="n">
        <f aca="false">IF(J717="BUY",S717-M717,M717-S717)</f>
        <v>-0.520000000000437</v>
      </c>
      <c r="V717" s="45" t="n">
        <v>0</v>
      </c>
      <c r="W717" s="45" t="n">
        <v>0</v>
      </c>
      <c r="X717" s="45" t="n">
        <v>-1.98</v>
      </c>
      <c r="Y717" s="32" t="n">
        <f aca="false">IFERROR(X717/R717,0)</f>
        <v>-0.00784717818642976</v>
      </c>
      <c r="Z717" s="28" t="str">
        <f aca="false">IF(X717&gt;0,"Win",IF(X717&lt;0,"Loss","Flat"))</f>
        <v>Loss</v>
      </c>
      <c r="AA717" s="28" t="n">
        <f aca="false">ROUND((C717-B717)*1440,1)</f>
        <v>5.1</v>
      </c>
      <c r="AB717" s="28" t="str">
        <f aca="false">IF(AA717&lt;1,"a) &lt;1 min",IF(AA717&lt;10,"b) 1-10 min",IF(AA717&lt;60,"c) 10-60 min",IF(AA717&lt;240,"d) 1-4 h","e) 4 h+"))))</f>
        <v>b) 1-10 min</v>
      </c>
      <c r="AC717" s="28" t="str">
        <f aca="false">IF(P717&lt;10,"a) &lt;10",IF(P717&lt;20,"b) 10-20",IF(P717&lt;40,"c) 20-40",IF(P717&lt;80,"d) 40-80","e) 80+"))))</f>
        <v>d) 40-80</v>
      </c>
      <c r="AD717" s="30" t="n">
        <f aca="false">Summary!$C$5+SUM(X$2:X717)</f>
        <v>114554.93</v>
      </c>
      <c r="AE717" s="30" t="n">
        <f aca="false">MAX(AE716,AD717)</f>
        <v>114900.75</v>
      </c>
      <c r="AF717" s="30" t="n">
        <f aca="false">AE717-AD717</f>
        <v>345.820000000007</v>
      </c>
      <c r="AG717" s="29" t="n">
        <f aca="false">IFERROR(AF717/AE717,0)</f>
        <v>0.00300972796087064</v>
      </c>
    </row>
    <row r="718" customFormat="false" ht="15" hidden="false" customHeight="false" outlineLevel="0" collapsed="false">
      <c r="A718" s="28" t="n">
        <v>717</v>
      </c>
      <c r="B718" s="43" t="n">
        <v>46055.0423611111</v>
      </c>
      <c r="C718" s="43" t="n">
        <v>46055.0485532407</v>
      </c>
      <c r="D718" s="42" t="n">
        <f aca="false">INT(C718)</f>
        <v>46055</v>
      </c>
      <c r="E718" s="42" t="n">
        <f aca="false">D718-WEEKDAY(D718,3)</f>
        <v>46055</v>
      </c>
      <c r="F718" s="28" t="s">
        <v>177</v>
      </c>
      <c r="G718" s="28" t="n">
        <v>2026</v>
      </c>
      <c r="H718" s="28" t="s">
        <v>240</v>
      </c>
      <c r="I718" s="28" t="n">
        <v>1</v>
      </c>
      <c r="J718" s="28" t="s">
        <v>236</v>
      </c>
      <c r="K718" s="28" t="s">
        <v>237</v>
      </c>
      <c r="L718" s="28" t="n">
        <v>0.2</v>
      </c>
      <c r="M718" s="31" t="n">
        <v>25404.79</v>
      </c>
      <c r="N718" s="31" t="n">
        <v>25457.51</v>
      </c>
      <c r="O718" s="31" t="n">
        <v>25306.02</v>
      </c>
      <c r="P718" s="44" t="n">
        <f aca="false">ABS(M718-N718)</f>
        <v>52.7199999999975</v>
      </c>
      <c r="Q718" s="44" t="n">
        <f aca="false">IF(O718="","",ABS(O718-M718))</f>
        <v>98.7700000000004</v>
      </c>
      <c r="R718" s="30" t="n">
        <f aca="false">P718*L718*Summary!$C$6</f>
        <v>210.87999999999</v>
      </c>
      <c r="S718" s="31" t="n">
        <v>25305.04</v>
      </c>
      <c r="T718" s="28" t="s">
        <v>214</v>
      </c>
      <c r="U718" s="44" t="n">
        <f aca="false">IF(J718="BUY",S718-M718,M718-S718)</f>
        <v>99.75</v>
      </c>
      <c r="V718" s="45" t="n">
        <v>0</v>
      </c>
      <c r="W718" s="45" t="n">
        <v>0</v>
      </c>
      <c r="X718" s="45" t="n">
        <v>399</v>
      </c>
      <c r="Y718" s="32" t="n">
        <f aca="false">IFERROR(X718/R718,0)</f>
        <v>1.89207132018218</v>
      </c>
      <c r="Z718" s="28" t="str">
        <f aca="false">IF(X718&gt;0,"Win",IF(X718&lt;0,"Loss","Flat"))</f>
        <v>Win</v>
      </c>
      <c r="AA718" s="28" t="n">
        <f aca="false">ROUND((C718-B718)*1440,1)</f>
        <v>8.9</v>
      </c>
      <c r="AB718" s="28" t="str">
        <f aca="false">IF(AA718&lt;1,"a) &lt;1 min",IF(AA718&lt;10,"b) 1-10 min",IF(AA718&lt;60,"c) 10-60 min",IF(AA718&lt;240,"d) 1-4 h","e) 4 h+"))))</f>
        <v>b) 1-10 min</v>
      </c>
      <c r="AC718" s="28" t="str">
        <f aca="false">IF(P718&lt;10,"a) &lt;10",IF(P718&lt;20,"b) 10-20",IF(P718&lt;40,"c) 20-40",IF(P718&lt;80,"d) 40-80","e) 80+"))))</f>
        <v>d) 40-80</v>
      </c>
      <c r="AD718" s="30" t="n">
        <f aca="false">Summary!$C$5+SUM(X$2:X718)</f>
        <v>114953.93</v>
      </c>
      <c r="AE718" s="30" t="n">
        <f aca="false">MAX(AE717,AD718)</f>
        <v>114953.93</v>
      </c>
      <c r="AF718" s="30" t="n">
        <f aca="false">AE718-AD718</f>
        <v>0</v>
      </c>
      <c r="AG718" s="29" t="n">
        <f aca="false">IFERROR(AF718/AE718,0)</f>
        <v>0</v>
      </c>
    </row>
    <row r="719" customFormat="false" ht="15" hidden="false" customHeight="false" outlineLevel="0" collapsed="false">
      <c r="A719" s="28" t="n">
        <v>718</v>
      </c>
      <c r="B719" s="43" t="n">
        <v>46056.0631944445</v>
      </c>
      <c r="C719" s="43" t="n">
        <v>46056.0675231482</v>
      </c>
      <c r="D719" s="42" t="n">
        <f aca="false">INT(C719)</f>
        <v>46056</v>
      </c>
      <c r="E719" s="42" t="n">
        <f aca="false">D719-WEEKDAY(D719,3)</f>
        <v>46055</v>
      </c>
      <c r="F719" s="28" t="s">
        <v>177</v>
      </c>
      <c r="G719" s="28" t="n">
        <v>2026</v>
      </c>
      <c r="H719" s="28" t="s">
        <v>232</v>
      </c>
      <c r="I719" s="28" t="n">
        <v>1</v>
      </c>
      <c r="J719" s="28" t="s">
        <v>233</v>
      </c>
      <c r="K719" s="28" t="s">
        <v>234</v>
      </c>
      <c r="L719" s="28" t="n">
        <v>0.2</v>
      </c>
      <c r="M719" s="31" t="n">
        <v>25833.28</v>
      </c>
      <c r="N719" s="31" t="n">
        <v>25819.65</v>
      </c>
      <c r="O719" s="31" t="n">
        <v>25860.54</v>
      </c>
      <c r="P719" s="44" t="n">
        <f aca="false">ABS(M719-N719)</f>
        <v>13.6299999999974</v>
      </c>
      <c r="Q719" s="44" t="n">
        <f aca="false">IF(O719="","",ABS(O719-M719))</f>
        <v>27.260000000002</v>
      </c>
      <c r="R719" s="30" t="n">
        <f aca="false">P719*L719*Summary!$C$6</f>
        <v>54.5199999999895</v>
      </c>
      <c r="S719" s="31" t="n">
        <v>25860.85</v>
      </c>
      <c r="T719" s="28" t="s">
        <v>214</v>
      </c>
      <c r="U719" s="44" t="n">
        <f aca="false">IF(J719="BUY",S719-M719,M719-S719)</f>
        <v>27.5699999999997</v>
      </c>
      <c r="V719" s="45" t="n">
        <v>0</v>
      </c>
      <c r="W719" s="45" t="n">
        <v>0</v>
      </c>
      <c r="X719" s="45" t="n">
        <v>110.28</v>
      </c>
      <c r="Y719" s="32" t="n">
        <f aca="false">IFERROR(X719/R719,0)</f>
        <v>2.02274394717574</v>
      </c>
      <c r="Z719" s="28" t="str">
        <f aca="false">IF(X719&gt;0,"Win",IF(X719&lt;0,"Loss","Flat"))</f>
        <v>Win</v>
      </c>
      <c r="AA719" s="28" t="n">
        <f aca="false">ROUND((C719-B719)*1440,1)</f>
        <v>6.2</v>
      </c>
      <c r="AB719" s="28" t="str">
        <f aca="false">IF(AA719&lt;1,"a) &lt;1 min",IF(AA719&lt;10,"b) 1-10 min",IF(AA719&lt;60,"c) 10-60 min",IF(AA719&lt;240,"d) 1-4 h","e) 4 h+"))))</f>
        <v>b) 1-10 min</v>
      </c>
      <c r="AC719" s="28" t="str">
        <f aca="false">IF(P719&lt;10,"a) &lt;10",IF(P719&lt;20,"b) 10-20",IF(P719&lt;40,"c) 20-40",IF(P719&lt;80,"d) 40-80","e) 80+"))))</f>
        <v>b) 10-20</v>
      </c>
      <c r="AD719" s="30" t="n">
        <f aca="false">Summary!$C$5+SUM(X$2:X719)</f>
        <v>115064.21</v>
      </c>
      <c r="AE719" s="30" t="n">
        <f aca="false">MAX(AE718,AD719)</f>
        <v>115064.21</v>
      </c>
      <c r="AF719" s="30" t="n">
        <f aca="false">AE719-AD719</f>
        <v>0</v>
      </c>
      <c r="AG719" s="29" t="n">
        <f aca="false">IFERROR(AF719/AE719,0)</f>
        <v>0</v>
      </c>
    </row>
    <row r="720" customFormat="false" ht="15" hidden="false" customHeight="false" outlineLevel="0" collapsed="false">
      <c r="A720" s="28" t="n">
        <v>719</v>
      </c>
      <c r="B720" s="43" t="n">
        <v>46057.7076388889</v>
      </c>
      <c r="C720" s="43" t="n">
        <v>46057.7120601852</v>
      </c>
      <c r="D720" s="42" t="n">
        <f aca="false">INT(C720)</f>
        <v>46057</v>
      </c>
      <c r="E720" s="42" t="n">
        <f aca="false">D720-WEEKDAY(D720,3)</f>
        <v>46055</v>
      </c>
      <c r="F720" s="28" t="s">
        <v>177</v>
      </c>
      <c r="G720" s="28" t="n">
        <v>2026</v>
      </c>
      <c r="H720" s="28" t="s">
        <v>235</v>
      </c>
      <c r="I720" s="28" t="n">
        <v>16</v>
      </c>
      <c r="J720" s="28" t="s">
        <v>236</v>
      </c>
      <c r="K720" s="28" t="s">
        <v>237</v>
      </c>
      <c r="L720" s="28" t="n">
        <v>0.2</v>
      </c>
      <c r="M720" s="31" t="n">
        <v>25090.71</v>
      </c>
      <c r="N720" s="31" t="n">
        <v>25170.98</v>
      </c>
      <c r="O720" s="31" t="n">
        <v>24926.85</v>
      </c>
      <c r="P720" s="44" t="n">
        <f aca="false">ABS(M720-N720)</f>
        <v>80.2700000000004</v>
      </c>
      <c r="Q720" s="44" t="n">
        <f aca="false">IF(O720="","",ABS(O720-M720))</f>
        <v>163.860000000001</v>
      </c>
      <c r="R720" s="30" t="n">
        <f aca="false">P720*L720*Summary!$C$6</f>
        <v>321.080000000002</v>
      </c>
      <c r="S720" s="31" t="n">
        <v>25090.77</v>
      </c>
      <c r="T720" s="28" t="s">
        <v>238</v>
      </c>
      <c r="U720" s="44" t="n">
        <f aca="false">IF(J720="BUY",S720-M720,M720-S720)</f>
        <v>-0.0600000000013097</v>
      </c>
      <c r="V720" s="45" t="n">
        <v>0</v>
      </c>
      <c r="W720" s="45" t="n">
        <v>0</v>
      </c>
      <c r="X720" s="45" t="n">
        <v>-0.24</v>
      </c>
      <c r="Y720" s="32" t="n">
        <f aca="false">IFERROR(X720/R720,0)</f>
        <v>-0.000747477264233209</v>
      </c>
      <c r="Z720" s="28" t="str">
        <f aca="false">IF(X720&gt;0,"Win",IF(X720&lt;0,"Loss","Flat"))</f>
        <v>Loss</v>
      </c>
      <c r="AA720" s="28" t="n">
        <f aca="false">ROUND((C720-B720)*1440,1)</f>
        <v>6.4</v>
      </c>
      <c r="AB720" s="28" t="str">
        <f aca="false">IF(AA720&lt;1,"a) &lt;1 min",IF(AA720&lt;10,"b) 1-10 min",IF(AA720&lt;60,"c) 10-60 min",IF(AA720&lt;240,"d) 1-4 h","e) 4 h+"))))</f>
        <v>b) 1-10 min</v>
      </c>
      <c r="AC720" s="28" t="str">
        <f aca="false">IF(P720&lt;10,"a) &lt;10",IF(P720&lt;20,"b) 10-20",IF(P720&lt;40,"c) 20-40",IF(P720&lt;80,"d) 40-80","e) 80+"))))</f>
        <v>e) 80+</v>
      </c>
      <c r="AD720" s="30" t="n">
        <f aca="false">Summary!$C$5+SUM(X$2:X720)</f>
        <v>115063.97</v>
      </c>
      <c r="AE720" s="30" t="n">
        <f aca="false">MAX(AE719,AD720)</f>
        <v>115064.21</v>
      </c>
      <c r="AF720" s="30" t="n">
        <f aca="false">AE720-AD720</f>
        <v>0.240000000005239</v>
      </c>
      <c r="AG720" s="29" t="n">
        <f aca="false">IFERROR(AF720/AE720,0)</f>
        <v>2.08579192439803E-006</v>
      </c>
    </row>
    <row r="721" customFormat="false" ht="15" hidden="false" customHeight="false" outlineLevel="0" collapsed="false">
      <c r="A721" s="28" t="n">
        <v>720</v>
      </c>
      <c r="B721" s="43" t="n">
        <v>46058.6138888889</v>
      </c>
      <c r="C721" s="43" t="n">
        <v>46058.6190972222</v>
      </c>
      <c r="D721" s="42" t="n">
        <f aca="false">INT(C721)</f>
        <v>46058</v>
      </c>
      <c r="E721" s="42" t="n">
        <f aca="false">D721-WEEKDAY(D721,3)</f>
        <v>46055</v>
      </c>
      <c r="F721" s="28" t="s">
        <v>177</v>
      </c>
      <c r="G721" s="28" t="n">
        <v>2026</v>
      </c>
      <c r="H721" s="28" t="s">
        <v>239</v>
      </c>
      <c r="I721" s="28" t="n">
        <v>14</v>
      </c>
      <c r="J721" s="28" t="s">
        <v>236</v>
      </c>
      <c r="K721" s="28" t="s">
        <v>237</v>
      </c>
      <c r="L721" s="28" t="n">
        <v>0.2</v>
      </c>
      <c r="M721" s="31" t="n">
        <v>24675.77</v>
      </c>
      <c r="N721" s="31" t="n">
        <v>24733.85</v>
      </c>
      <c r="O721" s="31" t="n">
        <v>24559.61</v>
      </c>
      <c r="P721" s="44" t="n">
        <f aca="false">ABS(M721-N721)</f>
        <v>58.0799999999981</v>
      </c>
      <c r="Q721" s="44" t="n">
        <f aca="false">IF(O721="","",ABS(O721-M721))</f>
        <v>116.16</v>
      </c>
      <c r="R721" s="30" t="n">
        <f aca="false">P721*L721*Summary!$C$6</f>
        <v>232.319999999992</v>
      </c>
      <c r="S721" s="31" t="n">
        <v>24675.89</v>
      </c>
      <c r="T721" s="28" t="s">
        <v>238</v>
      </c>
      <c r="U721" s="44" t="n">
        <f aca="false">IF(J721="BUY",S721-M721,M721-S721)</f>
        <v>-0.119999999998981</v>
      </c>
      <c r="V721" s="45" t="n">
        <v>0</v>
      </c>
      <c r="W721" s="45" t="n">
        <v>0</v>
      </c>
      <c r="X721" s="45" t="n">
        <v>-0.48</v>
      </c>
      <c r="Y721" s="32" t="n">
        <f aca="false">IFERROR(X721/R721,0)</f>
        <v>-0.00206611570247941</v>
      </c>
      <c r="Z721" s="28" t="str">
        <f aca="false">IF(X721&gt;0,"Win",IF(X721&lt;0,"Loss","Flat"))</f>
        <v>Loss</v>
      </c>
      <c r="AA721" s="28" t="n">
        <f aca="false">ROUND((C721-B721)*1440,1)</f>
        <v>7.5</v>
      </c>
      <c r="AB721" s="28" t="str">
        <f aca="false">IF(AA721&lt;1,"a) &lt;1 min",IF(AA721&lt;10,"b) 1-10 min",IF(AA721&lt;60,"c) 10-60 min",IF(AA721&lt;240,"d) 1-4 h","e) 4 h+"))))</f>
        <v>b) 1-10 min</v>
      </c>
      <c r="AC721" s="28" t="str">
        <f aca="false">IF(P721&lt;10,"a) &lt;10",IF(P721&lt;20,"b) 10-20",IF(P721&lt;40,"c) 20-40",IF(P721&lt;80,"d) 40-80","e) 80+"))))</f>
        <v>d) 40-80</v>
      </c>
      <c r="AD721" s="30" t="n">
        <f aca="false">Summary!$C$5+SUM(X$2:X721)</f>
        <v>115063.49</v>
      </c>
      <c r="AE721" s="30" t="n">
        <f aca="false">MAX(AE720,AD721)</f>
        <v>115064.21</v>
      </c>
      <c r="AF721" s="30" t="n">
        <f aca="false">AE721-AD721</f>
        <v>0.720000000001164</v>
      </c>
      <c r="AG721" s="29" t="n">
        <f aca="false">IFERROR(AF721/AE721,0)</f>
        <v>6.25737577306761E-006</v>
      </c>
    </row>
    <row r="722" customFormat="false" ht="15" hidden="false" customHeight="false" outlineLevel="0" collapsed="false">
      <c r="A722" s="28" t="n">
        <v>721</v>
      </c>
      <c r="B722" s="43" t="n">
        <v>46059.0423611111</v>
      </c>
      <c r="C722" s="43" t="n">
        <v>46059.0844675926</v>
      </c>
      <c r="D722" s="42" t="n">
        <f aca="false">INT(C722)</f>
        <v>46059</v>
      </c>
      <c r="E722" s="42" t="n">
        <f aca="false">D722-WEEKDAY(D722,3)</f>
        <v>46055</v>
      </c>
      <c r="F722" s="28" t="s">
        <v>177</v>
      </c>
      <c r="G722" s="28" t="n">
        <v>2026</v>
      </c>
      <c r="H722" s="28" t="s">
        <v>242</v>
      </c>
      <c r="I722" s="28" t="n">
        <v>1</v>
      </c>
      <c r="J722" s="28" t="s">
        <v>236</v>
      </c>
      <c r="K722" s="28" t="s">
        <v>237</v>
      </c>
      <c r="L722" s="28" t="n">
        <v>0.21</v>
      </c>
      <c r="M722" s="31" t="n">
        <v>24352.76</v>
      </c>
      <c r="N722" s="31" t="n">
        <v>24426.59</v>
      </c>
      <c r="O722" s="31" t="n">
        <v>24201.24</v>
      </c>
      <c r="P722" s="44" t="n">
        <f aca="false">ABS(M722-N722)</f>
        <v>73.8300000000018</v>
      </c>
      <c r="Q722" s="44" t="n">
        <f aca="false">IF(O722="","",ABS(O722-M722))</f>
        <v>151.519999999997</v>
      </c>
      <c r="R722" s="30" t="n">
        <f aca="false">P722*L722*Summary!$C$6</f>
        <v>310.086000000007</v>
      </c>
      <c r="S722" s="31" t="n">
        <v>24200.47</v>
      </c>
      <c r="T722" s="28" t="s">
        <v>214</v>
      </c>
      <c r="U722" s="44" t="n">
        <f aca="false">IF(J722="BUY",S722-M722,M722-S722)</f>
        <v>152.289999999997</v>
      </c>
      <c r="V722" s="45" t="n">
        <v>0</v>
      </c>
      <c r="W722" s="45" t="n">
        <v>0</v>
      </c>
      <c r="X722" s="45" t="n">
        <v>639.62</v>
      </c>
      <c r="Y722" s="32" t="n">
        <f aca="false">IFERROR(X722/R722,0)</f>
        <v>2.06271808466034</v>
      </c>
      <c r="Z722" s="28" t="str">
        <f aca="false">IF(X722&gt;0,"Win",IF(X722&lt;0,"Loss","Flat"))</f>
        <v>Win</v>
      </c>
      <c r="AA722" s="28" t="n">
        <f aca="false">ROUND((C722-B722)*1440,1)</f>
        <v>60.6</v>
      </c>
      <c r="AB722" s="28" t="str">
        <f aca="false">IF(AA722&lt;1,"a) &lt;1 min",IF(AA722&lt;10,"b) 1-10 min",IF(AA722&lt;60,"c) 10-60 min",IF(AA722&lt;240,"d) 1-4 h","e) 4 h+"))))</f>
        <v>d) 1-4 h</v>
      </c>
      <c r="AC722" s="28" t="str">
        <f aca="false">IF(P722&lt;10,"a) &lt;10",IF(P722&lt;20,"b) 10-20",IF(P722&lt;40,"c) 20-40",IF(P722&lt;80,"d) 40-80","e) 80+"))))</f>
        <v>d) 40-80</v>
      </c>
      <c r="AD722" s="30" t="n">
        <f aca="false">Summary!$C$5+SUM(X$2:X722)</f>
        <v>115703.11</v>
      </c>
      <c r="AE722" s="30" t="n">
        <f aca="false">MAX(AE721,AD722)</f>
        <v>115703.11</v>
      </c>
      <c r="AF722" s="30" t="n">
        <f aca="false">AE722-AD722</f>
        <v>0</v>
      </c>
      <c r="AG722" s="29" t="n">
        <f aca="false">IFERROR(AF722/AE722,0)</f>
        <v>0</v>
      </c>
    </row>
    <row r="723" customFormat="false" ht="15" hidden="false" customHeight="false" outlineLevel="0" collapsed="false">
      <c r="A723" s="28" t="n">
        <v>722</v>
      </c>
      <c r="B723" s="43" t="n">
        <v>46059.9493055556</v>
      </c>
      <c r="C723" s="43" t="n">
        <v>46059.9524537037</v>
      </c>
      <c r="D723" s="42" t="n">
        <f aca="false">INT(C723)</f>
        <v>46059</v>
      </c>
      <c r="E723" s="42" t="n">
        <f aca="false">D723-WEEKDAY(D723,3)</f>
        <v>46055</v>
      </c>
      <c r="F723" s="28" t="s">
        <v>177</v>
      </c>
      <c r="G723" s="28" t="n">
        <v>2026</v>
      </c>
      <c r="H723" s="28" t="s">
        <v>242</v>
      </c>
      <c r="I723" s="28" t="n">
        <v>22</v>
      </c>
      <c r="J723" s="28" t="s">
        <v>233</v>
      </c>
      <c r="K723" s="28" t="s">
        <v>234</v>
      </c>
      <c r="L723" s="28" t="n">
        <v>0.2</v>
      </c>
      <c r="M723" s="31" t="n">
        <v>25074.98</v>
      </c>
      <c r="N723" s="31" t="n">
        <v>25053.87</v>
      </c>
      <c r="O723" s="31" t="n">
        <v>25116.62</v>
      </c>
      <c r="P723" s="44" t="n">
        <f aca="false">ABS(M723-N723)</f>
        <v>21.1100000000006</v>
      </c>
      <c r="Q723" s="44" t="n">
        <f aca="false">IF(O723="","",ABS(O723-M723))</f>
        <v>41.6399999999994</v>
      </c>
      <c r="R723" s="30" t="n">
        <f aca="false">P723*L723*Summary!$C$6</f>
        <v>84.4400000000023</v>
      </c>
      <c r="S723" s="31" t="n">
        <v>25117.16</v>
      </c>
      <c r="T723" s="28" t="s">
        <v>214</v>
      </c>
      <c r="U723" s="44" t="n">
        <f aca="false">IF(J723="BUY",S723-M723,M723-S723)</f>
        <v>42.1800000000003</v>
      </c>
      <c r="V723" s="45" t="n">
        <v>0</v>
      </c>
      <c r="W723" s="45" t="n">
        <v>0</v>
      </c>
      <c r="X723" s="45" t="n">
        <v>168.72</v>
      </c>
      <c r="Y723" s="32" t="n">
        <f aca="false">IFERROR(X723/R723,0)</f>
        <v>1.9981051634296</v>
      </c>
      <c r="Z723" s="28" t="str">
        <f aca="false">IF(X723&gt;0,"Win",IF(X723&lt;0,"Loss","Flat"))</f>
        <v>Win</v>
      </c>
      <c r="AA723" s="28" t="n">
        <f aca="false">ROUND((C723-B723)*1440,1)</f>
        <v>4.5</v>
      </c>
      <c r="AB723" s="28" t="str">
        <f aca="false">IF(AA723&lt;1,"a) &lt;1 min",IF(AA723&lt;10,"b) 1-10 min",IF(AA723&lt;60,"c) 10-60 min",IF(AA723&lt;240,"d) 1-4 h","e) 4 h+"))))</f>
        <v>b) 1-10 min</v>
      </c>
      <c r="AC723" s="28" t="str">
        <f aca="false">IF(P723&lt;10,"a) &lt;10",IF(P723&lt;20,"b) 10-20",IF(P723&lt;40,"c) 20-40",IF(P723&lt;80,"d) 40-80","e) 80+"))))</f>
        <v>c) 20-40</v>
      </c>
      <c r="AD723" s="30" t="n">
        <f aca="false">Summary!$C$5+SUM(X$2:X723)</f>
        <v>115871.83</v>
      </c>
      <c r="AE723" s="30" t="n">
        <f aca="false">MAX(AE722,AD723)</f>
        <v>115871.83</v>
      </c>
      <c r="AF723" s="30" t="n">
        <f aca="false">AE723-AD723</f>
        <v>0</v>
      </c>
      <c r="AG723" s="29" t="n">
        <f aca="false">IFERROR(AF723/AE723,0)</f>
        <v>0</v>
      </c>
    </row>
    <row r="724" customFormat="false" ht="15" hidden="false" customHeight="false" outlineLevel="0" collapsed="false">
      <c r="A724" s="28" t="n">
        <v>723</v>
      </c>
      <c r="B724" s="43" t="n">
        <v>46062.04375</v>
      </c>
      <c r="C724" s="43" t="n">
        <v>46062.0838541667</v>
      </c>
      <c r="D724" s="42" t="n">
        <f aca="false">INT(C724)</f>
        <v>46062</v>
      </c>
      <c r="E724" s="42" t="n">
        <f aca="false">D724-WEEKDAY(D724,3)</f>
        <v>46062</v>
      </c>
      <c r="F724" s="28" t="s">
        <v>177</v>
      </c>
      <c r="G724" s="28" t="n">
        <v>2026</v>
      </c>
      <c r="H724" s="28" t="s">
        <v>240</v>
      </c>
      <c r="I724" s="28" t="n">
        <v>1</v>
      </c>
      <c r="J724" s="28" t="s">
        <v>233</v>
      </c>
      <c r="K724" s="28" t="s">
        <v>234</v>
      </c>
      <c r="L724" s="28" t="n">
        <v>0.2</v>
      </c>
      <c r="M724" s="31" t="n">
        <v>25139.24</v>
      </c>
      <c r="N724" s="31" t="n">
        <v>25099.62</v>
      </c>
      <c r="O724" s="31" t="n">
        <v>25218.49</v>
      </c>
      <c r="P724" s="44" t="n">
        <f aca="false">ABS(M724-N724)</f>
        <v>39.6200000000026</v>
      </c>
      <c r="Q724" s="44" t="n">
        <f aca="false">IF(O724="","",ABS(O724-M724))</f>
        <v>79.25</v>
      </c>
      <c r="R724" s="30" t="n">
        <f aca="false">P724*L724*Summary!$C$6</f>
        <v>158.48000000001</v>
      </c>
      <c r="S724" s="31" t="n">
        <v>25218.6</v>
      </c>
      <c r="T724" s="28" t="s">
        <v>214</v>
      </c>
      <c r="U724" s="44" t="n">
        <f aca="false">IF(J724="BUY",S724-M724,M724-S724)</f>
        <v>79.3599999999969</v>
      </c>
      <c r="V724" s="45" t="n">
        <v>0</v>
      </c>
      <c r="W724" s="45" t="n">
        <v>0</v>
      </c>
      <c r="X724" s="45" t="n">
        <v>317.44</v>
      </c>
      <c r="Y724" s="32" t="n">
        <f aca="false">IFERROR(X724/R724,0)</f>
        <v>2.00302877334666</v>
      </c>
      <c r="Z724" s="28" t="str">
        <f aca="false">IF(X724&gt;0,"Win",IF(X724&lt;0,"Loss","Flat"))</f>
        <v>Win</v>
      </c>
      <c r="AA724" s="28" t="n">
        <f aca="false">ROUND((C724-B724)*1440,1)</f>
        <v>57.8</v>
      </c>
      <c r="AB724" s="28" t="str">
        <f aca="false">IF(AA724&lt;1,"a) &lt;1 min",IF(AA724&lt;10,"b) 1-10 min",IF(AA724&lt;60,"c) 10-60 min",IF(AA724&lt;240,"d) 1-4 h","e) 4 h+"))))</f>
        <v>c) 10-60 min</v>
      </c>
      <c r="AC724" s="28" t="str">
        <f aca="false">IF(P724&lt;10,"a) &lt;10",IF(P724&lt;20,"b) 10-20",IF(P724&lt;40,"c) 20-40",IF(P724&lt;80,"d) 40-80","e) 80+"))))</f>
        <v>c) 20-40</v>
      </c>
      <c r="AD724" s="30" t="n">
        <f aca="false">Summary!$C$5+SUM(X$2:X724)</f>
        <v>116189.27</v>
      </c>
      <c r="AE724" s="30" t="n">
        <f aca="false">MAX(AE723,AD724)</f>
        <v>116189.27</v>
      </c>
      <c r="AF724" s="30" t="n">
        <f aca="false">AE724-AD724</f>
        <v>0</v>
      </c>
      <c r="AG724" s="29" t="n">
        <f aca="false">IFERROR(AF724/AE724,0)</f>
        <v>0</v>
      </c>
    </row>
    <row r="725" customFormat="false" ht="15" hidden="false" customHeight="false" outlineLevel="0" collapsed="false">
      <c r="A725" s="28" t="n">
        <v>724</v>
      </c>
      <c r="B725" s="43" t="n">
        <v>46063.7131944444</v>
      </c>
      <c r="C725" s="43" t="n">
        <v>46063.7175347222</v>
      </c>
      <c r="D725" s="42" t="n">
        <f aca="false">INT(C725)</f>
        <v>46063</v>
      </c>
      <c r="E725" s="42" t="n">
        <f aca="false">D725-WEEKDAY(D725,3)</f>
        <v>46062</v>
      </c>
      <c r="F725" s="28" t="s">
        <v>177</v>
      </c>
      <c r="G725" s="28" t="n">
        <v>2026</v>
      </c>
      <c r="H725" s="28" t="s">
        <v>232</v>
      </c>
      <c r="I725" s="28" t="n">
        <v>17</v>
      </c>
      <c r="J725" s="28" t="s">
        <v>233</v>
      </c>
      <c r="K725" s="28" t="s">
        <v>234</v>
      </c>
      <c r="L725" s="28" t="n">
        <v>0.2</v>
      </c>
      <c r="M725" s="31" t="n">
        <v>25351.06</v>
      </c>
      <c r="N725" s="31" t="n">
        <v>25315.1</v>
      </c>
      <c r="O725" s="31" t="n">
        <v>25422.97</v>
      </c>
      <c r="P725" s="44" t="n">
        <f aca="false">ABS(M725-N725)</f>
        <v>35.9600000000028</v>
      </c>
      <c r="Q725" s="44" t="n">
        <f aca="false">IF(O725="","",ABS(O725-M725))</f>
        <v>71.9099999999999</v>
      </c>
      <c r="R725" s="30" t="n">
        <f aca="false">P725*L725*Summary!$C$6</f>
        <v>143.840000000011</v>
      </c>
      <c r="S725" s="31" t="n">
        <v>25314.53</v>
      </c>
      <c r="T725" s="28" t="s">
        <v>241</v>
      </c>
      <c r="U725" s="44" t="n">
        <f aca="false">IF(J725="BUY",S725-M725,M725-S725)</f>
        <v>-36.5300000000025</v>
      </c>
      <c r="V725" s="45" t="n">
        <v>0</v>
      </c>
      <c r="W725" s="45" t="n">
        <v>0</v>
      </c>
      <c r="X725" s="45" t="n">
        <v>-146.12</v>
      </c>
      <c r="Y725" s="32" t="n">
        <f aca="false">IFERROR(X725/R725,0)</f>
        <v>-1.01585094549492</v>
      </c>
      <c r="Z725" s="28" t="str">
        <f aca="false">IF(X725&gt;0,"Win",IF(X725&lt;0,"Loss","Flat"))</f>
        <v>Loss</v>
      </c>
      <c r="AA725" s="28" t="n">
        <f aca="false">ROUND((C725-B725)*1440,1)</f>
        <v>6.3</v>
      </c>
      <c r="AB725" s="28" t="str">
        <f aca="false">IF(AA725&lt;1,"a) &lt;1 min",IF(AA725&lt;10,"b) 1-10 min",IF(AA725&lt;60,"c) 10-60 min",IF(AA725&lt;240,"d) 1-4 h","e) 4 h+"))))</f>
        <v>b) 1-10 min</v>
      </c>
      <c r="AC725" s="28" t="str">
        <f aca="false">IF(P725&lt;10,"a) &lt;10",IF(P725&lt;20,"b) 10-20",IF(P725&lt;40,"c) 20-40",IF(P725&lt;80,"d) 40-80","e) 80+"))))</f>
        <v>c) 20-40</v>
      </c>
      <c r="AD725" s="30" t="n">
        <f aca="false">Summary!$C$5+SUM(X$2:X725)</f>
        <v>116043.15</v>
      </c>
      <c r="AE725" s="30" t="n">
        <f aca="false">MAX(AE724,AD725)</f>
        <v>116189.27</v>
      </c>
      <c r="AF725" s="30" t="n">
        <f aca="false">AE725-AD725</f>
        <v>146.12000000001</v>
      </c>
      <c r="AG725" s="29" t="n">
        <f aca="false">IFERROR(AF725/AE725,0)</f>
        <v>0.00125760321929908</v>
      </c>
    </row>
    <row r="726" customFormat="false" ht="15" hidden="false" customHeight="false" outlineLevel="0" collapsed="false">
      <c r="A726" s="28" t="n">
        <v>725</v>
      </c>
      <c r="B726" s="43" t="n">
        <v>46064.5006944445</v>
      </c>
      <c r="C726" s="43" t="n">
        <v>46064.5015972222</v>
      </c>
      <c r="D726" s="42" t="n">
        <f aca="false">INT(C726)</f>
        <v>46064</v>
      </c>
      <c r="E726" s="42" t="n">
        <f aca="false">D726-WEEKDAY(D726,3)</f>
        <v>46062</v>
      </c>
      <c r="F726" s="28" t="s">
        <v>177</v>
      </c>
      <c r="G726" s="28" t="n">
        <v>2026</v>
      </c>
      <c r="H726" s="28" t="s">
        <v>235</v>
      </c>
      <c r="I726" s="28" t="n">
        <v>12</v>
      </c>
      <c r="J726" s="28" t="s">
        <v>236</v>
      </c>
      <c r="K726" s="28" t="s">
        <v>237</v>
      </c>
      <c r="L726" s="28" t="n">
        <v>0.2</v>
      </c>
      <c r="M726" s="31" t="n">
        <v>25106.5</v>
      </c>
      <c r="N726" s="31" t="n">
        <v>25124.79</v>
      </c>
      <c r="O726" s="31" t="n">
        <v>25069.91</v>
      </c>
      <c r="P726" s="44" t="n">
        <f aca="false">ABS(M726-N726)</f>
        <v>18.2900000000009</v>
      </c>
      <c r="Q726" s="44" t="n">
        <f aca="false">IF(O726="","",ABS(O726-M726))</f>
        <v>36.5900000000001</v>
      </c>
      <c r="R726" s="30" t="n">
        <f aca="false">P726*L726*Summary!$C$6</f>
        <v>73.1600000000035</v>
      </c>
      <c r="S726" s="31" t="n">
        <v>25069.87</v>
      </c>
      <c r="T726" s="28" t="s">
        <v>214</v>
      </c>
      <c r="U726" s="44" t="n">
        <f aca="false">IF(J726="BUY",S726-M726,M726-S726)</f>
        <v>36.630000000001</v>
      </c>
      <c r="V726" s="45" t="n">
        <v>0</v>
      </c>
      <c r="W726" s="45" t="n">
        <v>0</v>
      </c>
      <c r="X726" s="45" t="n">
        <v>146.52</v>
      </c>
      <c r="Y726" s="32" t="n">
        <f aca="false">IFERROR(X726/R726,0)</f>
        <v>2.00273373428093</v>
      </c>
      <c r="Z726" s="28" t="str">
        <f aca="false">IF(X726&gt;0,"Win",IF(X726&lt;0,"Loss","Flat"))</f>
        <v>Win</v>
      </c>
      <c r="AA726" s="28" t="n">
        <f aca="false">ROUND((C726-B726)*1440,1)</f>
        <v>1.3</v>
      </c>
      <c r="AB726" s="28" t="str">
        <f aca="false">IF(AA726&lt;1,"a) &lt;1 min",IF(AA726&lt;10,"b) 1-10 min",IF(AA726&lt;60,"c) 10-60 min",IF(AA726&lt;240,"d) 1-4 h","e) 4 h+"))))</f>
        <v>b) 1-10 min</v>
      </c>
      <c r="AC726" s="28" t="str">
        <f aca="false">IF(P726&lt;10,"a) &lt;10",IF(P726&lt;20,"b) 10-20",IF(P726&lt;40,"c) 20-40",IF(P726&lt;80,"d) 40-80","e) 80+"))))</f>
        <v>b) 10-20</v>
      </c>
      <c r="AD726" s="30" t="n">
        <f aca="false">Summary!$C$5+SUM(X$2:X726)</f>
        <v>116189.67</v>
      </c>
      <c r="AE726" s="30" t="n">
        <f aca="false">MAX(AE725,AD726)</f>
        <v>116189.67</v>
      </c>
      <c r="AF726" s="30" t="n">
        <f aca="false">AE726-AD726</f>
        <v>0</v>
      </c>
      <c r="AG726" s="29" t="n">
        <f aca="false">IFERROR(AF726/AE726,0)</f>
        <v>0</v>
      </c>
    </row>
    <row r="727" customFormat="false" ht="15" hidden="false" customHeight="false" outlineLevel="0" collapsed="false">
      <c r="A727" s="28" t="n">
        <v>726</v>
      </c>
      <c r="B727" s="43" t="n">
        <v>46064.6659722222</v>
      </c>
      <c r="C727" s="43" t="n">
        <v>46064.6739467593</v>
      </c>
      <c r="D727" s="42" t="n">
        <f aca="false">INT(C727)</f>
        <v>46064</v>
      </c>
      <c r="E727" s="42" t="n">
        <f aca="false">D727-WEEKDAY(D727,3)</f>
        <v>46062</v>
      </c>
      <c r="F727" s="28" t="s">
        <v>177</v>
      </c>
      <c r="G727" s="28" t="n">
        <v>2026</v>
      </c>
      <c r="H727" s="28" t="s">
        <v>235</v>
      </c>
      <c r="I727" s="28" t="n">
        <v>15</v>
      </c>
      <c r="J727" s="28" t="s">
        <v>233</v>
      </c>
      <c r="K727" s="28" t="s">
        <v>234</v>
      </c>
      <c r="L727" s="28" t="n">
        <v>0.2</v>
      </c>
      <c r="M727" s="31" t="n">
        <v>25363.38</v>
      </c>
      <c r="N727" s="31" t="n">
        <v>25333.86</v>
      </c>
      <c r="O727" s="31" t="n">
        <v>25422.42</v>
      </c>
      <c r="P727" s="44" t="n">
        <f aca="false">ABS(M727-N727)</f>
        <v>29.5200000000004</v>
      </c>
      <c r="Q727" s="44" t="n">
        <f aca="false">IF(O727="","",ABS(O727-M727))</f>
        <v>59.0399999999972</v>
      </c>
      <c r="R727" s="30" t="n">
        <f aca="false">P727*L727*Summary!$C$6</f>
        <v>118.080000000002</v>
      </c>
      <c r="S727" s="31" t="n">
        <v>25333.45</v>
      </c>
      <c r="T727" s="28" t="s">
        <v>241</v>
      </c>
      <c r="U727" s="44" t="n">
        <f aca="false">IF(J727="BUY",S727-M727,M727-S727)</f>
        <v>-29.9300000000003</v>
      </c>
      <c r="V727" s="45" t="n">
        <v>0</v>
      </c>
      <c r="W727" s="45" t="n">
        <v>0</v>
      </c>
      <c r="X727" s="45" t="n">
        <v>-119.72</v>
      </c>
      <c r="Y727" s="32" t="n">
        <f aca="false">IFERROR(X727/R727,0)</f>
        <v>-1.01388888888887</v>
      </c>
      <c r="Z727" s="28" t="str">
        <f aca="false">IF(X727&gt;0,"Win",IF(X727&lt;0,"Loss","Flat"))</f>
        <v>Loss</v>
      </c>
      <c r="AA727" s="28" t="n">
        <f aca="false">ROUND((C727-B727)*1440,1)</f>
        <v>11.5</v>
      </c>
      <c r="AB727" s="28" t="str">
        <f aca="false">IF(AA727&lt;1,"a) &lt;1 min",IF(AA727&lt;10,"b) 1-10 min",IF(AA727&lt;60,"c) 10-60 min",IF(AA727&lt;240,"d) 1-4 h","e) 4 h+"))))</f>
        <v>c) 10-60 min</v>
      </c>
      <c r="AC727" s="28" t="str">
        <f aca="false">IF(P727&lt;10,"a) &lt;10",IF(P727&lt;20,"b) 10-20",IF(P727&lt;40,"c) 20-40",IF(P727&lt;80,"d) 40-80","e) 80+"))))</f>
        <v>c) 20-40</v>
      </c>
      <c r="AD727" s="30" t="n">
        <f aca="false">Summary!$C$5+SUM(X$2:X727)</f>
        <v>116069.95</v>
      </c>
      <c r="AE727" s="30" t="n">
        <f aca="false">MAX(AE726,AD727)</f>
        <v>116189.67</v>
      </c>
      <c r="AF727" s="30" t="n">
        <f aca="false">AE727-AD727</f>
        <v>119.720000000001</v>
      </c>
      <c r="AG727" s="29" t="n">
        <f aca="false">IFERROR(AF727/AE727,0)</f>
        <v>0.00103038419852644</v>
      </c>
    </row>
    <row r="728" customFormat="false" ht="15" hidden="false" customHeight="false" outlineLevel="0" collapsed="false">
      <c r="A728" s="28" t="n">
        <v>727</v>
      </c>
      <c r="B728" s="43" t="n">
        <v>46065.7465277778</v>
      </c>
      <c r="C728" s="43" t="n">
        <v>46065.7549074074</v>
      </c>
      <c r="D728" s="42" t="n">
        <f aca="false">INT(C728)</f>
        <v>46065</v>
      </c>
      <c r="E728" s="42" t="n">
        <f aca="false">D728-WEEKDAY(D728,3)</f>
        <v>46062</v>
      </c>
      <c r="F728" s="28" t="s">
        <v>177</v>
      </c>
      <c r="G728" s="28" t="n">
        <v>2026</v>
      </c>
      <c r="H728" s="28" t="s">
        <v>239</v>
      </c>
      <c r="I728" s="28" t="n">
        <v>17</v>
      </c>
      <c r="J728" s="28" t="s">
        <v>236</v>
      </c>
      <c r="K728" s="28" t="s">
        <v>237</v>
      </c>
      <c r="L728" s="28" t="n">
        <v>0.2</v>
      </c>
      <c r="M728" s="31" t="n">
        <v>24973.81</v>
      </c>
      <c r="N728" s="31" t="n">
        <v>25024.39</v>
      </c>
      <c r="O728" s="31" t="n">
        <v>24872.64</v>
      </c>
      <c r="P728" s="44" t="n">
        <f aca="false">ABS(M728-N728)</f>
        <v>50.5799999999981</v>
      </c>
      <c r="Q728" s="44" t="n">
        <f aca="false">IF(O728="","",ABS(O728-M728))</f>
        <v>101.170000000002</v>
      </c>
      <c r="R728" s="30" t="n">
        <f aca="false">P728*L728*Summary!$C$6</f>
        <v>202.319999999992</v>
      </c>
      <c r="S728" s="31" t="n">
        <v>24872.06</v>
      </c>
      <c r="T728" s="28" t="s">
        <v>214</v>
      </c>
      <c r="U728" s="44" t="n">
        <f aca="false">IF(J728="BUY",S728-M728,M728-S728)</f>
        <v>101.75</v>
      </c>
      <c r="V728" s="45" t="n">
        <v>0</v>
      </c>
      <c r="W728" s="45" t="n">
        <v>0</v>
      </c>
      <c r="X728" s="45" t="n">
        <v>407</v>
      </c>
      <c r="Y728" s="32" t="n">
        <f aca="false">IFERROR(X728/R728,0)</f>
        <v>2.01166468960071</v>
      </c>
      <c r="Z728" s="28" t="str">
        <f aca="false">IF(X728&gt;0,"Win",IF(X728&lt;0,"Loss","Flat"))</f>
        <v>Win</v>
      </c>
      <c r="AA728" s="28" t="n">
        <f aca="false">ROUND((C728-B728)*1440,1)</f>
        <v>12.1</v>
      </c>
      <c r="AB728" s="28" t="str">
        <f aca="false">IF(AA728&lt;1,"a) &lt;1 min",IF(AA728&lt;10,"b) 1-10 min",IF(AA728&lt;60,"c) 10-60 min",IF(AA728&lt;240,"d) 1-4 h","e) 4 h+"))))</f>
        <v>c) 10-60 min</v>
      </c>
      <c r="AC728" s="28" t="str">
        <f aca="false">IF(P728&lt;10,"a) &lt;10",IF(P728&lt;20,"b) 10-20",IF(P728&lt;40,"c) 20-40",IF(P728&lt;80,"d) 40-80","e) 80+"))))</f>
        <v>d) 40-80</v>
      </c>
      <c r="AD728" s="30" t="n">
        <f aca="false">Summary!$C$5+SUM(X$2:X728)</f>
        <v>116476.95</v>
      </c>
      <c r="AE728" s="30" t="n">
        <f aca="false">MAX(AE727,AD728)</f>
        <v>116476.95</v>
      </c>
      <c r="AF728" s="30" t="n">
        <f aca="false">AE728-AD728</f>
        <v>0</v>
      </c>
      <c r="AG728" s="29" t="n">
        <f aca="false">IFERROR(AF728/AE728,0)</f>
        <v>0</v>
      </c>
    </row>
    <row r="729" customFormat="false" ht="15" hidden="false" customHeight="false" outlineLevel="0" collapsed="false">
      <c r="A729" s="28" t="n">
        <v>728</v>
      </c>
      <c r="B729" s="43" t="n">
        <v>46066.3104166667</v>
      </c>
      <c r="C729" s="43" t="n">
        <v>46066.3209259259</v>
      </c>
      <c r="D729" s="42" t="n">
        <f aca="false">INT(C729)</f>
        <v>46066</v>
      </c>
      <c r="E729" s="42" t="n">
        <f aca="false">D729-WEEKDAY(D729,3)</f>
        <v>46062</v>
      </c>
      <c r="F729" s="28" t="s">
        <v>177</v>
      </c>
      <c r="G729" s="28" t="n">
        <v>2026</v>
      </c>
      <c r="H729" s="28" t="s">
        <v>242</v>
      </c>
      <c r="I729" s="28" t="n">
        <v>7</v>
      </c>
      <c r="J729" s="28" t="s">
        <v>236</v>
      </c>
      <c r="K729" s="28" t="s">
        <v>237</v>
      </c>
      <c r="L729" s="28" t="n">
        <v>0.21</v>
      </c>
      <c r="M729" s="31" t="n">
        <v>24639.7</v>
      </c>
      <c r="N729" s="31" t="n">
        <v>24660</v>
      </c>
      <c r="O729" s="31" t="n">
        <v>24599.11</v>
      </c>
      <c r="P729" s="44" t="n">
        <f aca="false">ABS(M729-N729)</f>
        <v>20.2999999999993</v>
      </c>
      <c r="Q729" s="44" t="n">
        <f aca="false">IF(O729="","",ABS(O729-M729))</f>
        <v>40.5900000000001</v>
      </c>
      <c r="R729" s="30" t="n">
        <f aca="false">P729*L729*Summary!$C$6</f>
        <v>85.259999999997</v>
      </c>
      <c r="S729" s="31" t="n">
        <v>24639.91</v>
      </c>
      <c r="T729" s="28" t="s">
        <v>238</v>
      </c>
      <c r="U729" s="44" t="n">
        <f aca="false">IF(J729="BUY",S729-M729,M729-S729)</f>
        <v>-0.209999999999127</v>
      </c>
      <c r="V729" s="45" t="n">
        <v>0</v>
      </c>
      <c r="W729" s="45" t="n">
        <v>0</v>
      </c>
      <c r="X729" s="45" t="n">
        <v>-0.88</v>
      </c>
      <c r="Y729" s="32" t="n">
        <f aca="false">IFERROR(X729/R729,0)</f>
        <v>-0.0103213699272816</v>
      </c>
      <c r="Z729" s="28" t="str">
        <f aca="false">IF(X729&gt;0,"Win",IF(X729&lt;0,"Loss","Flat"))</f>
        <v>Loss</v>
      </c>
      <c r="AA729" s="28" t="n">
        <f aca="false">ROUND((C729-B729)*1440,1)</f>
        <v>15.1</v>
      </c>
      <c r="AB729" s="28" t="str">
        <f aca="false">IF(AA729&lt;1,"a) &lt;1 min",IF(AA729&lt;10,"b) 1-10 min",IF(AA729&lt;60,"c) 10-60 min",IF(AA729&lt;240,"d) 1-4 h","e) 4 h+"))))</f>
        <v>c) 10-60 min</v>
      </c>
      <c r="AC729" s="28" t="str">
        <f aca="false">IF(P729&lt;10,"a) &lt;10",IF(P729&lt;20,"b) 10-20",IF(P729&lt;40,"c) 20-40",IF(P729&lt;80,"d) 40-80","e) 80+"))))</f>
        <v>c) 20-40</v>
      </c>
      <c r="AD729" s="30" t="n">
        <f aca="false">Summary!$C$5+SUM(X$2:X729)</f>
        <v>116476.07</v>
      </c>
      <c r="AE729" s="30" t="n">
        <f aca="false">MAX(AE728,AD729)</f>
        <v>116476.95</v>
      </c>
      <c r="AF729" s="30" t="n">
        <f aca="false">AE729-AD729</f>
        <v>0.879999999990105</v>
      </c>
      <c r="AG729" s="29" t="n">
        <f aca="false">IFERROR(AF729/AE729,0)</f>
        <v>7.5551428844085E-006</v>
      </c>
    </row>
    <row r="730" customFormat="false" ht="15" hidden="false" customHeight="false" outlineLevel="0" collapsed="false">
      <c r="A730" s="28" t="n">
        <v>729</v>
      </c>
      <c r="B730" s="43" t="n">
        <v>46070.1645833333</v>
      </c>
      <c r="C730" s="43" t="n">
        <v>46070.1757407407</v>
      </c>
      <c r="D730" s="42" t="n">
        <f aca="false">INT(C730)</f>
        <v>46070</v>
      </c>
      <c r="E730" s="42" t="n">
        <f aca="false">D730-WEEKDAY(D730,3)</f>
        <v>46069</v>
      </c>
      <c r="F730" s="28" t="s">
        <v>177</v>
      </c>
      <c r="G730" s="28" t="n">
        <v>2026</v>
      </c>
      <c r="H730" s="28" t="s">
        <v>232</v>
      </c>
      <c r="I730" s="28" t="n">
        <v>3</v>
      </c>
      <c r="J730" s="28" t="s">
        <v>236</v>
      </c>
      <c r="K730" s="28" t="s">
        <v>237</v>
      </c>
      <c r="L730" s="28" t="n">
        <v>0.21</v>
      </c>
      <c r="M730" s="31" t="n">
        <v>24599.9</v>
      </c>
      <c r="N730" s="31" t="n">
        <v>24634.18</v>
      </c>
      <c r="O730" s="31" t="n">
        <v>24531.44</v>
      </c>
      <c r="P730" s="44" t="n">
        <f aca="false">ABS(M730-N730)</f>
        <v>34.2799999999988</v>
      </c>
      <c r="Q730" s="44" t="n">
        <f aca="false">IF(O730="","",ABS(O730-M730))</f>
        <v>68.4600000000028</v>
      </c>
      <c r="R730" s="30" t="n">
        <f aca="false">P730*L730*Summary!$C$6</f>
        <v>143.975999999995</v>
      </c>
      <c r="S730" s="31" t="n">
        <v>24600.01</v>
      </c>
      <c r="T730" s="28" t="s">
        <v>238</v>
      </c>
      <c r="U730" s="44" t="n">
        <f aca="false">IF(J730="BUY",S730-M730,M730-S730)</f>
        <v>-0.109999999996944</v>
      </c>
      <c r="V730" s="45" t="n">
        <v>0</v>
      </c>
      <c r="W730" s="45" t="n">
        <v>0</v>
      </c>
      <c r="X730" s="45" t="n">
        <v>-0.46</v>
      </c>
      <c r="Y730" s="32" t="n">
        <f aca="false">IFERROR(X730/R730,0)</f>
        <v>-0.00319497694060132</v>
      </c>
      <c r="Z730" s="28" t="str">
        <f aca="false">IF(X730&gt;0,"Win",IF(X730&lt;0,"Loss","Flat"))</f>
        <v>Loss</v>
      </c>
      <c r="AA730" s="28" t="n">
        <f aca="false">ROUND((C730-B730)*1440,1)</f>
        <v>16.1</v>
      </c>
      <c r="AB730" s="28" t="str">
        <f aca="false">IF(AA730&lt;1,"a) &lt;1 min",IF(AA730&lt;10,"b) 1-10 min",IF(AA730&lt;60,"c) 10-60 min",IF(AA730&lt;240,"d) 1-4 h","e) 4 h+"))))</f>
        <v>c) 10-60 min</v>
      </c>
      <c r="AC730" s="28" t="str">
        <f aca="false">IF(P730&lt;10,"a) &lt;10",IF(P730&lt;20,"b) 10-20",IF(P730&lt;40,"c) 20-40",IF(P730&lt;80,"d) 40-80","e) 80+"))))</f>
        <v>c) 20-40</v>
      </c>
      <c r="AD730" s="30" t="n">
        <f aca="false">Summary!$C$5+SUM(X$2:X730)</f>
        <v>116475.61</v>
      </c>
      <c r="AE730" s="30" t="n">
        <f aca="false">MAX(AE729,AD730)</f>
        <v>116476.95</v>
      </c>
      <c r="AF730" s="30" t="n">
        <f aca="false">AE730-AD730</f>
        <v>1.33999999999651</v>
      </c>
      <c r="AG730" s="29" t="n">
        <f aca="false">IFERROR(AF730/AE730,0)</f>
        <v>1.15044221195396E-005</v>
      </c>
    </row>
    <row r="731" customFormat="false" ht="15" hidden="false" customHeight="false" outlineLevel="0" collapsed="false">
      <c r="A731" s="28" t="n">
        <v>730</v>
      </c>
      <c r="B731" s="43" t="n">
        <v>46071.4284722222</v>
      </c>
      <c r="C731" s="43" t="n">
        <v>46071.5489814815</v>
      </c>
      <c r="D731" s="42" t="n">
        <f aca="false">INT(C731)</f>
        <v>46071</v>
      </c>
      <c r="E731" s="42" t="n">
        <f aca="false">D731-WEEKDAY(D731,3)</f>
        <v>46069</v>
      </c>
      <c r="F731" s="28" t="s">
        <v>177</v>
      </c>
      <c r="G731" s="28" t="n">
        <v>2026</v>
      </c>
      <c r="H731" s="28" t="s">
        <v>235</v>
      </c>
      <c r="I731" s="28" t="n">
        <v>10</v>
      </c>
      <c r="J731" s="28" t="s">
        <v>233</v>
      </c>
      <c r="K731" s="28" t="s">
        <v>234</v>
      </c>
      <c r="L731" s="28" t="n">
        <v>0.21</v>
      </c>
      <c r="M731" s="31" t="n">
        <v>24839.09</v>
      </c>
      <c r="N731" s="31" t="n">
        <v>24814.47</v>
      </c>
      <c r="O731" s="31" t="n">
        <v>24888.32</v>
      </c>
      <c r="P731" s="44" t="n">
        <f aca="false">ABS(M731-N731)</f>
        <v>24.619999999999</v>
      </c>
      <c r="Q731" s="44" t="n">
        <f aca="false">IF(O731="","",ABS(O731-M731))</f>
        <v>49.2299999999996</v>
      </c>
      <c r="R731" s="30" t="n">
        <f aca="false">P731*L731*Summary!$C$6</f>
        <v>103.403999999996</v>
      </c>
      <c r="S731" s="31" t="n">
        <v>24838.96</v>
      </c>
      <c r="T731" s="28" t="s">
        <v>238</v>
      </c>
      <c r="U731" s="44" t="n">
        <f aca="false">IF(J731="BUY",S731-M731,M731-S731)</f>
        <v>-0.130000000001019</v>
      </c>
      <c r="V731" s="45" t="n">
        <v>0</v>
      </c>
      <c r="W731" s="45" t="n">
        <v>0</v>
      </c>
      <c r="X731" s="45" t="n">
        <v>-0.55</v>
      </c>
      <c r="Y731" s="32" t="n">
        <f aca="false">IFERROR(X731/R731,0)</f>
        <v>-0.00531894317434551</v>
      </c>
      <c r="Z731" s="28" t="str">
        <f aca="false">IF(X731&gt;0,"Win",IF(X731&lt;0,"Loss","Flat"))</f>
        <v>Loss</v>
      </c>
      <c r="AA731" s="28" t="n">
        <f aca="false">ROUND((C731-B731)*1440,1)</f>
        <v>173.5</v>
      </c>
      <c r="AB731" s="28" t="str">
        <f aca="false">IF(AA731&lt;1,"a) &lt;1 min",IF(AA731&lt;10,"b) 1-10 min",IF(AA731&lt;60,"c) 10-60 min",IF(AA731&lt;240,"d) 1-4 h","e) 4 h+"))))</f>
        <v>d) 1-4 h</v>
      </c>
      <c r="AC731" s="28" t="str">
        <f aca="false">IF(P731&lt;10,"a) &lt;10",IF(P731&lt;20,"b) 10-20",IF(P731&lt;40,"c) 20-40",IF(P731&lt;80,"d) 40-80","e) 80+"))))</f>
        <v>c) 20-40</v>
      </c>
      <c r="AD731" s="30" t="n">
        <f aca="false">Summary!$C$5+SUM(X$2:X731)</f>
        <v>116475.06</v>
      </c>
      <c r="AE731" s="30" t="n">
        <f aca="false">MAX(AE730,AD731)</f>
        <v>116476.95</v>
      </c>
      <c r="AF731" s="30" t="n">
        <f aca="false">AE731-AD731</f>
        <v>1.88999999999942</v>
      </c>
      <c r="AG731" s="29" t="n">
        <f aca="false">IFERROR(AF731/AE731,0)</f>
        <v>1.6226386422373E-005</v>
      </c>
    </row>
    <row r="732" customFormat="false" ht="15" hidden="false" customHeight="false" outlineLevel="0" collapsed="false">
      <c r="A732" s="28" t="n">
        <v>731</v>
      </c>
      <c r="B732" s="43" t="n">
        <v>46073.6534722222</v>
      </c>
      <c r="C732" s="43" t="n">
        <v>46073.6882291667</v>
      </c>
      <c r="D732" s="42" t="n">
        <f aca="false">INT(C732)</f>
        <v>46073</v>
      </c>
      <c r="E732" s="42" t="n">
        <f aca="false">D732-WEEKDAY(D732,3)</f>
        <v>46069</v>
      </c>
      <c r="F732" s="28" t="s">
        <v>177</v>
      </c>
      <c r="G732" s="28" t="n">
        <v>2026</v>
      </c>
      <c r="H732" s="28" t="s">
        <v>242</v>
      </c>
      <c r="I732" s="28" t="n">
        <v>15</v>
      </c>
      <c r="J732" s="28" t="s">
        <v>236</v>
      </c>
      <c r="K732" s="28" t="s">
        <v>237</v>
      </c>
      <c r="L732" s="28" t="n">
        <v>0.21</v>
      </c>
      <c r="M732" s="31" t="n">
        <v>24678.82</v>
      </c>
      <c r="N732" s="31" t="n">
        <v>24726.65</v>
      </c>
      <c r="O732" s="31" t="n">
        <v>24583.16</v>
      </c>
      <c r="P732" s="44" t="n">
        <f aca="false">ABS(M732-N732)</f>
        <v>47.8300000000017</v>
      </c>
      <c r="Q732" s="44" t="n">
        <f aca="false">IF(O732="","",ABS(O732-M732))</f>
        <v>95.6599999999999</v>
      </c>
      <c r="R732" s="30" t="n">
        <f aca="false">P732*L732*Summary!$C$6</f>
        <v>200.886000000007</v>
      </c>
      <c r="S732" s="31" t="n">
        <v>24679.95</v>
      </c>
      <c r="T732" s="28" t="s">
        <v>238</v>
      </c>
      <c r="U732" s="44" t="n">
        <f aca="false">IF(J732="BUY",S732-M732,M732-S732)</f>
        <v>-1.13000000000102</v>
      </c>
      <c r="V732" s="45" t="n">
        <v>0</v>
      </c>
      <c r="W732" s="45" t="n">
        <v>0</v>
      </c>
      <c r="X732" s="45" t="n">
        <v>-4.75</v>
      </c>
      <c r="Y732" s="32" t="n">
        <f aca="false">IFERROR(X732/R732,0)</f>
        <v>-0.023645251535696</v>
      </c>
      <c r="Z732" s="28" t="str">
        <f aca="false">IF(X732&gt;0,"Win",IF(X732&lt;0,"Loss","Flat"))</f>
        <v>Loss</v>
      </c>
      <c r="AA732" s="28" t="n">
        <f aca="false">ROUND((C732-B732)*1440,1)</f>
        <v>50.1</v>
      </c>
      <c r="AB732" s="28" t="str">
        <f aca="false">IF(AA732&lt;1,"a) &lt;1 min",IF(AA732&lt;10,"b) 1-10 min",IF(AA732&lt;60,"c) 10-60 min",IF(AA732&lt;240,"d) 1-4 h","e) 4 h+"))))</f>
        <v>c) 10-60 min</v>
      </c>
      <c r="AC732" s="28" t="str">
        <f aca="false">IF(P732&lt;10,"a) &lt;10",IF(P732&lt;20,"b) 10-20",IF(P732&lt;40,"c) 20-40",IF(P732&lt;80,"d) 40-80","e) 80+"))))</f>
        <v>d) 40-80</v>
      </c>
      <c r="AD732" s="30" t="n">
        <f aca="false">Summary!$C$5+SUM(X$2:X732)</f>
        <v>116470.31</v>
      </c>
      <c r="AE732" s="30" t="n">
        <f aca="false">MAX(AE731,AD732)</f>
        <v>116476.95</v>
      </c>
      <c r="AF732" s="30" t="n">
        <f aca="false">AE732-AD732</f>
        <v>6.63999999999942</v>
      </c>
      <c r="AG732" s="29" t="n">
        <f aca="false">IFERROR(AF732/AE732,0)</f>
        <v>5.70069872193547E-005</v>
      </c>
    </row>
    <row r="733" customFormat="false" ht="15" hidden="false" customHeight="false" outlineLevel="0" collapsed="false">
      <c r="A733" s="28" t="n">
        <v>732</v>
      </c>
      <c r="B733" s="43" t="n">
        <v>46073.7097222222</v>
      </c>
      <c r="C733" s="43" t="n">
        <v>46073.7103472222</v>
      </c>
      <c r="D733" s="42" t="n">
        <f aca="false">INT(C733)</f>
        <v>46073</v>
      </c>
      <c r="E733" s="42" t="n">
        <f aca="false">D733-WEEKDAY(D733,3)</f>
        <v>46069</v>
      </c>
      <c r="F733" s="28" t="s">
        <v>177</v>
      </c>
      <c r="G733" s="28" t="n">
        <v>2026</v>
      </c>
      <c r="H733" s="28" t="s">
        <v>242</v>
      </c>
      <c r="I733" s="28" t="n">
        <v>17</v>
      </c>
      <c r="J733" s="28" t="s">
        <v>233</v>
      </c>
      <c r="K733" s="28" t="s">
        <v>234</v>
      </c>
      <c r="L733" s="28" t="n">
        <v>0.2</v>
      </c>
      <c r="M733" s="31" t="n">
        <v>25003.97</v>
      </c>
      <c r="N733" s="31" t="n">
        <v>24917.93</v>
      </c>
      <c r="O733" s="31" t="n">
        <v>25170.06</v>
      </c>
      <c r="P733" s="44" t="n">
        <f aca="false">ABS(M733-N733)</f>
        <v>86.0400000000009</v>
      </c>
      <c r="Q733" s="44" t="n">
        <f aca="false">IF(O733="","",ABS(O733-M733))</f>
        <v>166.09</v>
      </c>
      <c r="R733" s="30" t="n">
        <f aca="false">P733*L733*Summary!$C$6</f>
        <v>344.160000000004</v>
      </c>
      <c r="S733" s="31" t="n">
        <v>24917.47</v>
      </c>
      <c r="T733" s="28" t="s">
        <v>241</v>
      </c>
      <c r="U733" s="44" t="n">
        <f aca="false">IF(J733="BUY",S733-M733,M733-S733)</f>
        <v>-86.5</v>
      </c>
      <c r="V733" s="45" t="n">
        <v>0</v>
      </c>
      <c r="W733" s="45" t="n">
        <v>0</v>
      </c>
      <c r="X733" s="45" t="n">
        <v>-346</v>
      </c>
      <c r="Y733" s="32" t="n">
        <f aca="false">IFERROR(X733/R733,0)</f>
        <v>-1.00534635053463</v>
      </c>
      <c r="Z733" s="28" t="str">
        <f aca="false">IF(X733&gt;0,"Win",IF(X733&lt;0,"Loss","Flat"))</f>
        <v>Loss</v>
      </c>
      <c r="AA733" s="28" t="n">
        <f aca="false">ROUND((C733-B733)*1440,1)</f>
        <v>0.9</v>
      </c>
      <c r="AB733" s="28" t="str">
        <f aca="false">IF(AA733&lt;1,"a) &lt;1 min",IF(AA733&lt;10,"b) 1-10 min",IF(AA733&lt;60,"c) 10-60 min",IF(AA733&lt;240,"d) 1-4 h","e) 4 h+"))))</f>
        <v>a) &lt;1 min</v>
      </c>
      <c r="AC733" s="28" t="str">
        <f aca="false">IF(P733&lt;10,"a) &lt;10",IF(P733&lt;20,"b) 10-20",IF(P733&lt;40,"c) 20-40",IF(P733&lt;80,"d) 40-80","e) 80+"))))</f>
        <v>e) 80+</v>
      </c>
      <c r="AD733" s="30" t="n">
        <f aca="false">Summary!$C$5+SUM(X$2:X733)</f>
        <v>116124.31</v>
      </c>
      <c r="AE733" s="30" t="n">
        <f aca="false">MAX(AE732,AD733)</f>
        <v>116476.95</v>
      </c>
      <c r="AF733" s="30" t="n">
        <f aca="false">AE733-AD733</f>
        <v>352.639999999999</v>
      </c>
      <c r="AG733" s="29" t="n">
        <f aca="false">IFERROR(AF733/AE733,0)</f>
        <v>0.00302755180316792</v>
      </c>
    </row>
    <row r="734" customFormat="false" ht="15" hidden="false" customHeight="false" outlineLevel="0" collapsed="false">
      <c r="A734" s="28" t="n">
        <v>733</v>
      </c>
      <c r="B734" s="43" t="n">
        <v>46076.7590277778</v>
      </c>
      <c r="C734" s="43" t="n">
        <v>46076.7629398148</v>
      </c>
      <c r="D734" s="42" t="n">
        <f aca="false">INT(C734)</f>
        <v>46076</v>
      </c>
      <c r="E734" s="42" t="n">
        <f aca="false">D734-WEEKDAY(D734,3)</f>
        <v>46076</v>
      </c>
      <c r="F734" s="28" t="s">
        <v>177</v>
      </c>
      <c r="G734" s="28" t="n">
        <v>2026</v>
      </c>
      <c r="H734" s="28" t="s">
        <v>240</v>
      </c>
      <c r="I734" s="28" t="n">
        <v>18</v>
      </c>
      <c r="J734" s="28" t="s">
        <v>236</v>
      </c>
      <c r="K734" s="28" t="s">
        <v>237</v>
      </c>
      <c r="L734" s="28" t="n">
        <v>0.21</v>
      </c>
      <c r="M734" s="31" t="n">
        <v>24622.5</v>
      </c>
      <c r="N734" s="31" t="n">
        <v>24660.25</v>
      </c>
      <c r="O734" s="31" t="n">
        <v>24541.33</v>
      </c>
      <c r="P734" s="44" t="n">
        <f aca="false">ABS(M734-N734)</f>
        <v>37.75</v>
      </c>
      <c r="Q734" s="44" t="n">
        <f aca="false">IF(O734="","",ABS(O734-M734))</f>
        <v>81.1699999999983</v>
      </c>
      <c r="R734" s="30" t="n">
        <f aca="false">P734*L734*Summary!$C$6</f>
        <v>158.55</v>
      </c>
      <c r="S734" s="31" t="n">
        <v>24660.34</v>
      </c>
      <c r="T734" s="28" t="s">
        <v>241</v>
      </c>
      <c r="U734" s="44" t="n">
        <f aca="false">IF(J734="BUY",S734-M734,M734-S734)</f>
        <v>-37.8400000000001</v>
      </c>
      <c r="V734" s="45" t="n">
        <v>0</v>
      </c>
      <c r="W734" s="45" t="n">
        <v>0</v>
      </c>
      <c r="X734" s="45" t="n">
        <v>-158.93</v>
      </c>
      <c r="Y734" s="32" t="n">
        <f aca="false">IFERROR(X734/R734,0)</f>
        <v>-1.00239672027752</v>
      </c>
      <c r="Z734" s="28" t="str">
        <f aca="false">IF(X734&gt;0,"Win",IF(X734&lt;0,"Loss","Flat"))</f>
        <v>Loss</v>
      </c>
      <c r="AA734" s="28" t="n">
        <f aca="false">ROUND((C734-B734)*1440,1)</f>
        <v>5.6</v>
      </c>
      <c r="AB734" s="28" t="str">
        <f aca="false">IF(AA734&lt;1,"a) &lt;1 min",IF(AA734&lt;10,"b) 1-10 min",IF(AA734&lt;60,"c) 10-60 min",IF(AA734&lt;240,"d) 1-4 h","e) 4 h+"))))</f>
        <v>b) 1-10 min</v>
      </c>
      <c r="AC734" s="28" t="str">
        <f aca="false">IF(P734&lt;10,"a) &lt;10",IF(P734&lt;20,"b) 10-20",IF(P734&lt;40,"c) 20-40",IF(P734&lt;80,"d) 40-80","e) 80+"))))</f>
        <v>c) 20-40</v>
      </c>
      <c r="AD734" s="30" t="n">
        <f aca="false">Summary!$C$5+SUM(X$2:X734)</f>
        <v>115965.38</v>
      </c>
      <c r="AE734" s="30" t="n">
        <f aca="false">MAX(AE733,AD734)</f>
        <v>116476.95</v>
      </c>
      <c r="AF734" s="30" t="n">
        <f aca="false">AE734-AD734</f>
        <v>511.569999999992</v>
      </c>
      <c r="AG734" s="29" t="n">
        <f aca="false">IFERROR(AF734/AE734,0)</f>
        <v>0.00439202777888666</v>
      </c>
    </row>
    <row r="735" customFormat="false" ht="15" hidden="false" customHeight="false" outlineLevel="0" collapsed="false">
      <c r="A735" s="28" t="n">
        <v>734</v>
      </c>
      <c r="B735" s="43" t="n">
        <v>46077.7993055556</v>
      </c>
      <c r="C735" s="43" t="n">
        <v>46077.8221759259</v>
      </c>
      <c r="D735" s="42" t="n">
        <f aca="false">INT(C735)</f>
        <v>46077</v>
      </c>
      <c r="E735" s="42" t="n">
        <f aca="false">D735-WEEKDAY(D735,3)</f>
        <v>46076</v>
      </c>
      <c r="F735" s="28" t="s">
        <v>177</v>
      </c>
      <c r="G735" s="28" t="n">
        <v>2026</v>
      </c>
      <c r="H735" s="28" t="s">
        <v>232</v>
      </c>
      <c r="I735" s="28" t="n">
        <v>19</v>
      </c>
      <c r="J735" s="28" t="s">
        <v>233</v>
      </c>
      <c r="K735" s="28" t="s">
        <v>234</v>
      </c>
      <c r="L735" s="28" t="n">
        <v>0.2</v>
      </c>
      <c r="M735" s="31" t="n">
        <v>25007.98</v>
      </c>
      <c r="N735" s="31" t="n">
        <v>24985.68</v>
      </c>
      <c r="O735" s="31" t="n">
        <v>25052.59</v>
      </c>
      <c r="P735" s="44" t="n">
        <f aca="false">ABS(M735-N735)</f>
        <v>22.2999999999993</v>
      </c>
      <c r="Q735" s="44" t="n">
        <f aca="false">IF(O735="","",ABS(O735-M735))</f>
        <v>44.6100000000006</v>
      </c>
      <c r="R735" s="30" t="n">
        <f aca="false">P735*L735*Summary!$C$6</f>
        <v>89.1999999999971</v>
      </c>
      <c r="S735" s="31" t="n">
        <v>24985.55</v>
      </c>
      <c r="T735" s="28" t="s">
        <v>241</v>
      </c>
      <c r="U735" s="44" t="n">
        <f aca="false">IF(J735="BUY",S735-M735,M735-S735)</f>
        <v>-22.4300000000003</v>
      </c>
      <c r="V735" s="45" t="n">
        <v>0</v>
      </c>
      <c r="W735" s="45" t="n">
        <v>0</v>
      </c>
      <c r="X735" s="45" t="n">
        <v>-89.72</v>
      </c>
      <c r="Y735" s="32" t="n">
        <f aca="false">IFERROR(X735/R735,0)</f>
        <v>-1.00582959641259</v>
      </c>
      <c r="Z735" s="28" t="str">
        <f aca="false">IF(X735&gt;0,"Win",IF(X735&lt;0,"Loss","Flat"))</f>
        <v>Loss</v>
      </c>
      <c r="AA735" s="28" t="n">
        <f aca="false">ROUND((C735-B735)*1440,1)</f>
        <v>32.9</v>
      </c>
      <c r="AB735" s="28" t="str">
        <f aca="false">IF(AA735&lt;1,"a) &lt;1 min",IF(AA735&lt;10,"b) 1-10 min",IF(AA735&lt;60,"c) 10-60 min",IF(AA735&lt;240,"d) 1-4 h","e) 4 h+"))))</f>
        <v>c) 10-60 min</v>
      </c>
      <c r="AC735" s="28" t="str">
        <f aca="false">IF(P735&lt;10,"a) &lt;10",IF(P735&lt;20,"b) 10-20",IF(P735&lt;40,"c) 20-40",IF(P735&lt;80,"d) 40-80","e) 80+"))))</f>
        <v>c) 20-40</v>
      </c>
      <c r="AD735" s="30" t="n">
        <f aca="false">Summary!$C$5+SUM(X$2:X735)</f>
        <v>115875.66</v>
      </c>
      <c r="AE735" s="30" t="n">
        <f aca="false">MAX(AE734,AD735)</f>
        <v>116476.95</v>
      </c>
      <c r="AF735" s="30" t="n">
        <f aca="false">AE735-AD735</f>
        <v>601.289999999994</v>
      </c>
      <c r="AG735" s="29" t="n">
        <f aca="false">IFERROR(AF735/AE735,0)</f>
        <v>0.00516230893751934</v>
      </c>
    </row>
    <row r="736" customFormat="false" ht="15" hidden="false" customHeight="false" outlineLevel="0" collapsed="false">
      <c r="A736" s="28" t="n">
        <v>735</v>
      </c>
      <c r="B736" s="43" t="n">
        <v>46078.1201388889</v>
      </c>
      <c r="C736" s="43" t="n">
        <v>46078.1238425926</v>
      </c>
      <c r="D736" s="42" t="n">
        <f aca="false">INT(C736)</f>
        <v>46078</v>
      </c>
      <c r="E736" s="42" t="n">
        <f aca="false">D736-WEEKDAY(D736,3)</f>
        <v>46076</v>
      </c>
      <c r="F736" s="28" t="s">
        <v>177</v>
      </c>
      <c r="G736" s="28" t="n">
        <v>2026</v>
      </c>
      <c r="H736" s="28" t="s">
        <v>235</v>
      </c>
      <c r="I736" s="28" t="n">
        <v>2</v>
      </c>
      <c r="J736" s="28" t="s">
        <v>233</v>
      </c>
      <c r="K736" s="28" t="s">
        <v>234</v>
      </c>
      <c r="L736" s="28" t="n">
        <v>0.2</v>
      </c>
      <c r="M736" s="31" t="n">
        <v>25022.6</v>
      </c>
      <c r="N736" s="31" t="n">
        <v>25011.78</v>
      </c>
      <c r="O736" s="31" t="n">
        <v>25044.25</v>
      </c>
      <c r="P736" s="44" t="n">
        <f aca="false">ABS(M736-N736)</f>
        <v>10.8199999999997</v>
      </c>
      <c r="Q736" s="44" t="n">
        <f aca="false">IF(O736="","",ABS(O736-M736))</f>
        <v>21.6500000000015</v>
      </c>
      <c r="R736" s="30" t="n">
        <f aca="false">P736*L736*Summary!$C$6</f>
        <v>43.2799999999988</v>
      </c>
      <c r="S736" s="31" t="n">
        <v>25011.75</v>
      </c>
      <c r="T736" s="28" t="s">
        <v>241</v>
      </c>
      <c r="U736" s="44" t="n">
        <f aca="false">IF(J736="BUY",S736-M736,M736-S736)</f>
        <v>-10.8499999999985</v>
      </c>
      <c r="V736" s="45" t="n">
        <v>0</v>
      </c>
      <c r="W736" s="45" t="n">
        <v>0</v>
      </c>
      <c r="X736" s="45" t="n">
        <v>-43.4</v>
      </c>
      <c r="Y736" s="32" t="n">
        <f aca="false">IFERROR(X736/R736,0)</f>
        <v>-1.00277264325326</v>
      </c>
      <c r="Z736" s="28" t="str">
        <f aca="false">IF(X736&gt;0,"Win",IF(X736&lt;0,"Loss","Flat"))</f>
        <v>Loss</v>
      </c>
      <c r="AA736" s="28" t="n">
        <f aca="false">ROUND((C736-B736)*1440,1)</f>
        <v>5.3</v>
      </c>
      <c r="AB736" s="28" t="str">
        <f aca="false">IF(AA736&lt;1,"a) &lt;1 min",IF(AA736&lt;10,"b) 1-10 min",IF(AA736&lt;60,"c) 10-60 min",IF(AA736&lt;240,"d) 1-4 h","e) 4 h+"))))</f>
        <v>b) 1-10 min</v>
      </c>
      <c r="AC736" s="28" t="str">
        <f aca="false">IF(P736&lt;10,"a) &lt;10",IF(P736&lt;20,"b) 10-20",IF(P736&lt;40,"c) 20-40",IF(P736&lt;80,"d) 40-80","e) 80+"))))</f>
        <v>b) 10-20</v>
      </c>
      <c r="AD736" s="30" t="n">
        <f aca="false">Summary!$C$5+SUM(X$2:X736)</f>
        <v>115832.26</v>
      </c>
      <c r="AE736" s="30" t="n">
        <f aca="false">MAX(AE735,AD736)</f>
        <v>116476.95</v>
      </c>
      <c r="AF736" s="30" t="n">
        <f aca="false">AE736-AD736</f>
        <v>644.690000000002</v>
      </c>
      <c r="AG736" s="29" t="n">
        <f aca="false">IFERROR(AF736/AE736,0)</f>
        <v>0.00553491484795921</v>
      </c>
    </row>
    <row r="737" customFormat="false" ht="15" hidden="false" customHeight="false" outlineLevel="0" collapsed="false">
      <c r="A737" s="28" t="n">
        <v>736</v>
      </c>
      <c r="B737" s="43" t="n">
        <v>46079.0423611111</v>
      </c>
      <c r="C737" s="43" t="n">
        <v>46079.0435300926</v>
      </c>
      <c r="D737" s="42" t="n">
        <f aca="false">INT(C737)</f>
        <v>46079</v>
      </c>
      <c r="E737" s="42" t="n">
        <f aca="false">D737-WEEKDAY(D737,3)</f>
        <v>46076</v>
      </c>
      <c r="F737" s="28" t="s">
        <v>177</v>
      </c>
      <c r="G737" s="28" t="n">
        <v>2026</v>
      </c>
      <c r="H737" s="28" t="s">
        <v>239</v>
      </c>
      <c r="I737" s="28" t="n">
        <v>1</v>
      </c>
      <c r="J737" s="28" t="s">
        <v>233</v>
      </c>
      <c r="K737" s="28" t="s">
        <v>234</v>
      </c>
      <c r="L737" s="28" t="n">
        <v>0.2</v>
      </c>
      <c r="M737" s="31" t="n">
        <v>25362.01</v>
      </c>
      <c r="N737" s="31" t="n">
        <v>25341.3</v>
      </c>
      <c r="O737" s="31" t="n">
        <v>25402.68</v>
      </c>
      <c r="P737" s="44" t="n">
        <f aca="false">ABS(M737-N737)</f>
        <v>20.7099999999991</v>
      </c>
      <c r="Q737" s="44" t="n">
        <f aca="false">IF(O737="","",ABS(O737-M737))</f>
        <v>40.6700000000019</v>
      </c>
      <c r="R737" s="30" t="n">
        <f aca="false">P737*L737*Summary!$C$6</f>
        <v>82.8399999999965</v>
      </c>
      <c r="S737" s="31" t="n">
        <v>25340.62</v>
      </c>
      <c r="T737" s="28" t="s">
        <v>241</v>
      </c>
      <c r="U737" s="44" t="n">
        <f aca="false">IF(J737="BUY",S737-M737,M737-S737)</f>
        <v>-21.3899999999994</v>
      </c>
      <c r="V737" s="45" t="n">
        <v>0</v>
      </c>
      <c r="W737" s="45" t="n">
        <v>0</v>
      </c>
      <c r="X737" s="45" t="n">
        <v>-85.56</v>
      </c>
      <c r="Y737" s="32" t="n">
        <f aca="false">IFERROR(X737/R737,0)</f>
        <v>-1.03283437952684</v>
      </c>
      <c r="Z737" s="28" t="str">
        <f aca="false">IF(X737&gt;0,"Win",IF(X737&lt;0,"Loss","Flat"))</f>
        <v>Loss</v>
      </c>
      <c r="AA737" s="28" t="n">
        <f aca="false">ROUND((C737-B737)*1440,1)</f>
        <v>1.7</v>
      </c>
      <c r="AB737" s="28" t="str">
        <f aca="false">IF(AA737&lt;1,"a) &lt;1 min",IF(AA737&lt;10,"b) 1-10 min",IF(AA737&lt;60,"c) 10-60 min",IF(AA737&lt;240,"d) 1-4 h","e) 4 h+"))))</f>
        <v>b) 1-10 min</v>
      </c>
      <c r="AC737" s="28" t="str">
        <f aca="false">IF(P737&lt;10,"a) &lt;10",IF(P737&lt;20,"b) 10-20",IF(P737&lt;40,"c) 20-40",IF(P737&lt;80,"d) 40-80","e) 80+"))))</f>
        <v>c) 20-40</v>
      </c>
      <c r="AD737" s="30" t="n">
        <f aca="false">Summary!$C$5+SUM(X$2:X737)</f>
        <v>115746.7</v>
      </c>
      <c r="AE737" s="30" t="n">
        <f aca="false">MAX(AE736,AD737)</f>
        <v>116476.95</v>
      </c>
      <c r="AF737" s="30" t="n">
        <f aca="false">AE737-AD737</f>
        <v>730.25</v>
      </c>
      <c r="AG737" s="29" t="n">
        <f aca="false">IFERROR(AF737/AE737,0)</f>
        <v>0.00626948078568335</v>
      </c>
    </row>
    <row r="738" customFormat="false" ht="15" hidden="false" customHeight="false" outlineLevel="0" collapsed="false">
      <c r="A738" s="28" t="n">
        <v>737</v>
      </c>
      <c r="B738" s="43" t="n">
        <v>46079.7215277778</v>
      </c>
      <c r="C738" s="43" t="n">
        <v>46079.7354513889</v>
      </c>
      <c r="D738" s="42" t="n">
        <f aca="false">INT(C738)</f>
        <v>46079</v>
      </c>
      <c r="E738" s="42" t="n">
        <f aca="false">D738-WEEKDAY(D738,3)</f>
        <v>46076</v>
      </c>
      <c r="F738" s="28" t="s">
        <v>177</v>
      </c>
      <c r="G738" s="28" t="n">
        <v>2026</v>
      </c>
      <c r="H738" s="28" t="s">
        <v>239</v>
      </c>
      <c r="I738" s="28" t="n">
        <v>17</v>
      </c>
      <c r="J738" s="28" t="s">
        <v>236</v>
      </c>
      <c r="K738" s="28" t="s">
        <v>237</v>
      </c>
      <c r="L738" s="28" t="n">
        <v>0.2</v>
      </c>
      <c r="M738" s="31" t="n">
        <v>24926.41</v>
      </c>
      <c r="N738" s="31" t="n">
        <v>24991.91</v>
      </c>
      <c r="O738" s="31" t="n">
        <v>24795.42</v>
      </c>
      <c r="P738" s="44" t="n">
        <f aca="false">ABS(M738-N738)</f>
        <v>65.5</v>
      </c>
      <c r="Q738" s="44" t="n">
        <f aca="false">IF(O738="","",ABS(O738-M738))</f>
        <v>130.990000000002</v>
      </c>
      <c r="R738" s="30" t="n">
        <f aca="false">P738*L738*Summary!$C$6</f>
        <v>262</v>
      </c>
      <c r="S738" s="31" t="n">
        <v>24927.3</v>
      </c>
      <c r="T738" s="28" t="s">
        <v>238</v>
      </c>
      <c r="U738" s="44" t="n">
        <f aca="false">IF(J738="BUY",S738-M738,M738-S738)</f>
        <v>-0.889999999999418</v>
      </c>
      <c r="V738" s="45" t="n">
        <v>0</v>
      </c>
      <c r="W738" s="45" t="n">
        <v>0</v>
      </c>
      <c r="X738" s="45" t="n">
        <v>-3.56</v>
      </c>
      <c r="Y738" s="32" t="n">
        <f aca="false">IFERROR(X738/R738,0)</f>
        <v>-0.013587786259542</v>
      </c>
      <c r="Z738" s="28" t="str">
        <f aca="false">IF(X738&gt;0,"Win",IF(X738&lt;0,"Loss","Flat"))</f>
        <v>Loss</v>
      </c>
      <c r="AA738" s="28" t="n">
        <f aca="false">ROUND((C738-B738)*1440,1)</f>
        <v>20.1</v>
      </c>
      <c r="AB738" s="28" t="str">
        <f aca="false">IF(AA738&lt;1,"a) &lt;1 min",IF(AA738&lt;10,"b) 1-10 min",IF(AA738&lt;60,"c) 10-60 min",IF(AA738&lt;240,"d) 1-4 h","e) 4 h+"))))</f>
        <v>c) 10-60 min</v>
      </c>
      <c r="AC738" s="28" t="str">
        <f aca="false">IF(P738&lt;10,"a) &lt;10",IF(P738&lt;20,"b) 10-20",IF(P738&lt;40,"c) 20-40",IF(P738&lt;80,"d) 40-80","e) 80+"))))</f>
        <v>d) 40-80</v>
      </c>
      <c r="AD738" s="30" t="n">
        <f aca="false">Summary!$C$5+SUM(X$2:X738)</f>
        <v>115743.14</v>
      </c>
      <c r="AE738" s="30" t="n">
        <f aca="false">MAX(AE737,AD738)</f>
        <v>116476.95</v>
      </c>
      <c r="AF738" s="30" t="n">
        <f aca="false">AE738-AD738</f>
        <v>733.809999999998</v>
      </c>
      <c r="AG738" s="29" t="n">
        <f aca="false">IFERROR(AF738/AE738,0)</f>
        <v>0.00630004477280696</v>
      </c>
    </row>
    <row r="739" customFormat="false" ht="15" hidden="false" customHeight="false" outlineLevel="0" collapsed="false">
      <c r="A739" s="28" t="n">
        <v>738</v>
      </c>
      <c r="B739" s="43" t="n">
        <v>46080.6465277778</v>
      </c>
      <c r="C739" s="43" t="n">
        <v>46080.6566666667</v>
      </c>
      <c r="D739" s="42" t="n">
        <f aca="false">INT(C739)</f>
        <v>46080</v>
      </c>
      <c r="E739" s="42" t="n">
        <f aca="false">D739-WEEKDAY(D739,3)</f>
        <v>46076</v>
      </c>
      <c r="F739" s="28" t="s">
        <v>177</v>
      </c>
      <c r="G739" s="28" t="n">
        <v>2026</v>
      </c>
      <c r="H739" s="28" t="s">
        <v>242</v>
      </c>
      <c r="I739" s="28" t="n">
        <v>15</v>
      </c>
      <c r="J739" s="28" t="s">
        <v>236</v>
      </c>
      <c r="K739" s="28" t="s">
        <v>237</v>
      </c>
      <c r="L739" s="28" t="n">
        <v>0.2</v>
      </c>
      <c r="M739" s="31" t="n">
        <v>24808.39</v>
      </c>
      <c r="N739" s="31" t="n">
        <v>24837.67</v>
      </c>
      <c r="O739" s="31" t="n">
        <v>24749.05</v>
      </c>
      <c r="P739" s="44" t="n">
        <f aca="false">ABS(M739-N739)</f>
        <v>29.2799999999988</v>
      </c>
      <c r="Q739" s="44" t="n">
        <f aca="false">IF(O739="","",ABS(O739-M739))</f>
        <v>59.3400000000001</v>
      </c>
      <c r="R739" s="30" t="n">
        <f aca="false">P739*L739*Summary!$C$6</f>
        <v>117.119999999995</v>
      </c>
      <c r="S739" s="31" t="n">
        <v>24808.74</v>
      </c>
      <c r="T739" s="28" t="s">
        <v>238</v>
      </c>
      <c r="U739" s="44" t="n">
        <f aca="false">IF(J739="BUY",S739-M739,M739-S739)</f>
        <v>-0.350000000002183</v>
      </c>
      <c r="V739" s="45" t="n">
        <v>0</v>
      </c>
      <c r="W739" s="45" t="n">
        <v>0</v>
      </c>
      <c r="X739" s="45" t="n">
        <v>-1.4</v>
      </c>
      <c r="Y739" s="32" t="n">
        <f aca="false">IFERROR(X739/R739,0)</f>
        <v>-0.0119535519125688</v>
      </c>
      <c r="Z739" s="28" t="str">
        <f aca="false">IF(X739&gt;0,"Win",IF(X739&lt;0,"Loss","Flat"))</f>
        <v>Loss</v>
      </c>
      <c r="AA739" s="28" t="n">
        <f aca="false">ROUND((C739-B739)*1440,1)</f>
        <v>14.6</v>
      </c>
      <c r="AB739" s="28" t="str">
        <f aca="false">IF(AA739&lt;1,"a) &lt;1 min",IF(AA739&lt;10,"b) 1-10 min",IF(AA739&lt;60,"c) 10-60 min",IF(AA739&lt;240,"d) 1-4 h","e) 4 h+"))))</f>
        <v>c) 10-60 min</v>
      </c>
      <c r="AC739" s="28" t="str">
        <f aca="false">IF(P739&lt;10,"a) &lt;10",IF(P739&lt;20,"b) 10-20",IF(P739&lt;40,"c) 20-40",IF(P739&lt;80,"d) 40-80","e) 80+"))))</f>
        <v>c) 20-40</v>
      </c>
      <c r="AD739" s="30" t="n">
        <f aca="false">Summary!$C$5+SUM(X$2:X739)</f>
        <v>115741.74</v>
      </c>
      <c r="AE739" s="30" t="n">
        <f aca="false">MAX(AE738,AD739)</f>
        <v>116476.95</v>
      </c>
      <c r="AF739" s="30" t="n">
        <f aca="false">AE739-AD739</f>
        <v>735.209999999992</v>
      </c>
      <c r="AG739" s="29" t="n">
        <f aca="false">IFERROR(AF739/AE739,0)</f>
        <v>0.00631206431830497</v>
      </c>
    </row>
    <row r="740" customFormat="false" ht="15" hidden="false" customHeight="false" outlineLevel="0" collapsed="false">
      <c r="A740" s="28" t="n">
        <v>739</v>
      </c>
      <c r="B740" s="43" t="n">
        <v>46083.0423611111</v>
      </c>
      <c r="C740" s="43" t="n">
        <v>46083.0464351852</v>
      </c>
      <c r="D740" s="42" t="n">
        <f aca="false">INT(C740)</f>
        <v>46083</v>
      </c>
      <c r="E740" s="42" t="n">
        <f aca="false">D740-WEEKDAY(D740,3)</f>
        <v>46083</v>
      </c>
      <c r="F740" s="28" t="s">
        <v>178</v>
      </c>
      <c r="G740" s="28" t="n">
        <v>2026</v>
      </c>
      <c r="H740" s="28" t="s">
        <v>240</v>
      </c>
      <c r="I740" s="28" t="n">
        <v>1</v>
      </c>
      <c r="J740" s="28" t="s">
        <v>236</v>
      </c>
      <c r="K740" s="28" t="s">
        <v>237</v>
      </c>
      <c r="L740" s="28" t="n">
        <v>0.21</v>
      </c>
      <c r="M740" s="31" t="n">
        <v>24666.61</v>
      </c>
      <c r="N740" s="31" t="n">
        <v>24743.13</v>
      </c>
      <c r="O740" s="31" t="n">
        <v>24513.57</v>
      </c>
      <c r="P740" s="44" t="n">
        <f aca="false">ABS(M740-N740)</f>
        <v>76.5200000000004</v>
      </c>
      <c r="Q740" s="44" t="n">
        <f aca="false">IF(O740="","",ABS(O740-M740))</f>
        <v>153.040000000001</v>
      </c>
      <c r="R740" s="30" t="n">
        <f aca="false">P740*L740*Summary!$C$6</f>
        <v>321.384000000002</v>
      </c>
      <c r="S740" s="31" t="n">
        <v>24744.79</v>
      </c>
      <c r="T740" s="28" t="s">
        <v>241</v>
      </c>
      <c r="U740" s="44" t="n">
        <f aca="false">IF(J740="BUY",S740-M740,M740-S740)</f>
        <v>-78.1800000000003</v>
      </c>
      <c r="V740" s="45" t="n">
        <v>0</v>
      </c>
      <c r="W740" s="45" t="n">
        <v>0</v>
      </c>
      <c r="X740" s="45" t="n">
        <v>-328.36</v>
      </c>
      <c r="Y740" s="32" t="n">
        <f aca="false">IFERROR(X740/R740,0)</f>
        <v>-1.02170612102655</v>
      </c>
      <c r="Z740" s="28" t="str">
        <f aca="false">IF(X740&gt;0,"Win",IF(X740&lt;0,"Loss","Flat"))</f>
        <v>Loss</v>
      </c>
      <c r="AA740" s="28" t="n">
        <f aca="false">ROUND((C740-B740)*1440,1)</f>
        <v>5.9</v>
      </c>
      <c r="AB740" s="28" t="str">
        <f aca="false">IF(AA740&lt;1,"a) &lt;1 min",IF(AA740&lt;10,"b) 1-10 min",IF(AA740&lt;60,"c) 10-60 min",IF(AA740&lt;240,"d) 1-4 h","e) 4 h+"))))</f>
        <v>b) 1-10 min</v>
      </c>
      <c r="AC740" s="28" t="str">
        <f aca="false">IF(P740&lt;10,"a) &lt;10",IF(P740&lt;20,"b) 10-20",IF(P740&lt;40,"c) 20-40",IF(P740&lt;80,"d) 40-80","e) 80+"))))</f>
        <v>d) 40-80</v>
      </c>
      <c r="AD740" s="30" t="n">
        <f aca="false">Summary!$C$5+SUM(X$2:X740)</f>
        <v>115413.38</v>
      </c>
      <c r="AE740" s="30" t="n">
        <f aca="false">MAX(AE739,AD740)</f>
        <v>116476.95</v>
      </c>
      <c r="AF740" s="30" t="n">
        <f aca="false">AE740-AD740</f>
        <v>1063.56999999999</v>
      </c>
      <c r="AG740" s="29" t="n">
        <f aca="false">IFERROR(AF740/AE740,0)</f>
        <v>0.00913116286097801</v>
      </c>
    </row>
    <row r="741" customFormat="false" ht="15" hidden="false" customHeight="false" outlineLevel="0" collapsed="false">
      <c r="A741" s="28" t="n">
        <v>740</v>
      </c>
      <c r="B741" s="43" t="n">
        <v>46084.49375</v>
      </c>
      <c r="C741" s="43" t="n">
        <v>46084.5031365741</v>
      </c>
      <c r="D741" s="42" t="n">
        <f aca="false">INT(C741)</f>
        <v>46084</v>
      </c>
      <c r="E741" s="42" t="n">
        <f aca="false">D741-WEEKDAY(D741,3)</f>
        <v>46083</v>
      </c>
      <c r="F741" s="28" t="s">
        <v>178</v>
      </c>
      <c r="G741" s="28" t="n">
        <v>2026</v>
      </c>
      <c r="H741" s="28" t="s">
        <v>232</v>
      </c>
      <c r="I741" s="28" t="n">
        <v>11</v>
      </c>
      <c r="J741" s="28" t="s">
        <v>236</v>
      </c>
      <c r="K741" s="28" t="s">
        <v>237</v>
      </c>
      <c r="L741" s="28" t="n">
        <v>0.21</v>
      </c>
      <c r="M741" s="31" t="n">
        <v>24438.4</v>
      </c>
      <c r="N741" s="31" t="n">
        <v>24472.82</v>
      </c>
      <c r="O741" s="31" t="n">
        <v>24367.89</v>
      </c>
      <c r="P741" s="44" t="n">
        <f aca="false">ABS(M741-N741)</f>
        <v>34.4199999999983</v>
      </c>
      <c r="Q741" s="44" t="n">
        <f aca="false">IF(O741="","",ABS(O741-M741))</f>
        <v>70.510000000002</v>
      </c>
      <c r="R741" s="30" t="n">
        <f aca="false">P741*L741*Summary!$C$6</f>
        <v>144.563999999993</v>
      </c>
      <c r="S741" s="31" t="n">
        <v>24439.01</v>
      </c>
      <c r="T741" s="28" t="s">
        <v>238</v>
      </c>
      <c r="U741" s="44" t="n">
        <f aca="false">IF(J741="BUY",S741-M741,M741-S741)</f>
        <v>-0.609999999996944</v>
      </c>
      <c r="V741" s="45" t="n">
        <v>0</v>
      </c>
      <c r="W741" s="45" t="n">
        <v>0</v>
      </c>
      <c r="X741" s="45" t="n">
        <v>-2.56</v>
      </c>
      <c r="Y741" s="32" t="n">
        <f aca="false">IFERROR(X741/R741,0)</f>
        <v>-0.0177084198002278</v>
      </c>
      <c r="Z741" s="28" t="str">
        <f aca="false">IF(X741&gt;0,"Win",IF(X741&lt;0,"Loss","Flat"))</f>
        <v>Loss</v>
      </c>
      <c r="AA741" s="28" t="n">
        <f aca="false">ROUND((C741-B741)*1440,1)</f>
        <v>13.5</v>
      </c>
      <c r="AB741" s="28" t="str">
        <f aca="false">IF(AA741&lt;1,"a) &lt;1 min",IF(AA741&lt;10,"b) 1-10 min",IF(AA741&lt;60,"c) 10-60 min",IF(AA741&lt;240,"d) 1-4 h","e) 4 h+"))))</f>
        <v>c) 10-60 min</v>
      </c>
      <c r="AC741" s="28" t="str">
        <f aca="false">IF(P741&lt;10,"a) &lt;10",IF(P741&lt;20,"b) 10-20",IF(P741&lt;40,"c) 20-40",IF(P741&lt;80,"d) 40-80","e) 80+"))))</f>
        <v>c) 20-40</v>
      </c>
      <c r="AD741" s="30" t="n">
        <f aca="false">Summary!$C$5+SUM(X$2:X741)</f>
        <v>115410.82</v>
      </c>
      <c r="AE741" s="30" t="n">
        <f aca="false">MAX(AE740,AD741)</f>
        <v>116476.95</v>
      </c>
      <c r="AF741" s="30" t="n">
        <f aca="false">AE741-AD741</f>
        <v>1066.12999999999</v>
      </c>
      <c r="AG741" s="29" t="n">
        <f aca="false">IFERROR(AF741/AE741,0)</f>
        <v>0.00915314145846015</v>
      </c>
    </row>
    <row r="742" customFormat="false" ht="15" hidden="false" customHeight="false" outlineLevel="0" collapsed="false">
      <c r="A742" s="28" t="n">
        <v>741</v>
      </c>
      <c r="B742" s="43" t="n">
        <v>46085.7215277778</v>
      </c>
      <c r="C742" s="43" t="n">
        <v>46085.7266319445</v>
      </c>
      <c r="D742" s="42" t="n">
        <f aca="false">INT(C742)</f>
        <v>46085</v>
      </c>
      <c r="E742" s="42" t="n">
        <f aca="false">D742-WEEKDAY(D742,3)</f>
        <v>46083</v>
      </c>
      <c r="F742" s="28" t="s">
        <v>178</v>
      </c>
      <c r="G742" s="28" t="n">
        <v>2026</v>
      </c>
      <c r="H742" s="28" t="s">
        <v>235</v>
      </c>
      <c r="I742" s="28" t="n">
        <v>17</v>
      </c>
      <c r="J742" s="28" t="s">
        <v>233</v>
      </c>
      <c r="K742" s="28" t="s">
        <v>234</v>
      </c>
      <c r="L742" s="28" t="n">
        <v>0.2</v>
      </c>
      <c r="M742" s="31" t="n">
        <v>24979.27</v>
      </c>
      <c r="N742" s="31" t="n">
        <v>24935.36</v>
      </c>
      <c r="O742" s="31" t="n">
        <v>25067.08</v>
      </c>
      <c r="P742" s="44" t="n">
        <f aca="false">ABS(M742-N742)</f>
        <v>43.9099999999999</v>
      </c>
      <c r="Q742" s="44" t="n">
        <f aca="false">IF(O742="","",ABS(O742-M742))</f>
        <v>87.8100000000013</v>
      </c>
      <c r="R742" s="30" t="n">
        <f aca="false">P742*L742*Summary!$C$6</f>
        <v>175.639999999999</v>
      </c>
      <c r="S742" s="31" t="n">
        <v>25068.4</v>
      </c>
      <c r="T742" s="28" t="s">
        <v>214</v>
      </c>
      <c r="U742" s="44" t="n">
        <f aca="false">IF(J742="BUY",S742-M742,M742-S742)</f>
        <v>89.130000000001</v>
      </c>
      <c r="V742" s="45" t="n">
        <v>0</v>
      </c>
      <c r="W742" s="45" t="n">
        <v>0</v>
      </c>
      <c r="X742" s="45" t="n">
        <v>356.52</v>
      </c>
      <c r="Y742" s="32" t="n">
        <f aca="false">IFERROR(X742/R742,0)</f>
        <v>2.02983375085403</v>
      </c>
      <c r="Z742" s="28" t="str">
        <f aca="false">IF(X742&gt;0,"Win",IF(X742&lt;0,"Loss","Flat"))</f>
        <v>Win</v>
      </c>
      <c r="AA742" s="28" t="n">
        <f aca="false">ROUND((C742-B742)*1440,1)</f>
        <v>7.4</v>
      </c>
      <c r="AB742" s="28" t="str">
        <f aca="false">IF(AA742&lt;1,"a) &lt;1 min",IF(AA742&lt;10,"b) 1-10 min",IF(AA742&lt;60,"c) 10-60 min",IF(AA742&lt;240,"d) 1-4 h","e) 4 h+"))))</f>
        <v>b) 1-10 min</v>
      </c>
      <c r="AC742" s="28" t="str">
        <f aca="false">IF(P742&lt;10,"a) &lt;10",IF(P742&lt;20,"b) 10-20",IF(P742&lt;40,"c) 20-40",IF(P742&lt;80,"d) 40-80","e) 80+"))))</f>
        <v>d) 40-80</v>
      </c>
      <c r="AD742" s="30" t="n">
        <f aca="false">Summary!$C$5+SUM(X$2:X742)</f>
        <v>115767.34</v>
      </c>
      <c r="AE742" s="30" t="n">
        <f aca="false">MAX(AE741,AD742)</f>
        <v>116476.95</v>
      </c>
      <c r="AF742" s="30" t="n">
        <f aca="false">AE742-AD742</f>
        <v>709.610000000001</v>
      </c>
      <c r="AG742" s="29" t="n">
        <f aca="false">IFERROR(AF742/AE742,0)</f>
        <v>0.00609227834348342</v>
      </c>
    </row>
    <row r="743" customFormat="false" ht="15" hidden="false" customHeight="false" outlineLevel="0" collapsed="false">
      <c r="A743" s="28" t="n">
        <v>742</v>
      </c>
      <c r="B743" s="43" t="n">
        <v>46086.0944444445</v>
      </c>
      <c r="C743" s="43" t="n">
        <v>46086.1009143519</v>
      </c>
      <c r="D743" s="42" t="n">
        <f aca="false">INT(C743)</f>
        <v>46086</v>
      </c>
      <c r="E743" s="42" t="n">
        <f aca="false">D743-WEEKDAY(D743,3)</f>
        <v>46083</v>
      </c>
      <c r="F743" s="28" t="s">
        <v>178</v>
      </c>
      <c r="G743" s="28" t="n">
        <v>2026</v>
      </c>
      <c r="H743" s="28" t="s">
        <v>239</v>
      </c>
      <c r="I743" s="28" t="n">
        <v>2</v>
      </c>
      <c r="J743" s="28" t="s">
        <v>233</v>
      </c>
      <c r="K743" s="28" t="s">
        <v>234</v>
      </c>
      <c r="L743" s="28" t="n">
        <v>0.2</v>
      </c>
      <c r="M743" s="31" t="n">
        <v>25197.02</v>
      </c>
      <c r="N743" s="31" t="n">
        <v>25176.6</v>
      </c>
      <c r="O743" s="31" t="n">
        <v>25237.87</v>
      </c>
      <c r="P743" s="44" t="n">
        <f aca="false">ABS(M743-N743)</f>
        <v>20.4200000000019</v>
      </c>
      <c r="Q743" s="44" t="n">
        <f aca="false">IF(O743="","",ABS(O743-M743))</f>
        <v>40.8499999999985</v>
      </c>
      <c r="R743" s="30" t="n">
        <f aca="false">P743*L743*Summary!$C$6</f>
        <v>81.6800000000076</v>
      </c>
      <c r="S743" s="31" t="n">
        <v>25176.06</v>
      </c>
      <c r="T743" s="28" t="s">
        <v>241</v>
      </c>
      <c r="U743" s="44" t="n">
        <f aca="false">IF(J743="BUY",S743-M743,M743-S743)</f>
        <v>-20.9599999999991</v>
      </c>
      <c r="V743" s="45" t="n">
        <v>0</v>
      </c>
      <c r="W743" s="45" t="n">
        <v>0</v>
      </c>
      <c r="X743" s="45" t="n">
        <v>-83.84</v>
      </c>
      <c r="Y743" s="32" t="n">
        <f aca="false">IFERROR(X743/R743,0)</f>
        <v>-1.02644466209589</v>
      </c>
      <c r="Z743" s="28" t="str">
        <f aca="false">IF(X743&gt;0,"Win",IF(X743&lt;0,"Loss","Flat"))</f>
        <v>Loss</v>
      </c>
      <c r="AA743" s="28" t="n">
        <f aca="false">ROUND((C743-B743)*1440,1)</f>
        <v>9.3</v>
      </c>
      <c r="AB743" s="28" t="str">
        <f aca="false">IF(AA743&lt;1,"a) &lt;1 min",IF(AA743&lt;10,"b) 1-10 min",IF(AA743&lt;60,"c) 10-60 min",IF(AA743&lt;240,"d) 1-4 h","e) 4 h+"))))</f>
        <v>b) 1-10 min</v>
      </c>
      <c r="AC743" s="28" t="str">
        <f aca="false">IF(P743&lt;10,"a) &lt;10",IF(P743&lt;20,"b) 10-20",IF(P743&lt;40,"c) 20-40",IF(P743&lt;80,"d) 40-80","e) 80+"))))</f>
        <v>c) 20-40</v>
      </c>
      <c r="AD743" s="30" t="n">
        <f aca="false">Summary!$C$5+SUM(X$2:X743)</f>
        <v>115683.5</v>
      </c>
      <c r="AE743" s="30" t="n">
        <f aca="false">MAX(AE742,AD743)</f>
        <v>116476.95</v>
      </c>
      <c r="AF743" s="30" t="n">
        <f aca="false">AE743-AD743</f>
        <v>793.449999999997</v>
      </c>
      <c r="AG743" s="29" t="n">
        <f aca="false">IFERROR(AF743/AE743,0)</f>
        <v>0.00681207741102422</v>
      </c>
    </row>
    <row r="744" customFormat="false" ht="15" hidden="false" customHeight="false" outlineLevel="0" collapsed="false">
      <c r="A744" s="28" t="n">
        <v>743</v>
      </c>
      <c r="B744" s="43" t="n">
        <v>46087.6465277778</v>
      </c>
      <c r="C744" s="43" t="n">
        <v>46087.6468865741</v>
      </c>
      <c r="D744" s="42" t="n">
        <f aca="false">INT(C744)</f>
        <v>46087</v>
      </c>
      <c r="E744" s="42" t="n">
        <f aca="false">D744-WEEKDAY(D744,3)</f>
        <v>46083</v>
      </c>
      <c r="F744" s="28" t="s">
        <v>178</v>
      </c>
      <c r="G744" s="28" t="n">
        <v>2026</v>
      </c>
      <c r="H744" s="28" t="s">
        <v>242</v>
      </c>
      <c r="I744" s="28" t="n">
        <v>15</v>
      </c>
      <c r="J744" s="28" t="s">
        <v>236</v>
      </c>
      <c r="K744" s="28" t="s">
        <v>237</v>
      </c>
      <c r="L744" s="28" t="n">
        <v>0.21</v>
      </c>
      <c r="M744" s="31" t="n">
        <v>24732.13</v>
      </c>
      <c r="N744" s="31" t="n">
        <v>24773.01</v>
      </c>
      <c r="O744" s="31" t="n">
        <v>24646.43</v>
      </c>
      <c r="P744" s="44" t="n">
        <f aca="false">ABS(M744-N744)</f>
        <v>40.8799999999974</v>
      </c>
      <c r="Q744" s="44" t="n">
        <f aca="false">IF(O744="","",ABS(O744-M744))</f>
        <v>85.7000000000007</v>
      </c>
      <c r="R744" s="30" t="n">
        <f aca="false">P744*L744*Summary!$C$6</f>
        <v>171.695999999989</v>
      </c>
      <c r="S744" s="31" t="n">
        <v>24773.13</v>
      </c>
      <c r="T744" s="28" t="s">
        <v>241</v>
      </c>
      <c r="U744" s="44" t="n">
        <f aca="false">IF(J744="BUY",S744-M744,M744-S744)</f>
        <v>-41</v>
      </c>
      <c r="V744" s="45" t="n">
        <v>0</v>
      </c>
      <c r="W744" s="45" t="n">
        <v>0</v>
      </c>
      <c r="X744" s="45" t="n">
        <v>-172.2</v>
      </c>
      <c r="Y744" s="32" t="n">
        <f aca="false">IFERROR(X744/R744,0)</f>
        <v>-1.0029354207437</v>
      </c>
      <c r="Z744" s="28" t="str">
        <f aca="false">IF(X744&gt;0,"Win",IF(X744&lt;0,"Loss","Flat"))</f>
        <v>Loss</v>
      </c>
      <c r="AA744" s="28" t="n">
        <f aca="false">ROUND((C744-B744)*1440,1)</f>
        <v>0.5</v>
      </c>
      <c r="AB744" s="28" t="str">
        <f aca="false">IF(AA744&lt;1,"a) &lt;1 min",IF(AA744&lt;10,"b) 1-10 min",IF(AA744&lt;60,"c) 10-60 min",IF(AA744&lt;240,"d) 1-4 h","e) 4 h+"))))</f>
        <v>a) &lt;1 min</v>
      </c>
      <c r="AC744" s="28" t="str">
        <f aca="false">IF(P744&lt;10,"a) &lt;10",IF(P744&lt;20,"b) 10-20",IF(P744&lt;40,"c) 20-40",IF(P744&lt;80,"d) 40-80","e) 80+"))))</f>
        <v>d) 40-80</v>
      </c>
      <c r="AD744" s="30" t="n">
        <f aca="false">Summary!$C$5+SUM(X$2:X744)</f>
        <v>115511.3</v>
      </c>
      <c r="AE744" s="30" t="n">
        <f aca="false">MAX(AE743,AD744)</f>
        <v>116476.95</v>
      </c>
      <c r="AF744" s="30" t="n">
        <f aca="false">AE744-AD744</f>
        <v>965.649999999994</v>
      </c>
      <c r="AG744" s="29" t="n">
        <f aca="false">IFERROR(AF744/AE744,0)</f>
        <v>0.0082904815072853</v>
      </c>
    </row>
    <row r="745" customFormat="false" ht="15" hidden="false" customHeight="false" outlineLevel="0" collapsed="false">
      <c r="A745" s="28" t="n">
        <v>744</v>
      </c>
      <c r="B745" s="43" t="n">
        <v>46090.0423611111</v>
      </c>
      <c r="C745" s="43" t="n">
        <v>46090.123287037</v>
      </c>
      <c r="D745" s="42" t="n">
        <f aca="false">INT(C745)</f>
        <v>46090</v>
      </c>
      <c r="E745" s="42" t="n">
        <f aca="false">D745-WEEKDAY(D745,3)</f>
        <v>46090</v>
      </c>
      <c r="F745" s="28" t="s">
        <v>178</v>
      </c>
      <c r="G745" s="28" t="n">
        <v>2026</v>
      </c>
      <c r="H745" s="28" t="s">
        <v>240</v>
      </c>
      <c r="I745" s="28" t="n">
        <v>1</v>
      </c>
      <c r="J745" s="28" t="s">
        <v>236</v>
      </c>
      <c r="K745" s="28" t="s">
        <v>237</v>
      </c>
      <c r="L745" s="28" t="n">
        <v>0.21</v>
      </c>
      <c r="M745" s="31" t="n">
        <v>24317.54</v>
      </c>
      <c r="N745" s="31" t="n">
        <v>24395.82</v>
      </c>
      <c r="O745" s="31" t="n">
        <v>24146.7</v>
      </c>
      <c r="P745" s="44" t="n">
        <f aca="false">ABS(M745-N745)</f>
        <v>78.2799999999988</v>
      </c>
      <c r="Q745" s="44" t="n">
        <f aca="false">IF(O745="","",ABS(O745-M745))</f>
        <v>170.84</v>
      </c>
      <c r="R745" s="30" t="n">
        <f aca="false">P745*L745*Summary!$C$6</f>
        <v>328.775999999995</v>
      </c>
      <c r="S745" s="31" t="n">
        <v>24145.8</v>
      </c>
      <c r="T745" s="28" t="s">
        <v>214</v>
      </c>
      <c r="U745" s="44" t="n">
        <f aca="false">IF(J745="BUY",S745-M745,M745-S745)</f>
        <v>171.740000000002</v>
      </c>
      <c r="V745" s="45" t="n">
        <v>0</v>
      </c>
      <c r="W745" s="45" t="n">
        <v>0</v>
      </c>
      <c r="X745" s="45" t="n">
        <v>721.31</v>
      </c>
      <c r="Y745" s="32" t="n">
        <f aca="false">IFERROR(X745/R745,0)</f>
        <v>2.19392534734899</v>
      </c>
      <c r="Z745" s="28" t="str">
        <f aca="false">IF(X745&gt;0,"Win",IF(X745&lt;0,"Loss","Flat"))</f>
        <v>Win</v>
      </c>
      <c r="AA745" s="28" t="n">
        <f aca="false">ROUND((C745-B745)*1440,1)</f>
        <v>116.5</v>
      </c>
      <c r="AB745" s="28" t="str">
        <f aca="false">IF(AA745&lt;1,"a) &lt;1 min",IF(AA745&lt;10,"b) 1-10 min",IF(AA745&lt;60,"c) 10-60 min",IF(AA745&lt;240,"d) 1-4 h","e) 4 h+"))))</f>
        <v>d) 1-4 h</v>
      </c>
      <c r="AC745" s="28" t="str">
        <f aca="false">IF(P745&lt;10,"a) &lt;10",IF(P745&lt;20,"b) 10-20",IF(P745&lt;40,"c) 20-40",IF(P745&lt;80,"d) 40-80","e) 80+"))))</f>
        <v>d) 40-80</v>
      </c>
      <c r="AD745" s="30" t="n">
        <f aca="false">Summary!$C$5+SUM(X$2:X745)</f>
        <v>116232.61</v>
      </c>
      <c r="AE745" s="30" t="n">
        <f aca="false">MAX(AE744,AD745)</f>
        <v>116476.95</v>
      </c>
      <c r="AF745" s="30" t="n">
        <f aca="false">AE745-AD745</f>
        <v>244.339999999997</v>
      </c>
      <c r="AG745" s="29" t="n">
        <f aca="false">IFERROR(AF745/AE745,0)</f>
        <v>0.00209775410499671</v>
      </c>
    </row>
    <row r="746" customFormat="false" ht="15" hidden="false" customHeight="false" outlineLevel="0" collapsed="false">
      <c r="A746" s="28" t="n">
        <v>745</v>
      </c>
      <c r="B746" s="43" t="n">
        <v>46091.4361111111</v>
      </c>
      <c r="C746" s="43" t="n">
        <v>46091.4637268519</v>
      </c>
      <c r="D746" s="42" t="n">
        <f aca="false">INT(C746)</f>
        <v>46091</v>
      </c>
      <c r="E746" s="42" t="n">
        <f aca="false">D746-WEEKDAY(D746,3)</f>
        <v>46090</v>
      </c>
      <c r="F746" s="28" t="s">
        <v>178</v>
      </c>
      <c r="G746" s="28" t="n">
        <v>2026</v>
      </c>
      <c r="H746" s="28" t="s">
        <v>232</v>
      </c>
      <c r="I746" s="28" t="n">
        <v>10</v>
      </c>
      <c r="J746" s="28" t="s">
        <v>233</v>
      </c>
      <c r="K746" s="28" t="s">
        <v>234</v>
      </c>
      <c r="L746" s="28" t="n">
        <v>0.2</v>
      </c>
      <c r="M746" s="31" t="n">
        <v>25025.52</v>
      </c>
      <c r="N746" s="31" t="n">
        <v>24996.74</v>
      </c>
      <c r="O746" s="31" t="n">
        <v>25082.13</v>
      </c>
      <c r="P746" s="44" t="n">
        <f aca="false">ABS(M746-N746)</f>
        <v>28.7799999999988</v>
      </c>
      <c r="Q746" s="44" t="n">
        <f aca="false">IF(O746="","",ABS(O746-M746))</f>
        <v>56.6100000000006</v>
      </c>
      <c r="R746" s="30" t="n">
        <f aca="false">P746*L746*Summary!$C$6</f>
        <v>115.119999999995</v>
      </c>
      <c r="S746" s="31" t="n">
        <v>25082.65</v>
      </c>
      <c r="T746" s="28" t="s">
        <v>214</v>
      </c>
      <c r="U746" s="44" t="n">
        <f aca="false">IF(J746="BUY",S746-M746,M746-S746)</f>
        <v>57.130000000001</v>
      </c>
      <c r="V746" s="45" t="n">
        <v>0</v>
      </c>
      <c r="W746" s="45" t="n">
        <v>0</v>
      </c>
      <c r="X746" s="45" t="n">
        <v>228.52</v>
      </c>
      <c r="Y746" s="32" t="n">
        <f aca="false">IFERROR(X746/R746,0)</f>
        <v>1.98505906879786</v>
      </c>
      <c r="Z746" s="28" t="str">
        <f aca="false">IF(X746&gt;0,"Win",IF(X746&lt;0,"Loss","Flat"))</f>
        <v>Win</v>
      </c>
      <c r="AA746" s="28" t="n">
        <f aca="false">ROUND((C746-B746)*1440,1)</f>
        <v>39.8</v>
      </c>
      <c r="AB746" s="28" t="str">
        <f aca="false">IF(AA746&lt;1,"a) &lt;1 min",IF(AA746&lt;10,"b) 1-10 min",IF(AA746&lt;60,"c) 10-60 min",IF(AA746&lt;240,"d) 1-4 h","e) 4 h+"))))</f>
        <v>c) 10-60 min</v>
      </c>
      <c r="AC746" s="28" t="str">
        <f aca="false">IF(P746&lt;10,"a) &lt;10",IF(P746&lt;20,"b) 10-20",IF(P746&lt;40,"c) 20-40",IF(P746&lt;80,"d) 40-80","e) 80+"))))</f>
        <v>c) 20-40</v>
      </c>
      <c r="AD746" s="30" t="n">
        <f aca="false">Summary!$C$5+SUM(X$2:X746)</f>
        <v>116461.13</v>
      </c>
      <c r="AE746" s="30" t="n">
        <f aca="false">MAX(AE745,AD746)</f>
        <v>116476.95</v>
      </c>
      <c r="AF746" s="30" t="n">
        <f aca="false">AE746-AD746</f>
        <v>15.8199999999924</v>
      </c>
      <c r="AG746" s="29" t="n">
        <f aca="false">IFERROR(AF746/AE746,0)</f>
        <v>0.000135820864127988</v>
      </c>
    </row>
    <row r="747" customFormat="false" ht="15" hidden="false" customHeight="false" outlineLevel="0" collapsed="false">
      <c r="A747" s="28" t="n">
        <v>746</v>
      </c>
      <c r="B747" s="43" t="n">
        <v>46093.0611111111</v>
      </c>
      <c r="C747" s="43" t="n">
        <v>46093.0899652778</v>
      </c>
      <c r="D747" s="42" t="n">
        <f aca="false">INT(C747)</f>
        <v>46093</v>
      </c>
      <c r="E747" s="42" t="n">
        <f aca="false">D747-WEEKDAY(D747,3)</f>
        <v>46090</v>
      </c>
      <c r="F747" s="28" t="s">
        <v>178</v>
      </c>
      <c r="G747" s="28" t="n">
        <v>2026</v>
      </c>
      <c r="H747" s="28" t="s">
        <v>239</v>
      </c>
      <c r="I747" s="28" t="n">
        <v>1</v>
      </c>
      <c r="J747" s="28" t="s">
        <v>236</v>
      </c>
      <c r="K747" s="28" t="s">
        <v>237</v>
      </c>
      <c r="L747" s="28" t="n">
        <v>0.21</v>
      </c>
      <c r="M747" s="31" t="n">
        <v>24841.09</v>
      </c>
      <c r="N747" s="31" t="n">
        <v>24866.97</v>
      </c>
      <c r="O747" s="31" t="n">
        <v>24789.33</v>
      </c>
      <c r="P747" s="44" t="n">
        <f aca="false">ABS(M747-N747)</f>
        <v>25.880000000001</v>
      </c>
      <c r="Q747" s="44" t="n">
        <f aca="false">IF(O747="","",ABS(O747-M747))</f>
        <v>51.7599999999984</v>
      </c>
      <c r="R747" s="30" t="n">
        <f aca="false">P747*L747*Summary!$C$6</f>
        <v>108.696000000004</v>
      </c>
      <c r="S747" s="31" t="n">
        <v>24787.01</v>
      </c>
      <c r="T747" s="28" t="s">
        <v>214</v>
      </c>
      <c r="U747" s="44" t="n">
        <f aca="false">IF(J747="BUY",S747-M747,M747-S747)</f>
        <v>54.0800000000017</v>
      </c>
      <c r="V747" s="45" t="n">
        <v>0</v>
      </c>
      <c r="W747" s="45" t="n">
        <v>0</v>
      </c>
      <c r="X747" s="45" t="n">
        <v>227.14</v>
      </c>
      <c r="Y747" s="32" t="n">
        <f aca="false">IFERROR(X747/R747,0)</f>
        <v>2.08968131301972</v>
      </c>
      <c r="Z747" s="28" t="str">
        <f aca="false">IF(X747&gt;0,"Win",IF(X747&lt;0,"Loss","Flat"))</f>
        <v>Win</v>
      </c>
      <c r="AA747" s="28" t="n">
        <f aca="false">ROUND((C747-B747)*1440,1)</f>
        <v>41.6</v>
      </c>
      <c r="AB747" s="28" t="str">
        <f aca="false">IF(AA747&lt;1,"a) &lt;1 min",IF(AA747&lt;10,"b) 1-10 min",IF(AA747&lt;60,"c) 10-60 min",IF(AA747&lt;240,"d) 1-4 h","e) 4 h+"))))</f>
        <v>c) 10-60 min</v>
      </c>
      <c r="AC747" s="28" t="str">
        <f aca="false">IF(P747&lt;10,"a) &lt;10",IF(P747&lt;20,"b) 10-20",IF(P747&lt;40,"c) 20-40",IF(P747&lt;80,"d) 40-80","e) 80+"))))</f>
        <v>c) 20-40</v>
      </c>
      <c r="AD747" s="30" t="n">
        <f aca="false">Summary!$C$5+SUM(X$2:X747)</f>
        <v>116688.27</v>
      </c>
      <c r="AE747" s="30" t="n">
        <f aca="false">MAX(AE746,AD747)</f>
        <v>116688.27</v>
      </c>
      <c r="AF747" s="30" t="n">
        <f aca="false">AE747-AD747</f>
        <v>0</v>
      </c>
      <c r="AG747" s="29" t="n">
        <f aca="false">IFERROR(AF747/AE747,0)</f>
        <v>0</v>
      </c>
    </row>
    <row r="748" customFormat="false" ht="15" hidden="false" customHeight="false" outlineLevel="0" collapsed="false">
      <c r="A748" s="28" t="n">
        <v>747</v>
      </c>
      <c r="B748" s="43" t="n">
        <v>46094.1256944445</v>
      </c>
      <c r="C748" s="43" t="n">
        <v>46094.131400463</v>
      </c>
      <c r="D748" s="42" t="n">
        <f aca="false">INT(C748)</f>
        <v>46094</v>
      </c>
      <c r="E748" s="42" t="n">
        <f aca="false">D748-WEEKDAY(D748,3)</f>
        <v>46090</v>
      </c>
      <c r="F748" s="28" t="s">
        <v>178</v>
      </c>
      <c r="G748" s="28" t="n">
        <v>2026</v>
      </c>
      <c r="H748" s="28" t="s">
        <v>242</v>
      </c>
      <c r="I748" s="28" t="n">
        <v>3</v>
      </c>
      <c r="J748" s="28" t="s">
        <v>236</v>
      </c>
      <c r="K748" s="28" t="s">
        <v>237</v>
      </c>
      <c r="L748" s="28" t="n">
        <v>0.21</v>
      </c>
      <c r="M748" s="31" t="n">
        <v>24493.77</v>
      </c>
      <c r="N748" s="31" t="n">
        <v>24515.84</v>
      </c>
      <c r="O748" s="31" t="n">
        <v>24449.96</v>
      </c>
      <c r="P748" s="44" t="n">
        <f aca="false">ABS(M748-N748)</f>
        <v>22.0699999999997</v>
      </c>
      <c r="Q748" s="44" t="n">
        <f aca="false">IF(O748="","",ABS(O748-M748))</f>
        <v>43.8100000000013</v>
      </c>
      <c r="R748" s="30" t="n">
        <f aca="false">P748*L748*Summary!$C$6</f>
        <v>92.6939999999988</v>
      </c>
      <c r="S748" s="31" t="n">
        <v>24515.84</v>
      </c>
      <c r="T748" s="28" t="s">
        <v>241</v>
      </c>
      <c r="U748" s="44" t="n">
        <f aca="false">IF(J748="BUY",S748-M748,M748-S748)</f>
        <v>-22.0699999999997</v>
      </c>
      <c r="V748" s="45" t="n">
        <v>0</v>
      </c>
      <c r="W748" s="45" t="n">
        <v>0</v>
      </c>
      <c r="X748" s="45" t="n">
        <v>-92.69</v>
      </c>
      <c r="Y748" s="32" t="n">
        <f aca="false">IFERROR(X748/R748,0)</f>
        <v>-0.999956847260893</v>
      </c>
      <c r="Z748" s="28" t="str">
        <f aca="false">IF(X748&gt;0,"Win",IF(X748&lt;0,"Loss","Flat"))</f>
        <v>Loss</v>
      </c>
      <c r="AA748" s="28" t="n">
        <f aca="false">ROUND((C748-B748)*1440,1)</f>
        <v>8.2</v>
      </c>
      <c r="AB748" s="28" t="str">
        <f aca="false">IF(AA748&lt;1,"a) &lt;1 min",IF(AA748&lt;10,"b) 1-10 min",IF(AA748&lt;60,"c) 10-60 min",IF(AA748&lt;240,"d) 1-4 h","e) 4 h+"))))</f>
        <v>b) 1-10 min</v>
      </c>
      <c r="AC748" s="28" t="str">
        <f aca="false">IF(P748&lt;10,"a) &lt;10",IF(P748&lt;20,"b) 10-20",IF(P748&lt;40,"c) 20-40",IF(P748&lt;80,"d) 40-80","e) 80+"))))</f>
        <v>c) 20-40</v>
      </c>
      <c r="AD748" s="30" t="n">
        <f aca="false">Summary!$C$5+SUM(X$2:X748)</f>
        <v>116595.58</v>
      </c>
      <c r="AE748" s="30" t="n">
        <f aca="false">MAX(AE747,AD748)</f>
        <v>116688.27</v>
      </c>
      <c r="AF748" s="30" t="n">
        <f aca="false">AE748-AD748</f>
        <v>92.6900000000023</v>
      </c>
      <c r="AG748" s="29" t="n">
        <f aca="false">IFERROR(AF748/AE748,0)</f>
        <v>0.000794338625467687</v>
      </c>
    </row>
    <row r="749" customFormat="false" ht="15" hidden="false" customHeight="false" outlineLevel="0" collapsed="false">
      <c r="A749" s="28" t="n">
        <v>748</v>
      </c>
      <c r="B749" s="43" t="n">
        <v>46097.0423611111</v>
      </c>
      <c r="C749" s="43" t="n">
        <v>46097.0426273148</v>
      </c>
      <c r="D749" s="42" t="n">
        <f aca="false">INT(C749)</f>
        <v>46097</v>
      </c>
      <c r="E749" s="42" t="n">
        <f aca="false">D749-WEEKDAY(D749,3)</f>
        <v>46097</v>
      </c>
      <c r="F749" s="28" t="s">
        <v>178</v>
      </c>
      <c r="G749" s="28" t="n">
        <v>2026</v>
      </c>
      <c r="H749" s="28" t="s">
        <v>240</v>
      </c>
      <c r="I749" s="28" t="n">
        <v>1</v>
      </c>
      <c r="J749" s="28" t="s">
        <v>236</v>
      </c>
      <c r="K749" s="28" t="s">
        <v>237</v>
      </c>
      <c r="L749" s="28" t="n">
        <v>0.21</v>
      </c>
      <c r="M749" s="31" t="n">
        <v>24313.57</v>
      </c>
      <c r="N749" s="31" t="n">
        <v>24339.93</v>
      </c>
      <c r="O749" s="31" t="n">
        <v>24260.85</v>
      </c>
      <c r="P749" s="44" t="n">
        <f aca="false">ABS(M749-N749)</f>
        <v>26.3600000000006</v>
      </c>
      <c r="Q749" s="44" t="n">
        <f aca="false">IF(O749="","",ABS(O749-M749))</f>
        <v>52.7200000000012</v>
      </c>
      <c r="R749" s="30" t="n">
        <f aca="false">P749*L749*Summary!$C$6</f>
        <v>110.712000000002</v>
      </c>
      <c r="S749" s="31" t="n">
        <v>24344.04</v>
      </c>
      <c r="T749" s="28" t="s">
        <v>241</v>
      </c>
      <c r="U749" s="44" t="n">
        <f aca="false">IF(J749="BUY",S749-M749,M749-S749)</f>
        <v>-30.4700000000012</v>
      </c>
      <c r="V749" s="45" t="n">
        <v>0</v>
      </c>
      <c r="W749" s="45" t="n">
        <v>0</v>
      </c>
      <c r="X749" s="45" t="n">
        <v>-127.97</v>
      </c>
      <c r="Y749" s="32" t="n">
        <f aca="false">IFERROR(X749/R749,0)</f>
        <v>-1.15588192788494</v>
      </c>
      <c r="Z749" s="28" t="str">
        <f aca="false">IF(X749&gt;0,"Win",IF(X749&lt;0,"Loss","Flat"))</f>
        <v>Loss</v>
      </c>
      <c r="AA749" s="28" t="n">
        <f aca="false">ROUND((C749-B749)*1440,1)</f>
        <v>0.4</v>
      </c>
      <c r="AB749" s="28" t="str">
        <f aca="false">IF(AA749&lt;1,"a) &lt;1 min",IF(AA749&lt;10,"b) 1-10 min",IF(AA749&lt;60,"c) 10-60 min",IF(AA749&lt;240,"d) 1-4 h","e) 4 h+"))))</f>
        <v>a) &lt;1 min</v>
      </c>
      <c r="AC749" s="28" t="str">
        <f aca="false">IF(P749&lt;10,"a) &lt;10",IF(P749&lt;20,"b) 10-20",IF(P749&lt;40,"c) 20-40",IF(P749&lt;80,"d) 40-80","e) 80+"))))</f>
        <v>c) 20-40</v>
      </c>
      <c r="AD749" s="30" t="n">
        <f aca="false">Summary!$C$5+SUM(X$2:X749)</f>
        <v>116467.61</v>
      </c>
      <c r="AE749" s="30" t="n">
        <f aca="false">MAX(AE748,AD749)</f>
        <v>116688.27</v>
      </c>
      <c r="AF749" s="30" t="n">
        <f aca="false">AE749-AD749</f>
        <v>220.660000000004</v>
      </c>
      <c r="AG749" s="29" t="n">
        <f aca="false">IFERROR(AF749/AE749,0)</f>
        <v>0.00189102126546227</v>
      </c>
    </row>
    <row r="750" customFormat="false" ht="15" hidden="false" customHeight="false" outlineLevel="0" collapsed="false">
      <c r="A750" s="28" t="n">
        <v>749</v>
      </c>
      <c r="B750" s="43" t="n">
        <v>46098.6895833333</v>
      </c>
      <c r="C750" s="43" t="n">
        <v>46098.7109143519</v>
      </c>
      <c r="D750" s="42" t="n">
        <f aca="false">INT(C750)</f>
        <v>46098</v>
      </c>
      <c r="E750" s="42" t="n">
        <f aca="false">D750-WEEKDAY(D750,3)</f>
        <v>46097</v>
      </c>
      <c r="F750" s="28" t="s">
        <v>178</v>
      </c>
      <c r="G750" s="28" t="n">
        <v>2026</v>
      </c>
      <c r="H750" s="28" t="s">
        <v>232</v>
      </c>
      <c r="I750" s="28" t="n">
        <v>16</v>
      </c>
      <c r="J750" s="28" t="s">
        <v>233</v>
      </c>
      <c r="K750" s="28" t="s">
        <v>234</v>
      </c>
      <c r="L750" s="28" t="n">
        <v>0.21</v>
      </c>
      <c r="M750" s="31" t="n">
        <v>24827.94</v>
      </c>
      <c r="N750" s="31" t="n">
        <v>24785.32</v>
      </c>
      <c r="O750" s="31" t="n">
        <v>24913.18</v>
      </c>
      <c r="P750" s="44" t="n">
        <f aca="false">ABS(M750-N750)</f>
        <v>42.619999999999</v>
      </c>
      <c r="Q750" s="44" t="n">
        <f aca="false">IF(O750="","",ABS(O750-M750))</f>
        <v>85.2400000000016</v>
      </c>
      <c r="R750" s="30" t="n">
        <f aca="false">P750*L750*Summary!$C$6</f>
        <v>179.003999999996</v>
      </c>
      <c r="S750" s="31" t="n">
        <v>24827.58</v>
      </c>
      <c r="T750" s="28" t="s">
        <v>238</v>
      </c>
      <c r="U750" s="44" t="n">
        <f aca="false">IF(J750="BUY",S750-M750,M750-S750)</f>
        <v>-0.359999999996944</v>
      </c>
      <c r="V750" s="45" t="n">
        <v>0</v>
      </c>
      <c r="W750" s="45" t="n">
        <v>0</v>
      </c>
      <c r="X750" s="45" t="n">
        <v>-1.51</v>
      </c>
      <c r="Y750" s="32" t="n">
        <f aca="false">IFERROR(X750/R750,0)</f>
        <v>-0.0084355656856832</v>
      </c>
      <c r="Z750" s="28" t="str">
        <f aca="false">IF(X750&gt;0,"Win",IF(X750&lt;0,"Loss","Flat"))</f>
        <v>Loss</v>
      </c>
      <c r="AA750" s="28" t="n">
        <f aca="false">ROUND((C750-B750)*1440,1)</f>
        <v>30.7</v>
      </c>
      <c r="AB750" s="28" t="str">
        <f aca="false">IF(AA750&lt;1,"a) &lt;1 min",IF(AA750&lt;10,"b) 1-10 min",IF(AA750&lt;60,"c) 10-60 min",IF(AA750&lt;240,"d) 1-4 h","e) 4 h+"))))</f>
        <v>c) 10-60 min</v>
      </c>
      <c r="AC750" s="28" t="str">
        <f aca="false">IF(P750&lt;10,"a) &lt;10",IF(P750&lt;20,"b) 10-20",IF(P750&lt;40,"c) 20-40",IF(P750&lt;80,"d) 40-80","e) 80+"))))</f>
        <v>d) 40-80</v>
      </c>
      <c r="AD750" s="30" t="n">
        <f aca="false">Summary!$C$5+SUM(X$2:X750)</f>
        <v>116466.1</v>
      </c>
      <c r="AE750" s="30" t="n">
        <f aca="false">MAX(AE749,AD750)</f>
        <v>116688.27</v>
      </c>
      <c r="AF750" s="30" t="n">
        <f aca="false">AE750-AD750</f>
        <v>222.169999999998</v>
      </c>
      <c r="AG750" s="29" t="n">
        <f aca="false">IFERROR(AF750/AE750,0)</f>
        <v>0.00190396172640145</v>
      </c>
    </row>
    <row r="751" customFormat="false" ht="15" hidden="false" customHeight="false" outlineLevel="0" collapsed="false">
      <c r="A751" s="28" t="n">
        <v>750</v>
      </c>
      <c r="B751" s="43" t="n">
        <v>46099.2208333333</v>
      </c>
      <c r="C751" s="43" t="n">
        <v>46099.2480092593</v>
      </c>
      <c r="D751" s="42" t="n">
        <f aca="false">INT(C751)</f>
        <v>46099</v>
      </c>
      <c r="E751" s="42" t="n">
        <f aca="false">D751-WEEKDAY(D751,3)</f>
        <v>46097</v>
      </c>
      <c r="F751" s="28" t="s">
        <v>178</v>
      </c>
      <c r="G751" s="28" t="n">
        <v>2026</v>
      </c>
      <c r="H751" s="28" t="s">
        <v>235</v>
      </c>
      <c r="I751" s="28" t="n">
        <v>5</v>
      </c>
      <c r="J751" s="28" t="s">
        <v>233</v>
      </c>
      <c r="K751" s="28" t="s">
        <v>234</v>
      </c>
      <c r="L751" s="28" t="n">
        <v>0.21</v>
      </c>
      <c r="M751" s="31" t="n">
        <v>24887.12</v>
      </c>
      <c r="N751" s="31" t="n">
        <v>24875.79</v>
      </c>
      <c r="O751" s="31" t="n">
        <v>24909.78</v>
      </c>
      <c r="P751" s="44" t="n">
        <f aca="false">ABS(M751-N751)</f>
        <v>11.3299999999981</v>
      </c>
      <c r="Q751" s="44" t="n">
        <f aca="false">IF(O751="","",ABS(O751-M751))</f>
        <v>22.6599999999999</v>
      </c>
      <c r="R751" s="30" t="n">
        <f aca="false">P751*L751*Summary!$C$6</f>
        <v>47.5859999999921</v>
      </c>
      <c r="S751" s="31" t="n">
        <v>24887.04</v>
      </c>
      <c r="T751" s="28" t="s">
        <v>238</v>
      </c>
      <c r="U751" s="44" t="n">
        <f aca="false">IF(J751="BUY",S751-M751,M751-S751)</f>
        <v>-0.0799999999981083</v>
      </c>
      <c r="V751" s="45" t="n">
        <v>0</v>
      </c>
      <c r="W751" s="45" t="n">
        <v>0</v>
      </c>
      <c r="X751" s="45" t="n">
        <v>-0.34</v>
      </c>
      <c r="Y751" s="32" t="n">
        <f aca="false">IFERROR(X751/R751,0)</f>
        <v>-0.00714495860127047</v>
      </c>
      <c r="Z751" s="28" t="str">
        <f aca="false">IF(X751&gt;0,"Win",IF(X751&lt;0,"Loss","Flat"))</f>
        <v>Loss</v>
      </c>
      <c r="AA751" s="28" t="n">
        <f aca="false">ROUND((C751-B751)*1440,1)</f>
        <v>39.1</v>
      </c>
      <c r="AB751" s="28" t="str">
        <f aca="false">IF(AA751&lt;1,"a) &lt;1 min",IF(AA751&lt;10,"b) 1-10 min",IF(AA751&lt;60,"c) 10-60 min",IF(AA751&lt;240,"d) 1-4 h","e) 4 h+"))))</f>
        <v>c) 10-60 min</v>
      </c>
      <c r="AC751" s="28" t="str">
        <f aca="false">IF(P751&lt;10,"a) &lt;10",IF(P751&lt;20,"b) 10-20",IF(P751&lt;40,"c) 20-40",IF(P751&lt;80,"d) 40-80","e) 80+"))))</f>
        <v>b) 10-20</v>
      </c>
      <c r="AD751" s="30" t="n">
        <f aca="false">Summary!$C$5+SUM(X$2:X751)</f>
        <v>116465.76</v>
      </c>
      <c r="AE751" s="30" t="n">
        <f aca="false">MAX(AE750,AD751)</f>
        <v>116688.27</v>
      </c>
      <c r="AF751" s="30" t="n">
        <f aca="false">AE751-AD751</f>
        <v>222.510000000009</v>
      </c>
      <c r="AG751" s="29" t="n">
        <f aca="false">IFERROR(AF751/AE751,0)</f>
        <v>0.00190687547257329</v>
      </c>
    </row>
    <row r="752" customFormat="false" ht="15" hidden="false" customHeight="false" outlineLevel="0" collapsed="false">
      <c r="A752" s="28" t="n">
        <v>751</v>
      </c>
      <c r="B752" s="43" t="n">
        <v>46099.9319444444</v>
      </c>
      <c r="C752" s="43" t="n">
        <v>46099.9473148148</v>
      </c>
      <c r="D752" s="42" t="n">
        <f aca="false">INT(C752)</f>
        <v>46099</v>
      </c>
      <c r="E752" s="42" t="n">
        <f aca="false">D752-WEEKDAY(D752,3)</f>
        <v>46097</v>
      </c>
      <c r="F752" s="28" t="s">
        <v>178</v>
      </c>
      <c r="G752" s="28" t="n">
        <v>2026</v>
      </c>
      <c r="H752" s="28" t="s">
        <v>235</v>
      </c>
      <c r="I752" s="28" t="n">
        <v>22</v>
      </c>
      <c r="J752" s="28" t="s">
        <v>236</v>
      </c>
      <c r="K752" s="28" t="s">
        <v>237</v>
      </c>
      <c r="L752" s="28" t="n">
        <v>0.21</v>
      </c>
      <c r="M752" s="31" t="n">
        <v>24505.8</v>
      </c>
      <c r="N752" s="31" t="n">
        <v>24531.77</v>
      </c>
      <c r="O752" s="31" t="n">
        <v>24453.86</v>
      </c>
      <c r="P752" s="44" t="n">
        <f aca="false">ABS(M752-N752)</f>
        <v>25.9700000000012</v>
      </c>
      <c r="Q752" s="44" t="n">
        <f aca="false">IF(O752="","",ABS(O752-M752))</f>
        <v>51.9399999999987</v>
      </c>
      <c r="R752" s="30" t="n">
        <f aca="false">P752*L752*Summary!$C$6</f>
        <v>109.074000000005</v>
      </c>
      <c r="S752" s="31" t="n">
        <v>24452.11</v>
      </c>
      <c r="T752" s="28" t="s">
        <v>214</v>
      </c>
      <c r="U752" s="44" t="n">
        <f aca="false">IF(J752="BUY",S752-M752,M752-S752)</f>
        <v>53.6899999999987</v>
      </c>
      <c r="V752" s="45" t="n">
        <v>0</v>
      </c>
      <c r="W752" s="45" t="n">
        <v>0</v>
      </c>
      <c r="X752" s="45" t="n">
        <v>225.5</v>
      </c>
      <c r="Y752" s="32" t="n">
        <f aca="false">IFERROR(X752/R752,0)</f>
        <v>2.06740378091928</v>
      </c>
      <c r="Z752" s="28" t="str">
        <f aca="false">IF(X752&gt;0,"Win",IF(X752&lt;0,"Loss","Flat"))</f>
        <v>Win</v>
      </c>
      <c r="AA752" s="28" t="n">
        <f aca="false">ROUND((C752-B752)*1440,1)</f>
        <v>22.1</v>
      </c>
      <c r="AB752" s="28" t="str">
        <f aca="false">IF(AA752&lt;1,"a) &lt;1 min",IF(AA752&lt;10,"b) 1-10 min",IF(AA752&lt;60,"c) 10-60 min",IF(AA752&lt;240,"d) 1-4 h","e) 4 h+"))))</f>
        <v>c) 10-60 min</v>
      </c>
      <c r="AC752" s="28" t="str">
        <f aca="false">IF(P752&lt;10,"a) &lt;10",IF(P752&lt;20,"b) 10-20",IF(P752&lt;40,"c) 20-40",IF(P752&lt;80,"d) 40-80","e) 80+"))))</f>
        <v>c) 20-40</v>
      </c>
      <c r="AD752" s="30" t="n">
        <f aca="false">Summary!$C$5+SUM(X$2:X752)</f>
        <v>116691.26</v>
      </c>
      <c r="AE752" s="30" t="n">
        <f aca="false">MAX(AE751,AD752)</f>
        <v>116691.26</v>
      </c>
      <c r="AF752" s="30" t="n">
        <f aca="false">AE752-AD752</f>
        <v>0</v>
      </c>
      <c r="AG752" s="29" t="n">
        <f aca="false">IFERROR(AF752/AE752,0)</f>
        <v>0</v>
      </c>
    </row>
    <row r="753" customFormat="false" ht="15" hidden="false" customHeight="false" outlineLevel="0" collapsed="false">
      <c r="A753" s="28" t="n">
        <v>752</v>
      </c>
      <c r="B753" s="43" t="n">
        <v>46100.0430555556</v>
      </c>
      <c r="C753" s="43" t="n">
        <v>46100.0670601852</v>
      </c>
      <c r="D753" s="42" t="n">
        <f aca="false">INT(C753)</f>
        <v>46100</v>
      </c>
      <c r="E753" s="42" t="n">
        <f aca="false">D753-WEEKDAY(D753,3)</f>
        <v>46097</v>
      </c>
      <c r="F753" s="28" t="s">
        <v>178</v>
      </c>
      <c r="G753" s="28" t="n">
        <v>2026</v>
      </c>
      <c r="H753" s="28" t="s">
        <v>239</v>
      </c>
      <c r="I753" s="28" t="n">
        <v>1</v>
      </c>
      <c r="J753" s="28" t="s">
        <v>236</v>
      </c>
      <c r="K753" s="28" t="s">
        <v>237</v>
      </c>
      <c r="L753" s="28" t="n">
        <v>0.21</v>
      </c>
      <c r="M753" s="31" t="n">
        <v>24389.65</v>
      </c>
      <c r="N753" s="31" t="n">
        <v>24411.45</v>
      </c>
      <c r="O753" s="31" t="n">
        <v>24346.44</v>
      </c>
      <c r="P753" s="44" t="n">
        <f aca="false">ABS(M753-N753)</f>
        <v>21.7999999999993</v>
      </c>
      <c r="Q753" s="44" t="n">
        <f aca="false">IF(O753="","",ABS(O753-M753))</f>
        <v>43.2100000000028</v>
      </c>
      <c r="R753" s="30" t="n">
        <f aca="false">P753*L753*Summary!$C$6</f>
        <v>91.5599999999969</v>
      </c>
      <c r="S753" s="31" t="n">
        <v>24346.37</v>
      </c>
      <c r="T753" s="28" t="s">
        <v>214</v>
      </c>
      <c r="U753" s="44" t="n">
        <f aca="false">IF(J753="BUY",S753-M753,M753-S753)</f>
        <v>43.2800000000025</v>
      </c>
      <c r="V753" s="45" t="n">
        <v>0</v>
      </c>
      <c r="W753" s="45" t="n">
        <v>0</v>
      </c>
      <c r="X753" s="45" t="n">
        <v>181.78</v>
      </c>
      <c r="Y753" s="32" t="n">
        <f aca="false">IFERROR(X753/R753,0)</f>
        <v>1.98536478811715</v>
      </c>
      <c r="Z753" s="28" t="str">
        <f aca="false">IF(X753&gt;0,"Win",IF(X753&lt;0,"Loss","Flat"))</f>
        <v>Win</v>
      </c>
      <c r="AA753" s="28" t="n">
        <f aca="false">ROUND((C753-B753)*1440,1)</f>
        <v>34.6</v>
      </c>
      <c r="AB753" s="28" t="str">
        <f aca="false">IF(AA753&lt;1,"a) &lt;1 min",IF(AA753&lt;10,"b) 1-10 min",IF(AA753&lt;60,"c) 10-60 min",IF(AA753&lt;240,"d) 1-4 h","e) 4 h+"))))</f>
        <v>c) 10-60 min</v>
      </c>
      <c r="AC753" s="28" t="str">
        <f aca="false">IF(P753&lt;10,"a) &lt;10",IF(P753&lt;20,"b) 10-20",IF(P753&lt;40,"c) 20-40",IF(P753&lt;80,"d) 40-80","e) 80+"))))</f>
        <v>c) 20-40</v>
      </c>
      <c r="AD753" s="30" t="n">
        <f aca="false">Summary!$C$5+SUM(X$2:X753)</f>
        <v>116873.04</v>
      </c>
      <c r="AE753" s="30" t="n">
        <f aca="false">MAX(AE752,AD753)</f>
        <v>116873.04</v>
      </c>
      <c r="AF753" s="30" t="n">
        <f aca="false">AE753-AD753</f>
        <v>0</v>
      </c>
      <c r="AG753" s="29" t="n">
        <f aca="false">IFERROR(AF753/AE753,0)</f>
        <v>0</v>
      </c>
    </row>
    <row r="754" customFormat="false" ht="15" hidden="false" customHeight="false" outlineLevel="0" collapsed="false">
      <c r="A754" s="28" t="n">
        <v>753</v>
      </c>
      <c r="B754" s="43" t="n">
        <v>46101.7069444444</v>
      </c>
      <c r="C754" s="43" t="n">
        <v>46101.7122222222</v>
      </c>
      <c r="D754" s="42" t="n">
        <f aca="false">INT(C754)</f>
        <v>46101</v>
      </c>
      <c r="E754" s="42" t="n">
        <f aca="false">D754-WEEKDAY(D754,3)</f>
        <v>46097</v>
      </c>
      <c r="F754" s="28" t="s">
        <v>178</v>
      </c>
      <c r="G754" s="28" t="n">
        <v>2026</v>
      </c>
      <c r="H754" s="28" t="s">
        <v>242</v>
      </c>
      <c r="I754" s="28" t="n">
        <v>16</v>
      </c>
      <c r="J754" s="28" t="s">
        <v>236</v>
      </c>
      <c r="K754" s="28" t="s">
        <v>237</v>
      </c>
      <c r="L754" s="28" t="n">
        <v>0.21</v>
      </c>
      <c r="M754" s="31" t="n">
        <v>24099.08</v>
      </c>
      <c r="N754" s="31" t="n">
        <v>24150</v>
      </c>
      <c r="O754" s="31" t="n">
        <v>23997.23</v>
      </c>
      <c r="P754" s="44" t="n">
        <f aca="false">ABS(M754-N754)</f>
        <v>50.9199999999983</v>
      </c>
      <c r="Q754" s="44" t="n">
        <f aca="false">IF(O754="","",ABS(O754-M754))</f>
        <v>101.850000000002</v>
      </c>
      <c r="R754" s="30" t="n">
        <f aca="false">P754*L754*Summary!$C$6</f>
        <v>213.863999999993</v>
      </c>
      <c r="S754" s="31" t="n">
        <v>24100.59</v>
      </c>
      <c r="T754" s="28" t="s">
        <v>238</v>
      </c>
      <c r="U754" s="44" t="n">
        <f aca="false">IF(J754="BUY",S754-M754,M754-S754)</f>
        <v>-1.5099999999984</v>
      </c>
      <c r="V754" s="45" t="n">
        <v>0</v>
      </c>
      <c r="W754" s="45" t="n">
        <v>0</v>
      </c>
      <c r="X754" s="45" t="n">
        <v>-6.34</v>
      </c>
      <c r="Y754" s="32" t="n">
        <f aca="false">IFERROR(X754/R754,0)</f>
        <v>-0.0296450080424953</v>
      </c>
      <c r="Z754" s="28" t="str">
        <f aca="false">IF(X754&gt;0,"Win",IF(X754&lt;0,"Loss","Flat"))</f>
        <v>Loss</v>
      </c>
      <c r="AA754" s="28" t="n">
        <f aca="false">ROUND((C754-B754)*1440,1)</f>
        <v>7.6</v>
      </c>
      <c r="AB754" s="28" t="str">
        <f aca="false">IF(AA754&lt;1,"a) &lt;1 min",IF(AA754&lt;10,"b) 1-10 min",IF(AA754&lt;60,"c) 10-60 min",IF(AA754&lt;240,"d) 1-4 h","e) 4 h+"))))</f>
        <v>b) 1-10 min</v>
      </c>
      <c r="AC754" s="28" t="str">
        <f aca="false">IF(P754&lt;10,"a) &lt;10",IF(P754&lt;20,"b) 10-20",IF(P754&lt;40,"c) 20-40",IF(P754&lt;80,"d) 40-80","e) 80+"))))</f>
        <v>d) 40-80</v>
      </c>
      <c r="AD754" s="30" t="n">
        <f aca="false">Summary!$C$5+SUM(X$2:X754)</f>
        <v>116866.7</v>
      </c>
      <c r="AE754" s="30" t="n">
        <f aca="false">MAX(AE753,AD754)</f>
        <v>116873.04</v>
      </c>
      <c r="AF754" s="30" t="n">
        <f aca="false">AE754-AD754</f>
        <v>6.34000000001106</v>
      </c>
      <c r="AG754" s="29" t="n">
        <f aca="false">IFERROR(AF754/AE754,0)</f>
        <v>5.42468990283051E-005</v>
      </c>
    </row>
    <row r="755" customFormat="false" ht="15" hidden="false" customHeight="false" outlineLevel="0" collapsed="false">
      <c r="A755" s="28" t="n">
        <v>754</v>
      </c>
      <c r="B755" s="43" t="n">
        <v>46104.0423611111</v>
      </c>
      <c r="C755" s="43" t="n">
        <v>46104.0481828704</v>
      </c>
      <c r="D755" s="42" t="n">
        <f aca="false">INT(C755)</f>
        <v>46104</v>
      </c>
      <c r="E755" s="42" t="n">
        <f aca="false">D755-WEEKDAY(D755,3)</f>
        <v>46104</v>
      </c>
      <c r="F755" s="28" t="s">
        <v>178</v>
      </c>
      <c r="G755" s="28" t="n">
        <v>2026</v>
      </c>
      <c r="H755" s="28" t="s">
        <v>240</v>
      </c>
      <c r="I755" s="28" t="n">
        <v>1</v>
      </c>
      <c r="J755" s="28" t="s">
        <v>236</v>
      </c>
      <c r="K755" s="28" t="s">
        <v>237</v>
      </c>
      <c r="L755" s="28" t="n">
        <v>0.22</v>
      </c>
      <c r="M755" s="31" t="n">
        <v>23733.78</v>
      </c>
      <c r="N755" s="31" t="n">
        <v>23799.23</v>
      </c>
      <c r="O755" s="31" t="n">
        <v>23593.8</v>
      </c>
      <c r="P755" s="44" t="n">
        <f aca="false">ABS(M755-N755)</f>
        <v>65.4500000000007</v>
      </c>
      <c r="Q755" s="44" t="n">
        <f aca="false">IF(O755="","",ABS(O755-M755))</f>
        <v>139.98</v>
      </c>
      <c r="R755" s="30" t="n">
        <f aca="false">P755*L755*Summary!$C$6</f>
        <v>287.980000000003</v>
      </c>
      <c r="S755" s="31" t="n">
        <v>23800.97</v>
      </c>
      <c r="T755" s="28" t="s">
        <v>241</v>
      </c>
      <c r="U755" s="44" t="n">
        <f aca="false">IF(J755="BUY",S755-M755,M755-S755)</f>
        <v>-67.1900000000023</v>
      </c>
      <c r="V755" s="45" t="n">
        <v>0</v>
      </c>
      <c r="W755" s="45" t="n">
        <v>0</v>
      </c>
      <c r="X755" s="45" t="n">
        <v>-295.64</v>
      </c>
      <c r="Y755" s="32" t="n">
        <f aca="false">IFERROR(X755/R755,0)</f>
        <v>-1.02659906937981</v>
      </c>
      <c r="Z755" s="28" t="str">
        <f aca="false">IF(X755&gt;0,"Win",IF(X755&lt;0,"Loss","Flat"))</f>
        <v>Loss</v>
      </c>
      <c r="AA755" s="28" t="n">
        <f aca="false">ROUND((C755-B755)*1440,1)</f>
        <v>8.4</v>
      </c>
      <c r="AB755" s="28" t="str">
        <f aca="false">IF(AA755&lt;1,"a) &lt;1 min",IF(AA755&lt;10,"b) 1-10 min",IF(AA755&lt;60,"c) 10-60 min",IF(AA755&lt;240,"d) 1-4 h","e) 4 h+"))))</f>
        <v>b) 1-10 min</v>
      </c>
      <c r="AC755" s="28" t="str">
        <f aca="false">IF(P755&lt;10,"a) &lt;10",IF(P755&lt;20,"b) 10-20",IF(P755&lt;40,"c) 20-40",IF(P755&lt;80,"d) 40-80","e) 80+"))))</f>
        <v>d) 40-80</v>
      </c>
      <c r="AD755" s="30" t="n">
        <f aca="false">Summary!$C$5+SUM(X$2:X755)</f>
        <v>116571.06</v>
      </c>
      <c r="AE755" s="30" t="n">
        <f aca="false">MAX(AE754,AD755)</f>
        <v>116873.04</v>
      </c>
      <c r="AF755" s="30" t="n">
        <f aca="false">AE755-AD755</f>
        <v>301.980000000011</v>
      </c>
      <c r="AG755" s="29" t="n">
        <f aca="false">IFERROR(AF755/AE755,0)</f>
        <v>0.00258382942721444</v>
      </c>
    </row>
    <row r="756" customFormat="false" ht="15" hidden="false" customHeight="false" outlineLevel="0" collapsed="false">
      <c r="A756" s="28" t="n">
        <v>755</v>
      </c>
      <c r="B756" s="43" t="n">
        <v>46104.5965277778</v>
      </c>
      <c r="C756" s="43" t="n">
        <v>46104.6028703704</v>
      </c>
      <c r="D756" s="42" t="n">
        <f aca="false">INT(C756)</f>
        <v>46104</v>
      </c>
      <c r="E756" s="42" t="n">
        <f aca="false">D756-WEEKDAY(D756,3)</f>
        <v>46104</v>
      </c>
      <c r="F756" s="28" t="s">
        <v>178</v>
      </c>
      <c r="G756" s="28" t="n">
        <v>2026</v>
      </c>
      <c r="H756" s="28" t="s">
        <v>240</v>
      </c>
      <c r="I756" s="28" t="n">
        <v>14</v>
      </c>
      <c r="J756" s="28" t="s">
        <v>233</v>
      </c>
      <c r="K756" s="28" t="s">
        <v>234</v>
      </c>
      <c r="L756" s="28" t="n">
        <v>0.15</v>
      </c>
      <c r="M756" s="31" t="n">
        <v>24447.79</v>
      </c>
      <c r="N756" s="31" t="n">
        <v>24264.2</v>
      </c>
      <c r="O756" s="31" t="n">
        <v>24814.97</v>
      </c>
      <c r="P756" s="44" t="n">
        <f aca="false">ABS(M756-N756)</f>
        <v>183.59</v>
      </c>
      <c r="Q756" s="44" t="n">
        <f aca="false">IF(O756="","",ABS(O756-M756))</f>
        <v>367.18</v>
      </c>
      <c r="R756" s="30" t="n">
        <f aca="false">P756*L756*Summary!$C$6</f>
        <v>550.77</v>
      </c>
      <c r="S756" s="31" t="n">
        <v>24258.43</v>
      </c>
      <c r="T756" s="28" t="s">
        <v>241</v>
      </c>
      <c r="U756" s="44" t="n">
        <f aca="false">IF(J756="BUY",S756-M756,M756-S756)</f>
        <v>-189.360000000001</v>
      </c>
      <c r="V756" s="45" t="n">
        <v>0</v>
      </c>
      <c r="W756" s="45" t="n">
        <v>0</v>
      </c>
      <c r="X756" s="45" t="n">
        <v>-568.08</v>
      </c>
      <c r="Y756" s="32" t="n">
        <f aca="false">IFERROR(X756/R756,0)</f>
        <v>-1.03142872705485</v>
      </c>
      <c r="Z756" s="28" t="str">
        <f aca="false">IF(X756&gt;0,"Win",IF(X756&lt;0,"Loss","Flat"))</f>
        <v>Loss</v>
      </c>
      <c r="AA756" s="28" t="n">
        <f aca="false">ROUND((C756-B756)*1440,1)</f>
        <v>9.1</v>
      </c>
      <c r="AB756" s="28" t="str">
        <f aca="false">IF(AA756&lt;1,"a) &lt;1 min",IF(AA756&lt;10,"b) 1-10 min",IF(AA756&lt;60,"c) 10-60 min",IF(AA756&lt;240,"d) 1-4 h","e) 4 h+"))))</f>
        <v>b) 1-10 min</v>
      </c>
      <c r="AC756" s="28" t="str">
        <f aca="false">IF(P756&lt;10,"a) &lt;10",IF(P756&lt;20,"b) 10-20",IF(P756&lt;40,"c) 20-40",IF(P756&lt;80,"d) 40-80","e) 80+"))))</f>
        <v>e) 80+</v>
      </c>
      <c r="AD756" s="30" t="n">
        <f aca="false">Summary!$C$5+SUM(X$2:X756)</f>
        <v>116002.98</v>
      </c>
      <c r="AE756" s="30" t="n">
        <f aca="false">MAX(AE755,AD756)</f>
        <v>116873.04</v>
      </c>
      <c r="AF756" s="30" t="n">
        <f aca="false">AE756-AD756</f>
        <v>870.060000000012</v>
      </c>
      <c r="AG756" s="29" t="n">
        <f aca="false">IFERROR(AF756/AE756,0)</f>
        <v>0.00744448848083367</v>
      </c>
    </row>
    <row r="757" customFormat="false" ht="15" hidden="false" customHeight="false" outlineLevel="0" collapsed="false">
      <c r="A757" s="28" t="n">
        <v>756</v>
      </c>
      <c r="B757" s="43" t="n">
        <v>46106.4694444445</v>
      </c>
      <c r="C757" s="43" t="n">
        <v>46106.4837152778</v>
      </c>
      <c r="D757" s="42" t="n">
        <f aca="false">INT(C757)</f>
        <v>46106</v>
      </c>
      <c r="E757" s="42" t="n">
        <f aca="false">D757-WEEKDAY(D757,3)</f>
        <v>46104</v>
      </c>
      <c r="F757" s="28" t="s">
        <v>178</v>
      </c>
      <c r="G757" s="28" t="n">
        <v>2026</v>
      </c>
      <c r="H757" s="28" t="s">
        <v>235</v>
      </c>
      <c r="I757" s="28" t="n">
        <v>11</v>
      </c>
      <c r="J757" s="28" t="s">
        <v>233</v>
      </c>
      <c r="K757" s="28" t="s">
        <v>234</v>
      </c>
      <c r="L757" s="28" t="n">
        <v>0.21</v>
      </c>
      <c r="M757" s="31" t="n">
        <v>24305.11</v>
      </c>
      <c r="N757" s="31" t="n">
        <v>24271.44</v>
      </c>
      <c r="O757" s="31" t="n">
        <v>24372.46</v>
      </c>
      <c r="P757" s="44" t="n">
        <f aca="false">ABS(M757-N757)</f>
        <v>33.6700000000019</v>
      </c>
      <c r="Q757" s="44" t="n">
        <f aca="false">IF(O757="","",ABS(O757-M757))</f>
        <v>67.3499999999985</v>
      </c>
      <c r="R757" s="30" t="n">
        <f aca="false">P757*L757*Summary!$C$6</f>
        <v>141.414000000008</v>
      </c>
      <c r="S757" s="31" t="n">
        <v>24269.3</v>
      </c>
      <c r="T757" s="28" t="s">
        <v>241</v>
      </c>
      <c r="U757" s="44" t="n">
        <f aca="false">IF(J757="BUY",S757-M757,M757-S757)</f>
        <v>-35.8100000000013</v>
      </c>
      <c r="V757" s="45" t="n">
        <v>0</v>
      </c>
      <c r="W757" s="45" t="n">
        <v>0</v>
      </c>
      <c r="X757" s="45" t="n">
        <v>-150.4</v>
      </c>
      <c r="Y757" s="32" t="n">
        <f aca="false">IFERROR(X757/R757,0)</f>
        <v>-1.06354392068672</v>
      </c>
      <c r="Z757" s="28" t="str">
        <f aca="false">IF(X757&gt;0,"Win",IF(X757&lt;0,"Loss","Flat"))</f>
        <v>Loss</v>
      </c>
      <c r="AA757" s="28" t="n">
        <f aca="false">ROUND((C757-B757)*1440,1)</f>
        <v>20.6</v>
      </c>
      <c r="AB757" s="28" t="str">
        <f aca="false">IF(AA757&lt;1,"a) &lt;1 min",IF(AA757&lt;10,"b) 1-10 min",IF(AA757&lt;60,"c) 10-60 min",IF(AA757&lt;240,"d) 1-4 h","e) 4 h+"))))</f>
        <v>c) 10-60 min</v>
      </c>
      <c r="AC757" s="28" t="str">
        <f aca="false">IF(P757&lt;10,"a) &lt;10",IF(P757&lt;20,"b) 10-20",IF(P757&lt;40,"c) 20-40",IF(P757&lt;80,"d) 40-80","e) 80+"))))</f>
        <v>c) 20-40</v>
      </c>
      <c r="AD757" s="30" t="n">
        <f aca="false">Summary!$C$5+SUM(X$2:X757)</f>
        <v>115852.58</v>
      </c>
      <c r="AE757" s="30" t="n">
        <f aca="false">MAX(AE756,AD757)</f>
        <v>116873.04</v>
      </c>
      <c r="AF757" s="30" t="n">
        <f aca="false">AE757-AD757</f>
        <v>1020.46000000001</v>
      </c>
      <c r="AG757" s="29" t="n">
        <f aca="false">IFERROR(AF757/AE757,0)</f>
        <v>0.00873135498143974</v>
      </c>
    </row>
    <row r="758" customFormat="false" ht="15" hidden="false" customHeight="false" outlineLevel="0" collapsed="false">
      <c r="A758" s="28" t="n">
        <v>757</v>
      </c>
      <c r="B758" s="43" t="n">
        <v>46107.2319444444</v>
      </c>
      <c r="C758" s="43" t="n">
        <v>46107.2381365741</v>
      </c>
      <c r="D758" s="42" t="n">
        <f aca="false">INT(C758)</f>
        <v>46107</v>
      </c>
      <c r="E758" s="42" t="n">
        <f aca="false">D758-WEEKDAY(D758,3)</f>
        <v>46104</v>
      </c>
      <c r="F758" s="28" t="s">
        <v>178</v>
      </c>
      <c r="G758" s="28" t="n">
        <v>2026</v>
      </c>
      <c r="H758" s="28" t="s">
        <v>239</v>
      </c>
      <c r="I758" s="28" t="n">
        <v>5</v>
      </c>
      <c r="J758" s="28" t="s">
        <v>236</v>
      </c>
      <c r="K758" s="28" t="s">
        <v>237</v>
      </c>
      <c r="L758" s="28" t="n">
        <v>0.21</v>
      </c>
      <c r="M758" s="31" t="n">
        <v>24067.52</v>
      </c>
      <c r="N758" s="31" t="n">
        <v>24089.65</v>
      </c>
      <c r="O758" s="31" t="n">
        <v>24023.26</v>
      </c>
      <c r="P758" s="44" t="n">
        <f aca="false">ABS(M758-N758)</f>
        <v>22.130000000001</v>
      </c>
      <c r="Q758" s="44" t="n">
        <f aca="false">IF(O758="","",ABS(O758-M758))</f>
        <v>44.260000000002</v>
      </c>
      <c r="R758" s="30" t="n">
        <f aca="false">P758*L758*Summary!$C$6</f>
        <v>92.9460000000043</v>
      </c>
      <c r="S758" s="31" t="n">
        <v>24067.55</v>
      </c>
      <c r="T758" s="28" t="s">
        <v>238</v>
      </c>
      <c r="U758" s="44" t="n">
        <f aca="false">IF(J758="BUY",S758-M758,M758-S758)</f>
        <v>-0.0299999999988358</v>
      </c>
      <c r="V758" s="45" t="n">
        <v>0</v>
      </c>
      <c r="W758" s="45" t="n">
        <v>0</v>
      </c>
      <c r="X758" s="45" t="n">
        <v>-0.13</v>
      </c>
      <c r="Y758" s="32" t="n">
        <f aca="false">IFERROR(X758/R758,0)</f>
        <v>-0.00139866158844914</v>
      </c>
      <c r="Z758" s="28" t="str">
        <f aca="false">IF(X758&gt;0,"Win",IF(X758&lt;0,"Loss","Flat"))</f>
        <v>Loss</v>
      </c>
      <c r="AA758" s="28" t="n">
        <f aca="false">ROUND((C758-B758)*1440,1)</f>
        <v>8.9</v>
      </c>
      <c r="AB758" s="28" t="str">
        <f aca="false">IF(AA758&lt;1,"a) &lt;1 min",IF(AA758&lt;10,"b) 1-10 min",IF(AA758&lt;60,"c) 10-60 min",IF(AA758&lt;240,"d) 1-4 h","e) 4 h+"))))</f>
        <v>b) 1-10 min</v>
      </c>
      <c r="AC758" s="28" t="str">
        <f aca="false">IF(P758&lt;10,"a) &lt;10",IF(P758&lt;20,"b) 10-20",IF(P758&lt;40,"c) 20-40",IF(P758&lt;80,"d) 40-80","e) 80+"))))</f>
        <v>c) 20-40</v>
      </c>
      <c r="AD758" s="30" t="n">
        <f aca="false">Summary!$C$5+SUM(X$2:X758)</f>
        <v>115852.45</v>
      </c>
      <c r="AE758" s="30" t="n">
        <f aca="false">MAX(AE757,AD758)</f>
        <v>116873.04</v>
      </c>
      <c r="AF758" s="30" t="n">
        <f aca="false">AE758-AD758</f>
        <v>1020.59000000001</v>
      </c>
      <c r="AG758" s="29" t="n">
        <f aca="false">IFERROR(AF758/AE758,0)</f>
        <v>0.00873246729955866</v>
      </c>
    </row>
    <row r="759" customFormat="false" ht="15" hidden="false" customHeight="false" outlineLevel="0" collapsed="false">
      <c r="A759" s="28" t="n">
        <v>758</v>
      </c>
      <c r="B759" s="43" t="n">
        <v>46108.5034722222</v>
      </c>
      <c r="C759" s="43" t="n">
        <v>46108.5095717593</v>
      </c>
      <c r="D759" s="42" t="n">
        <f aca="false">INT(C759)</f>
        <v>46108</v>
      </c>
      <c r="E759" s="42" t="n">
        <f aca="false">D759-WEEKDAY(D759,3)</f>
        <v>46104</v>
      </c>
      <c r="F759" s="28" t="s">
        <v>178</v>
      </c>
      <c r="G759" s="28" t="n">
        <v>2026</v>
      </c>
      <c r="H759" s="28" t="s">
        <v>242</v>
      </c>
      <c r="I759" s="28" t="n">
        <v>12</v>
      </c>
      <c r="J759" s="28" t="s">
        <v>236</v>
      </c>
      <c r="K759" s="28" t="s">
        <v>237</v>
      </c>
      <c r="L759" s="28" t="n">
        <v>0.22</v>
      </c>
      <c r="M759" s="31" t="n">
        <v>23561.38</v>
      </c>
      <c r="N759" s="31" t="n">
        <v>23587</v>
      </c>
      <c r="O759" s="31" t="n">
        <v>23510.83</v>
      </c>
      <c r="P759" s="44" t="n">
        <f aca="false">ABS(M759-N759)</f>
        <v>25.619999999999</v>
      </c>
      <c r="Q759" s="44" t="n">
        <f aca="false">IF(O759="","",ABS(O759-M759))</f>
        <v>50.5499999999993</v>
      </c>
      <c r="R759" s="30" t="n">
        <f aca="false">P759*L759*Summary!$C$6</f>
        <v>112.727999999996</v>
      </c>
      <c r="S759" s="31" t="n">
        <v>23561.48</v>
      </c>
      <c r="T759" s="28" t="s">
        <v>238</v>
      </c>
      <c r="U759" s="44" t="n">
        <f aca="false">IF(J759="BUY",S759-M759,M759-S759)</f>
        <v>-0.0999999999985448</v>
      </c>
      <c r="V759" s="45" t="n">
        <v>0</v>
      </c>
      <c r="W759" s="45" t="n">
        <v>0</v>
      </c>
      <c r="X759" s="45" t="n">
        <v>-0.44</v>
      </c>
      <c r="Y759" s="32" t="n">
        <f aca="false">IFERROR(X759/R759,0)</f>
        <v>-0.00390320062451226</v>
      </c>
      <c r="Z759" s="28" t="str">
        <f aca="false">IF(X759&gt;0,"Win",IF(X759&lt;0,"Loss","Flat"))</f>
        <v>Loss</v>
      </c>
      <c r="AA759" s="28" t="n">
        <f aca="false">ROUND((C759-B759)*1440,1)</f>
        <v>8.8</v>
      </c>
      <c r="AB759" s="28" t="str">
        <f aca="false">IF(AA759&lt;1,"a) &lt;1 min",IF(AA759&lt;10,"b) 1-10 min",IF(AA759&lt;60,"c) 10-60 min",IF(AA759&lt;240,"d) 1-4 h","e) 4 h+"))))</f>
        <v>b) 1-10 min</v>
      </c>
      <c r="AC759" s="28" t="str">
        <f aca="false">IF(P759&lt;10,"a) &lt;10",IF(P759&lt;20,"b) 10-20",IF(P759&lt;40,"c) 20-40",IF(P759&lt;80,"d) 40-80","e) 80+"))))</f>
        <v>c) 20-40</v>
      </c>
      <c r="AD759" s="30" t="n">
        <f aca="false">Summary!$C$5+SUM(X$2:X759)</f>
        <v>115852.01</v>
      </c>
      <c r="AE759" s="30" t="n">
        <f aca="false">MAX(AE758,AD759)</f>
        <v>116873.04</v>
      </c>
      <c r="AF759" s="30" t="n">
        <f aca="false">AE759-AD759</f>
        <v>1021.03000000001</v>
      </c>
      <c r="AG759" s="29" t="n">
        <f aca="false">IFERROR(AF759/AE759,0)</f>
        <v>0.00873623206857641</v>
      </c>
    </row>
    <row r="760" customFormat="false" ht="15" hidden="false" customHeight="false" outlineLevel="0" collapsed="false">
      <c r="A760" s="28" t="n">
        <v>759</v>
      </c>
      <c r="B760" s="43" t="n">
        <v>46111.0423611111</v>
      </c>
      <c r="C760" s="43" t="n">
        <v>46111.0432523148</v>
      </c>
      <c r="D760" s="42" t="n">
        <f aca="false">INT(C760)</f>
        <v>46111</v>
      </c>
      <c r="E760" s="42" t="n">
        <f aca="false">D760-WEEKDAY(D760,3)</f>
        <v>46111</v>
      </c>
      <c r="F760" s="28" t="s">
        <v>178</v>
      </c>
      <c r="G760" s="28" t="n">
        <v>2026</v>
      </c>
      <c r="H760" s="28" t="s">
        <v>240</v>
      </c>
      <c r="I760" s="28" t="n">
        <v>1</v>
      </c>
      <c r="J760" s="28" t="s">
        <v>236</v>
      </c>
      <c r="K760" s="28" t="s">
        <v>237</v>
      </c>
      <c r="L760" s="28" t="n">
        <v>0.22</v>
      </c>
      <c r="M760" s="31" t="n">
        <v>22994.51</v>
      </c>
      <c r="N760" s="31" t="n">
        <v>23029.43</v>
      </c>
      <c r="O760" s="31" t="n">
        <v>22921.64</v>
      </c>
      <c r="P760" s="44" t="n">
        <f aca="false">ABS(M760-N760)</f>
        <v>34.9200000000019</v>
      </c>
      <c r="Q760" s="44" t="n">
        <f aca="false">IF(O760="","",ABS(O760-M760))</f>
        <v>72.869999999999</v>
      </c>
      <c r="R760" s="30" t="n">
        <f aca="false">P760*L760*Summary!$C$6</f>
        <v>153.648000000008</v>
      </c>
      <c r="S760" s="31" t="n">
        <v>23030.06</v>
      </c>
      <c r="T760" s="28" t="s">
        <v>241</v>
      </c>
      <c r="U760" s="44" t="n">
        <f aca="false">IF(J760="BUY",S760-M760,M760-S760)</f>
        <v>-35.5500000000029</v>
      </c>
      <c r="V760" s="45" t="n">
        <v>0</v>
      </c>
      <c r="W760" s="45" t="n">
        <v>0</v>
      </c>
      <c r="X760" s="45" t="n">
        <v>-156.42</v>
      </c>
      <c r="Y760" s="32" t="n">
        <f aca="false">IFERROR(X760/R760,0)</f>
        <v>-1.01804123711335</v>
      </c>
      <c r="Z760" s="28" t="str">
        <f aca="false">IF(X760&gt;0,"Win",IF(X760&lt;0,"Loss","Flat"))</f>
        <v>Loss</v>
      </c>
      <c r="AA760" s="28" t="n">
        <f aca="false">ROUND((C760-B760)*1440,1)</f>
        <v>1.3</v>
      </c>
      <c r="AB760" s="28" t="str">
        <f aca="false">IF(AA760&lt;1,"a) &lt;1 min",IF(AA760&lt;10,"b) 1-10 min",IF(AA760&lt;60,"c) 10-60 min",IF(AA760&lt;240,"d) 1-4 h","e) 4 h+"))))</f>
        <v>b) 1-10 min</v>
      </c>
      <c r="AC760" s="28" t="str">
        <f aca="false">IF(P760&lt;10,"a) &lt;10",IF(P760&lt;20,"b) 10-20",IF(P760&lt;40,"c) 20-40",IF(P760&lt;80,"d) 40-80","e) 80+"))))</f>
        <v>c) 20-40</v>
      </c>
      <c r="AD760" s="30" t="n">
        <f aca="false">Summary!$C$5+SUM(X$2:X760)</f>
        <v>115695.59</v>
      </c>
      <c r="AE760" s="30" t="n">
        <f aca="false">MAX(AE759,AD760)</f>
        <v>116873.04</v>
      </c>
      <c r="AF760" s="30" t="n">
        <f aca="false">AE760-AD760</f>
        <v>1177.45000000001</v>
      </c>
      <c r="AG760" s="29" t="n">
        <f aca="false">IFERROR(AF760/AE760,0)</f>
        <v>0.0100746074543797</v>
      </c>
    </row>
    <row r="761" customFormat="false" ht="15" hidden="false" customHeight="false" outlineLevel="0" collapsed="false">
      <c r="A761" s="28" t="n">
        <v>760</v>
      </c>
      <c r="B761" s="43" t="n">
        <v>46112.1340277778</v>
      </c>
      <c r="C761" s="43" t="n">
        <v>46112.143599537</v>
      </c>
      <c r="D761" s="42" t="n">
        <f aca="false">INT(C761)</f>
        <v>46112</v>
      </c>
      <c r="E761" s="42" t="n">
        <f aca="false">D761-WEEKDAY(D761,3)</f>
        <v>46111</v>
      </c>
      <c r="F761" s="28" t="s">
        <v>178</v>
      </c>
      <c r="G761" s="28" t="n">
        <v>2026</v>
      </c>
      <c r="H761" s="28" t="s">
        <v>232</v>
      </c>
      <c r="I761" s="28" t="n">
        <v>3</v>
      </c>
      <c r="J761" s="28" t="s">
        <v>236</v>
      </c>
      <c r="K761" s="28" t="s">
        <v>237</v>
      </c>
      <c r="L761" s="28" t="n">
        <v>0.22</v>
      </c>
      <c r="M761" s="31" t="n">
        <v>22830.72</v>
      </c>
      <c r="N761" s="31" t="n">
        <v>22860.87</v>
      </c>
      <c r="O761" s="31" t="n">
        <v>22771.7</v>
      </c>
      <c r="P761" s="44" t="n">
        <f aca="false">ABS(M761-N761)</f>
        <v>30.1499999999978</v>
      </c>
      <c r="Q761" s="44" t="n">
        <f aca="false">IF(O761="","",ABS(O761-M761))</f>
        <v>59.0200000000004</v>
      </c>
      <c r="R761" s="30" t="n">
        <f aca="false">P761*L761*Summary!$C$6</f>
        <v>132.65999999999</v>
      </c>
      <c r="S761" s="31" t="n">
        <v>22831.41</v>
      </c>
      <c r="T761" s="28" t="s">
        <v>238</v>
      </c>
      <c r="U761" s="44" t="n">
        <f aca="false">IF(J761="BUY",S761-M761,M761-S761)</f>
        <v>-0.68999999999869</v>
      </c>
      <c r="V761" s="45" t="n">
        <v>0</v>
      </c>
      <c r="W761" s="45" t="n">
        <v>0</v>
      </c>
      <c r="X761" s="45" t="n">
        <v>-3.04</v>
      </c>
      <c r="Y761" s="32" t="n">
        <f aca="false">IFERROR(X761/R761,0)</f>
        <v>-0.0229157244082634</v>
      </c>
      <c r="Z761" s="28" t="str">
        <f aca="false">IF(X761&gt;0,"Win",IF(X761&lt;0,"Loss","Flat"))</f>
        <v>Loss</v>
      </c>
      <c r="AA761" s="28" t="n">
        <f aca="false">ROUND((C761-B761)*1440,1)</f>
        <v>13.8</v>
      </c>
      <c r="AB761" s="28" t="str">
        <f aca="false">IF(AA761&lt;1,"a) &lt;1 min",IF(AA761&lt;10,"b) 1-10 min",IF(AA761&lt;60,"c) 10-60 min",IF(AA761&lt;240,"d) 1-4 h","e) 4 h+"))))</f>
        <v>c) 10-60 min</v>
      </c>
      <c r="AC761" s="28" t="str">
        <f aca="false">IF(P761&lt;10,"a) &lt;10",IF(P761&lt;20,"b) 10-20",IF(P761&lt;40,"c) 20-40",IF(P761&lt;80,"d) 40-80","e) 80+"))))</f>
        <v>c) 20-40</v>
      </c>
      <c r="AD761" s="30" t="n">
        <f aca="false">Summary!$C$5+SUM(X$2:X761)</f>
        <v>115692.55</v>
      </c>
      <c r="AE761" s="30" t="n">
        <f aca="false">MAX(AE760,AD761)</f>
        <v>116873.04</v>
      </c>
      <c r="AF761" s="30" t="n">
        <f aca="false">AE761-AD761</f>
        <v>1180.49000000001</v>
      </c>
      <c r="AG761" s="29" t="n">
        <f aca="false">IFERROR(AF761/AE761,0)</f>
        <v>0.0101006185857748</v>
      </c>
    </row>
    <row r="762" customFormat="false" ht="15" hidden="false" customHeight="false" outlineLevel="0" collapsed="false">
      <c r="A762" s="28" t="n">
        <v>761</v>
      </c>
      <c r="B762" s="43" t="n">
        <v>46112.7041666667</v>
      </c>
      <c r="C762" s="43" t="n">
        <v>46112.7390046296</v>
      </c>
      <c r="D762" s="42" t="n">
        <f aca="false">INT(C762)</f>
        <v>46112</v>
      </c>
      <c r="E762" s="42" t="n">
        <f aca="false">D762-WEEKDAY(D762,3)</f>
        <v>46111</v>
      </c>
      <c r="F762" s="28" t="s">
        <v>178</v>
      </c>
      <c r="G762" s="28" t="n">
        <v>2026</v>
      </c>
      <c r="H762" s="28" t="s">
        <v>232</v>
      </c>
      <c r="I762" s="28" t="n">
        <v>16</v>
      </c>
      <c r="J762" s="28" t="s">
        <v>233</v>
      </c>
      <c r="K762" s="28" t="s">
        <v>234</v>
      </c>
      <c r="L762" s="28" t="n">
        <v>0.22</v>
      </c>
      <c r="M762" s="31" t="n">
        <v>23359.5</v>
      </c>
      <c r="N762" s="31" t="n">
        <v>23301.83</v>
      </c>
      <c r="O762" s="31" t="n">
        <v>23474.83</v>
      </c>
      <c r="P762" s="44" t="n">
        <f aca="false">ABS(M762-N762)</f>
        <v>57.6699999999983</v>
      </c>
      <c r="Q762" s="44" t="n">
        <f aca="false">IF(O762="","",ABS(O762-M762))</f>
        <v>115.330000000002</v>
      </c>
      <c r="R762" s="30" t="n">
        <f aca="false">P762*L762*Summary!$C$6</f>
        <v>253.747999999992</v>
      </c>
      <c r="S762" s="31" t="n">
        <v>23297.7</v>
      </c>
      <c r="T762" s="28" t="s">
        <v>241</v>
      </c>
      <c r="U762" s="44" t="n">
        <f aca="false">IF(J762="BUY",S762-M762,M762-S762)</f>
        <v>-61.7999999999993</v>
      </c>
      <c r="V762" s="45" t="n">
        <v>0</v>
      </c>
      <c r="W762" s="45" t="n">
        <v>0</v>
      </c>
      <c r="X762" s="45" t="n">
        <v>-271.92</v>
      </c>
      <c r="Y762" s="32" t="n">
        <f aca="false">IFERROR(X762/R762,0)</f>
        <v>-1.07161435755162</v>
      </c>
      <c r="Z762" s="28" t="str">
        <f aca="false">IF(X762&gt;0,"Win",IF(X762&lt;0,"Loss","Flat"))</f>
        <v>Loss</v>
      </c>
      <c r="AA762" s="28" t="n">
        <f aca="false">ROUND((C762-B762)*1440,1)</f>
        <v>50.2</v>
      </c>
      <c r="AB762" s="28" t="str">
        <f aca="false">IF(AA762&lt;1,"a) &lt;1 min",IF(AA762&lt;10,"b) 1-10 min",IF(AA762&lt;60,"c) 10-60 min",IF(AA762&lt;240,"d) 1-4 h","e) 4 h+"))))</f>
        <v>c) 10-60 min</v>
      </c>
      <c r="AC762" s="28" t="str">
        <f aca="false">IF(P762&lt;10,"a) &lt;10",IF(P762&lt;20,"b) 10-20",IF(P762&lt;40,"c) 20-40",IF(P762&lt;80,"d) 40-80","e) 80+"))))</f>
        <v>d) 40-80</v>
      </c>
      <c r="AD762" s="30" t="n">
        <f aca="false">Summary!$C$5+SUM(X$2:X762)</f>
        <v>115420.63</v>
      </c>
      <c r="AE762" s="30" t="n">
        <f aca="false">MAX(AE761,AD762)</f>
        <v>116873.04</v>
      </c>
      <c r="AF762" s="30" t="n">
        <f aca="false">AE762-AD762</f>
        <v>1452.41</v>
      </c>
      <c r="AG762" s="29" t="n">
        <f aca="false">IFERROR(AF762/AE762,0)</f>
        <v>0.0124272458387324</v>
      </c>
    </row>
    <row r="763" customFormat="false" ht="15" hidden="false" customHeight="false" outlineLevel="0" collapsed="false">
      <c r="A763" s="28" t="n">
        <v>762</v>
      </c>
      <c r="B763" s="43" t="n">
        <v>46113.0715277778</v>
      </c>
      <c r="C763" s="43" t="n">
        <v>46113.0748958333</v>
      </c>
      <c r="D763" s="42" t="n">
        <f aca="false">INT(C763)</f>
        <v>46113</v>
      </c>
      <c r="E763" s="42" t="n">
        <f aca="false">D763-WEEKDAY(D763,3)</f>
        <v>46111</v>
      </c>
      <c r="F763" s="28" t="s">
        <v>179</v>
      </c>
      <c r="G763" s="28" t="n">
        <v>2026</v>
      </c>
      <c r="H763" s="28" t="s">
        <v>235</v>
      </c>
      <c r="I763" s="28" t="n">
        <v>1</v>
      </c>
      <c r="J763" s="28" t="s">
        <v>233</v>
      </c>
      <c r="K763" s="28" t="s">
        <v>234</v>
      </c>
      <c r="L763" s="28" t="n">
        <v>0.21</v>
      </c>
      <c r="M763" s="31" t="n">
        <v>23790.38</v>
      </c>
      <c r="N763" s="31" t="n">
        <v>23773.07</v>
      </c>
      <c r="O763" s="31" t="n">
        <v>23825</v>
      </c>
      <c r="P763" s="44" t="n">
        <f aca="false">ABS(M763-N763)</f>
        <v>17.3100000000013</v>
      </c>
      <c r="Q763" s="44" t="n">
        <f aca="false">IF(O763="","",ABS(O763-M763))</f>
        <v>34.619999999999</v>
      </c>
      <c r="R763" s="30" t="n">
        <f aca="false">P763*L763*Summary!$C$6</f>
        <v>72.7020000000055</v>
      </c>
      <c r="S763" s="31" t="n">
        <v>23772.91</v>
      </c>
      <c r="T763" s="28" t="s">
        <v>241</v>
      </c>
      <c r="U763" s="44" t="n">
        <f aca="false">IF(J763="BUY",S763-M763,M763-S763)</f>
        <v>-17.4700000000012</v>
      </c>
      <c r="V763" s="45" t="n">
        <v>0</v>
      </c>
      <c r="W763" s="45" t="n">
        <v>0</v>
      </c>
      <c r="X763" s="45" t="n">
        <v>-73.37</v>
      </c>
      <c r="Y763" s="32" t="n">
        <f aca="false">IFERROR(X763/R763,0)</f>
        <v>-1.00918819289696</v>
      </c>
      <c r="Z763" s="28" t="str">
        <f aca="false">IF(X763&gt;0,"Win",IF(X763&lt;0,"Loss","Flat"))</f>
        <v>Loss</v>
      </c>
      <c r="AA763" s="28" t="n">
        <f aca="false">ROUND((C763-B763)*1440,1)</f>
        <v>4.9</v>
      </c>
      <c r="AB763" s="28" t="str">
        <f aca="false">IF(AA763&lt;1,"a) &lt;1 min",IF(AA763&lt;10,"b) 1-10 min",IF(AA763&lt;60,"c) 10-60 min",IF(AA763&lt;240,"d) 1-4 h","e) 4 h+"))))</f>
        <v>b) 1-10 min</v>
      </c>
      <c r="AC763" s="28" t="str">
        <f aca="false">IF(P763&lt;10,"a) &lt;10",IF(P763&lt;20,"b) 10-20",IF(P763&lt;40,"c) 20-40",IF(P763&lt;80,"d) 40-80","e) 80+"))))</f>
        <v>b) 10-20</v>
      </c>
      <c r="AD763" s="30" t="n">
        <f aca="false">Summary!$C$5+SUM(X$2:X763)</f>
        <v>115347.26</v>
      </c>
      <c r="AE763" s="30" t="n">
        <f aca="false">MAX(AE762,AD763)</f>
        <v>116873.04</v>
      </c>
      <c r="AF763" s="30" t="n">
        <f aca="false">AE763-AD763</f>
        <v>1525.78000000001</v>
      </c>
      <c r="AG763" s="29" t="n">
        <f aca="false">IFERROR(AF763/AE763,0)</f>
        <v>0.0130550210724391</v>
      </c>
    </row>
    <row r="764" customFormat="false" ht="15" hidden="false" customHeight="false" outlineLevel="0" collapsed="false">
      <c r="A764" s="28" t="n">
        <v>763</v>
      </c>
      <c r="B764" s="43" t="n">
        <v>46114.21875</v>
      </c>
      <c r="C764" s="43" t="n">
        <v>46114.3287268519</v>
      </c>
      <c r="D764" s="42" t="n">
        <f aca="false">INT(C764)</f>
        <v>46114</v>
      </c>
      <c r="E764" s="42" t="n">
        <f aca="false">D764-WEEKDAY(D764,3)</f>
        <v>46111</v>
      </c>
      <c r="F764" s="28" t="s">
        <v>179</v>
      </c>
      <c r="G764" s="28" t="n">
        <v>2026</v>
      </c>
      <c r="H764" s="28" t="s">
        <v>239</v>
      </c>
      <c r="I764" s="28" t="n">
        <v>5</v>
      </c>
      <c r="J764" s="28" t="s">
        <v>236</v>
      </c>
      <c r="K764" s="28" t="s">
        <v>237</v>
      </c>
      <c r="L764" s="28" t="n">
        <v>0.21</v>
      </c>
      <c r="M764" s="31" t="n">
        <v>23699.8</v>
      </c>
      <c r="N764" s="31" t="n">
        <v>23736.8</v>
      </c>
      <c r="O764" s="31" t="n">
        <v>23623.67</v>
      </c>
      <c r="P764" s="44" t="n">
        <f aca="false">ABS(M764-N764)</f>
        <v>37</v>
      </c>
      <c r="Q764" s="44" t="n">
        <f aca="false">IF(O764="","",ABS(O764-M764))</f>
        <v>76.130000000001</v>
      </c>
      <c r="R764" s="30" t="n">
        <f aca="false">P764*L764*Summary!$C$6</f>
        <v>155.4</v>
      </c>
      <c r="S764" s="31" t="n">
        <v>23623.63</v>
      </c>
      <c r="T764" s="28" t="s">
        <v>214</v>
      </c>
      <c r="U764" s="44" t="n">
        <f aca="false">IF(J764="BUY",S764-M764,M764-S764)</f>
        <v>76.1699999999983</v>
      </c>
      <c r="V764" s="45" t="n">
        <v>0</v>
      </c>
      <c r="W764" s="45" t="n">
        <v>0</v>
      </c>
      <c r="X764" s="45" t="n">
        <v>319.91</v>
      </c>
      <c r="Y764" s="32" t="n">
        <f aca="false">IFERROR(X764/R764,0)</f>
        <v>2.05862290862291</v>
      </c>
      <c r="Z764" s="28" t="str">
        <f aca="false">IF(X764&gt;0,"Win",IF(X764&lt;0,"Loss","Flat"))</f>
        <v>Win</v>
      </c>
      <c r="AA764" s="28" t="n">
        <f aca="false">ROUND((C764-B764)*1440,1)</f>
        <v>158.4</v>
      </c>
      <c r="AB764" s="28" t="str">
        <f aca="false">IF(AA764&lt;1,"a) &lt;1 min",IF(AA764&lt;10,"b) 1-10 min",IF(AA764&lt;60,"c) 10-60 min",IF(AA764&lt;240,"d) 1-4 h","e) 4 h+"))))</f>
        <v>d) 1-4 h</v>
      </c>
      <c r="AC764" s="28" t="str">
        <f aca="false">IF(P764&lt;10,"a) &lt;10",IF(P764&lt;20,"b) 10-20",IF(P764&lt;40,"c) 20-40",IF(P764&lt;80,"d) 40-80","e) 80+"))))</f>
        <v>c) 20-40</v>
      </c>
      <c r="AD764" s="30" t="n">
        <f aca="false">Summary!$C$5+SUM(X$2:X764)</f>
        <v>115667.17</v>
      </c>
      <c r="AE764" s="30" t="n">
        <f aca="false">MAX(AE763,AD764)</f>
        <v>116873.04</v>
      </c>
      <c r="AF764" s="30" t="n">
        <f aca="false">AE764-AD764</f>
        <v>1205.87000000001</v>
      </c>
      <c r="AG764" s="29" t="n">
        <f aca="false">IFERROR(AF764/AE764,0)</f>
        <v>0.0103177773077522</v>
      </c>
    </row>
    <row r="765" customFormat="false" ht="15" hidden="false" customHeight="false" outlineLevel="0" collapsed="false">
      <c r="A765" s="28" t="n">
        <v>764</v>
      </c>
      <c r="B765" s="43" t="n">
        <v>46118.2159722222</v>
      </c>
      <c r="C765" s="43" t="n">
        <v>46118.2231134259</v>
      </c>
      <c r="D765" s="42" t="n">
        <f aca="false">INT(C765)</f>
        <v>46118</v>
      </c>
      <c r="E765" s="42" t="n">
        <f aca="false">D765-WEEKDAY(D765,3)</f>
        <v>46118</v>
      </c>
      <c r="F765" s="28" t="s">
        <v>179</v>
      </c>
      <c r="G765" s="28" t="n">
        <v>2026</v>
      </c>
      <c r="H765" s="28" t="s">
        <v>240</v>
      </c>
      <c r="I765" s="28" t="n">
        <v>5</v>
      </c>
      <c r="J765" s="28" t="s">
        <v>233</v>
      </c>
      <c r="K765" s="28" t="s">
        <v>234</v>
      </c>
      <c r="L765" s="28" t="n">
        <v>0.21</v>
      </c>
      <c r="M765" s="31" t="n">
        <v>24081.04</v>
      </c>
      <c r="N765" s="31" t="n">
        <v>24053.61</v>
      </c>
      <c r="O765" s="31" t="n">
        <v>24136.68</v>
      </c>
      <c r="P765" s="44" t="n">
        <f aca="false">ABS(M765-N765)</f>
        <v>27.4300000000003</v>
      </c>
      <c r="Q765" s="44" t="n">
        <f aca="false">IF(O765="","",ABS(O765-M765))</f>
        <v>55.6399999999994</v>
      </c>
      <c r="R765" s="30" t="n">
        <f aca="false">P765*L765*Summary!$C$6</f>
        <v>115.206000000001</v>
      </c>
      <c r="S765" s="31" t="n">
        <v>24139.47</v>
      </c>
      <c r="T765" s="28" t="s">
        <v>214</v>
      </c>
      <c r="U765" s="44" t="n">
        <f aca="false">IF(J765="BUY",S765-M765,M765-S765)</f>
        <v>58.4300000000003</v>
      </c>
      <c r="V765" s="45" t="n">
        <v>0</v>
      </c>
      <c r="W765" s="45" t="n">
        <v>0</v>
      </c>
      <c r="X765" s="45" t="n">
        <v>245.41</v>
      </c>
      <c r="Y765" s="32" t="n">
        <f aca="false">IFERROR(X765/R765,0)</f>
        <v>2.13018419179554</v>
      </c>
      <c r="Z765" s="28" t="str">
        <f aca="false">IF(X765&gt;0,"Win",IF(X765&lt;0,"Loss","Flat"))</f>
        <v>Win</v>
      </c>
      <c r="AA765" s="28" t="n">
        <f aca="false">ROUND((C765-B765)*1440,1)</f>
        <v>10.3</v>
      </c>
      <c r="AB765" s="28" t="str">
        <f aca="false">IF(AA765&lt;1,"a) &lt;1 min",IF(AA765&lt;10,"b) 1-10 min",IF(AA765&lt;60,"c) 10-60 min",IF(AA765&lt;240,"d) 1-4 h","e) 4 h+"))))</f>
        <v>c) 10-60 min</v>
      </c>
      <c r="AC765" s="28" t="str">
        <f aca="false">IF(P765&lt;10,"a) &lt;10",IF(P765&lt;20,"b) 10-20",IF(P765&lt;40,"c) 20-40",IF(P765&lt;80,"d) 40-80","e) 80+"))))</f>
        <v>c) 20-40</v>
      </c>
      <c r="AD765" s="30" t="n">
        <f aca="false">Summary!$C$5+SUM(X$2:X765)</f>
        <v>115912.58</v>
      </c>
      <c r="AE765" s="30" t="n">
        <f aca="false">MAX(AE764,AD765)</f>
        <v>116873.04</v>
      </c>
      <c r="AF765" s="30" t="n">
        <f aca="false">AE765-AD765</f>
        <v>960.460000000006</v>
      </c>
      <c r="AG765" s="29" t="n">
        <f aca="false">IFERROR(AF765/AE765,0)</f>
        <v>0.00821797738811283</v>
      </c>
    </row>
    <row r="766" customFormat="false" ht="15" hidden="false" customHeight="false" outlineLevel="0" collapsed="false">
      <c r="A766" s="28" t="n">
        <v>765</v>
      </c>
      <c r="B766" s="43" t="n">
        <v>46119.7541666667</v>
      </c>
      <c r="C766" s="43" t="n">
        <v>46119.7574189815</v>
      </c>
      <c r="D766" s="42" t="n">
        <f aca="false">INT(C766)</f>
        <v>46119</v>
      </c>
      <c r="E766" s="42" t="n">
        <f aca="false">D766-WEEKDAY(D766,3)</f>
        <v>46118</v>
      </c>
      <c r="F766" s="28" t="s">
        <v>179</v>
      </c>
      <c r="G766" s="28" t="n">
        <v>2026</v>
      </c>
      <c r="H766" s="28" t="s">
        <v>232</v>
      </c>
      <c r="I766" s="28" t="n">
        <v>18</v>
      </c>
      <c r="J766" s="28" t="s">
        <v>236</v>
      </c>
      <c r="K766" s="28" t="s">
        <v>237</v>
      </c>
      <c r="L766" s="28" t="n">
        <v>0.21</v>
      </c>
      <c r="M766" s="31" t="n">
        <v>23782.24</v>
      </c>
      <c r="N766" s="31" t="n">
        <v>23827</v>
      </c>
      <c r="O766" s="31" t="n">
        <v>23691.65</v>
      </c>
      <c r="P766" s="44" t="n">
        <f aca="false">ABS(M766-N766)</f>
        <v>44.7599999999984</v>
      </c>
      <c r="Q766" s="44" t="n">
        <f aca="false">IF(O766="","",ABS(O766-M766))</f>
        <v>90.5900000000002</v>
      </c>
      <c r="R766" s="30" t="n">
        <f aca="false">P766*L766*Summary!$C$6</f>
        <v>187.991999999993</v>
      </c>
      <c r="S766" s="31" t="n">
        <v>23827.28</v>
      </c>
      <c r="T766" s="28" t="s">
        <v>241</v>
      </c>
      <c r="U766" s="44" t="n">
        <f aca="false">IF(J766="BUY",S766-M766,M766-S766)</f>
        <v>-45.0399999999972</v>
      </c>
      <c r="V766" s="45" t="n">
        <v>0</v>
      </c>
      <c r="W766" s="45" t="n">
        <v>0</v>
      </c>
      <c r="X766" s="45" t="n">
        <v>-189.17</v>
      </c>
      <c r="Y766" s="32" t="n">
        <f aca="false">IFERROR(X766/R766,0)</f>
        <v>-1.00626622409468</v>
      </c>
      <c r="Z766" s="28" t="str">
        <f aca="false">IF(X766&gt;0,"Win",IF(X766&lt;0,"Loss","Flat"))</f>
        <v>Loss</v>
      </c>
      <c r="AA766" s="28" t="n">
        <f aca="false">ROUND((C766-B766)*1440,1)</f>
        <v>4.7</v>
      </c>
      <c r="AB766" s="28" t="str">
        <f aca="false">IF(AA766&lt;1,"a) &lt;1 min",IF(AA766&lt;10,"b) 1-10 min",IF(AA766&lt;60,"c) 10-60 min",IF(AA766&lt;240,"d) 1-4 h","e) 4 h+"))))</f>
        <v>b) 1-10 min</v>
      </c>
      <c r="AC766" s="28" t="str">
        <f aca="false">IF(P766&lt;10,"a) &lt;10",IF(P766&lt;20,"b) 10-20",IF(P766&lt;40,"c) 20-40",IF(P766&lt;80,"d) 40-80","e) 80+"))))</f>
        <v>d) 40-80</v>
      </c>
      <c r="AD766" s="30" t="n">
        <f aca="false">Summary!$C$5+SUM(X$2:X766)</f>
        <v>115723.41</v>
      </c>
      <c r="AE766" s="30" t="n">
        <f aca="false">MAX(AE765,AD766)</f>
        <v>116873.04</v>
      </c>
      <c r="AF766" s="30" t="n">
        <f aca="false">AE766-AD766</f>
        <v>1149.63</v>
      </c>
      <c r="AG766" s="29" t="n">
        <f aca="false">IFERROR(AF766/AE766,0)</f>
        <v>0.00983657137694035</v>
      </c>
    </row>
    <row r="767" customFormat="false" ht="15" hidden="false" customHeight="false" outlineLevel="0" collapsed="false">
      <c r="A767" s="28" t="n">
        <v>766</v>
      </c>
      <c r="B767" s="43" t="n">
        <v>46120.0423611111</v>
      </c>
      <c r="C767" s="43" t="n">
        <v>46120.0644675926</v>
      </c>
      <c r="D767" s="42" t="n">
        <f aca="false">INT(C767)</f>
        <v>46120</v>
      </c>
      <c r="E767" s="42" t="n">
        <f aca="false">D767-WEEKDAY(D767,3)</f>
        <v>46118</v>
      </c>
      <c r="F767" s="28" t="s">
        <v>179</v>
      </c>
      <c r="G767" s="28" t="n">
        <v>2026</v>
      </c>
      <c r="H767" s="28" t="s">
        <v>235</v>
      </c>
      <c r="I767" s="28" t="n">
        <v>1</v>
      </c>
      <c r="J767" s="28" t="s">
        <v>233</v>
      </c>
      <c r="K767" s="28" t="s">
        <v>234</v>
      </c>
      <c r="L767" s="28" t="n">
        <v>0.21</v>
      </c>
      <c r="M767" s="31" t="n">
        <v>24432.59</v>
      </c>
      <c r="N767" s="31" t="n">
        <v>24358.86</v>
      </c>
      <c r="O767" s="31" t="n">
        <v>24577.8</v>
      </c>
      <c r="P767" s="44" t="n">
        <f aca="false">ABS(M767-N767)</f>
        <v>73.7299999999996</v>
      </c>
      <c r="Q767" s="44" t="n">
        <f aca="false">IF(O767="","",ABS(O767-M767))</f>
        <v>145.209999999999</v>
      </c>
      <c r="R767" s="30" t="n">
        <f aca="false">P767*L767*Summary!$C$6</f>
        <v>309.665999999998</v>
      </c>
      <c r="S767" s="31" t="n">
        <v>24317.33</v>
      </c>
      <c r="T767" s="28" t="s">
        <v>238</v>
      </c>
      <c r="U767" s="44" t="n">
        <f aca="false">IF(J767="BUY",S767-M767,M767-S767)</f>
        <v>-115.259999999998</v>
      </c>
      <c r="V767" s="45" t="n">
        <v>0</v>
      </c>
      <c r="W767" s="45" t="n">
        <v>0</v>
      </c>
      <c r="X767" s="45" t="n">
        <v>-484.09</v>
      </c>
      <c r="Y767" s="32" t="n">
        <f aca="false">IFERROR(X767/R767,0)</f>
        <v>-1.56326493706123</v>
      </c>
      <c r="Z767" s="28" t="str">
        <f aca="false">IF(X767&gt;0,"Win",IF(X767&lt;0,"Loss","Flat"))</f>
        <v>Loss</v>
      </c>
      <c r="AA767" s="28" t="n">
        <f aca="false">ROUND((C767-B767)*1440,1)</f>
        <v>31.8</v>
      </c>
      <c r="AB767" s="28" t="str">
        <f aca="false">IF(AA767&lt;1,"a) &lt;1 min",IF(AA767&lt;10,"b) 1-10 min",IF(AA767&lt;60,"c) 10-60 min",IF(AA767&lt;240,"d) 1-4 h","e) 4 h+"))))</f>
        <v>c) 10-60 min</v>
      </c>
      <c r="AC767" s="28" t="str">
        <f aca="false">IF(P767&lt;10,"a) &lt;10",IF(P767&lt;20,"b) 10-20",IF(P767&lt;40,"c) 20-40",IF(P767&lt;80,"d) 40-80","e) 80+"))))</f>
        <v>d) 40-80</v>
      </c>
      <c r="AD767" s="30" t="n">
        <f aca="false">Summary!$C$5+SUM(X$2:X767)</f>
        <v>115239.32</v>
      </c>
      <c r="AE767" s="30" t="n">
        <f aca="false">MAX(AE766,AD767)</f>
        <v>116873.04</v>
      </c>
      <c r="AF767" s="30" t="n">
        <f aca="false">AE767-AD767</f>
        <v>1633.72</v>
      </c>
      <c r="AG767" s="29" t="n">
        <f aca="false">IFERROR(AF767/AE767,0)</f>
        <v>0.0139785873628341</v>
      </c>
    </row>
    <row r="768" customFormat="false" ht="15" hidden="false" customHeight="false" outlineLevel="0" collapsed="false">
      <c r="A768" s="28" t="n">
        <v>767</v>
      </c>
      <c r="B768" s="43" t="n">
        <v>46121.9520833333</v>
      </c>
      <c r="C768" s="43" t="n">
        <v>46121.9584722222</v>
      </c>
      <c r="D768" s="42" t="n">
        <f aca="false">INT(C768)</f>
        <v>46121</v>
      </c>
      <c r="E768" s="42" t="n">
        <f aca="false">D768-WEEKDAY(D768,3)</f>
        <v>46118</v>
      </c>
      <c r="F768" s="28" t="s">
        <v>179</v>
      </c>
      <c r="G768" s="28" t="n">
        <v>2026</v>
      </c>
      <c r="H768" s="28" t="s">
        <v>239</v>
      </c>
      <c r="I768" s="28" t="n">
        <v>22</v>
      </c>
      <c r="J768" s="28" t="s">
        <v>233</v>
      </c>
      <c r="K768" s="28" t="s">
        <v>234</v>
      </c>
      <c r="L768" s="28" t="n">
        <v>0.2</v>
      </c>
      <c r="M768" s="31" t="n">
        <v>25089.97</v>
      </c>
      <c r="N768" s="31" t="n">
        <v>25069.72</v>
      </c>
      <c r="O768" s="31" t="n">
        <v>25130.48</v>
      </c>
      <c r="P768" s="44" t="n">
        <f aca="false">ABS(M768-N768)</f>
        <v>20.25</v>
      </c>
      <c r="Q768" s="44" t="n">
        <f aca="false">IF(O768="","",ABS(O768-M768))</f>
        <v>40.5099999999984</v>
      </c>
      <c r="R768" s="30" t="n">
        <f aca="false">P768*L768*Summary!$C$6</f>
        <v>81</v>
      </c>
      <c r="S768" s="31" t="n">
        <v>25069.61</v>
      </c>
      <c r="T768" s="28" t="s">
        <v>241</v>
      </c>
      <c r="U768" s="44" t="n">
        <f aca="false">IF(J768="BUY",S768-M768,M768-S768)</f>
        <v>-20.3600000000006</v>
      </c>
      <c r="V768" s="45" t="n">
        <v>0</v>
      </c>
      <c r="W768" s="45" t="n">
        <v>0</v>
      </c>
      <c r="X768" s="45" t="n">
        <v>-81.44</v>
      </c>
      <c r="Y768" s="32" t="n">
        <f aca="false">IFERROR(X768/R768,0)</f>
        <v>-1.00543209876543</v>
      </c>
      <c r="Z768" s="28" t="str">
        <f aca="false">IF(X768&gt;0,"Win",IF(X768&lt;0,"Loss","Flat"))</f>
        <v>Loss</v>
      </c>
      <c r="AA768" s="28" t="n">
        <f aca="false">ROUND((C768-B768)*1440,1)</f>
        <v>9.2</v>
      </c>
      <c r="AB768" s="28" t="str">
        <f aca="false">IF(AA768&lt;1,"a) &lt;1 min",IF(AA768&lt;10,"b) 1-10 min",IF(AA768&lt;60,"c) 10-60 min",IF(AA768&lt;240,"d) 1-4 h","e) 4 h+"))))</f>
        <v>b) 1-10 min</v>
      </c>
      <c r="AC768" s="28" t="str">
        <f aca="false">IF(P768&lt;10,"a) &lt;10",IF(P768&lt;20,"b) 10-20",IF(P768&lt;40,"c) 20-40",IF(P768&lt;80,"d) 40-80","e) 80+"))))</f>
        <v>c) 20-40</v>
      </c>
      <c r="AD768" s="30" t="n">
        <f aca="false">Summary!$C$5+SUM(X$2:X768)</f>
        <v>115157.88</v>
      </c>
      <c r="AE768" s="30" t="n">
        <f aca="false">MAX(AE767,AD768)</f>
        <v>116873.04</v>
      </c>
      <c r="AF768" s="30" t="n">
        <f aca="false">AE768-AD768</f>
        <v>1715.16</v>
      </c>
      <c r="AG768" s="29" t="n">
        <f aca="false">IFERROR(AF768/AE768,0)</f>
        <v>0.0146754118828432</v>
      </c>
    </row>
    <row r="769" customFormat="false" ht="15" hidden="false" customHeight="false" outlineLevel="0" collapsed="false">
      <c r="A769" s="28" t="n">
        <v>768</v>
      </c>
      <c r="B769" s="43" t="n">
        <v>46122.1666666667</v>
      </c>
      <c r="C769" s="43" t="n">
        <v>46122.1773263889</v>
      </c>
      <c r="D769" s="42" t="n">
        <f aca="false">INT(C769)</f>
        <v>46122</v>
      </c>
      <c r="E769" s="42" t="n">
        <f aca="false">D769-WEEKDAY(D769,3)</f>
        <v>46118</v>
      </c>
      <c r="F769" s="28" t="s">
        <v>179</v>
      </c>
      <c r="G769" s="28" t="n">
        <v>2026</v>
      </c>
      <c r="H769" s="28" t="s">
        <v>242</v>
      </c>
      <c r="I769" s="28" t="n">
        <v>4</v>
      </c>
      <c r="J769" s="28" t="s">
        <v>233</v>
      </c>
      <c r="K769" s="28" t="s">
        <v>234</v>
      </c>
      <c r="L769" s="28" t="n">
        <v>0.2</v>
      </c>
      <c r="M769" s="31" t="n">
        <v>25105.84</v>
      </c>
      <c r="N769" s="31" t="n">
        <v>25091.52</v>
      </c>
      <c r="O769" s="31" t="n">
        <v>25134.48</v>
      </c>
      <c r="P769" s="44" t="n">
        <f aca="false">ABS(M769-N769)</f>
        <v>14.3199999999997</v>
      </c>
      <c r="Q769" s="44" t="n">
        <f aca="false">IF(O769="","",ABS(O769-M769))</f>
        <v>28.6399999999994</v>
      </c>
      <c r="R769" s="30" t="n">
        <f aca="false">P769*L769*Summary!$C$6</f>
        <v>57.2799999999988</v>
      </c>
      <c r="S769" s="31" t="n">
        <v>25091.44</v>
      </c>
      <c r="T769" s="28" t="s">
        <v>241</v>
      </c>
      <c r="U769" s="44" t="n">
        <f aca="false">IF(J769="BUY",S769-M769,M769-S769)</f>
        <v>-14.4000000000015</v>
      </c>
      <c r="V769" s="45" t="n">
        <v>0</v>
      </c>
      <c r="W769" s="45" t="n">
        <v>0</v>
      </c>
      <c r="X769" s="45" t="n">
        <v>-57.6</v>
      </c>
      <c r="Y769" s="32" t="n">
        <f aca="false">IFERROR(X769/R769,0)</f>
        <v>-1.00558659217879</v>
      </c>
      <c r="Z769" s="28" t="str">
        <f aca="false">IF(X769&gt;0,"Win",IF(X769&lt;0,"Loss","Flat"))</f>
        <v>Loss</v>
      </c>
      <c r="AA769" s="28" t="n">
        <f aca="false">ROUND((C769-B769)*1440,1)</f>
        <v>15.4</v>
      </c>
      <c r="AB769" s="28" t="str">
        <f aca="false">IF(AA769&lt;1,"a) &lt;1 min",IF(AA769&lt;10,"b) 1-10 min",IF(AA769&lt;60,"c) 10-60 min",IF(AA769&lt;240,"d) 1-4 h","e) 4 h+"))))</f>
        <v>c) 10-60 min</v>
      </c>
      <c r="AC769" s="28" t="str">
        <f aca="false">IF(P769&lt;10,"a) &lt;10",IF(P769&lt;20,"b) 10-20",IF(P769&lt;40,"c) 20-40",IF(P769&lt;80,"d) 40-80","e) 80+"))))</f>
        <v>b) 10-20</v>
      </c>
      <c r="AD769" s="30" t="n">
        <f aca="false">Summary!$C$5+SUM(X$2:X769)</f>
        <v>115100.28</v>
      </c>
      <c r="AE769" s="30" t="n">
        <f aca="false">MAX(AE768,AD769)</f>
        <v>116873.04</v>
      </c>
      <c r="AF769" s="30" t="n">
        <f aca="false">AE769-AD769</f>
        <v>1772.76000000001</v>
      </c>
      <c r="AG769" s="29" t="n">
        <f aca="false">IFERROR(AF769/AE769,0)</f>
        <v>0.015168254372437</v>
      </c>
    </row>
    <row r="770" customFormat="false" ht="15" hidden="false" customHeight="false" outlineLevel="0" collapsed="false">
      <c r="A770" s="28" t="n">
        <v>769</v>
      </c>
      <c r="B770" s="43" t="n">
        <v>46125.0423611111</v>
      </c>
      <c r="C770" s="43" t="n">
        <v>46125.1630555556</v>
      </c>
      <c r="D770" s="42" t="n">
        <f aca="false">INT(C770)</f>
        <v>46125</v>
      </c>
      <c r="E770" s="42" t="n">
        <f aca="false">D770-WEEKDAY(D770,3)</f>
        <v>46125</v>
      </c>
      <c r="F770" s="28" t="s">
        <v>179</v>
      </c>
      <c r="G770" s="28" t="n">
        <v>2026</v>
      </c>
      <c r="H770" s="28" t="s">
        <v>240</v>
      </c>
      <c r="I770" s="28" t="n">
        <v>1</v>
      </c>
      <c r="J770" s="28" t="s">
        <v>236</v>
      </c>
      <c r="K770" s="28" t="s">
        <v>237</v>
      </c>
      <c r="L770" s="28" t="n">
        <v>0.2</v>
      </c>
      <c r="M770" s="31" t="n">
        <v>24809.82</v>
      </c>
      <c r="N770" s="31" t="n">
        <v>24889.71</v>
      </c>
      <c r="O770" s="31" t="n">
        <v>24646.11</v>
      </c>
      <c r="P770" s="44" t="n">
        <f aca="false">ABS(M770-N770)</f>
        <v>79.8899999999994</v>
      </c>
      <c r="Q770" s="44" t="n">
        <f aca="false">IF(O770="","",ABS(O770-M770))</f>
        <v>163.709999999999</v>
      </c>
      <c r="R770" s="30" t="n">
        <f aca="false">P770*L770*Summary!$C$6</f>
        <v>319.559999999998</v>
      </c>
      <c r="S770" s="31" t="n">
        <v>24889.78</v>
      </c>
      <c r="T770" s="28" t="s">
        <v>241</v>
      </c>
      <c r="U770" s="44" t="n">
        <f aca="false">IF(J770="BUY",S770-M770,M770-S770)</f>
        <v>-79.9599999999991</v>
      </c>
      <c r="V770" s="45" t="n">
        <v>0</v>
      </c>
      <c r="W770" s="45" t="n">
        <v>0</v>
      </c>
      <c r="X770" s="45" t="n">
        <v>-319.84</v>
      </c>
      <c r="Y770" s="32" t="n">
        <f aca="false">IFERROR(X770/R770,0)</f>
        <v>-1.00087620478158</v>
      </c>
      <c r="Z770" s="28" t="str">
        <f aca="false">IF(X770&gt;0,"Win",IF(X770&lt;0,"Loss","Flat"))</f>
        <v>Loss</v>
      </c>
      <c r="AA770" s="28" t="n">
        <f aca="false">ROUND((C770-B770)*1440,1)</f>
        <v>173.8</v>
      </c>
      <c r="AB770" s="28" t="str">
        <f aca="false">IF(AA770&lt;1,"a) &lt;1 min",IF(AA770&lt;10,"b) 1-10 min",IF(AA770&lt;60,"c) 10-60 min",IF(AA770&lt;240,"d) 1-4 h","e) 4 h+"))))</f>
        <v>d) 1-4 h</v>
      </c>
      <c r="AC770" s="28" t="str">
        <f aca="false">IF(P770&lt;10,"a) &lt;10",IF(P770&lt;20,"b) 10-20",IF(P770&lt;40,"c) 20-40",IF(P770&lt;80,"d) 40-80","e) 80+"))))</f>
        <v>d) 40-80</v>
      </c>
      <c r="AD770" s="30" t="n">
        <f aca="false">Summary!$C$5+SUM(X$2:X770)</f>
        <v>114780.44</v>
      </c>
      <c r="AE770" s="30" t="n">
        <f aca="false">MAX(AE769,AD770)</f>
        <v>116873.04</v>
      </c>
      <c r="AF770" s="30" t="n">
        <f aca="false">AE770-AD770</f>
        <v>2092.60000000001</v>
      </c>
      <c r="AG770" s="29" t="n">
        <f aca="false">IFERROR(AF770/AE770,0)</f>
        <v>0.0179048991965983</v>
      </c>
    </row>
    <row r="771" customFormat="false" ht="15" hidden="false" customHeight="false" outlineLevel="0" collapsed="false">
      <c r="A771" s="28" t="n">
        <v>770</v>
      </c>
      <c r="B771" s="43" t="n">
        <v>46125.8166666667</v>
      </c>
      <c r="C771" s="43" t="n">
        <v>46125.8207523148</v>
      </c>
      <c r="D771" s="42" t="n">
        <f aca="false">INT(C771)</f>
        <v>46125</v>
      </c>
      <c r="E771" s="42" t="n">
        <f aca="false">D771-WEEKDAY(D771,3)</f>
        <v>46125</v>
      </c>
      <c r="F771" s="28" t="s">
        <v>179</v>
      </c>
      <c r="G771" s="28" t="n">
        <v>2026</v>
      </c>
      <c r="H771" s="28" t="s">
        <v>240</v>
      </c>
      <c r="I771" s="28" t="n">
        <v>19</v>
      </c>
      <c r="J771" s="28" t="s">
        <v>233</v>
      </c>
      <c r="K771" s="28" t="s">
        <v>234</v>
      </c>
      <c r="L771" s="28" t="n">
        <v>0.2</v>
      </c>
      <c r="M771" s="31" t="n">
        <v>25241.06</v>
      </c>
      <c r="N771" s="31" t="n">
        <v>25203.44</v>
      </c>
      <c r="O771" s="31" t="n">
        <v>25313.27</v>
      </c>
      <c r="P771" s="44" t="n">
        <f aca="false">ABS(M771-N771)</f>
        <v>37.6200000000026</v>
      </c>
      <c r="Q771" s="44" t="n">
        <f aca="false">IF(O771="","",ABS(O771-M771))</f>
        <v>72.2099999999991</v>
      </c>
      <c r="R771" s="30" t="n">
        <f aca="false">P771*L771*Summary!$C$6</f>
        <v>150.48000000001</v>
      </c>
      <c r="S771" s="31" t="n">
        <v>25202.53</v>
      </c>
      <c r="T771" s="28" t="s">
        <v>241</v>
      </c>
      <c r="U771" s="44" t="n">
        <f aca="false">IF(J771="BUY",S771-M771,M771-S771)</f>
        <v>-38.5300000000025</v>
      </c>
      <c r="V771" s="45" t="n">
        <v>0</v>
      </c>
      <c r="W771" s="45" t="n">
        <v>0</v>
      </c>
      <c r="X771" s="45" t="n">
        <v>-154.12</v>
      </c>
      <c r="Y771" s="32" t="n">
        <f aca="false">IFERROR(X771/R771,0)</f>
        <v>-1.0241892610313</v>
      </c>
      <c r="Z771" s="28" t="str">
        <f aca="false">IF(X771&gt;0,"Win",IF(X771&lt;0,"Loss","Flat"))</f>
        <v>Loss</v>
      </c>
      <c r="AA771" s="28" t="n">
        <f aca="false">ROUND((C771-B771)*1440,1)</f>
        <v>5.9</v>
      </c>
      <c r="AB771" s="28" t="str">
        <f aca="false">IF(AA771&lt;1,"a) &lt;1 min",IF(AA771&lt;10,"b) 1-10 min",IF(AA771&lt;60,"c) 10-60 min",IF(AA771&lt;240,"d) 1-4 h","e) 4 h+"))))</f>
        <v>b) 1-10 min</v>
      </c>
      <c r="AC771" s="28" t="str">
        <f aca="false">IF(P771&lt;10,"a) &lt;10",IF(P771&lt;20,"b) 10-20",IF(P771&lt;40,"c) 20-40",IF(P771&lt;80,"d) 40-80","e) 80+"))))</f>
        <v>c) 20-40</v>
      </c>
      <c r="AD771" s="30" t="n">
        <f aca="false">Summary!$C$5+SUM(X$2:X771)</f>
        <v>114626.32</v>
      </c>
      <c r="AE771" s="30" t="n">
        <f aca="false">MAX(AE770,AD771)</f>
        <v>116873.04</v>
      </c>
      <c r="AF771" s="30" t="n">
        <f aca="false">AE771-AD771</f>
        <v>2246.72</v>
      </c>
      <c r="AG771" s="29" t="n">
        <f aca="false">IFERROR(AF771/AE771,0)</f>
        <v>0.0192235951079907</v>
      </c>
    </row>
    <row r="772" customFormat="false" ht="15" hidden="false" customHeight="false" outlineLevel="0" collapsed="false">
      <c r="A772" s="28" t="n">
        <v>771</v>
      </c>
      <c r="B772" s="43" t="n">
        <v>46126.0423611111</v>
      </c>
      <c r="C772" s="43" t="n">
        <v>46126.0838194444</v>
      </c>
      <c r="D772" s="42" t="n">
        <f aca="false">INT(C772)</f>
        <v>46126</v>
      </c>
      <c r="E772" s="42" t="n">
        <f aca="false">D772-WEEKDAY(D772,3)</f>
        <v>46125</v>
      </c>
      <c r="F772" s="28" t="s">
        <v>179</v>
      </c>
      <c r="G772" s="28" t="n">
        <v>2026</v>
      </c>
      <c r="H772" s="28" t="s">
        <v>232</v>
      </c>
      <c r="I772" s="28" t="n">
        <v>1</v>
      </c>
      <c r="J772" s="28" t="s">
        <v>233</v>
      </c>
      <c r="K772" s="28" t="s">
        <v>234</v>
      </c>
      <c r="L772" s="28" t="n">
        <v>0.2</v>
      </c>
      <c r="M772" s="31" t="n">
        <v>25411.06</v>
      </c>
      <c r="N772" s="31" t="n">
        <v>25397.56</v>
      </c>
      <c r="O772" s="31" t="n">
        <v>25438.07</v>
      </c>
      <c r="P772" s="44" t="n">
        <f aca="false">ABS(M772-N772)</f>
        <v>13.5</v>
      </c>
      <c r="Q772" s="44" t="n">
        <f aca="false">IF(O772="","",ABS(O772-M772))</f>
        <v>27.0099999999984</v>
      </c>
      <c r="R772" s="30" t="n">
        <f aca="false">P772*L772*Summary!$C$6</f>
        <v>54</v>
      </c>
      <c r="S772" s="31" t="n">
        <v>25439.27</v>
      </c>
      <c r="T772" s="28" t="s">
        <v>214</v>
      </c>
      <c r="U772" s="44" t="n">
        <f aca="false">IF(J772="BUY",S772-M772,M772-S772)</f>
        <v>28.2099999999991</v>
      </c>
      <c r="V772" s="45" t="n">
        <v>0</v>
      </c>
      <c r="W772" s="45" t="n">
        <v>0</v>
      </c>
      <c r="X772" s="45" t="n">
        <v>112.84</v>
      </c>
      <c r="Y772" s="32" t="n">
        <f aca="false">IFERROR(X772/R772,0)</f>
        <v>2.08962962962963</v>
      </c>
      <c r="Z772" s="28" t="str">
        <f aca="false">IF(X772&gt;0,"Win",IF(X772&lt;0,"Loss","Flat"))</f>
        <v>Win</v>
      </c>
      <c r="AA772" s="28" t="n">
        <f aca="false">ROUND((C772-B772)*1440,1)</f>
        <v>59.7</v>
      </c>
      <c r="AB772" s="28" t="str">
        <f aca="false">IF(AA772&lt;1,"a) &lt;1 min",IF(AA772&lt;10,"b) 1-10 min",IF(AA772&lt;60,"c) 10-60 min",IF(AA772&lt;240,"d) 1-4 h","e) 4 h+"))))</f>
        <v>c) 10-60 min</v>
      </c>
      <c r="AC772" s="28" t="str">
        <f aca="false">IF(P772&lt;10,"a) &lt;10",IF(P772&lt;20,"b) 10-20",IF(P772&lt;40,"c) 20-40",IF(P772&lt;80,"d) 40-80","e) 80+"))))</f>
        <v>b) 10-20</v>
      </c>
      <c r="AD772" s="30" t="n">
        <f aca="false">Summary!$C$5+SUM(X$2:X772)</f>
        <v>114739.16</v>
      </c>
      <c r="AE772" s="30" t="n">
        <f aca="false">MAX(AE771,AD772)</f>
        <v>116873.04</v>
      </c>
      <c r="AF772" s="30" t="n">
        <f aca="false">AE772-AD772</f>
        <v>2133.88</v>
      </c>
      <c r="AG772" s="29" t="n">
        <f aca="false">IFERROR(AF772/AE772,0)</f>
        <v>0.0182581029808072</v>
      </c>
    </row>
    <row r="773" customFormat="false" ht="15" hidden="false" customHeight="false" outlineLevel="0" collapsed="false">
      <c r="A773" s="28" t="n">
        <v>772</v>
      </c>
      <c r="B773" s="43" t="n">
        <v>46127.0458333333</v>
      </c>
      <c r="C773" s="43" t="n">
        <v>46127.1165972222</v>
      </c>
      <c r="D773" s="42" t="n">
        <f aca="false">INT(C773)</f>
        <v>46127</v>
      </c>
      <c r="E773" s="42" t="n">
        <f aca="false">D773-WEEKDAY(D773,3)</f>
        <v>46125</v>
      </c>
      <c r="F773" s="28" t="s">
        <v>179</v>
      </c>
      <c r="G773" s="28" t="n">
        <v>2026</v>
      </c>
      <c r="H773" s="28" t="s">
        <v>235</v>
      </c>
      <c r="I773" s="28" t="n">
        <v>1</v>
      </c>
      <c r="J773" s="28" t="s">
        <v>233</v>
      </c>
      <c r="K773" s="28" t="s">
        <v>234</v>
      </c>
      <c r="L773" s="28" t="n">
        <v>0.19</v>
      </c>
      <c r="M773" s="31" t="n">
        <v>25840.2</v>
      </c>
      <c r="N773" s="31" t="n">
        <v>25825.92</v>
      </c>
      <c r="O773" s="31" t="n">
        <v>25868.76</v>
      </c>
      <c r="P773" s="44" t="n">
        <f aca="false">ABS(M773-N773)</f>
        <v>14.2800000000025</v>
      </c>
      <c r="Q773" s="44" t="n">
        <f aca="false">IF(O773="","",ABS(O773-M773))</f>
        <v>28.5599999999977</v>
      </c>
      <c r="R773" s="30" t="n">
        <f aca="false">P773*L773*Summary!$C$6</f>
        <v>54.2640000000094</v>
      </c>
      <c r="S773" s="31" t="n">
        <v>25871.19</v>
      </c>
      <c r="T773" s="28" t="s">
        <v>214</v>
      </c>
      <c r="U773" s="44" t="n">
        <f aca="false">IF(J773="BUY",S773-M773,M773-S773)</f>
        <v>30.989999999998</v>
      </c>
      <c r="V773" s="45" t="n">
        <v>0</v>
      </c>
      <c r="W773" s="45" t="n">
        <v>0</v>
      </c>
      <c r="X773" s="45" t="n">
        <v>117.76</v>
      </c>
      <c r="Y773" s="32" t="n">
        <f aca="false">IFERROR(X773/R773,0)</f>
        <v>2.17013121037851</v>
      </c>
      <c r="Z773" s="28" t="str">
        <f aca="false">IF(X773&gt;0,"Win",IF(X773&lt;0,"Loss","Flat"))</f>
        <v>Win</v>
      </c>
      <c r="AA773" s="28" t="n">
        <f aca="false">ROUND((C773-B773)*1440,1)</f>
        <v>101.9</v>
      </c>
      <c r="AB773" s="28" t="str">
        <f aca="false">IF(AA773&lt;1,"a) &lt;1 min",IF(AA773&lt;10,"b) 1-10 min",IF(AA773&lt;60,"c) 10-60 min",IF(AA773&lt;240,"d) 1-4 h","e) 4 h+"))))</f>
        <v>d) 1-4 h</v>
      </c>
      <c r="AC773" s="28" t="str">
        <f aca="false">IF(P773&lt;10,"a) &lt;10",IF(P773&lt;20,"b) 10-20",IF(P773&lt;40,"c) 20-40",IF(P773&lt;80,"d) 40-80","e) 80+"))))</f>
        <v>b) 10-20</v>
      </c>
      <c r="AD773" s="30" t="n">
        <f aca="false">Summary!$C$5+SUM(X$2:X773)</f>
        <v>114856.92</v>
      </c>
      <c r="AE773" s="30" t="n">
        <f aca="false">MAX(AE772,AD773)</f>
        <v>116873.04</v>
      </c>
      <c r="AF773" s="30" t="n">
        <f aca="false">AE773-AD773</f>
        <v>2016.12000000001</v>
      </c>
      <c r="AG773" s="29" t="n">
        <f aca="false">IFERROR(AF773/AE773,0)</f>
        <v>0.017250513890971</v>
      </c>
    </row>
    <row r="774" customFormat="false" ht="15" hidden="false" customHeight="false" outlineLevel="0" collapsed="false">
      <c r="A774" s="28" t="n">
        <v>773</v>
      </c>
      <c r="B774" s="43" t="n">
        <v>46128.0576388889</v>
      </c>
      <c r="C774" s="43" t="n">
        <v>46128.0595486111</v>
      </c>
      <c r="D774" s="42" t="n">
        <f aca="false">INT(C774)</f>
        <v>46128</v>
      </c>
      <c r="E774" s="42" t="n">
        <f aca="false">D774-WEEKDAY(D774,3)</f>
        <v>46125</v>
      </c>
      <c r="F774" s="28" t="s">
        <v>179</v>
      </c>
      <c r="G774" s="28" t="n">
        <v>2026</v>
      </c>
      <c r="H774" s="28" t="s">
        <v>239</v>
      </c>
      <c r="I774" s="28" t="n">
        <v>1</v>
      </c>
      <c r="J774" s="28" t="s">
        <v>233</v>
      </c>
      <c r="K774" s="28" t="s">
        <v>234</v>
      </c>
      <c r="L774" s="28" t="n">
        <v>0.19</v>
      </c>
      <c r="M774" s="31" t="n">
        <v>26215.15</v>
      </c>
      <c r="N774" s="31" t="n">
        <v>26207.22</v>
      </c>
      <c r="O774" s="31" t="n">
        <v>26231.88</v>
      </c>
      <c r="P774" s="44" t="n">
        <f aca="false">ABS(M774-N774)</f>
        <v>7.93000000000029</v>
      </c>
      <c r="Q774" s="44" t="n">
        <f aca="false">IF(O774="","",ABS(O774-M774))</f>
        <v>16.7299999999996</v>
      </c>
      <c r="R774" s="30" t="n">
        <f aca="false">P774*L774*Summary!$C$6</f>
        <v>30.1340000000011</v>
      </c>
      <c r="S774" s="31" t="n">
        <v>26207</v>
      </c>
      <c r="T774" s="28" t="s">
        <v>241</v>
      </c>
      <c r="U774" s="44" t="n">
        <f aca="false">IF(J774="BUY",S774-M774,M774-S774)</f>
        <v>-8.15000000000146</v>
      </c>
      <c r="V774" s="45" t="n">
        <v>0</v>
      </c>
      <c r="W774" s="45" t="n">
        <v>0</v>
      </c>
      <c r="X774" s="45" t="n">
        <v>-30.97</v>
      </c>
      <c r="Y774" s="32" t="n">
        <f aca="false">IFERROR(X774/R774,0)</f>
        <v>-1.02774274905419</v>
      </c>
      <c r="Z774" s="28" t="str">
        <f aca="false">IF(X774&gt;0,"Win",IF(X774&lt;0,"Loss","Flat"))</f>
        <v>Loss</v>
      </c>
      <c r="AA774" s="28" t="n">
        <f aca="false">ROUND((C774-B774)*1440,1)</f>
        <v>2.8</v>
      </c>
      <c r="AB774" s="28" t="str">
        <f aca="false">IF(AA774&lt;1,"a) &lt;1 min",IF(AA774&lt;10,"b) 1-10 min",IF(AA774&lt;60,"c) 10-60 min",IF(AA774&lt;240,"d) 1-4 h","e) 4 h+"))))</f>
        <v>b) 1-10 min</v>
      </c>
      <c r="AC774" s="28" t="str">
        <f aca="false">IF(P774&lt;10,"a) &lt;10",IF(P774&lt;20,"b) 10-20",IF(P774&lt;40,"c) 20-40",IF(P774&lt;80,"d) 40-80","e) 80+"))))</f>
        <v>a) &lt;10</v>
      </c>
      <c r="AD774" s="30" t="n">
        <f aca="false">Summary!$C$5+SUM(X$2:X774)</f>
        <v>114825.95</v>
      </c>
      <c r="AE774" s="30" t="n">
        <f aca="false">MAX(AE773,AD774)</f>
        <v>116873.04</v>
      </c>
      <c r="AF774" s="30" t="n">
        <f aca="false">AE774-AD774</f>
        <v>2047.09000000001</v>
      </c>
      <c r="AG774" s="29" t="n">
        <f aca="false">IFERROR(AF774/AE774,0)</f>
        <v>0.0175155022920599</v>
      </c>
    </row>
    <row r="775" customFormat="false" ht="15" hidden="false" customHeight="false" outlineLevel="0" collapsed="false">
      <c r="A775" s="28" t="n">
        <v>774</v>
      </c>
      <c r="B775" s="43" t="n">
        <v>46129.6097222222</v>
      </c>
      <c r="C775" s="43" t="n">
        <v>46129.6117361111</v>
      </c>
      <c r="D775" s="42" t="n">
        <f aca="false">INT(C775)</f>
        <v>46129</v>
      </c>
      <c r="E775" s="42" t="n">
        <f aca="false">D775-WEEKDAY(D775,3)</f>
        <v>46125</v>
      </c>
      <c r="F775" s="28" t="s">
        <v>179</v>
      </c>
      <c r="G775" s="28" t="n">
        <v>2026</v>
      </c>
      <c r="H775" s="28" t="s">
        <v>242</v>
      </c>
      <c r="I775" s="28" t="n">
        <v>14</v>
      </c>
      <c r="J775" s="28" t="s">
        <v>233</v>
      </c>
      <c r="K775" s="28" t="s">
        <v>234</v>
      </c>
      <c r="L775" s="28" t="n">
        <v>0.19</v>
      </c>
      <c r="M775" s="31" t="n">
        <v>26400.54</v>
      </c>
      <c r="N775" s="31" t="n">
        <v>26391</v>
      </c>
      <c r="O775" s="31" t="n">
        <v>26419.62</v>
      </c>
      <c r="P775" s="44" t="n">
        <f aca="false">ABS(M775-N775)</f>
        <v>9.54000000000087</v>
      </c>
      <c r="Q775" s="44" t="n">
        <f aca="false">IF(O775="","",ABS(O775-M775))</f>
        <v>19.0799999999981</v>
      </c>
      <c r="R775" s="30" t="n">
        <f aca="false">P775*L775*Summary!$C$6</f>
        <v>36.2520000000033</v>
      </c>
      <c r="S775" s="31" t="n">
        <v>26390.89</v>
      </c>
      <c r="T775" s="28" t="s">
        <v>241</v>
      </c>
      <c r="U775" s="44" t="n">
        <f aca="false">IF(J775="BUY",S775-M775,M775-S775)</f>
        <v>-9.65000000000146</v>
      </c>
      <c r="V775" s="45" t="n">
        <v>0</v>
      </c>
      <c r="W775" s="45" t="n">
        <v>0</v>
      </c>
      <c r="X775" s="45" t="n">
        <v>-36.67</v>
      </c>
      <c r="Y775" s="32" t="n">
        <f aca="false">IFERROR(X775/R775,0)</f>
        <v>-1.01153039832276</v>
      </c>
      <c r="Z775" s="28" t="str">
        <f aca="false">IF(X775&gt;0,"Win",IF(X775&lt;0,"Loss","Flat"))</f>
        <v>Loss</v>
      </c>
      <c r="AA775" s="28" t="n">
        <f aca="false">ROUND((C775-B775)*1440,1)</f>
        <v>2.9</v>
      </c>
      <c r="AB775" s="28" t="str">
        <f aca="false">IF(AA775&lt;1,"a) &lt;1 min",IF(AA775&lt;10,"b) 1-10 min",IF(AA775&lt;60,"c) 10-60 min",IF(AA775&lt;240,"d) 1-4 h","e) 4 h+"))))</f>
        <v>b) 1-10 min</v>
      </c>
      <c r="AC775" s="28" t="str">
        <f aca="false">IF(P775&lt;10,"a) &lt;10",IF(P775&lt;20,"b) 10-20",IF(P775&lt;40,"c) 20-40",IF(P775&lt;80,"d) 40-80","e) 80+"))))</f>
        <v>a) &lt;10</v>
      </c>
      <c r="AD775" s="30" t="n">
        <f aca="false">Summary!$C$5+SUM(X$2:X775)</f>
        <v>114789.28</v>
      </c>
      <c r="AE775" s="30" t="n">
        <f aca="false">MAX(AE774,AD775)</f>
        <v>116873.04</v>
      </c>
      <c r="AF775" s="30" t="n">
        <f aca="false">AE775-AD775</f>
        <v>2083.76000000001</v>
      </c>
      <c r="AG775" s="29" t="n">
        <f aca="false">IFERROR(AF775/AE775,0)</f>
        <v>0.0178292615645149</v>
      </c>
    </row>
    <row r="776" customFormat="false" ht="15" hidden="false" customHeight="false" outlineLevel="0" collapsed="false">
      <c r="A776" s="28" t="n">
        <v>775</v>
      </c>
      <c r="B776" s="43" t="n">
        <v>46133.1590277778</v>
      </c>
      <c r="C776" s="43" t="n">
        <v>46133.2059143519</v>
      </c>
      <c r="D776" s="42" t="n">
        <f aca="false">INT(C776)</f>
        <v>46133</v>
      </c>
      <c r="E776" s="42" t="n">
        <f aca="false">D776-WEEKDAY(D776,3)</f>
        <v>46132</v>
      </c>
      <c r="F776" s="28" t="s">
        <v>179</v>
      </c>
      <c r="G776" s="28" t="n">
        <v>2026</v>
      </c>
      <c r="H776" s="28" t="s">
        <v>232</v>
      </c>
      <c r="I776" s="28" t="n">
        <v>3</v>
      </c>
      <c r="J776" s="28" t="s">
        <v>233</v>
      </c>
      <c r="K776" s="28" t="s">
        <v>234</v>
      </c>
      <c r="L776" s="28" t="n">
        <v>0.19</v>
      </c>
      <c r="M776" s="31" t="n">
        <v>26670.33</v>
      </c>
      <c r="N776" s="31" t="n">
        <v>26654.84</v>
      </c>
      <c r="O776" s="31" t="n">
        <v>26700.74</v>
      </c>
      <c r="P776" s="44" t="n">
        <f aca="false">ABS(M776-N776)</f>
        <v>15.4900000000016</v>
      </c>
      <c r="Q776" s="44" t="n">
        <f aca="false">IF(O776="","",ABS(O776-M776))</f>
        <v>30.4099999999999</v>
      </c>
      <c r="R776" s="30" t="n">
        <f aca="false">P776*L776*Summary!$C$6</f>
        <v>58.8620000000061</v>
      </c>
      <c r="S776" s="31" t="n">
        <v>26654.7</v>
      </c>
      <c r="T776" s="28" t="s">
        <v>241</v>
      </c>
      <c r="U776" s="44" t="n">
        <f aca="false">IF(J776="BUY",S776-M776,M776-S776)</f>
        <v>-15.630000000001</v>
      </c>
      <c r="V776" s="45" t="n">
        <v>0</v>
      </c>
      <c r="W776" s="45" t="n">
        <v>0</v>
      </c>
      <c r="X776" s="45" t="n">
        <v>-59.39</v>
      </c>
      <c r="Y776" s="32" t="n">
        <f aca="false">IFERROR(X776/R776,0)</f>
        <v>-1.00897013353257</v>
      </c>
      <c r="Z776" s="28" t="str">
        <f aca="false">IF(X776&gt;0,"Win",IF(X776&lt;0,"Loss","Flat"))</f>
        <v>Loss</v>
      </c>
      <c r="AA776" s="28" t="n">
        <f aca="false">ROUND((C776-B776)*1440,1)</f>
        <v>67.5</v>
      </c>
      <c r="AB776" s="28" t="str">
        <f aca="false">IF(AA776&lt;1,"a) &lt;1 min",IF(AA776&lt;10,"b) 1-10 min",IF(AA776&lt;60,"c) 10-60 min",IF(AA776&lt;240,"d) 1-4 h","e) 4 h+"))))</f>
        <v>d) 1-4 h</v>
      </c>
      <c r="AC776" s="28" t="str">
        <f aca="false">IF(P776&lt;10,"a) &lt;10",IF(P776&lt;20,"b) 10-20",IF(P776&lt;40,"c) 20-40",IF(P776&lt;80,"d) 40-80","e) 80+"))))</f>
        <v>b) 10-20</v>
      </c>
      <c r="AD776" s="30" t="n">
        <f aca="false">Summary!$C$5+SUM(X$2:X776)</f>
        <v>114729.89</v>
      </c>
      <c r="AE776" s="30" t="n">
        <f aca="false">MAX(AE775,AD776)</f>
        <v>116873.04</v>
      </c>
      <c r="AF776" s="30" t="n">
        <f aca="false">AE776-AD776</f>
        <v>2143.15000000001</v>
      </c>
      <c r="AG776" s="29" t="n">
        <f aca="false">IFERROR(AF776/AE776,0)</f>
        <v>0.0183374198189763</v>
      </c>
    </row>
    <row r="777" customFormat="false" ht="15" hidden="false" customHeight="false" outlineLevel="0" collapsed="false">
      <c r="A777" s="28" t="n">
        <v>776</v>
      </c>
      <c r="B777" s="43" t="n">
        <v>46134.7138888889</v>
      </c>
      <c r="C777" s="43" t="n">
        <v>46134.7266666667</v>
      </c>
      <c r="D777" s="42" t="n">
        <f aca="false">INT(C777)</f>
        <v>46134</v>
      </c>
      <c r="E777" s="42" t="n">
        <f aca="false">D777-WEEKDAY(D777,3)</f>
        <v>46132</v>
      </c>
      <c r="F777" s="28" t="s">
        <v>179</v>
      </c>
      <c r="G777" s="28" t="n">
        <v>2026</v>
      </c>
      <c r="H777" s="28" t="s">
        <v>235</v>
      </c>
      <c r="I777" s="28" t="n">
        <v>17</v>
      </c>
      <c r="J777" s="28" t="s">
        <v>233</v>
      </c>
      <c r="K777" s="28" t="s">
        <v>234</v>
      </c>
      <c r="L777" s="28" t="n">
        <v>0.19</v>
      </c>
      <c r="M777" s="31" t="n">
        <v>26750</v>
      </c>
      <c r="N777" s="31" t="n">
        <v>26711.39</v>
      </c>
      <c r="O777" s="31" t="n">
        <v>26830.67</v>
      </c>
      <c r="P777" s="44" t="n">
        <f aca="false">ABS(M777-N777)</f>
        <v>38.6100000000006</v>
      </c>
      <c r="Q777" s="44" t="n">
        <f aca="false">IF(O777="","",ABS(O777-M777))</f>
        <v>80.6699999999983</v>
      </c>
      <c r="R777" s="30" t="n">
        <f aca="false">P777*L777*Summary!$C$6</f>
        <v>146.718000000002</v>
      </c>
      <c r="S777" s="31" t="n">
        <v>26830.95</v>
      </c>
      <c r="T777" s="28" t="s">
        <v>214</v>
      </c>
      <c r="U777" s="44" t="n">
        <f aca="false">IF(J777="BUY",S777-M777,M777-S777)</f>
        <v>80.9500000000007</v>
      </c>
      <c r="V777" s="45" t="n">
        <v>0</v>
      </c>
      <c r="W777" s="45" t="n">
        <v>0</v>
      </c>
      <c r="X777" s="45" t="n">
        <v>307.61</v>
      </c>
      <c r="Y777" s="32" t="n">
        <f aca="false">IFERROR(X777/R777,0)</f>
        <v>2.09660709660707</v>
      </c>
      <c r="Z777" s="28" t="str">
        <f aca="false">IF(X777&gt;0,"Win",IF(X777&lt;0,"Loss","Flat"))</f>
        <v>Win</v>
      </c>
      <c r="AA777" s="28" t="n">
        <f aca="false">ROUND((C777-B777)*1440,1)</f>
        <v>18.4</v>
      </c>
      <c r="AB777" s="28" t="str">
        <f aca="false">IF(AA777&lt;1,"a) &lt;1 min",IF(AA777&lt;10,"b) 1-10 min",IF(AA777&lt;60,"c) 10-60 min",IF(AA777&lt;240,"d) 1-4 h","e) 4 h+"))))</f>
        <v>c) 10-60 min</v>
      </c>
      <c r="AC777" s="28" t="str">
        <f aca="false">IF(P777&lt;10,"a) &lt;10",IF(P777&lt;20,"b) 10-20",IF(P777&lt;40,"c) 20-40",IF(P777&lt;80,"d) 40-80","e) 80+"))))</f>
        <v>c) 20-40</v>
      </c>
      <c r="AD777" s="30" t="n">
        <f aca="false">Summary!$C$5+SUM(X$2:X777)</f>
        <v>115037.5</v>
      </c>
      <c r="AE777" s="30" t="n">
        <f aca="false">MAX(AE776,AD777)</f>
        <v>116873.04</v>
      </c>
      <c r="AF777" s="30" t="n">
        <f aca="false">AE777-AD777</f>
        <v>1835.54000000001</v>
      </c>
      <c r="AG777" s="29" t="n">
        <f aca="false">IFERROR(AF777/AE777,0)</f>
        <v>0.0157054184609214</v>
      </c>
    </row>
    <row r="778" customFormat="false" ht="15" hidden="false" customHeight="false" outlineLevel="0" collapsed="false">
      <c r="A778" s="28" t="n">
        <v>777</v>
      </c>
      <c r="B778" s="43" t="n">
        <v>46135.7631944444</v>
      </c>
      <c r="C778" s="43" t="n">
        <v>46135.7814351852</v>
      </c>
      <c r="D778" s="42" t="n">
        <f aca="false">INT(C778)</f>
        <v>46135</v>
      </c>
      <c r="E778" s="42" t="n">
        <f aca="false">D778-WEEKDAY(D778,3)</f>
        <v>46132</v>
      </c>
      <c r="F778" s="28" t="s">
        <v>179</v>
      </c>
      <c r="G778" s="28" t="n">
        <v>2026</v>
      </c>
      <c r="H778" s="28" t="s">
        <v>239</v>
      </c>
      <c r="I778" s="28" t="n">
        <v>18</v>
      </c>
      <c r="J778" s="28" t="s">
        <v>233</v>
      </c>
      <c r="K778" s="28" t="s">
        <v>234</v>
      </c>
      <c r="L778" s="28" t="n">
        <v>0.19</v>
      </c>
      <c r="M778" s="31" t="n">
        <v>26983.28</v>
      </c>
      <c r="N778" s="31" t="n">
        <v>26959.35</v>
      </c>
      <c r="O778" s="31" t="n">
        <v>27030.56</v>
      </c>
      <c r="P778" s="44" t="n">
        <f aca="false">ABS(M778-N778)</f>
        <v>23.9300000000003</v>
      </c>
      <c r="Q778" s="44" t="n">
        <f aca="false">IF(O778="","",ABS(O778-M778))</f>
        <v>47.2800000000025</v>
      </c>
      <c r="R778" s="30" t="n">
        <f aca="false">P778*L778*Summary!$C$6</f>
        <v>90.9340000000011</v>
      </c>
      <c r="S778" s="31" t="n">
        <v>26958.99</v>
      </c>
      <c r="T778" s="28" t="s">
        <v>241</v>
      </c>
      <c r="U778" s="44" t="n">
        <f aca="false">IF(J778="BUY",S778-M778,M778-S778)</f>
        <v>-24.2899999999972</v>
      </c>
      <c r="V778" s="45" t="n">
        <v>0</v>
      </c>
      <c r="W778" s="45" t="n">
        <v>0</v>
      </c>
      <c r="X778" s="45" t="n">
        <v>-92.3</v>
      </c>
      <c r="Y778" s="32" t="n">
        <f aca="false">IFERROR(X778/R778,0)</f>
        <v>-1.01502188400377</v>
      </c>
      <c r="Z778" s="28" t="str">
        <f aca="false">IF(X778&gt;0,"Win",IF(X778&lt;0,"Loss","Flat"))</f>
        <v>Loss</v>
      </c>
      <c r="AA778" s="28" t="n">
        <f aca="false">ROUND((C778-B778)*1440,1)</f>
        <v>26.3</v>
      </c>
      <c r="AB778" s="28" t="str">
        <f aca="false">IF(AA778&lt;1,"a) &lt;1 min",IF(AA778&lt;10,"b) 1-10 min",IF(AA778&lt;60,"c) 10-60 min",IF(AA778&lt;240,"d) 1-4 h","e) 4 h+"))))</f>
        <v>c) 10-60 min</v>
      </c>
      <c r="AC778" s="28" t="str">
        <f aca="false">IF(P778&lt;10,"a) &lt;10",IF(P778&lt;20,"b) 10-20",IF(P778&lt;40,"c) 20-40",IF(P778&lt;80,"d) 40-80","e) 80+"))))</f>
        <v>c) 20-40</v>
      </c>
      <c r="AD778" s="30" t="n">
        <f aca="false">Summary!$C$5+SUM(X$2:X778)</f>
        <v>114945.2</v>
      </c>
      <c r="AE778" s="30" t="n">
        <f aca="false">MAX(AE777,AD778)</f>
        <v>116873.04</v>
      </c>
      <c r="AF778" s="30" t="n">
        <f aca="false">AE778-AD778</f>
        <v>1927.84000000001</v>
      </c>
      <c r="AG778" s="29" t="n">
        <f aca="false">IFERROR(AF778/AE778,0)</f>
        <v>0.0164951643253227</v>
      </c>
    </row>
    <row r="779" customFormat="false" ht="15" hidden="false" customHeight="false" outlineLevel="0" collapsed="false">
      <c r="A779" s="28" t="n">
        <v>778</v>
      </c>
      <c r="B779" s="43" t="n">
        <v>46135.8659722222</v>
      </c>
      <c r="C779" s="43" t="n">
        <v>46135.8667592593</v>
      </c>
      <c r="D779" s="42" t="n">
        <f aca="false">INT(C779)</f>
        <v>46135</v>
      </c>
      <c r="E779" s="42" t="n">
        <f aca="false">D779-WEEKDAY(D779,3)</f>
        <v>46132</v>
      </c>
      <c r="F779" s="28" t="s">
        <v>179</v>
      </c>
      <c r="G779" s="28" t="n">
        <v>2026</v>
      </c>
      <c r="H779" s="28" t="s">
        <v>239</v>
      </c>
      <c r="I779" s="28" t="n">
        <v>20</v>
      </c>
      <c r="J779" s="28" t="s">
        <v>236</v>
      </c>
      <c r="K779" s="28" t="s">
        <v>237</v>
      </c>
      <c r="L779" s="28" t="n">
        <v>0.19</v>
      </c>
      <c r="M779" s="31" t="n">
        <v>26545.65</v>
      </c>
      <c r="N779" s="31" t="n">
        <v>26614.48</v>
      </c>
      <c r="O779" s="31" t="n">
        <v>26408.41</v>
      </c>
      <c r="P779" s="44" t="n">
        <f aca="false">ABS(M779-N779)</f>
        <v>68.8299999999981</v>
      </c>
      <c r="Q779" s="44" t="n">
        <f aca="false">IF(O779="","",ABS(O779-M779))</f>
        <v>137.240000000002</v>
      </c>
      <c r="R779" s="30" t="n">
        <f aca="false">P779*L779*Summary!$C$6</f>
        <v>261.553999999993</v>
      </c>
      <c r="S779" s="31" t="n">
        <v>26614.96</v>
      </c>
      <c r="T779" s="28" t="s">
        <v>241</v>
      </c>
      <c r="U779" s="44" t="n">
        <f aca="false">IF(J779="BUY",S779-M779,M779-S779)</f>
        <v>-69.3099999999977</v>
      </c>
      <c r="V779" s="45" t="n">
        <v>0</v>
      </c>
      <c r="W779" s="45" t="n">
        <v>0</v>
      </c>
      <c r="X779" s="45" t="n">
        <v>-263.38</v>
      </c>
      <c r="Y779" s="32" t="n">
        <f aca="false">IFERROR(X779/R779,0)</f>
        <v>-1.00698134993159</v>
      </c>
      <c r="Z779" s="28" t="str">
        <f aca="false">IF(X779&gt;0,"Win",IF(X779&lt;0,"Loss","Flat"))</f>
        <v>Loss</v>
      </c>
      <c r="AA779" s="28" t="n">
        <f aca="false">ROUND((C779-B779)*1440,1)</f>
        <v>1.1</v>
      </c>
      <c r="AB779" s="28" t="str">
        <f aca="false">IF(AA779&lt;1,"a) &lt;1 min",IF(AA779&lt;10,"b) 1-10 min",IF(AA779&lt;60,"c) 10-60 min",IF(AA779&lt;240,"d) 1-4 h","e) 4 h+"))))</f>
        <v>b) 1-10 min</v>
      </c>
      <c r="AC779" s="28" t="str">
        <f aca="false">IF(P779&lt;10,"a) &lt;10",IF(P779&lt;20,"b) 10-20",IF(P779&lt;40,"c) 20-40",IF(P779&lt;80,"d) 40-80","e) 80+"))))</f>
        <v>d) 40-80</v>
      </c>
      <c r="AD779" s="30" t="n">
        <f aca="false">Summary!$C$5+SUM(X$2:X779)</f>
        <v>114681.82</v>
      </c>
      <c r="AE779" s="30" t="n">
        <f aca="false">MAX(AE778,AD779)</f>
        <v>116873.04</v>
      </c>
      <c r="AF779" s="30" t="n">
        <f aca="false">AE779-AD779</f>
        <v>2191.22</v>
      </c>
      <c r="AG779" s="29" t="n">
        <f aca="false">IFERROR(AF779/AE779,0)</f>
        <v>0.0187487208341633</v>
      </c>
    </row>
    <row r="780" customFormat="false" ht="15" hidden="false" customHeight="false" outlineLevel="0" collapsed="false">
      <c r="A780" s="28" t="n">
        <v>779</v>
      </c>
      <c r="B780" s="43" t="n">
        <v>46136.5548611111</v>
      </c>
      <c r="C780" s="43" t="n">
        <v>46136.5604282407</v>
      </c>
      <c r="D780" s="42" t="n">
        <f aca="false">INT(C780)</f>
        <v>46136</v>
      </c>
      <c r="E780" s="42" t="n">
        <f aca="false">D780-WEEKDAY(D780,3)</f>
        <v>46132</v>
      </c>
      <c r="F780" s="28" t="s">
        <v>179</v>
      </c>
      <c r="G780" s="28" t="n">
        <v>2026</v>
      </c>
      <c r="H780" s="28" t="s">
        <v>242</v>
      </c>
      <c r="I780" s="28" t="n">
        <v>13</v>
      </c>
      <c r="J780" s="28" t="s">
        <v>233</v>
      </c>
      <c r="K780" s="28" t="s">
        <v>234</v>
      </c>
      <c r="L780" s="28" t="n">
        <v>0.19</v>
      </c>
      <c r="M780" s="31" t="n">
        <v>27008.53</v>
      </c>
      <c r="N780" s="31" t="n">
        <v>26995.04</v>
      </c>
      <c r="O780" s="31" t="n">
        <v>27035.51</v>
      </c>
      <c r="P780" s="44" t="n">
        <f aca="false">ABS(M780-N780)</f>
        <v>13.489999999998</v>
      </c>
      <c r="Q780" s="44" t="n">
        <f aca="false">IF(O780="","",ABS(O780-M780))</f>
        <v>26.9799999999996</v>
      </c>
      <c r="R780" s="30" t="n">
        <f aca="false">P780*L780*Summary!$C$6</f>
        <v>51.2619999999923</v>
      </c>
      <c r="S780" s="31" t="n">
        <v>27035.72</v>
      </c>
      <c r="T780" s="28" t="s">
        <v>214</v>
      </c>
      <c r="U780" s="44" t="n">
        <f aca="false">IF(J780="BUY",S780-M780,M780-S780)</f>
        <v>27.1900000000023</v>
      </c>
      <c r="V780" s="45" t="n">
        <v>0</v>
      </c>
      <c r="W780" s="45" t="n">
        <v>0</v>
      </c>
      <c r="X780" s="45" t="n">
        <v>103.32</v>
      </c>
      <c r="Y780" s="32" t="n">
        <f aca="false">IFERROR(X780/R780,0)</f>
        <v>2.01552807147625</v>
      </c>
      <c r="Z780" s="28" t="str">
        <f aca="false">IF(X780&gt;0,"Win",IF(X780&lt;0,"Loss","Flat"))</f>
        <v>Win</v>
      </c>
      <c r="AA780" s="28" t="n">
        <f aca="false">ROUND((C780-B780)*1440,1)</f>
        <v>8</v>
      </c>
      <c r="AB780" s="28" t="str">
        <f aca="false">IF(AA780&lt;1,"a) &lt;1 min",IF(AA780&lt;10,"b) 1-10 min",IF(AA780&lt;60,"c) 10-60 min",IF(AA780&lt;240,"d) 1-4 h","e) 4 h+"))))</f>
        <v>b) 1-10 min</v>
      </c>
      <c r="AC780" s="28" t="str">
        <f aca="false">IF(P780&lt;10,"a) &lt;10",IF(P780&lt;20,"b) 10-20",IF(P780&lt;40,"c) 20-40",IF(P780&lt;80,"d) 40-80","e) 80+"))))</f>
        <v>b) 10-20</v>
      </c>
      <c r="AD780" s="30" t="n">
        <f aca="false">Summary!$C$5+SUM(X$2:X780)</f>
        <v>114785.14</v>
      </c>
      <c r="AE780" s="30" t="n">
        <f aca="false">MAX(AE779,AD780)</f>
        <v>116873.04</v>
      </c>
      <c r="AF780" s="30" t="n">
        <f aca="false">AE780-AD780</f>
        <v>2087.90000000001</v>
      </c>
      <c r="AG780" s="29" t="n">
        <f aca="false">IFERROR(AF780/AE780,0)</f>
        <v>0.0178646846184544</v>
      </c>
    </row>
    <row r="781" customFormat="false" ht="15" hidden="false" customHeight="false" outlineLevel="0" collapsed="false">
      <c r="A781" s="28" t="n">
        <v>780</v>
      </c>
      <c r="B781" s="43" t="n">
        <v>46139.1659722222</v>
      </c>
      <c r="C781" s="43" t="n">
        <v>46139.1675115741</v>
      </c>
      <c r="D781" s="42" t="n">
        <f aca="false">INT(C781)</f>
        <v>46139</v>
      </c>
      <c r="E781" s="42" t="n">
        <f aca="false">D781-WEEKDAY(D781,3)</f>
        <v>46139</v>
      </c>
      <c r="F781" s="28" t="s">
        <v>179</v>
      </c>
      <c r="G781" s="28" t="n">
        <v>2026</v>
      </c>
      <c r="H781" s="28" t="s">
        <v>240</v>
      </c>
      <c r="I781" s="28" t="n">
        <v>3</v>
      </c>
      <c r="J781" s="28" t="s">
        <v>233</v>
      </c>
      <c r="K781" s="28" t="s">
        <v>234</v>
      </c>
      <c r="L781" s="28" t="n">
        <v>0.18</v>
      </c>
      <c r="M781" s="31" t="n">
        <v>27322.59</v>
      </c>
      <c r="N781" s="31" t="n">
        <v>27312.08</v>
      </c>
      <c r="O781" s="31" t="n">
        <v>27345.83</v>
      </c>
      <c r="P781" s="44" t="n">
        <f aca="false">ABS(M781-N781)</f>
        <v>10.5099999999984</v>
      </c>
      <c r="Q781" s="44" t="n">
        <f aca="false">IF(O781="","",ABS(O781-M781))</f>
        <v>23.2400000000016</v>
      </c>
      <c r="R781" s="30" t="n">
        <f aca="false">P781*L781*Summary!$C$6</f>
        <v>37.8359999999942</v>
      </c>
      <c r="S781" s="31" t="n">
        <v>27345.9</v>
      </c>
      <c r="T781" s="28" t="s">
        <v>214</v>
      </c>
      <c r="U781" s="44" t="n">
        <f aca="false">IF(J781="BUY",S781-M781,M781-S781)</f>
        <v>23.3100000000013</v>
      </c>
      <c r="V781" s="45" t="n">
        <v>0</v>
      </c>
      <c r="W781" s="45" t="n">
        <v>0</v>
      </c>
      <c r="X781" s="45" t="n">
        <v>83.92</v>
      </c>
      <c r="Y781" s="32" t="n">
        <f aca="false">IFERROR(X781/R781,0)</f>
        <v>2.21799344539626</v>
      </c>
      <c r="Z781" s="28" t="str">
        <f aca="false">IF(X781&gt;0,"Win",IF(X781&lt;0,"Loss","Flat"))</f>
        <v>Win</v>
      </c>
      <c r="AA781" s="28" t="n">
        <f aca="false">ROUND((C781-B781)*1440,1)</f>
        <v>2.2</v>
      </c>
      <c r="AB781" s="28" t="str">
        <f aca="false">IF(AA781&lt;1,"a) &lt;1 min",IF(AA781&lt;10,"b) 1-10 min",IF(AA781&lt;60,"c) 10-60 min",IF(AA781&lt;240,"d) 1-4 h","e) 4 h+"))))</f>
        <v>b) 1-10 min</v>
      </c>
      <c r="AC781" s="28" t="str">
        <f aca="false">IF(P781&lt;10,"a) &lt;10",IF(P781&lt;20,"b) 10-20",IF(P781&lt;40,"c) 20-40",IF(P781&lt;80,"d) 40-80","e) 80+"))))</f>
        <v>b) 10-20</v>
      </c>
      <c r="AD781" s="30" t="n">
        <f aca="false">Summary!$C$5+SUM(X$2:X781)</f>
        <v>114869.06</v>
      </c>
      <c r="AE781" s="30" t="n">
        <f aca="false">MAX(AE780,AD781)</f>
        <v>116873.04</v>
      </c>
      <c r="AF781" s="30" t="n">
        <f aca="false">AE781-AD781</f>
        <v>2003.98000000001</v>
      </c>
      <c r="AG781" s="29" t="n">
        <f aca="false">IFERROR(AF781/AE781,0)</f>
        <v>0.0171466404912545</v>
      </c>
    </row>
    <row r="782" customFormat="false" ht="15" hidden="false" customHeight="false" outlineLevel="0" collapsed="false">
      <c r="A782" s="28" t="n">
        <v>781</v>
      </c>
      <c r="B782" s="43" t="n">
        <v>46140.5236111111</v>
      </c>
      <c r="C782" s="43" t="n">
        <v>46140.5327893519</v>
      </c>
      <c r="D782" s="42" t="n">
        <f aca="false">INT(C782)</f>
        <v>46140</v>
      </c>
      <c r="E782" s="42" t="n">
        <f aca="false">D782-WEEKDAY(D782,3)</f>
        <v>46139</v>
      </c>
      <c r="F782" s="28" t="s">
        <v>179</v>
      </c>
      <c r="G782" s="28" t="n">
        <v>2026</v>
      </c>
      <c r="H782" s="28" t="s">
        <v>232</v>
      </c>
      <c r="I782" s="28" t="n">
        <v>12</v>
      </c>
      <c r="J782" s="28" t="s">
        <v>236</v>
      </c>
      <c r="K782" s="28" t="s">
        <v>237</v>
      </c>
      <c r="L782" s="28" t="n">
        <v>0.19</v>
      </c>
      <c r="M782" s="31" t="n">
        <v>27165.97</v>
      </c>
      <c r="N782" s="31" t="n">
        <v>27176.98</v>
      </c>
      <c r="O782" s="31" t="n">
        <v>27132.34</v>
      </c>
      <c r="P782" s="44" t="n">
        <f aca="false">ABS(M782-N782)</f>
        <v>11.0099999999984</v>
      </c>
      <c r="Q782" s="44" t="n">
        <f aca="false">IF(O782="","",ABS(O782-M782))</f>
        <v>33.630000000001</v>
      </c>
      <c r="R782" s="30" t="n">
        <f aca="false">P782*L782*Summary!$C$6</f>
        <v>41.8379999999939</v>
      </c>
      <c r="S782" s="31" t="n">
        <v>27132.32</v>
      </c>
      <c r="T782" s="28" t="s">
        <v>214</v>
      </c>
      <c r="U782" s="44" t="n">
        <f aca="false">IF(J782="BUY",S782-M782,M782-S782)</f>
        <v>33.6500000000015</v>
      </c>
      <c r="V782" s="45" t="n">
        <v>0</v>
      </c>
      <c r="W782" s="45" t="n">
        <v>0</v>
      </c>
      <c r="X782" s="45" t="n">
        <v>127.87</v>
      </c>
      <c r="Y782" s="32" t="n">
        <f aca="false">IFERROR(X782/R782,0)</f>
        <v>3.05631244323387</v>
      </c>
      <c r="Z782" s="28" t="str">
        <f aca="false">IF(X782&gt;0,"Win",IF(X782&lt;0,"Loss","Flat"))</f>
        <v>Win</v>
      </c>
      <c r="AA782" s="28" t="n">
        <f aca="false">ROUND((C782-B782)*1440,1)</f>
        <v>13.2</v>
      </c>
      <c r="AB782" s="28" t="str">
        <f aca="false">IF(AA782&lt;1,"a) &lt;1 min",IF(AA782&lt;10,"b) 1-10 min",IF(AA782&lt;60,"c) 10-60 min",IF(AA782&lt;240,"d) 1-4 h","e) 4 h+"))))</f>
        <v>c) 10-60 min</v>
      </c>
      <c r="AC782" s="28" t="str">
        <f aca="false">IF(P782&lt;10,"a) &lt;10",IF(P782&lt;20,"b) 10-20",IF(P782&lt;40,"c) 20-40",IF(P782&lt;80,"d) 40-80","e) 80+"))))</f>
        <v>b) 10-20</v>
      </c>
      <c r="AD782" s="30" t="n">
        <f aca="false">Summary!$C$5+SUM(X$2:X782)</f>
        <v>114996.93</v>
      </c>
      <c r="AE782" s="30" t="n">
        <f aca="false">MAX(AE781,AD782)</f>
        <v>116873.04</v>
      </c>
      <c r="AF782" s="30" t="n">
        <f aca="false">AE782-AD782</f>
        <v>1876.11000000002</v>
      </c>
      <c r="AG782" s="29" t="n">
        <f aca="false">IFERROR(AF782/AE782,0)</f>
        <v>0.0160525472769427</v>
      </c>
    </row>
    <row r="783" customFormat="false" ht="15" hidden="false" customHeight="false" outlineLevel="0" collapsed="false">
      <c r="A783" s="28" t="n">
        <v>782</v>
      </c>
      <c r="B783" s="43" t="n">
        <v>46142.0513888889</v>
      </c>
      <c r="C783" s="43" t="n">
        <v>46142.1100694445</v>
      </c>
      <c r="D783" s="42" t="n">
        <f aca="false">INT(C783)</f>
        <v>46142</v>
      </c>
      <c r="E783" s="42" t="n">
        <f aca="false">D783-WEEKDAY(D783,3)</f>
        <v>46139</v>
      </c>
      <c r="F783" s="28" t="s">
        <v>179</v>
      </c>
      <c r="G783" s="28" t="n">
        <v>2026</v>
      </c>
      <c r="H783" s="28" t="s">
        <v>239</v>
      </c>
      <c r="I783" s="28" t="n">
        <v>1</v>
      </c>
      <c r="J783" s="28" t="s">
        <v>233</v>
      </c>
      <c r="K783" s="28" t="s">
        <v>234</v>
      </c>
      <c r="L783" s="28" t="n">
        <v>0.18</v>
      </c>
      <c r="M783" s="31" t="n">
        <v>27285.12</v>
      </c>
      <c r="N783" s="31" t="n">
        <v>27243.86</v>
      </c>
      <c r="O783" s="31" t="n">
        <v>27366.92</v>
      </c>
      <c r="P783" s="44" t="n">
        <f aca="false">ABS(M783-N783)</f>
        <v>41.2599999999984</v>
      </c>
      <c r="Q783" s="44" t="n">
        <f aca="false">IF(O783="","",ABS(O783-M783))</f>
        <v>81.7999999999993</v>
      </c>
      <c r="R783" s="30" t="n">
        <f aca="false">P783*L783*Summary!$C$6</f>
        <v>148.535999999994</v>
      </c>
      <c r="S783" s="31" t="n">
        <v>27366.98</v>
      </c>
      <c r="T783" s="28" t="s">
        <v>214</v>
      </c>
      <c r="U783" s="44" t="n">
        <f aca="false">IF(J783="BUY",S783-M783,M783-S783)</f>
        <v>81.8600000000006</v>
      </c>
      <c r="V783" s="45" t="n">
        <v>0</v>
      </c>
      <c r="W783" s="45" t="n">
        <v>0</v>
      </c>
      <c r="X783" s="45" t="n">
        <v>294.7</v>
      </c>
      <c r="Y783" s="32" t="n">
        <f aca="false">IFERROR(X783/R783,0)</f>
        <v>1.98403080734644</v>
      </c>
      <c r="Z783" s="28" t="str">
        <f aca="false">IF(X783&gt;0,"Win",IF(X783&lt;0,"Loss","Flat"))</f>
        <v>Win</v>
      </c>
      <c r="AA783" s="28" t="n">
        <f aca="false">ROUND((C783-B783)*1440,1)</f>
        <v>84.5</v>
      </c>
      <c r="AB783" s="28" t="str">
        <f aca="false">IF(AA783&lt;1,"a) &lt;1 min",IF(AA783&lt;10,"b) 1-10 min",IF(AA783&lt;60,"c) 10-60 min",IF(AA783&lt;240,"d) 1-4 h","e) 4 h+"))))</f>
        <v>d) 1-4 h</v>
      </c>
      <c r="AC783" s="28" t="str">
        <f aca="false">IF(P783&lt;10,"a) &lt;10",IF(P783&lt;20,"b) 10-20",IF(P783&lt;40,"c) 20-40",IF(P783&lt;80,"d) 40-80","e) 80+"))))</f>
        <v>d) 40-80</v>
      </c>
      <c r="AD783" s="30" t="n">
        <f aca="false">Summary!$C$5+SUM(X$2:X783)</f>
        <v>115291.63</v>
      </c>
      <c r="AE783" s="30" t="n">
        <f aca="false">MAX(AE782,AD783)</f>
        <v>116873.04</v>
      </c>
      <c r="AF783" s="30" t="n">
        <f aca="false">AE783-AD783</f>
        <v>1581.41</v>
      </c>
      <c r="AG783" s="29" t="n">
        <f aca="false">IFERROR(AF783/AE783,0)</f>
        <v>0.0135310076643852</v>
      </c>
    </row>
    <row r="784" customFormat="false" ht="15" hidden="false" customHeight="false" outlineLevel="0" collapsed="false">
      <c r="A784" s="28" t="n">
        <v>783</v>
      </c>
      <c r="B784" s="43" t="n">
        <v>46143.0423611111</v>
      </c>
      <c r="C784" s="43" t="n">
        <v>46143.0776967593</v>
      </c>
      <c r="D784" s="42" t="n">
        <f aca="false">INT(C784)</f>
        <v>46143</v>
      </c>
      <c r="E784" s="42" t="n">
        <f aca="false">D784-WEEKDAY(D784,3)</f>
        <v>46139</v>
      </c>
      <c r="F784" s="28" t="s">
        <v>180</v>
      </c>
      <c r="G784" s="28" t="n">
        <v>2026</v>
      </c>
      <c r="H784" s="28" t="s">
        <v>242</v>
      </c>
      <c r="I784" s="28" t="n">
        <v>1</v>
      </c>
      <c r="J784" s="28" t="s">
        <v>233</v>
      </c>
      <c r="K784" s="28" t="s">
        <v>234</v>
      </c>
      <c r="L784" s="28" t="n">
        <v>0.18</v>
      </c>
      <c r="M784" s="31" t="n">
        <v>27494.96</v>
      </c>
      <c r="N784" s="31" t="n">
        <v>27461.55</v>
      </c>
      <c r="O784" s="31" t="n">
        <v>27558.94</v>
      </c>
      <c r="P784" s="44" t="n">
        <f aca="false">ABS(M784-N784)</f>
        <v>33.4099999999999</v>
      </c>
      <c r="Q784" s="44" t="n">
        <f aca="false">IF(O784="","",ABS(O784-M784))</f>
        <v>63.9799999999996</v>
      </c>
      <c r="R784" s="30" t="n">
        <f aca="false">P784*L784*Summary!$C$6</f>
        <v>120.275999999999</v>
      </c>
      <c r="S784" s="31" t="n">
        <v>27461.03</v>
      </c>
      <c r="T784" s="28" t="s">
        <v>241</v>
      </c>
      <c r="U784" s="44" t="n">
        <f aca="false">IF(J784="BUY",S784-M784,M784-S784)</f>
        <v>-33.9300000000003</v>
      </c>
      <c r="V784" s="45" t="n">
        <v>0</v>
      </c>
      <c r="W784" s="45" t="n">
        <v>0</v>
      </c>
      <c r="X784" s="45" t="n">
        <v>-122.15</v>
      </c>
      <c r="Y784" s="32" t="n">
        <f aca="false">IFERROR(X784/R784,0)</f>
        <v>-1.01558083075593</v>
      </c>
      <c r="Z784" s="28" t="str">
        <f aca="false">IF(X784&gt;0,"Win",IF(X784&lt;0,"Loss","Flat"))</f>
        <v>Loss</v>
      </c>
      <c r="AA784" s="28" t="n">
        <f aca="false">ROUND((C784-B784)*1440,1)</f>
        <v>50.9</v>
      </c>
      <c r="AB784" s="28" t="str">
        <f aca="false">IF(AA784&lt;1,"a) &lt;1 min",IF(AA784&lt;10,"b) 1-10 min",IF(AA784&lt;60,"c) 10-60 min",IF(AA784&lt;240,"d) 1-4 h","e) 4 h+"))))</f>
        <v>c) 10-60 min</v>
      </c>
      <c r="AC784" s="28" t="str">
        <f aca="false">IF(P784&lt;10,"a) &lt;10",IF(P784&lt;20,"b) 10-20",IF(P784&lt;40,"c) 20-40",IF(P784&lt;80,"d) 40-80","e) 80+"))))</f>
        <v>c) 20-40</v>
      </c>
      <c r="AD784" s="30" t="n">
        <f aca="false">Summary!$C$5+SUM(X$2:X784)</f>
        <v>115169.48</v>
      </c>
      <c r="AE784" s="30" t="n">
        <f aca="false">MAX(AE783,AD784)</f>
        <v>116873.04</v>
      </c>
      <c r="AF784" s="30" t="n">
        <f aca="false">AE784-AD784</f>
        <v>1703.56000000001</v>
      </c>
      <c r="AG784" s="29" t="n">
        <f aca="false">IFERROR(AF784/AE784,0)</f>
        <v>0.0145761588814667</v>
      </c>
    </row>
    <row r="785" customFormat="false" ht="15" hidden="false" customHeight="false" outlineLevel="0" collapsed="false">
      <c r="A785" s="28" t="n">
        <v>784</v>
      </c>
      <c r="B785" s="43" t="n">
        <v>46146.2013888889</v>
      </c>
      <c r="C785" s="43" t="n">
        <v>46146.2092476852</v>
      </c>
      <c r="D785" s="42" t="n">
        <f aca="false">INT(C785)</f>
        <v>46146</v>
      </c>
      <c r="E785" s="42" t="n">
        <f aca="false">D785-WEEKDAY(D785,3)</f>
        <v>46146</v>
      </c>
      <c r="F785" s="28" t="s">
        <v>180</v>
      </c>
      <c r="G785" s="28" t="n">
        <v>2026</v>
      </c>
      <c r="H785" s="28" t="s">
        <v>240</v>
      </c>
      <c r="I785" s="28" t="n">
        <v>4</v>
      </c>
      <c r="J785" s="28" t="s">
        <v>233</v>
      </c>
      <c r="K785" s="28" t="s">
        <v>234</v>
      </c>
      <c r="L785" s="28" t="n">
        <v>0.18</v>
      </c>
      <c r="M785" s="31" t="n">
        <v>27791.95</v>
      </c>
      <c r="N785" s="31" t="n">
        <v>27782.38</v>
      </c>
      <c r="O785" s="31" t="n">
        <v>27811.1</v>
      </c>
      <c r="P785" s="44" t="n">
        <f aca="false">ABS(M785-N785)</f>
        <v>9.56999999999971</v>
      </c>
      <c r="Q785" s="44" t="n">
        <f aca="false">IF(O785="","",ABS(O785-M785))</f>
        <v>19.1499999999978</v>
      </c>
      <c r="R785" s="30" t="n">
        <f aca="false">P785*L785*Summary!$C$6</f>
        <v>34.451999999999</v>
      </c>
      <c r="S785" s="31" t="n">
        <v>27791.8</v>
      </c>
      <c r="T785" s="28" t="s">
        <v>238</v>
      </c>
      <c r="U785" s="44" t="n">
        <f aca="false">IF(J785="BUY",S785-M785,M785-S785)</f>
        <v>-0.150000000001455</v>
      </c>
      <c r="V785" s="45" t="n">
        <v>0</v>
      </c>
      <c r="W785" s="45" t="n">
        <v>0</v>
      </c>
      <c r="X785" s="45" t="n">
        <v>-0.54</v>
      </c>
      <c r="Y785" s="32" t="n">
        <f aca="false">IFERROR(X785/R785,0)</f>
        <v>-0.0156739811912231</v>
      </c>
      <c r="Z785" s="28" t="str">
        <f aca="false">IF(X785&gt;0,"Win",IF(X785&lt;0,"Loss","Flat"))</f>
        <v>Loss</v>
      </c>
      <c r="AA785" s="28" t="n">
        <f aca="false">ROUND((C785-B785)*1440,1)</f>
        <v>11.3</v>
      </c>
      <c r="AB785" s="28" t="str">
        <f aca="false">IF(AA785&lt;1,"a) &lt;1 min",IF(AA785&lt;10,"b) 1-10 min",IF(AA785&lt;60,"c) 10-60 min",IF(AA785&lt;240,"d) 1-4 h","e) 4 h+"))))</f>
        <v>c) 10-60 min</v>
      </c>
      <c r="AC785" s="28" t="str">
        <f aca="false">IF(P785&lt;10,"a) &lt;10",IF(P785&lt;20,"b) 10-20",IF(P785&lt;40,"c) 20-40",IF(P785&lt;80,"d) 40-80","e) 80+"))))</f>
        <v>a) &lt;10</v>
      </c>
      <c r="AD785" s="30" t="n">
        <f aca="false">Summary!$C$5+SUM(X$2:X785)</f>
        <v>115168.94</v>
      </c>
      <c r="AE785" s="30" t="n">
        <f aca="false">MAX(AE784,AD785)</f>
        <v>116873.04</v>
      </c>
      <c r="AF785" s="30" t="n">
        <f aca="false">AE785-AD785</f>
        <v>1704.10000000001</v>
      </c>
      <c r="AG785" s="29" t="n">
        <f aca="false">IFERROR(AF785/AE785,0)</f>
        <v>0.0145807792798066</v>
      </c>
    </row>
    <row r="786" customFormat="false" ht="15" hidden="false" customHeight="false" outlineLevel="0" collapsed="false">
      <c r="A786" s="28" t="n">
        <v>785</v>
      </c>
      <c r="B786" s="43" t="n">
        <v>46147.6319444445</v>
      </c>
      <c r="C786" s="43" t="n">
        <v>46147.6355555556</v>
      </c>
      <c r="D786" s="42" t="n">
        <f aca="false">INT(C786)</f>
        <v>46147</v>
      </c>
      <c r="E786" s="42" t="n">
        <f aca="false">D786-WEEKDAY(D786,3)</f>
        <v>46146</v>
      </c>
      <c r="F786" s="28" t="s">
        <v>180</v>
      </c>
      <c r="G786" s="28" t="n">
        <v>2026</v>
      </c>
      <c r="H786" s="28" t="s">
        <v>232</v>
      </c>
      <c r="I786" s="28" t="n">
        <v>15</v>
      </c>
      <c r="J786" s="28" t="s">
        <v>233</v>
      </c>
      <c r="K786" s="28" t="s">
        <v>234</v>
      </c>
      <c r="L786" s="28" t="n">
        <v>0.18</v>
      </c>
      <c r="M786" s="31" t="n">
        <v>27845.31</v>
      </c>
      <c r="N786" s="31" t="n">
        <v>27826.83</v>
      </c>
      <c r="O786" s="31" t="n">
        <v>27883.71</v>
      </c>
      <c r="P786" s="44" t="n">
        <f aca="false">ABS(M786-N786)</f>
        <v>18.4799999999996</v>
      </c>
      <c r="Q786" s="44" t="n">
        <f aca="false">IF(O786="","",ABS(O786-M786))</f>
        <v>38.3999999999978</v>
      </c>
      <c r="R786" s="30" t="n">
        <f aca="false">P786*L786*Summary!$C$6</f>
        <v>66.5279999999984</v>
      </c>
      <c r="S786" s="31" t="n">
        <v>27884.77</v>
      </c>
      <c r="T786" s="28" t="s">
        <v>214</v>
      </c>
      <c r="U786" s="44" t="n">
        <f aca="false">IF(J786="BUY",S786-M786,M786-S786)</f>
        <v>39.4599999999991</v>
      </c>
      <c r="V786" s="45" t="n">
        <v>0</v>
      </c>
      <c r="W786" s="45" t="n">
        <v>0</v>
      </c>
      <c r="X786" s="45" t="n">
        <v>142.06</v>
      </c>
      <c r="Y786" s="32" t="n">
        <f aca="false">IFERROR(X786/R786,0)</f>
        <v>2.13534151034156</v>
      </c>
      <c r="Z786" s="28" t="str">
        <f aca="false">IF(X786&gt;0,"Win",IF(X786&lt;0,"Loss","Flat"))</f>
        <v>Win</v>
      </c>
      <c r="AA786" s="28" t="n">
        <f aca="false">ROUND((C786-B786)*1440,1)</f>
        <v>5.2</v>
      </c>
      <c r="AB786" s="28" t="str">
        <f aca="false">IF(AA786&lt;1,"a) &lt;1 min",IF(AA786&lt;10,"b) 1-10 min",IF(AA786&lt;60,"c) 10-60 min",IF(AA786&lt;240,"d) 1-4 h","e) 4 h+"))))</f>
        <v>b) 1-10 min</v>
      </c>
      <c r="AC786" s="28" t="str">
        <f aca="false">IF(P786&lt;10,"a) &lt;10",IF(P786&lt;20,"b) 10-20",IF(P786&lt;40,"c) 20-40",IF(P786&lt;80,"d) 40-80","e) 80+"))))</f>
        <v>b) 10-20</v>
      </c>
      <c r="AD786" s="30" t="n">
        <f aca="false">Summary!$C$5+SUM(X$2:X786)</f>
        <v>115311</v>
      </c>
      <c r="AE786" s="30" t="n">
        <f aca="false">MAX(AE785,AD786)</f>
        <v>116873.04</v>
      </c>
      <c r="AF786" s="30" t="n">
        <f aca="false">AE786-AD786</f>
        <v>1562.04000000001</v>
      </c>
      <c r="AG786" s="29" t="n">
        <f aca="false">IFERROR(AF786/AE786,0)</f>
        <v>0.0133652722646729</v>
      </c>
    </row>
    <row r="787" customFormat="false" ht="15" hidden="false" customHeight="false" outlineLevel="0" collapsed="false">
      <c r="A787" s="28" t="n">
        <v>786</v>
      </c>
      <c r="B787" s="43" t="n">
        <v>46148.0423611111</v>
      </c>
      <c r="C787" s="43" t="n">
        <v>46148.0780787037</v>
      </c>
      <c r="D787" s="42" t="n">
        <f aca="false">INT(C787)</f>
        <v>46148</v>
      </c>
      <c r="E787" s="42" t="n">
        <f aca="false">D787-WEEKDAY(D787,3)</f>
        <v>46146</v>
      </c>
      <c r="F787" s="28" t="s">
        <v>180</v>
      </c>
      <c r="G787" s="28" t="n">
        <v>2026</v>
      </c>
      <c r="H787" s="28" t="s">
        <v>235</v>
      </c>
      <c r="I787" s="28" t="n">
        <v>1</v>
      </c>
      <c r="J787" s="28" t="s">
        <v>233</v>
      </c>
      <c r="K787" s="28" t="s">
        <v>234</v>
      </c>
      <c r="L787" s="28" t="n">
        <v>0.18</v>
      </c>
      <c r="M787" s="31" t="n">
        <v>28131.47</v>
      </c>
      <c r="N787" s="31" t="n">
        <v>28100.81</v>
      </c>
      <c r="O787" s="31" t="n">
        <v>28198.58</v>
      </c>
      <c r="P787" s="44" t="n">
        <f aca="false">ABS(M787-N787)</f>
        <v>30.6599999999999</v>
      </c>
      <c r="Q787" s="44" t="n">
        <f aca="false">IF(O787="","",ABS(O787-M787))</f>
        <v>67.1100000000006</v>
      </c>
      <c r="R787" s="30" t="n">
        <f aca="false">P787*L787*Summary!$C$6</f>
        <v>110.375999999999</v>
      </c>
      <c r="S787" s="31" t="n">
        <v>28266.82</v>
      </c>
      <c r="T787" s="28" t="s">
        <v>214</v>
      </c>
      <c r="U787" s="44" t="n">
        <f aca="false">IF(J787="BUY",S787-M787,M787-S787)</f>
        <v>135.349999999999</v>
      </c>
      <c r="V787" s="45" t="n">
        <v>0</v>
      </c>
      <c r="W787" s="45" t="n">
        <v>0</v>
      </c>
      <c r="X787" s="45" t="n">
        <v>487.26</v>
      </c>
      <c r="Y787" s="32" t="n">
        <f aca="false">IFERROR(X787/R787,0)</f>
        <v>4.41454664057406</v>
      </c>
      <c r="Z787" s="28" t="str">
        <f aca="false">IF(X787&gt;0,"Win",IF(X787&lt;0,"Loss","Flat"))</f>
        <v>Win</v>
      </c>
      <c r="AA787" s="28" t="n">
        <f aca="false">ROUND((C787-B787)*1440,1)</f>
        <v>51.4</v>
      </c>
      <c r="AB787" s="28" t="str">
        <f aca="false">IF(AA787&lt;1,"a) &lt;1 min",IF(AA787&lt;10,"b) 1-10 min",IF(AA787&lt;60,"c) 10-60 min",IF(AA787&lt;240,"d) 1-4 h","e) 4 h+"))))</f>
        <v>c) 10-60 min</v>
      </c>
      <c r="AC787" s="28" t="str">
        <f aca="false">IF(P787&lt;10,"a) &lt;10",IF(P787&lt;20,"b) 10-20",IF(P787&lt;40,"c) 20-40",IF(P787&lt;80,"d) 40-80","e) 80+"))))</f>
        <v>c) 20-40</v>
      </c>
      <c r="AD787" s="30" t="n">
        <f aca="false">Summary!$C$5+SUM(X$2:X787)</f>
        <v>115798.26</v>
      </c>
      <c r="AE787" s="30" t="n">
        <f aca="false">MAX(AE786,AD787)</f>
        <v>116873.04</v>
      </c>
      <c r="AF787" s="30" t="n">
        <f aca="false">AE787-AD787</f>
        <v>1074.78000000001</v>
      </c>
      <c r="AG787" s="29" t="n">
        <f aca="false">IFERROR(AF787/AE787,0)</f>
        <v>0.0091961328292651</v>
      </c>
    </row>
    <row r="788" customFormat="false" ht="15" hidden="false" customHeight="false" outlineLevel="0" collapsed="false">
      <c r="A788" s="28" t="n">
        <v>787</v>
      </c>
      <c r="B788" s="43" t="n">
        <v>46149.4263888889</v>
      </c>
      <c r="C788" s="43" t="n">
        <v>46149.4298032407</v>
      </c>
      <c r="D788" s="42" t="n">
        <f aca="false">INT(C788)</f>
        <v>46149</v>
      </c>
      <c r="E788" s="42" t="n">
        <f aca="false">D788-WEEKDAY(D788,3)</f>
        <v>46146</v>
      </c>
      <c r="F788" s="28" t="s">
        <v>180</v>
      </c>
      <c r="G788" s="28" t="n">
        <v>2026</v>
      </c>
      <c r="H788" s="28" t="s">
        <v>239</v>
      </c>
      <c r="I788" s="28" t="n">
        <v>10</v>
      </c>
      <c r="J788" s="28" t="s">
        <v>233</v>
      </c>
      <c r="K788" s="28" t="s">
        <v>234</v>
      </c>
      <c r="L788" s="28" t="n">
        <v>0.18</v>
      </c>
      <c r="M788" s="31" t="n">
        <v>28679.01</v>
      </c>
      <c r="N788" s="31" t="n">
        <v>28652.71</v>
      </c>
      <c r="O788" s="31" t="n">
        <v>28731.61</v>
      </c>
      <c r="P788" s="44" t="n">
        <f aca="false">ABS(M788-N788)</f>
        <v>26.2999999999993</v>
      </c>
      <c r="Q788" s="44" t="n">
        <f aca="false">IF(O788="","",ABS(O788-M788))</f>
        <v>52.6000000000022</v>
      </c>
      <c r="R788" s="30" t="n">
        <f aca="false">P788*L788*Summary!$C$6</f>
        <v>94.6799999999974</v>
      </c>
      <c r="S788" s="31" t="n">
        <v>28651.93</v>
      </c>
      <c r="T788" s="28" t="s">
        <v>241</v>
      </c>
      <c r="U788" s="44" t="n">
        <f aca="false">IF(J788="BUY",S788-M788,M788-S788)</f>
        <v>-27.0799999999981</v>
      </c>
      <c r="V788" s="45" t="n">
        <v>0</v>
      </c>
      <c r="W788" s="45" t="n">
        <v>0</v>
      </c>
      <c r="X788" s="45" t="n">
        <v>-97.49</v>
      </c>
      <c r="Y788" s="32" t="n">
        <f aca="false">IFERROR(X788/R788,0)</f>
        <v>-1.02967891846222</v>
      </c>
      <c r="Z788" s="28" t="str">
        <f aca="false">IF(X788&gt;0,"Win",IF(X788&lt;0,"Loss","Flat"))</f>
        <v>Loss</v>
      </c>
      <c r="AA788" s="28" t="n">
        <f aca="false">ROUND((C788-B788)*1440,1)</f>
        <v>4.9</v>
      </c>
      <c r="AB788" s="28" t="str">
        <f aca="false">IF(AA788&lt;1,"a) &lt;1 min",IF(AA788&lt;10,"b) 1-10 min",IF(AA788&lt;60,"c) 10-60 min",IF(AA788&lt;240,"d) 1-4 h","e) 4 h+"))))</f>
        <v>b) 1-10 min</v>
      </c>
      <c r="AC788" s="28" t="str">
        <f aca="false">IF(P788&lt;10,"a) &lt;10",IF(P788&lt;20,"b) 10-20",IF(P788&lt;40,"c) 20-40",IF(P788&lt;80,"d) 40-80","e) 80+"))))</f>
        <v>c) 20-40</v>
      </c>
      <c r="AD788" s="30" t="n">
        <f aca="false">Summary!$C$5+SUM(X$2:X788)</f>
        <v>115700.77</v>
      </c>
      <c r="AE788" s="30" t="n">
        <f aca="false">MAX(AE787,AD788)</f>
        <v>116873.04</v>
      </c>
      <c r="AF788" s="30" t="n">
        <f aca="false">AE788-AD788</f>
        <v>1172.27</v>
      </c>
      <c r="AG788" s="29" t="n">
        <f aca="false">IFERROR(AF788/AE788,0)</f>
        <v>0.010030285855489</v>
      </c>
    </row>
    <row r="789" customFormat="false" ht="15" hidden="false" customHeight="false" outlineLevel="0" collapsed="false">
      <c r="A789" s="28" t="n">
        <v>788</v>
      </c>
      <c r="B789" s="43" t="n">
        <v>46150.65</v>
      </c>
      <c r="C789" s="43" t="n">
        <v>46150.6600578704</v>
      </c>
      <c r="D789" s="42" t="n">
        <f aca="false">INT(C789)</f>
        <v>46150</v>
      </c>
      <c r="E789" s="42" t="n">
        <f aca="false">D789-WEEKDAY(D789,3)</f>
        <v>46146</v>
      </c>
      <c r="F789" s="28" t="s">
        <v>180</v>
      </c>
      <c r="G789" s="28" t="n">
        <v>2026</v>
      </c>
      <c r="H789" s="28" t="s">
        <v>242</v>
      </c>
      <c r="I789" s="28" t="n">
        <v>15</v>
      </c>
      <c r="J789" s="28" t="s">
        <v>233</v>
      </c>
      <c r="K789" s="28" t="s">
        <v>234</v>
      </c>
      <c r="L789" s="28" t="n">
        <v>0.18</v>
      </c>
      <c r="M789" s="31" t="n">
        <v>28846.04</v>
      </c>
      <c r="N789" s="31" t="n">
        <v>28812.98</v>
      </c>
      <c r="O789" s="31" t="n">
        <v>28912.16</v>
      </c>
      <c r="P789" s="44" t="n">
        <f aca="false">ABS(M789-N789)</f>
        <v>33.0600000000013</v>
      </c>
      <c r="Q789" s="44" t="n">
        <f aca="false">IF(O789="","",ABS(O789-M789))</f>
        <v>66.119999999999</v>
      </c>
      <c r="R789" s="30" t="n">
        <f aca="false">P789*L789*Summary!$C$6</f>
        <v>119.016000000005</v>
      </c>
      <c r="S789" s="31" t="n">
        <v>28812.91</v>
      </c>
      <c r="T789" s="28" t="s">
        <v>241</v>
      </c>
      <c r="U789" s="44" t="n">
        <f aca="false">IF(J789="BUY",S789-M789,M789-S789)</f>
        <v>-33.130000000001</v>
      </c>
      <c r="V789" s="45" t="n">
        <v>0</v>
      </c>
      <c r="W789" s="45" t="n">
        <v>0</v>
      </c>
      <c r="X789" s="45" t="n">
        <v>-119.27</v>
      </c>
      <c r="Y789" s="32" t="n">
        <f aca="false">IFERROR(X789/R789,0)</f>
        <v>-1.00213416683467</v>
      </c>
      <c r="Z789" s="28" t="str">
        <f aca="false">IF(X789&gt;0,"Win",IF(X789&lt;0,"Loss","Flat"))</f>
        <v>Loss</v>
      </c>
      <c r="AA789" s="28" t="n">
        <f aca="false">ROUND((C789-B789)*1440,1)</f>
        <v>14.5</v>
      </c>
      <c r="AB789" s="28" t="str">
        <f aca="false">IF(AA789&lt;1,"a) &lt;1 min",IF(AA789&lt;10,"b) 1-10 min",IF(AA789&lt;60,"c) 10-60 min",IF(AA789&lt;240,"d) 1-4 h","e) 4 h+"))))</f>
        <v>c) 10-60 min</v>
      </c>
      <c r="AC789" s="28" t="str">
        <f aca="false">IF(P789&lt;10,"a) &lt;10",IF(P789&lt;20,"b) 10-20",IF(P789&lt;40,"c) 20-40",IF(P789&lt;80,"d) 40-80","e) 80+"))))</f>
        <v>c) 20-40</v>
      </c>
      <c r="AD789" s="30" t="n">
        <f aca="false">Summary!$C$5+SUM(X$2:X789)</f>
        <v>115581.5</v>
      </c>
      <c r="AE789" s="30" t="n">
        <f aca="false">MAX(AE788,AD789)</f>
        <v>116873.04</v>
      </c>
      <c r="AF789" s="30" t="n">
        <f aca="false">AE789-AD789</f>
        <v>1291.54000000001</v>
      </c>
      <c r="AG789" s="29" t="n">
        <f aca="false">IFERROR(AF789/AE789,0)</f>
        <v>0.0110507949480908</v>
      </c>
    </row>
    <row r="790" customFormat="false" ht="15" hidden="false" customHeight="false" outlineLevel="0" collapsed="false">
      <c r="A790" s="28" t="n">
        <v>789</v>
      </c>
      <c r="B790" s="43" t="n">
        <v>46153.1409722222</v>
      </c>
      <c r="C790" s="43" t="n">
        <v>46153.1574884259</v>
      </c>
      <c r="D790" s="42" t="n">
        <f aca="false">INT(C790)</f>
        <v>46153</v>
      </c>
      <c r="E790" s="42" t="n">
        <f aca="false">D790-WEEKDAY(D790,3)</f>
        <v>46153</v>
      </c>
      <c r="F790" s="28" t="s">
        <v>180</v>
      </c>
      <c r="G790" s="28" t="n">
        <v>2026</v>
      </c>
      <c r="H790" s="28" t="s">
        <v>240</v>
      </c>
      <c r="I790" s="28" t="n">
        <v>3</v>
      </c>
      <c r="J790" s="28" t="s">
        <v>233</v>
      </c>
      <c r="K790" s="28" t="s">
        <v>234</v>
      </c>
      <c r="L790" s="28" t="n">
        <v>0.17</v>
      </c>
      <c r="M790" s="31" t="n">
        <v>29269.5</v>
      </c>
      <c r="N790" s="31" t="n">
        <v>29250.82</v>
      </c>
      <c r="O790" s="31" t="n">
        <v>29306.87</v>
      </c>
      <c r="P790" s="44" t="n">
        <f aca="false">ABS(M790-N790)</f>
        <v>18.6800000000003</v>
      </c>
      <c r="Q790" s="44" t="n">
        <f aca="false">IF(O790="","",ABS(O790-M790))</f>
        <v>37.369999999999</v>
      </c>
      <c r="R790" s="30" t="n">
        <f aca="false">P790*L790*Summary!$C$6</f>
        <v>63.512000000001</v>
      </c>
      <c r="S790" s="31" t="n">
        <v>29268.82</v>
      </c>
      <c r="T790" s="28" t="s">
        <v>238</v>
      </c>
      <c r="U790" s="44" t="n">
        <f aca="false">IF(J790="BUY",S790-M790,M790-S790)</f>
        <v>-0.680000000000291</v>
      </c>
      <c r="V790" s="45" t="n">
        <v>0</v>
      </c>
      <c r="W790" s="45" t="n">
        <v>0</v>
      </c>
      <c r="X790" s="45" t="n">
        <v>-2.31</v>
      </c>
      <c r="Y790" s="32" t="n">
        <f aca="false">IFERROR(X790/R790,0)</f>
        <v>-0.0363710794810424</v>
      </c>
      <c r="Z790" s="28" t="str">
        <f aca="false">IF(X790&gt;0,"Win",IF(X790&lt;0,"Loss","Flat"))</f>
        <v>Loss</v>
      </c>
      <c r="AA790" s="28" t="n">
        <f aca="false">ROUND((C790-B790)*1440,1)</f>
        <v>23.8</v>
      </c>
      <c r="AB790" s="28" t="str">
        <f aca="false">IF(AA790&lt;1,"a) &lt;1 min",IF(AA790&lt;10,"b) 1-10 min",IF(AA790&lt;60,"c) 10-60 min",IF(AA790&lt;240,"d) 1-4 h","e) 4 h+"))))</f>
        <v>c) 10-60 min</v>
      </c>
      <c r="AC790" s="28" t="str">
        <f aca="false">IF(P790&lt;10,"a) &lt;10",IF(P790&lt;20,"b) 10-20",IF(P790&lt;40,"c) 20-40",IF(P790&lt;80,"d) 40-80","e) 80+"))))</f>
        <v>b) 10-20</v>
      </c>
      <c r="AD790" s="30" t="n">
        <f aca="false">Summary!$C$5+SUM(X$2:X790)</f>
        <v>115579.19</v>
      </c>
      <c r="AE790" s="30" t="n">
        <f aca="false">MAX(AE789,AD790)</f>
        <v>116873.04</v>
      </c>
      <c r="AF790" s="30" t="n">
        <f aca="false">AE790-AD790</f>
        <v>1293.85000000001</v>
      </c>
      <c r="AG790" s="29" t="n">
        <f aca="false">IFERROR(AF790/AE790,0)</f>
        <v>0.0110705599854338</v>
      </c>
    </row>
    <row r="791" customFormat="false" ht="15" hidden="false" customHeight="false" outlineLevel="0" collapsed="false">
      <c r="A791" s="28" t="n">
        <v>790</v>
      </c>
      <c r="B791" s="43" t="n">
        <v>46154.4152777778</v>
      </c>
      <c r="C791" s="43" t="n">
        <v>46154.4217939815</v>
      </c>
      <c r="D791" s="42" t="n">
        <f aca="false">INT(C791)</f>
        <v>46154</v>
      </c>
      <c r="E791" s="42" t="n">
        <f aca="false">D791-WEEKDAY(D791,3)</f>
        <v>46153</v>
      </c>
      <c r="F791" s="28" t="s">
        <v>180</v>
      </c>
      <c r="G791" s="28" t="n">
        <v>2026</v>
      </c>
      <c r="H791" s="28" t="s">
        <v>232</v>
      </c>
      <c r="I791" s="28" t="n">
        <v>9</v>
      </c>
      <c r="J791" s="28" t="s">
        <v>236</v>
      </c>
      <c r="K791" s="28" t="s">
        <v>237</v>
      </c>
      <c r="L791" s="28" t="n">
        <v>0.17</v>
      </c>
      <c r="M791" s="31" t="n">
        <v>29111.33</v>
      </c>
      <c r="N791" s="31" t="n">
        <v>29125.77</v>
      </c>
      <c r="O791" s="31" t="n">
        <v>29080.75</v>
      </c>
      <c r="P791" s="44" t="n">
        <f aca="false">ABS(M791-N791)</f>
        <v>14.4399999999987</v>
      </c>
      <c r="Q791" s="44" t="n">
        <f aca="false">IF(O791="","",ABS(O791-M791))</f>
        <v>30.5800000000017</v>
      </c>
      <c r="R791" s="30" t="n">
        <f aca="false">P791*L791*Summary!$C$6</f>
        <v>49.0959999999956</v>
      </c>
      <c r="S791" s="31" t="n">
        <v>29080.66</v>
      </c>
      <c r="T791" s="28" t="s">
        <v>214</v>
      </c>
      <c r="U791" s="44" t="n">
        <f aca="false">IF(J791="BUY",S791-M791,M791-S791)</f>
        <v>30.6700000000019</v>
      </c>
      <c r="V791" s="45" t="n">
        <v>0</v>
      </c>
      <c r="W791" s="45" t="n">
        <v>0</v>
      </c>
      <c r="X791" s="45" t="n">
        <v>104.28</v>
      </c>
      <c r="Y791" s="32" t="n">
        <f aca="false">IFERROR(X791/R791,0)</f>
        <v>2.12400195535297</v>
      </c>
      <c r="Z791" s="28" t="str">
        <f aca="false">IF(X791&gt;0,"Win",IF(X791&lt;0,"Loss","Flat"))</f>
        <v>Win</v>
      </c>
      <c r="AA791" s="28" t="n">
        <f aca="false">ROUND((C791-B791)*1440,1)</f>
        <v>9.4</v>
      </c>
      <c r="AB791" s="28" t="str">
        <f aca="false">IF(AA791&lt;1,"a) &lt;1 min",IF(AA791&lt;10,"b) 1-10 min",IF(AA791&lt;60,"c) 10-60 min",IF(AA791&lt;240,"d) 1-4 h","e) 4 h+"))))</f>
        <v>b) 1-10 min</v>
      </c>
      <c r="AC791" s="28" t="str">
        <f aca="false">IF(P791&lt;10,"a) &lt;10",IF(P791&lt;20,"b) 10-20",IF(P791&lt;40,"c) 20-40",IF(P791&lt;80,"d) 40-80","e) 80+"))))</f>
        <v>b) 10-20</v>
      </c>
      <c r="AD791" s="30" t="n">
        <f aca="false">Summary!$C$5+SUM(X$2:X791)</f>
        <v>115683.47</v>
      </c>
      <c r="AE791" s="30" t="n">
        <f aca="false">MAX(AE790,AD791)</f>
        <v>116873.04</v>
      </c>
      <c r="AF791" s="30" t="n">
        <f aca="false">AE791-AD791</f>
        <v>1189.57000000001</v>
      </c>
      <c r="AG791" s="29" t="n">
        <f aca="false">IFERROR(AF791/AE791,0)</f>
        <v>0.0101783097282317</v>
      </c>
    </row>
    <row r="792" customFormat="false" ht="15" hidden="false" customHeight="false" outlineLevel="0" collapsed="false">
      <c r="A792" s="28" t="n">
        <v>791</v>
      </c>
      <c r="B792" s="43" t="n">
        <v>46155.8319444444</v>
      </c>
      <c r="C792" s="43" t="n">
        <v>46155.8742824074</v>
      </c>
      <c r="D792" s="42" t="n">
        <f aca="false">INT(C792)</f>
        <v>46155</v>
      </c>
      <c r="E792" s="42" t="n">
        <f aca="false">D792-WEEKDAY(D792,3)</f>
        <v>46153</v>
      </c>
      <c r="F792" s="28" t="s">
        <v>180</v>
      </c>
      <c r="G792" s="28" t="n">
        <v>2026</v>
      </c>
      <c r="H792" s="28" t="s">
        <v>235</v>
      </c>
      <c r="I792" s="28" t="n">
        <v>19</v>
      </c>
      <c r="J792" s="28" t="s">
        <v>233</v>
      </c>
      <c r="K792" s="28" t="s">
        <v>234</v>
      </c>
      <c r="L792" s="28" t="n">
        <v>0.17</v>
      </c>
      <c r="M792" s="31" t="n">
        <v>29352.57</v>
      </c>
      <c r="N792" s="31" t="n">
        <v>29329.47</v>
      </c>
      <c r="O792" s="31" t="n">
        <v>29398.77</v>
      </c>
      <c r="P792" s="44" t="n">
        <f aca="false">ABS(M792-N792)</f>
        <v>23.0999999999985</v>
      </c>
      <c r="Q792" s="44" t="n">
        <f aca="false">IF(O792="","",ABS(O792-M792))</f>
        <v>46.2000000000007</v>
      </c>
      <c r="R792" s="30" t="n">
        <f aca="false">P792*L792*Summary!$C$6</f>
        <v>78.5399999999951</v>
      </c>
      <c r="S792" s="31" t="n">
        <v>29351.88</v>
      </c>
      <c r="T792" s="28" t="s">
        <v>238</v>
      </c>
      <c r="U792" s="44" t="n">
        <f aca="false">IF(J792="BUY",S792-M792,M792-S792)</f>
        <v>-0.68999999999869</v>
      </c>
      <c r="V792" s="45" t="n">
        <v>0</v>
      </c>
      <c r="W792" s="45" t="n">
        <v>0</v>
      </c>
      <c r="X792" s="45" t="n">
        <v>-2.35</v>
      </c>
      <c r="Y792" s="32" t="n">
        <f aca="false">IFERROR(X792/R792,0)</f>
        <v>-0.0299210593328259</v>
      </c>
      <c r="Z792" s="28" t="str">
        <f aca="false">IF(X792&gt;0,"Win",IF(X792&lt;0,"Loss","Flat"))</f>
        <v>Loss</v>
      </c>
      <c r="AA792" s="28" t="n">
        <f aca="false">ROUND((C792-B792)*1440,1)</f>
        <v>61</v>
      </c>
      <c r="AB792" s="28" t="str">
        <f aca="false">IF(AA792&lt;1,"a) &lt;1 min",IF(AA792&lt;10,"b) 1-10 min",IF(AA792&lt;60,"c) 10-60 min",IF(AA792&lt;240,"d) 1-4 h","e) 4 h+"))))</f>
        <v>d) 1-4 h</v>
      </c>
      <c r="AC792" s="28" t="str">
        <f aca="false">IF(P792&lt;10,"a) &lt;10",IF(P792&lt;20,"b) 10-20",IF(P792&lt;40,"c) 20-40",IF(P792&lt;80,"d) 40-80","e) 80+"))))</f>
        <v>c) 20-40</v>
      </c>
      <c r="AD792" s="30" t="n">
        <f aca="false">Summary!$C$5+SUM(X$2:X792)</f>
        <v>115681.12</v>
      </c>
      <c r="AE792" s="30" t="n">
        <f aca="false">MAX(AE791,AD792)</f>
        <v>116873.04</v>
      </c>
      <c r="AF792" s="30" t="n">
        <f aca="false">AE792-AD792</f>
        <v>1191.92000000001</v>
      </c>
      <c r="AG792" s="29" t="n">
        <f aca="false">IFERROR(AF792/AE792,0)</f>
        <v>0.0101984170173037</v>
      </c>
    </row>
    <row r="793" customFormat="false" ht="15" hidden="false" customHeight="false" outlineLevel="0" collapsed="false">
      <c r="A793" s="28" t="n">
        <v>792</v>
      </c>
      <c r="B793" s="43" t="n">
        <v>46156.0534722222</v>
      </c>
      <c r="C793" s="43" t="n">
        <v>46156.0556944445</v>
      </c>
      <c r="D793" s="42" t="n">
        <f aca="false">INT(C793)</f>
        <v>46156</v>
      </c>
      <c r="E793" s="42" t="n">
        <f aca="false">D793-WEEKDAY(D793,3)</f>
        <v>46153</v>
      </c>
      <c r="F793" s="28" t="s">
        <v>180</v>
      </c>
      <c r="G793" s="28" t="n">
        <v>2026</v>
      </c>
      <c r="H793" s="28" t="s">
        <v>239</v>
      </c>
      <c r="I793" s="28" t="n">
        <v>1</v>
      </c>
      <c r="J793" s="28" t="s">
        <v>233</v>
      </c>
      <c r="K793" s="28" t="s">
        <v>234</v>
      </c>
      <c r="L793" s="28" t="n">
        <v>0.17</v>
      </c>
      <c r="M793" s="31" t="n">
        <v>29460.52</v>
      </c>
      <c r="N793" s="31" t="n">
        <v>29447.48</v>
      </c>
      <c r="O793" s="31" t="n">
        <v>29486.6</v>
      </c>
      <c r="P793" s="44" t="n">
        <f aca="false">ABS(M793-N793)</f>
        <v>13.0400000000009</v>
      </c>
      <c r="Q793" s="44" t="n">
        <f aca="false">IF(O793="","",ABS(O793-M793))</f>
        <v>26.0799999999981</v>
      </c>
      <c r="R793" s="30" t="n">
        <f aca="false">P793*L793*Summary!$C$6</f>
        <v>44.336000000003</v>
      </c>
      <c r="S793" s="31" t="n">
        <v>29446.53</v>
      </c>
      <c r="T793" s="28" t="s">
        <v>241</v>
      </c>
      <c r="U793" s="44" t="n">
        <f aca="false">IF(J793="BUY",S793-M793,M793-S793)</f>
        <v>-13.9900000000016</v>
      </c>
      <c r="V793" s="45" t="n">
        <v>0</v>
      </c>
      <c r="W793" s="45" t="n">
        <v>0</v>
      </c>
      <c r="X793" s="45" t="n">
        <v>-47.57</v>
      </c>
      <c r="Y793" s="32" t="n">
        <f aca="false">IFERROR(X793/R793,0)</f>
        <v>-1.07294298087326</v>
      </c>
      <c r="Z793" s="28" t="str">
        <f aca="false">IF(X793&gt;0,"Win",IF(X793&lt;0,"Loss","Flat"))</f>
        <v>Loss</v>
      </c>
      <c r="AA793" s="28" t="n">
        <f aca="false">ROUND((C793-B793)*1440,1)</f>
        <v>3.2</v>
      </c>
      <c r="AB793" s="28" t="str">
        <f aca="false">IF(AA793&lt;1,"a) &lt;1 min",IF(AA793&lt;10,"b) 1-10 min",IF(AA793&lt;60,"c) 10-60 min",IF(AA793&lt;240,"d) 1-4 h","e) 4 h+"))))</f>
        <v>b) 1-10 min</v>
      </c>
      <c r="AC793" s="28" t="str">
        <f aca="false">IF(P793&lt;10,"a) &lt;10",IF(P793&lt;20,"b) 10-20",IF(P793&lt;40,"c) 20-40",IF(P793&lt;80,"d) 40-80","e) 80+"))))</f>
        <v>b) 10-20</v>
      </c>
      <c r="AD793" s="30" t="n">
        <f aca="false">Summary!$C$5+SUM(X$2:X793)</f>
        <v>115633.55</v>
      </c>
      <c r="AE793" s="30" t="n">
        <f aca="false">MAX(AE792,AD793)</f>
        <v>116873.04</v>
      </c>
      <c r="AF793" s="30" t="n">
        <f aca="false">AE793-AD793</f>
        <v>1239.49000000001</v>
      </c>
      <c r="AG793" s="29" t="n">
        <f aca="false">IFERROR(AF793/AE793,0)</f>
        <v>0.0106054398858796</v>
      </c>
    </row>
    <row r="794" customFormat="false" ht="15" hidden="false" customHeight="false" outlineLevel="0" collapsed="false">
      <c r="A794" s="28" t="n">
        <v>793</v>
      </c>
      <c r="B794" s="43" t="n">
        <v>46157.3388888889</v>
      </c>
      <c r="C794" s="43" t="n">
        <v>46157.3636921296</v>
      </c>
      <c r="D794" s="42" t="n">
        <f aca="false">INT(C794)</f>
        <v>46157</v>
      </c>
      <c r="E794" s="42" t="n">
        <f aca="false">D794-WEEKDAY(D794,3)</f>
        <v>46153</v>
      </c>
      <c r="F794" s="28" t="s">
        <v>180</v>
      </c>
      <c r="G794" s="28" t="n">
        <v>2026</v>
      </c>
      <c r="H794" s="28" t="s">
        <v>242</v>
      </c>
      <c r="I794" s="28" t="n">
        <v>8</v>
      </c>
      <c r="J794" s="28" t="s">
        <v>236</v>
      </c>
      <c r="K794" s="28" t="s">
        <v>237</v>
      </c>
      <c r="L794" s="28" t="n">
        <v>0.17</v>
      </c>
      <c r="M794" s="31" t="n">
        <v>29317.91</v>
      </c>
      <c r="N794" s="31" t="n">
        <v>29348.98</v>
      </c>
      <c r="O794" s="31" t="n">
        <v>29259.64</v>
      </c>
      <c r="P794" s="44" t="n">
        <f aca="false">ABS(M794-N794)</f>
        <v>31.0699999999997</v>
      </c>
      <c r="Q794" s="44" t="n">
        <f aca="false">IF(O794="","",ABS(O794-M794))</f>
        <v>58.2700000000004</v>
      </c>
      <c r="R794" s="30" t="n">
        <f aca="false">P794*L794*Summary!$C$6</f>
        <v>105.637999999999</v>
      </c>
      <c r="S794" s="31" t="n">
        <v>29258.36</v>
      </c>
      <c r="T794" s="28" t="s">
        <v>214</v>
      </c>
      <c r="U794" s="44" t="n">
        <f aca="false">IF(J794="BUY",S794-M794,M794-S794)</f>
        <v>59.5499999999993</v>
      </c>
      <c r="V794" s="45" t="n">
        <v>0</v>
      </c>
      <c r="W794" s="45" t="n">
        <v>0</v>
      </c>
      <c r="X794" s="45" t="n">
        <v>202.47</v>
      </c>
      <c r="Y794" s="32" t="n">
        <f aca="false">IFERROR(X794/R794,0)</f>
        <v>1.91663984551016</v>
      </c>
      <c r="Z794" s="28" t="str">
        <f aca="false">IF(X794&gt;0,"Win",IF(X794&lt;0,"Loss","Flat"))</f>
        <v>Win</v>
      </c>
      <c r="AA794" s="28" t="n">
        <f aca="false">ROUND((C794-B794)*1440,1)</f>
        <v>35.7</v>
      </c>
      <c r="AB794" s="28" t="str">
        <f aca="false">IF(AA794&lt;1,"a) &lt;1 min",IF(AA794&lt;10,"b) 1-10 min",IF(AA794&lt;60,"c) 10-60 min",IF(AA794&lt;240,"d) 1-4 h","e) 4 h+"))))</f>
        <v>c) 10-60 min</v>
      </c>
      <c r="AC794" s="28" t="str">
        <f aca="false">IF(P794&lt;10,"a) &lt;10",IF(P794&lt;20,"b) 10-20",IF(P794&lt;40,"c) 20-40",IF(P794&lt;80,"d) 40-80","e) 80+"))))</f>
        <v>c) 20-40</v>
      </c>
      <c r="AD794" s="30" t="n">
        <f aca="false">Summary!$C$5+SUM(X$2:X794)</f>
        <v>115836.02</v>
      </c>
      <c r="AE794" s="30" t="n">
        <f aca="false">MAX(AE793,AD794)</f>
        <v>116873.04</v>
      </c>
      <c r="AF794" s="30" t="n">
        <f aca="false">AE794-AD794</f>
        <v>1037.02</v>
      </c>
      <c r="AG794" s="29" t="n">
        <f aca="false">IFERROR(AF794/AE794,0)</f>
        <v>0.00887304719719795</v>
      </c>
    </row>
    <row r="795" customFormat="false" ht="15" hidden="false" customHeight="false" outlineLevel="0" collapsed="false">
      <c r="A795" s="28" t="n">
        <v>794</v>
      </c>
      <c r="B795" s="43" t="n">
        <v>46160.1118055556</v>
      </c>
      <c r="C795" s="43" t="n">
        <v>46160.1126041667</v>
      </c>
      <c r="D795" s="42" t="n">
        <f aca="false">INT(C795)</f>
        <v>46160</v>
      </c>
      <c r="E795" s="42" t="n">
        <f aca="false">D795-WEEKDAY(D795,3)</f>
        <v>46160</v>
      </c>
      <c r="F795" s="28" t="s">
        <v>180</v>
      </c>
      <c r="G795" s="28" t="n">
        <v>2026</v>
      </c>
      <c r="H795" s="28" t="s">
        <v>240</v>
      </c>
      <c r="I795" s="28" t="n">
        <v>2</v>
      </c>
      <c r="J795" s="28" t="s">
        <v>236</v>
      </c>
      <c r="K795" s="28" t="s">
        <v>237</v>
      </c>
      <c r="L795" s="28" t="n">
        <v>0.17</v>
      </c>
      <c r="M795" s="31" t="n">
        <v>28966.22</v>
      </c>
      <c r="N795" s="31" t="n">
        <v>29008.33</v>
      </c>
      <c r="O795" s="31" t="n">
        <v>28890.64</v>
      </c>
      <c r="P795" s="44" t="n">
        <f aca="false">ABS(M795-N795)</f>
        <v>42.1100000000006</v>
      </c>
      <c r="Q795" s="44" t="n">
        <f aca="false">IF(O795="","",ABS(O795-M795))</f>
        <v>75.5800000000018</v>
      </c>
      <c r="R795" s="30" t="n">
        <f aca="false">P795*L795*Summary!$C$6</f>
        <v>143.174000000002</v>
      </c>
      <c r="S795" s="31" t="n">
        <v>28967.26</v>
      </c>
      <c r="T795" s="28" t="s">
        <v>238</v>
      </c>
      <c r="U795" s="44" t="n">
        <f aca="false">IF(J795="BUY",S795-M795,M795-S795)</f>
        <v>-1.03999999999724</v>
      </c>
      <c r="V795" s="45" t="n">
        <v>0</v>
      </c>
      <c r="W795" s="45" t="n">
        <v>0</v>
      </c>
      <c r="X795" s="45" t="n">
        <v>-3.54</v>
      </c>
      <c r="Y795" s="32" t="n">
        <f aca="false">IFERROR(X795/R795,0)</f>
        <v>-0.0247251595960157</v>
      </c>
      <c r="Z795" s="28" t="str">
        <f aca="false">IF(X795&gt;0,"Win",IF(X795&lt;0,"Loss","Flat"))</f>
        <v>Loss</v>
      </c>
      <c r="AA795" s="28" t="n">
        <f aca="false">ROUND((C795-B795)*1440,1)</f>
        <v>1.1</v>
      </c>
      <c r="AB795" s="28" t="str">
        <f aca="false">IF(AA795&lt;1,"a) &lt;1 min",IF(AA795&lt;10,"b) 1-10 min",IF(AA795&lt;60,"c) 10-60 min",IF(AA795&lt;240,"d) 1-4 h","e) 4 h+"))))</f>
        <v>b) 1-10 min</v>
      </c>
      <c r="AC795" s="28" t="str">
        <f aca="false">IF(P795&lt;10,"a) &lt;10",IF(P795&lt;20,"b) 10-20",IF(P795&lt;40,"c) 20-40",IF(P795&lt;80,"d) 40-80","e) 80+"))))</f>
        <v>d) 40-80</v>
      </c>
      <c r="AD795" s="30" t="n">
        <f aca="false">Summary!$C$5+SUM(X$2:X795)</f>
        <v>115832.48</v>
      </c>
      <c r="AE795" s="30" t="n">
        <f aca="false">MAX(AE794,AD795)</f>
        <v>116873.04</v>
      </c>
      <c r="AF795" s="30" t="n">
        <f aca="false">AE795-AD795</f>
        <v>1040.56000000001</v>
      </c>
      <c r="AG795" s="29" t="n">
        <f aca="false">IFERROR(AF795/AE795,0)</f>
        <v>0.00890333647520431</v>
      </c>
    </row>
    <row r="796" customFormat="false" ht="15" hidden="false" customHeight="false" outlineLevel="0" collapsed="false">
      <c r="A796" s="28" t="n">
        <v>795</v>
      </c>
      <c r="B796" s="43" t="n">
        <v>46161.6861111111</v>
      </c>
      <c r="C796" s="43" t="n">
        <v>46161.6874537037</v>
      </c>
      <c r="D796" s="42" t="n">
        <f aca="false">INT(C796)</f>
        <v>46161</v>
      </c>
      <c r="E796" s="42" t="n">
        <f aca="false">D796-WEEKDAY(D796,3)</f>
        <v>46160</v>
      </c>
      <c r="F796" s="28" t="s">
        <v>180</v>
      </c>
      <c r="G796" s="28" t="n">
        <v>2026</v>
      </c>
      <c r="H796" s="28" t="s">
        <v>232</v>
      </c>
      <c r="I796" s="28" t="n">
        <v>16</v>
      </c>
      <c r="J796" s="28" t="s">
        <v>236</v>
      </c>
      <c r="K796" s="28" t="s">
        <v>237</v>
      </c>
      <c r="L796" s="28" t="n">
        <v>0.18</v>
      </c>
      <c r="M796" s="31" t="n">
        <v>28710.9</v>
      </c>
      <c r="N796" s="31" t="n">
        <v>28754.41</v>
      </c>
      <c r="O796" s="31" t="n">
        <v>28623.87</v>
      </c>
      <c r="P796" s="44" t="n">
        <f aca="false">ABS(M796-N796)</f>
        <v>43.5099999999984</v>
      </c>
      <c r="Q796" s="44" t="n">
        <f aca="false">IF(O796="","",ABS(O796-M796))</f>
        <v>87.0300000000025</v>
      </c>
      <c r="R796" s="30" t="n">
        <f aca="false">P796*L796*Summary!$C$6</f>
        <v>156.635999999994</v>
      </c>
      <c r="S796" s="31" t="n">
        <v>28755</v>
      </c>
      <c r="T796" s="28" t="s">
        <v>241</v>
      </c>
      <c r="U796" s="44" t="n">
        <f aca="false">IF(J796="BUY",S796-M796,M796-S796)</f>
        <v>-44.0999999999985</v>
      </c>
      <c r="V796" s="45" t="n">
        <v>0</v>
      </c>
      <c r="W796" s="45" t="n">
        <v>0</v>
      </c>
      <c r="X796" s="45" t="n">
        <v>-158.76</v>
      </c>
      <c r="Y796" s="32" t="n">
        <f aca="false">IFERROR(X796/R796,0)</f>
        <v>-1.01356010112622</v>
      </c>
      <c r="Z796" s="28" t="str">
        <f aca="false">IF(X796&gt;0,"Win",IF(X796&lt;0,"Loss","Flat"))</f>
        <v>Loss</v>
      </c>
      <c r="AA796" s="28" t="n">
        <f aca="false">ROUND((C796-B796)*1440,1)</f>
        <v>1.9</v>
      </c>
      <c r="AB796" s="28" t="str">
        <f aca="false">IF(AA796&lt;1,"a) &lt;1 min",IF(AA796&lt;10,"b) 1-10 min",IF(AA796&lt;60,"c) 10-60 min",IF(AA796&lt;240,"d) 1-4 h","e) 4 h+"))))</f>
        <v>b) 1-10 min</v>
      </c>
      <c r="AC796" s="28" t="str">
        <f aca="false">IF(P796&lt;10,"a) &lt;10",IF(P796&lt;20,"b) 10-20",IF(P796&lt;40,"c) 20-40",IF(P796&lt;80,"d) 40-80","e) 80+"))))</f>
        <v>d) 40-80</v>
      </c>
      <c r="AD796" s="30" t="n">
        <f aca="false">Summary!$C$5+SUM(X$2:X796)</f>
        <v>115673.72</v>
      </c>
      <c r="AE796" s="30" t="n">
        <f aca="false">MAX(AE795,AD796)</f>
        <v>116873.04</v>
      </c>
      <c r="AF796" s="30" t="n">
        <f aca="false">AE796-AD796</f>
        <v>1199.32000000001</v>
      </c>
      <c r="AG796" s="29" t="n">
        <f aca="false">IFERROR(AF796/AE796,0)</f>
        <v>0.0102617335871473</v>
      </c>
    </row>
    <row r="797" customFormat="false" ht="15" hidden="false" customHeight="false" outlineLevel="0" collapsed="false">
      <c r="A797" s="28" t="n">
        <v>796</v>
      </c>
      <c r="B797" s="43" t="n">
        <v>46162.6993055556</v>
      </c>
      <c r="C797" s="43" t="n">
        <v>46162.7022222222</v>
      </c>
      <c r="D797" s="42" t="n">
        <f aca="false">INT(C797)</f>
        <v>46162</v>
      </c>
      <c r="E797" s="42" t="n">
        <f aca="false">D797-WEEKDAY(D797,3)</f>
        <v>46160</v>
      </c>
      <c r="F797" s="28" t="s">
        <v>180</v>
      </c>
      <c r="G797" s="28" t="n">
        <v>2026</v>
      </c>
      <c r="H797" s="28" t="s">
        <v>235</v>
      </c>
      <c r="I797" s="28" t="n">
        <v>16</v>
      </c>
      <c r="J797" s="28" t="s">
        <v>233</v>
      </c>
      <c r="K797" s="28" t="s">
        <v>234</v>
      </c>
      <c r="L797" s="28" t="n">
        <v>0.17</v>
      </c>
      <c r="M797" s="31" t="n">
        <v>29100.16</v>
      </c>
      <c r="N797" s="31" t="n">
        <v>29005.34</v>
      </c>
      <c r="O797" s="31" t="n">
        <v>29289.23</v>
      </c>
      <c r="P797" s="44" t="n">
        <f aca="false">ABS(M797-N797)</f>
        <v>94.8199999999997</v>
      </c>
      <c r="Q797" s="44" t="n">
        <f aca="false">IF(O797="","",ABS(O797-M797))</f>
        <v>189.07</v>
      </c>
      <c r="R797" s="30" t="n">
        <f aca="false">P797*L797*Summary!$C$6</f>
        <v>322.387999999999</v>
      </c>
      <c r="S797" s="31" t="n">
        <v>29004.43</v>
      </c>
      <c r="T797" s="28" t="s">
        <v>241</v>
      </c>
      <c r="U797" s="44" t="n">
        <f aca="false">IF(J797="BUY",S797-M797,M797-S797)</f>
        <v>-95.7299999999996</v>
      </c>
      <c r="V797" s="45" t="n">
        <v>0</v>
      </c>
      <c r="W797" s="45" t="n">
        <v>0</v>
      </c>
      <c r="X797" s="45" t="n">
        <v>-325.48</v>
      </c>
      <c r="Y797" s="32" t="n">
        <f aca="false">IFERROR(X797/R797,0)</f>
        <v>-1.00959092770203</v>
      </c>
      <c r="Z797" s="28" t="str">
        <f aca="false">IF(X797&gt;0,"Win",IF(X797&lt;0,"Loss","Flat"))</f>
        <v>Loss</v>
      </c>
      <c r="AA797" s="28" t="n">
        <f aca="false">ROUND((C797-B797)*1440,1)</f>
        <v>4.2</v>
      </c>
      <c r="AB797" s="28" t="str">
        <f aca="false">IF(AA797&lt;1,"a) &lt;1 min",IF(AA797&lt;10,"b) 1-10 min",IF(AA797&lt;60,"c) 10-60 min",IF(AA797&lt;240,"d) 1-4 h","e) 4 h+"))))</f>
        <v>b) 1-10 min</v>
      </c>
      <c r="AC797" s="28" t="str">
        <f aca="false">IF(P797&lt;10,"a) &lt;10",IF(P797&lt;20,"b) 10-20",IF(P797&lt;40,"c) 20-40",IF(P797&lt;80,"d) 40-80","e) 80+"))))</f>
        <v>e) 80+</v>
      </c>
      <c r="AD797" s="30" t="n">
        <f aca="false">Summary!$C$5+SUM(X$2:X797)</f>
        <v>115348.24</v>
      </c>
      <c r="AE797" s="30" t="n">
        <f aca="false">MAX(AE796,AD797)</f>
        <v>116873.04</v>
      </c>
      <c r="AF797" s="30" t="n">
        <f aca="false">AE797-AD797</f>
        <v>1524.8</v>
      </c>
      <c r="AG797" s="29" t="n">
        <f aca="false">IFERROR(AF797/AE797,0)</f>
        <v>0.0130466359050813</v>
      </c>
    </row>
    <row r="798" customFormat="false" ht="15" hidden="false" customHeight="false" outlineLevel="0" collapsed="false">
      <c r="A798" s="28" t="n">
        <v>797</v>
      </c>
      <c r="B798" s="43" t="n">
        <v>46163.3104166667</v>
      </c>
      <c r="C798" s="43" t="n">
        <v>46163.3133564815</v>
      </c>
      <c r="D798" s="42" t="n">
        <f aca="false">INT(C798)</f>
        <v>46163</v>
      </c>
      <c r="E798" s="42" t="n">
        <f aca="false">D798-WEEKDAY(D798,3)</f>
        <v>46160</v>
      </c>
      <c r="F798" s="28" t="s">
        <v>180</v>
      </c>
      <c r="G798" s="28" t="n">
        <v>2026</v>
      </c>
      <c r="H798" s="28" t="s">
        <v>239</v>
      </c>
      <c r="I798" s="28" t="n">
        <v>7</v>
      </c>
      <c r="J798" s="28" t="s">
        <v>233</v>
      </c>
      <c r="K798" s="28" t="s">
        <v>234</v>
      </c>
      <c r="L798" s="28" t="n">
        <v>0.17</v>
      </c>
      <c r="M798" s="31" t="n">
        <v>29311.04</v>
      </c>
      <c r="N798" s="31" t="n">
        <v>29300.6</v>
      </c>
      <c r="O798" s="31" t="n">
        <v>29331.92</v>
      </c>
      <c r="P798" s="44" t="n">
        <f aca="false">ABS(M798-N798)</f>
        <v>10.4400000000023</v>
      </c>
      <c r="Q798" s="44" t="n">
        <f aca="false">IF(O798="","",ABS(O798-M798))</f>
        <v>20.8799999999974</v>
      </c>
      <c r="R798" s="30" t="n">
        <f aca="false">P798*L798*Summary!$C$6</f>
        <v>35.4960000000079</v>
      </c>
      <c r="S798" s="31" t="n">
        <v>29310.88</v>
      </c>
      <c r="T798" s="28" t="s">
        <v>238</v>
      </c>
      <c r="U798" s="44" t="n">
        <f aca="false">IF(J798="BUY",S798-M798,M798-S798)</f>
        <v>-0.159999999999854</v>
      </c>
      <c r="V798" s="45" t="n">
        <v>0</v>
      </c>
      <c r="W798" s="45" t="n">
        <v>0</v>
      </c>
      <c r="X798" s="45" t="n">
        <v>-0.54</v>
      </c>
      <c r="Y798" s="32" t="n">
        <f aca="false">IFERROR(X798/R798,0)</f>
        <v>-0.0152129817444185</v>
      </c>
      <c r="Z798" s="28" t="str">
        <f aca="false">IF(X798&gt;0,"Win",IF(X798&lt;0,"Loss","Flat"))</f>
        <v>Loss</v>
      </c>
      <c r="AA798" s="28" t="n">
        <f aca="false">ROUND((C798-B798)*1440,1)</f>
        <v>4.2</v>
      </c>
      <c r="AB798" s="28" t="str">
        <f aca="false">IF(AA798&lt;1,"a) &lt;1 min",IF(AA798&lt;10,"b) 1-10 min",IF(AA798&lt;60,"c) 10-60 min",IF(AA798&lt;240,"d) 1-4 h","e) 4 h+"))))</f>
        <v>b) 1-10 min</v>
      </c>
      <c r="AC798" s="28" t="str">
        <f aca="false">IF(P798&lt;10,"a) &lt;10",IF(P798&lt;20,"b) 10-20",IF(P798&lt;40,"c) 20-40",IF(P798&lt;80,"d) 40-80","e) 80+"))))</f>
        <v>b) 10-20</v>
      </c>
      <c r="AD798" s="30" t="n">
        <f aca="false">Summary!$C$5+SUM(X$2:X798)</f>
        <v>115347.7</v>
      </c>
      <c r="AE798" s="30" t="n">
        <f aca="false">MAX(AE797,AD798)</f>
        <v>116873.04</v>
      </c>
      <c r="AF798" s="30" t="n">
        <f aca="false">AE798-AD798</f>
        <v>1525.34000000001</v>
      </c>
      <c r="AG798" s="29" t="n">
        <f aca="false">IFERROR(AF798/AE798,0)</f>
        <v>0.0130512563034213</v>
      </c>
    </row>
    <row r="799" customFormat="false" ht="15" hidden="false" customHeight="false" outlineLevel="0" collapsed="false">
      <c r="A799" s="28" t="n">
        <v>798</v>
      </c>
      <c r="B799" s="43" t="n">
        <v>46164.0944444445</v>
      </c>
      <c r="C799" s="43" t="n">
        <v>46164.0980208333</v>
      </c>
      <c r="D799" s="42" t="n">
        <f aca="false">INT(C799)</f>
        <v>46164</v>
      </c>
      <c r="E799" s="42" t="n">
        <f aca="false">D799-WEEKDAY(D799,3)</f>
        <v>46160</v>
      </c>
      <c r="F799" s="28" t="s">
        <v>180</v>
      </c>
      <c r="G799" s="28" t="n">
        <v>2026</v>
      </c>
      <c r="H799" s="28" t="s">
        <v>242</v>
      </c>
      <c r="I799" s="28" t="n">
        <v>2</v>
      </c>
      <c r="J799" s="28" t="s">
        <v>233</v>
      </c>
      <c r="K799" s="28" t="s">
        <v>234</v>
      </c>
      <c r="L799" s="28" t="n">
        <v>0.17</v>
      </c>
      <c r="M799" s="31" t="n">
        <v>29463.53</v>
      </c>
      <c r="N799" s="31" t="n">
        <v>29454.25</v>
      </c>
      <c r="O799" s="31" t="n">
        <v>29482.09</v>
      </c>
      <c r="P799" s="44" t="n">
        <f aca="false">ABS(M799-N799)</f>
        <v>9.27999999999884</v>
      </c>
      <c r="Q799" s="44" t="n">
        <f aca="false">IF(O799="","",ABS(O799-M799))</f>
        <v>18.5600000000013</v>
      </c>
      <c r="R799" s="30" t="n">
        <f aca="false">P799*L799*Summary!$C$6</f>
        <v>31.551999999996</v>
      </c>
      <c r="S799" s="31" t="n">
        <v>29454.13</v>
      </c>
      <c r="T799" s="28" t="s">
        <v>241</v>
      </c>
      <c r="U799" s="44" t="n">
        <f aca="false">IF(J799="BUY",S799-M799,M799-S799)</f>
        <v>-9.39999999999782</v>
      </c>
      <c r="V799" s="45" t="n">
        <v>0</v>
      </c>
      <c r="W799" s="45" t="n">
        <v>0</v>
      </c>
      <c r="X799" s="45" t="n">
        <v>-31.96</v>
      </c>
      <c r="Y799" s="32" t="n">
        <f aca="false">IFERROR(X799/R799,0)</f>
        <v>-1.01293103448289</v>
      </c>
      <c r="Z799" s="28" t="str">
        <f aca="false">IF(X799&gt;0,"Win",IF(X799&lt;0,"Loss","Flat"))</f>
        <v>Loss</v>
      </c>
      <c r="AA799" s="28" t="n">
        <f aca="false">ROUND((C799-B799)*1440,1)</f>
        <v>5.2</v>
      </c>
      <c r="AB799" s="28" t="str">
        <f aca="false">IF(AA799&lt;1,"a) &lt;1 min",IF(AA799&lt;10,"b) 1-10 min",IF(AA799&lt;60,"c) 10-60 min",IF(AA799&lt;240,"d) 1-4 h","e) 4 h+"))))</f>
        <v>b) 1-10 min</v>
      </c>
      <c r="AC799" s="28" t="str">
        <f aca="false">IF(P799&lt;10,"a) &lt;10",IF(P799&lt;20,"b) 10-20",IF(P799&lt;40,"c) 20-40",IF(P799&lt;80,"d) 40-80","e) 80+"))))</f>
        <v>a) &lt;10</v>
      </c>
      <c r="AD799" s="30" t="n">
        <f aca="false">Summary!$C$5+SUM(X$2:X799)</f>
        <v>115315.74</v>
      </c>
      <c r="AE799" s="30" t="n">
        <f aca="false">MAX(AE798,AD799)</f>
        <v>116873.04</v>
      </c>
      <c r="AF799" s="30" t="n">
        <f aca="false">AE799-AD799</f>
        <v>1557.3</v>
      </c>
      <c r="AG799" s="29" t="n">
        <f aca="false">IFERROR(AF799/AE799,0)</f>
        <v>0.0133247154348</v>
      </c>
    </row>
    <row r="800" customFormat="false" ht="15" hidden="false" customHeight="false" outlineLevel="0" collapsed="false">
      <c r="A800" s="28" t="n">
        <v>799</v>
      </c>
      <c r="B800" s="43" t="n">
        <v>46167.0423611111</v>
      </c>
      <c r="C800" s="43" t="n">
        <v>46167.1073842593</v>
      </c>
      <c r="D800" s="42" t="n">
        <f aca="false">INT(C800)</f>
        <v>46167</v>
      </c>
      <c r="E800" s="42" t="n">
        <f aca="false">D800-WEEKDAY(D800,3)</f>
        <v>46167</v>
      </c>
      <c r="F800" s="28" t="s">
        <v>180</v>
      </c>
      <c r="G800" s="28" t="n">
        <v>2026</v>
      </c>
      <c r="H800" s="28" t="s">
        <v>240</v>
      </c>
      <c r="I800" s="28" t="n">
        <v>1</v>
      </c>
      <c r="J800" s="28" t="s">
        <v>233</v>
      </c>
      <c r="K800" s="28" t="s">
        <v>234</v>
      </c>
      <c r="L800" s="28" t="n">
        <v>0.17</v>
      </c>
      <c r="M800" s="31" t="n">
        <v>29676.72</v>
      </c>
      <c r="N800" s="31" t="n">
        <v>29625.19</v>
      </c>
      <c r="O800" s="31" t="n">
        <v>29778.04</v>
      </c>
      <c r="P800" s="44" t="n">
        <f aca="false">ABS(M800-N800)</f>
        <v>51.5300000000025</v>
      </c>
      <c r="Q800" s="44" t="n">
        <f aca="false">IF(O800="","",ABS(O800-M800))</f>
        <v>101.32</v>
      </c>
      <c r="R800" s="30" t="n">
        <f aca="false">P800*L800*Summary!$C$6</f>
        <v>175.202000000008</v>
      </c>
      <c r="S800" s="31" t="n">
        <v>29778.72</v>
      </c>
      <c r="T800" s="28" t="s">
        <v>214</v>
      </c>
      <c r="U800" s="44" t="n">
        <f aca="false">IF(J800="BUY",S800-M800,M800-S800)</f>
        <v>102</v>
      </c>
      <c r="V800" s="45" t="n">
        <v>0</v>
      </c>
      <c r="W800" s="45" t="n">
        <v>0</v>
      </c>
      <c r="X800" s="45" t="n">
        <v>346.8</v>
      </c>
      <c r="Y800" s="32" t="n">
        <f aca="false">IFERROR(X800/R800,0)</f>
        <v>1.97942945856773</v>
      </c>
      <c r="Z800" s="28" t="str">
        <f aca="false">IF(X800&gt;0,"Win",IF(X800&lt;0,"Loss","Flat"))</f>
        <v>Win</v>
      </c>
      <c r="AA800" s="28" t="n">
        <f aca="false">ROUND((C800-B800)*1440,1)</f>
        <v>93.6</v>
      </c>
      <c r="AB800" s="28" t="str">
        <f aca="false">IF(AA800&lt;1,"a) &lt;1 min",IF(AA800&lt;10,"b) 1-10 min",IF(AA800&lt;60,"c) 10-60 min",IF(AA800&lt;240,"d) 1-4 h","e) 4 h+"))))</f>
        <v>d) 1-4 h</v>
      </c>
      <c r="AC800" s="28" t="str">
        <f aca="false">IF(P800&lt;10,"a) &lt;10",IF(P800&lt;20,"b) 10-20",IF(P800&lt;40,"c) 20-40",IF(P800&lt;80,"d) 40-80","e) 80+"))))</f>
        <v>d) 40-80</v>
      </c>
      <c r="AD800" s="30" t="n">
        <f aca="false">Summary!$C$5+SUM(X$2:X800)</f>
        <v>115662.54</v>
      </c>
      <c r="AE800" s="30" t="n">
        <f aca="false">MAX(AE799,AD800)</f>
        <v>116873.04</v>
      </c>
      <c r="AF800" s="30" t="n">
        <f aca="false">AE800-AD800</f>
        <v>1210.5</v>
      </c>
      <c r="AG800" s="29" t="n">
        <f aca="false">IFERROR(AF800/AE800,0)</f>
        <v>0.0103573929453705</v>
      </c>
    </row>
    <row r="801" customFormat="false" ht="15" hidden="false" customHeight="false" outlineLevel="0" collapsed="false">
      <c r="A801" s="28" t="n">
        <v>800</v>
      </c>
      <c r="B801" s="43" t="n">
        <v>46168.7076388889</v>
      </c>
      <c r="C801" s="43" t="n">
        <v>46168.733287037</v>
      </c>
      <c r="D801" s="42" t="n">
        <f aca="false">INT(C801)</f>
        <v>46168</v>
      </c>
      <c r="E801" s="42" t="n">
        <f aca="false">D801-WEEKDAY(D801,3)</f>
        <v>46167</v>
      </c>
      <c r="F801" s="28" t="s">
        <v>180</v>
      </c>
      <c r="G801" s="28" t="n">
        <v>2026</v>
      </c>
      <c r="H801" s="28" t="s">
        <v>232</v>
      </c>
      <c r="I801" s="28" t="n">
        <v>16</v>
      </c>
      <c r="J801" s="28" t="s">
        <v>233</v>
      </c>
      <c r="K801" s="28" t="s">
        <v>234</v>
      </c>
      <c r="L801" s="28" t="n">
        <v>0.17</v>
      </c>
      <c r="M801" s="31" t="n">
        <v>29920.92</v>
      </c>
      <c r="N801" s="31" t="n">
        <v>29867.39</v>
      </c>
      <c r="O801" s="31" t="n">
        <v>30027.99</v>
      </c>
      <c r="P801" s="44" t="n">
        <f aca="false">ABS(M801-N801)</f>
        <v>53.5299999999988</v>
      </c>
      <c r="Q801" s="44" t="n">
        <f aca="false">IF(O801="","",ABS(O801-M801))</f>
        <v>107.070000000003</v>
      </c>
      <c r="R801" s="30" t="n">
        <f aca="false">P801*L801*Summary!$C$6</f>
        <v>182.001999999996</v>
      </c>
      <c r="S801" s="31" t="n">
        <v>30028.25</v>
      </c>
      <c r="T801" s="28" t="s">
        <v>214</v>
      </c>
      <c r="U801" s="44" t="n">
        <f aca="false">IF(J801="BUY",S801-M801,M801-S801)</f>
        <v>107.330000000002</v>
      </c>
      <c r="V801" s="45" t="n">
        <v>0</v>
      </c>
      <c r="W801" s="45" t="n">
        <v>0</v>
      </c>
      <c r="X801" s="45" t="n">
        <v>364.92</v>
      </c>
      <c r="Y801" s="32" t="n">
        <f aca="false">IFERROR(X801/R801,0)</f>
        <v>2.00503291172629</v>
      </c>
      <c r="Z801" s="28" t="str">
        <f aca="false">IF(X801&gt;0,"Win",IF(X801&lt;0,"Loss","Flat"))</f>
        <v>Win</v>
      </c>
      <c r="AA801" s="28" t="n">
        <f aca="false">ROUND((C801-B801)*1440,1)</f>
        <v>36.9</v>
      </c>
      <c r="AB801" s="28" t="str">
        <f aca="false">IF(AA801&lt;1,"a) &lt;1 min",IF(AA801&lt;10,"b) 1-10 min",IF(AA801&lt;60,"c) 10-60 min",IF(AA801&lt;240,"d) 1-4 h","e) 4 h+"))))</f>
        <v>c) 10-60 min</v>
      </c>
      <c r="AC801" s="28" t="str">
        <f aca="false">IF(P801&lt;10,"a) &lt;10",IF(P801&lt;20,"b) 10-20",IF(P801&lt;40,"c) 20-40",IF(P801&lt;80,"d) 40-80","e) 80+"))))</f>
        <v>d) 40-80</v>
      </c>
      <c r="AD801" s="30" t="n">
        <f aca="false">Summary!$C$5+SUM(X$2:X801)</f>
        <v>116027.46</v>
      </c>
      <c r="AE801" s="30" t="n">
        <f aca="false">MAX(AE800,AD801)</f>
        <v>116873.04</v>
      </c>
      <c r="AF801" s="30" t="n">
        <f aca="false">AE801-AD801</f>
        <v>845.580000000002</v>
      </c>
      <c r="AG801" s="29" t="n">
        <f aca="false">IFERROR(AF801/AE801,0)</f>
        <v>0.0072350304227562</v>
      </c>
    </row>
    <row r="802" customFormat="false" ht="15" hidden="false" customHeight="false" outlineLevel="0" collapsed="false">
      <c r="A802" s="28" t="n">
        <v>801</v>
      </c>
      <c r="B802" s="43" t="n">
        <v>46169.1479166667</v>
      </c>
      <c r="C802" s="43" t="n">
        <v>46169.1522453704</v>
      </c>
      <c r="D802" s="42" t="n">
        <f aca="false">INT(C802)</f>
        <v>46169</v>
      </c>
      <c r="E802" s="42" t="n">
        <f aca="false">D802-WEEKDAY(D802,3)</f>
        <v>46167</v>
      </c>
      <c r="F802" s="28" t="s">
        <v>180</v>
      </c>
      <c r="G802" s="28" t="n">
        <v>2026</v>
      </c>
      <c r="H802" s="28" t="s">
        <v>235</v>
      </c>
      <c r="I802" s="28" t="n">
        <v>3</v>
      </c>
      <c r="J802" s="28" t="s">
        <v>233</v>
      </c>
      <c r="K802" s="28" t="s">
        <v>234</v>
      </c>
      <c r="L802" s="28" t="n">
        <v>0.17</v>
      </c>
      <c r="M802" s="31" t="n">
        <v>30043.78</v>
      </c>
      <c r="N802" s="31" t="n">
        <v>30022.35</v>
      </c>
      <c r="O802" s="31" t="n">
        <v>30086.63</v>
      </c>
      <c r="P802" s="44" t="n">
        <f aca="false">ABS(M802-N802)</f>
        <v>21.4300000000003</v>
      </c>
      <c r="Q802" s="44" t="n">
        <f aca="false">IF(O802="","",ABS(O802-M802))</f>
        <v>42.8500000000022</v>
      </c>
      <c r="R802" s="30" t="n">
        <f aca="false">P802*L802*Summary!$C$6</f>
        <v>72.862000000001</v>
      </c>
      <c r="S802" s="31" t="n">
        <v>30022.31</v>
      </c>
      <c r="T802" s="28" t="s">
        <v>241</v>
      </c>
      <c r="U802" s="44" t="n">
        <f aca="false">IF(J802="BUY",S802-M802,M802-S802)</f>
        <v>-21.4699999999975</v>
      </c>
      <c r="V802" s="45" t="n">
        <v>0</v>
      </c>
      <c r="W802" s="45" t="n">
        <v>0</v>
      </c>
      <c r="X802" s="45" t="n">
        <v>-73</v>
      </c>
      <c r="Y802" s="32" t="n">
        <f aca="false">IFERROR(X802/R802,0)</f>
        <v>-1.00189399138095</v>
      </c>
      <c r="Z802" s="28" t="str">
        <f aca="false">IF(X802&gt;0,"Win",IF(X802&lt;0,"Loss","Flat"))</f>
        <v>Loss</v>
      </c>
      <c r="AA802" s="28" t="n">
        <f aca="false">ROUND((C802-B802)*1440,1)</f>
        <v>6.2</v>
      </c>
      <c r="AB802" s="28" t="str">
        <f aca="false">IF(AA802&lt;1,"a) &lt;1 min",IF(AA802&lt;10,"b) 1-10 min",IF(AA802&lt;60,"c) 10-60 min",IF(AA802&lt;240,"d) 1-4 h","e) 4 h+"))))</f>
        <v>b) 1-10 min</v>
      </c>
      <c r="AC802" s="28" t="str">
        <f aca="false">IF(P802&lt;10,"a) &lt;10",IF(P802&lt;20,"b) 10-20",IF(P802&lt;40,"c) 20-40",IF(P802&lt;80,"d) 40-80","e) 80+"))))</f>
        <v>c) 20-40</v>
      </c>
      <c r="AD802" s="30" t="n">
        <f aca="false">Summary!$C$5+SUM(X$2:X802)</f>
        <v>115954.46</v>
      </c>
      <c r="AE802" s="30" t="n">
        <f aca="false">MAX(AE801,AD802)</f>
        <v>116873.04</v>
      </c>
      <c r="AF802" s="30" t="n">
        <f aca="false">AE802-AD802</f>
        <v>918.580000000002</v>
      </c>
      <c r="AG802" s="29" t="n">
        <f aca="false">IFERROR(AF802/AE802,0)</f>
        <v>0.00785963982797061</v>
      </c>
    </row>
    <row r="803" customFormat="false" ht="15" hidden="false" customHeight="false" outlineLevel="0" collapsed="false">
      <c r="A803" s="28" t="n">
        <v>802</v>
      </c>
      <c r="B803" s="43" t="n">
        <v>46170.2736111111</v>
      </c>
      <c r="C803" s="43" t="n">
        <v>46170.2769097222</v>
      </c>
      <c r="D803" s="42" t="n">
        <f aca="false">INT(C803)</f>
        <v>46170</v>
      </c>
      <c r="E803" s="42" t="n">
        <f aca="false">D803-WEEKDAY(D803,3)</f>
        <v>46167</v>
      </c>
      <c r="F803" s="28" t="s">
        <v>180</v>
      </c>
      <c r="G803" s="28" t="n">
        <v>2026</v>
      </c>
      <c r="H803" s="28" t="s">
        <v>239</v>
      </c>
      <c r="I803" s="28" t="n">
        <v>6</v>
      </c>
      <c r="J803" s="28" t="s">
        <v>236</v>
      </c>
      <c r="K803" s="28" t="s">
        <v>237</v>
      </c>
      <c r="L803" s="28" t="n">
        <v>0.17</v>
      </c>
      <c r="M803" s="31" t="n">
        <v>29804.91</v>
      </c>
      <c r="N803" s="31" t="n">
        <v>29824.81</v>
      </c>
      <c r="O803" s="31" t="n">
        <v>29761.72</v>
      </c>
      <c r="P803" s="44" t="n">
        <f aca="false">ABS(M803-N803)</f>
        <v>19.9000000000015</v>
      </c>
      <c r="Q803" s="44" t="n">
        <f aca="false">IF(O803="","",ABS(O803-M803))</f>
        <v>43.1899999999987</v>
      </c>
      <c r="R803" s="30" t="n">
        <f aca="false">P803*L803*Summary!$C$6</f>
        <v>67.660000000005</v>
      </c>
      <c r="S803" s="31" t="n">
        <v>29761.31</v>
      </c>
      <c r="T803" s="28" t="s">
        <v>214</v>
      </c>
      <c r="U803" s="44" t="n">
        <f aca="false">IF(J803="BUY",S803-M803,M803-S803)</f>
        <v>43.5999999999985</v>
      </c>
      <c r="V803" s="45" t="n">
        <v>0</v>
      </c>
      <c r="W803" s="45" t="n">
        <v>0</v>
      </c>
      <c r="X803" s="45" t="n">
        <v>148.24</v>
      </c>
      <c r="Y803" s="32" t="n">
        <f aca="false">IFERROR(X803/R803,0)</f>
        <v>2.19095477386919</v>
      </c>
      <c r="Z803" s="28" t="str">
        <f aca="false">IF(X803&gt;0,"Win",IF(X803&lt;0,"Loss","Flat"))</f>
        <v>Win</v>
      </c>
      <c r="AA803" s="28" t="n">
        <f aca="false">ROUND((C803-B803)*1440,1)</f>
        <v>4.8</v>
      </c>
      <c r="AB803" s="28" t="str">
        <f aca="false">IF(AA803&lt;1,"a) &lt;1 min",IF(AA803&lt;10,"b) 1-10 min",IF(AA803&lt;60,"c) 10-60 min",IF(AA803&lt;240,"d) 1-4 h","e) 4 h+"))))</f>
        <v>b) 1-10 min</v>
      </c>
      <c r="AC803" s="28" t="str">
        <f aca="false">IF(P803&lt;10,"a) &lt;10",IF(P803&lt;20,"b) 10-20",IF(P803&lt;40,"c) 20-40",IF(P803&lt;80,"d) 40-80","e) 80+"))))</f>
        <v>b) 10-20</v>
      </c>
      <c r="AD803" s="30" t="n">
        <f aca="false">Summary!$C$5+SUM(X$2:X803)</f>
        <v>116102.7</v>
      </c>
      <c r="AE803" s="30" t="n">
        <f aca="false">MAX(AE802,AD803)</f>
        <v>116873.04</v>
      </c>
      <c r="AF803" s="30" t="n">
        <f aca="false">AE803-AD803</f>
        <v>770.340000000011</v>
      </c>
      <c r="AG803" s="29" t="n">
        <f aca="false">IFERROR(AF803/AE803,0)</f>
        <v>0.00659125492072433</v>
      </c>
    </row>
    <row r="804" customFormat="false" ht="15" hidden="false" customHeight="false" outlineLevel="0" collapsed="false">
      <c r="A804" s="28" t="n">
        <v>803</v>
      </c>
      <c r="B804" s="43" t="n">
        <v>46171.0423611111</v>
      </c>
      <c r="C804" s="43" t="n">
        <v>46171.0464236111</v>
      </c>
      <c r="D804" s="42" t="n">
        <f aca="false">INT(C804)</f>
        <v>46171</v>
      </c>
      <c r="E804" s="42" t="n">
        <f aca="false">D804-WEEKDAY(D804,3)</f>
        <v>46167</v>
      </c>
      <c r="F804" s="28" t="s">
        <v>180</v>
      </c>
      <c r="G804" s="28" t="n">
        <v>2026</v>
      </c>
      <c r="H804" s="28" t="s">
        <v>242</v>
      </c>
      <c r="I804" s="28" t="n">
        <v>1</v>
      </c>
      <c r="J804" s="28" t="s">
        <v>233</v>
      </c>
      <c r="K804" s="28" t="s">
        <v>234</v>
      </c>
      <c r="L804" s="28" t="n">
        <v>0.17</v>
      </c>
      <c r="M804" s="31" t="n">
        <v>30271.23</v>
      </c>
      <c r="N804" s="31" t="n">
        <v>30255.61</v>
      </c>
      <c r="O804" s="31" t="n">
        <v>30302.46</v>
      </c>
      <c r="P804" s="44" t="n">
        <f aca="false">ABS(M804-N804)</f>
        <v>15.619999999999</v>
      </c>
      <c r="Q804" s="44" t="n">
        <f aca="false">IF(O804="","",ABS(O804-M804))</f>
        <v>31.2299999999996</v>
      </c>
      <c r="R804" s="30" t="n">
        <f aca="false">P804*L804*Summary!$C$6</f>
        <v>53.1079999999965</v>
      </c>
      <c r="S804" s="31" t="n">
        <v>30270.92</v>
      </c>
      <c r="T804" s="28" t="s">
        <v>238</v>
      </c>
      <c r="U804" s="44" t="n">
        <f aca="false">IF(J804="BUY",S804-M804,M804-S804)</f>
        <v>-0.31000000000131</v>
      </c>
      <c r="V804" s="45" t="n">
        <v>0</v>
      </c>
      <c r="W804" s="45" t="n">
        <v>0</v>
      </c>
      <c r="X804" s="45" t="n">
        <v>-1.05</v>
      </c>
      <c r="Y804" s="32" t="n">
        <f aca="false">IFERROR(X804/R804,0)</f>
        <v>-0.0197710326127903</v>
      </c>
      <c r="Z804" s="28" t="str">
        <f aca="false">IF(X804&gt;0,"Win",IF(X804&lt;0,"Loss","Flat"))</f>
        <v>Loss</v>
      </c>
      <c r="AA804" s="28" t="n">
        <f aca="false">ROUND((C804-B804)*1440,1)</f>
        <v>5.9</v>
      </c>
      <c r="AB804" s="28" t="str">
        <f aca="false">IF(AA804&lt;1,"a) &lt;1 min",IF(AA804&lt;10,"b) 1-10 min",IF(AA804&lt;60,"c) 10-60 min",IF(AA804&lt;240,"d) 1-4 h","e) 4 h+"))))</f>
        <v>b) 1-10 min</v>
      </c>
      <c r="AC804" s="28" t="str">
        <f aca="false">IF(P804&lt;10,"a) &lt;10",IF(P804&lt;20,"b) 10-20",IF(P804&lt;40,"c) 20-40",IF(P804&lt;80,"d) 40-80","e) 80+"))))</f>
        <v>b) 10-20</v>
      </c>
      <c r="AD804" s="30" t="n">
        <f aca="false">Summary!$C$5+SUM(X$2:X804)</f>
        <v>116101.65</v>
      </c>
      <c r="AE804" s="30" t="n">
        <f aca="false">MAX(AE803,AD804)</f>
        <v>116873.04</v>
      </c>
      <c r="AF804" s="30" t="n">
        <f aca="false">AE804-AD804</f>
        <v>771.390000000014</v>
      </c>
      <c r="AG804" s="29" t="n">
        <f aca="false">IFERROR(AF804/AE804,0)</f>
        <v>0.00660023902860757</v>
      </c>
    </row>
    <row r="805" customFormat="false" ht="15" hidden="false" customHeight="false" outlineLevel="0" collapsed="false">
      <c r="A805" s="28" t="n">
        <v>804</v>
      </c>
      <c r="B805" s="43" t="n">
        <v>46174.1444444444</v>
      </c>
      <c r="C805" s="43" t="n">
        <v>46174.148275463</v>
      </c>
      <c r="D805" s="42" t="n">
        <f aca="false">INT(C805)</f>
        <v>46174</v>
      </c>
      <c r="E805" s="42" t="n">
        <f aca="false">D805-WEEKDAY(D805,3)</f>
        <v>46174</v>
      </c>
      <c r="F805" s="28" t="s">
        <v>181</v>
      </c>
      <c r="G805" s="28" t="n">
        <v>2026</v>
      </c>
      <c r="H805" s="28" t="s">
        <v>240</v>
      </c>
      <c r="I805" s="28" t="n">
        <v>3</v>
      </c>
      <c r="J805" s="28" t="s">
        <v>233</v>
      </c>
      <c r="K805" s="28" t="s">
        <v>234</v>
      </c>
      <c r="L805" s="28" t="n">
        <v>0.17</v>
      </c>
      <c r="M805" s="31" t="n">
        <v>30469.78</v>
      </c>
      <c r="N805" s="31" t="n">
        <v>30452.3</v>
      </c>
      <c r="O805" s="31" t="n">
        <v>30504.58</v>
      </c>
      <c r="P805" s="44" t="n">
        <f aca="false">ABS(M805-N805)</f>
        <v>17.4799999999996</v>
      </c>
      <c r="Q805" s="44" t="n">
        <f aca="false">IF(O805="","",ABS(O805-M805))</f>
        <v>34.8000000000029</v>
      </c>
      <c r="R805" s="30" t="n">
        <f aca="false">P805*L805*Summary!$C$6</f>
        <v>59.4319999999985</v>
      </c>
      <c r="S805" s="31" t="n">
        <v>30469.65</v>
      </c>
      <c r="T805" s="28" t="s">
        <v>238</v>
      </c>
      <c r="U805" s="44" t="n">
        <f aca="false">IF(J805="BUY",S805-M805,M805-S805)</f>
        <v>-0.129999999997381</v>
      </c>
      <c r="V805" s="45" t="n">
        <v>0</v>
      </c>
      <c r="W805" s="45" t="n">
        <v>0</v>
      </c>
      <c r="X805" s="45" t="n">
        <v>-0.44</v>
      </c>
      <c r="Y805" s="32" t="n">
        <f aca="false">IFERROR(X805/R805,0)</f>
        <v>-0.00740341903351748</v>
      </c>
      <c r="Z805" s="28" t="str">
        <f aca="false">IF(X805&gt;0,"Win",IF(X805&lt;0,"Loss","Flat"))</f>
        <v>Loss</v>
      </c>
      <c r="AA805" s="28" t="n">
        <f aca="false">ROUND((C805-B805)*1440,1)</f>
        <v>5.5</v>
      </c>
      <c r="AB805" s="28" t="str">
        <f aca="false">IF(AA805&lt;1,"a) &lt;1 min",IF(AA805&lt;10,"b) 1-10 min",IF(AA805&lt;60,"c) 10-60 min",IF(AA805&lt;240,"d) 1-4 h","e) 4 h+"))))</f>
        <v>b) 1-10 min</v>
      </c>
      <c r="AC805" s="28" t="str">
        <f aca="false">IF(P805&lt;10,"a) &lt;10",IF(P805&lt;20,"b) 10-20",IF(P805&lt;40,"c) 20-40",IF(P805&lt;80,"d) 40-80","e) 80+"))))</f>
        <v>b) 10-20</v>
      </c>
      <c r="AD805" s="30" t="n">
        <f aca="false">Summary!$C$5+SUM(X$2:X805)</f>
        <v>116101.21</v>
      </c>
      <c r="AE805" s="30" t="n">
        <f aca="false">MAX(AE804,AD805)</f>
        <v>116873.04</v>
      </c>
      <c r="AF805" s="30" t="n">
        <f aca="false">AE805-AD805</f>
        <v>771.830000000002</v>
      </c>
      <c r="AG805" s="29" t="n">
        <f aca="false">IFERROR(AF805/AE805,0)</f>
        <v>0.0066040037976252</v>
      </c>
    </row>
    <row r="806" customFormat="false" ht="15" hidden="false" customHeight="false" outlineLevel="0" collapsed="false">
      <c r="A806" s="28" t="n">
        <v>805</v>
      </c>
      <c r="B806" s="43" t="n">
        <v>46175.7875</v>
      </c>
      <c r="C806" s="43" t="n">
        <v>46175.8041666667</v>
      </c>
      <c r="D806" s="42" t="n">
        <f aca="false">INT(C806)</f>
        <v>46175</v>
      </c>
      <c r="E806" s="42" t="n">
        <f aca="false">D806-WEEKDAY(D806,3)</f>
        <v>46174</v>
      </c>
      <c r="F806" s="28" t="s">
        <v>181</v>
      </c>
      <c r="G806" s="28" t="n">
        <v>2026</v>
      </c>
      <c r="H806" s="28" t="s">
        <v>232</v>
      </c>
      <c r="I806" s="28" t="n">
        <v>18</v>
      </c>
      <c r="J806" s="28" t="s">
        <v>233</v>
      </c>
      <c r="K806" s="28" t="s">
        <v>234</v>
      </c>
      <c r="L806" s="28" t="n">
        <v>0.17</v>
      </c>
      <c r="M806" s="31" t="n">
        <v>30636.12</v>
      </c>
      <c r="N806" s="31" t="n">
        <v>30615.04</v>
      </c>
      <c r="O806" s="31" t="n">
        <v>30678.29</v>
      </c>
      <c r="P806" s="44" t="n">
        <f aca="false">ABS(M806-N806)</f>
        <v>21.0799999999981</v>
      </c>
      <c r="Q806" s="44" t="n">
        <f aca="false">IF(O806="","",ABS(O806-M806))</f>
        <v>42.1700000000019</v>
      </c>
      <c r="R806" s="30" t="n">
        <f aca="false">P806*L806*Summary!$C$6</f>
        <v>71.6719999999936</v>
      </c>
      <c r="S806" s="31" t="n">
        <v>30636</v>
      </c>
      <c r="T806" s="28" t="s">
        <v>238</v>
      </c>
      <c r="U806" s="44" t="n">
        <f aca="false">IF(J806="BUY",S806-M806,M806-S806)</f>
        <v>-0.119999999998981</v>
      </c>
      <c r="V806" s="45" t="n">
        <v>0</v>
      </c>
      <c r="W806" s="45" t="n">
        <v>0</v>
      </c>
      <c r="X806" s="45" t="n">
        <v>-0.41</v>
      </c>
      <c r="Y806" s="32" t="n">
        <f aca="false">IFERROR(X806/R806,0)</f>
        <v>-0.00572050452059433</v>
      </c>
      <c r="Z806" s="28" t="str">
        <f aca="false">IF(X806&gt;0,"Win",IF(X806&lt;0,"Loss","Flat"))</f>
        <v>Loss</v>
      </c>
      <c r="AA806" s="28" t="n">
        <f aca="false">ROUND((C806-B806)*1440,1)</f>
        <v>24</v>
      </c>
      <c r="AB806" s="28" t="str">
        <f aca="false">IF(AA806&lt;1,"a) &lt;1 min",IF(AA806&lt;10,"b) 1-10 min",IF(AA806&lt;60,"c) 10-60 min",IF(AA806&lt;240,"d) 1-4 h","e) 4 h+"))))</f>
        <v>c) 10-60 min</v>
      </c>
      <c r="AC806" s="28" t="str">
        <f aca="false">IF(P806&lt;10,"a) &lt;10",IF(P806&lt;20,"b) 10-20",IF(P806&lt;40,"c) 20-40",IF(P806&lt;80,"d) 40-80","e) 80+"))))</f>
        <v>c) 20-40</v>
      </c>
      <c r="AD806" s="30" t="n">
        <f aca="false">Summary!$C$5+SUM(X$2:X806)</f>
        <v>116100.8</v>
      </c>
      <c r="AE806" s="30" t="n">
        <f aca="false">MAX(AE805,AD806)</f>
        <v>116873.04</v>
      </c>
      <c r="AF806" s="30" t="n">
        <f aca="false">AE806-AD806</f>
        <v>772.240000000005</v>
      </c>
      <c r="AG806" s="29" t="n">
        <f aca="false">IFERROR(AF806/AE806,0)</f>
        <v>0.0066075118778463</v>
      </c>
    </row>
    <row r="807" customFormat="false" ht="15" hidden="false" customHeight="false" outlineLevel="0" collapsed="false">
      <c r="A807" s="28" t="n">
        <v>806</v>
      </c>
      <c r="B807" s="43" t="n">
        <v>46176.5194444444</v>
      </c>
      <c r="C807" s="43" t="n">
        <v>46176.5334722222</v>
      </c>
      <c r="D807" s="42" t="n">
        <f aca="false">INT(C807)</f>
        <v>46176</v>
      </c>
      <c r="E807" s="42" t="n">
        <f aca="false">D807-WEEKDAY(D807,3)</f>
        <v>46174</v>
      </c>
      <c r="F807" s="28" t="s">
        <v>181</v>
      </c>
      <c r="G807" s="28" t="n">
        <v>2026</v>
      </c>
      <c r="H807" s="28" t="s">
        <v>235</v>
      </c>
      <c r="I807" s="28" t="n">
        <v>12</v>
      </c>
      <c r="J807" s="28" t="s">
        <v>233</v>
      </c>
      <c r="K807" s="28" t="s">
        <v>234</v>
      </c>
      <c r="L807" s="28" t="n">
        <v>0.17</v>
      </c>
      <c r="M807" s="31" t="n">
        <v>30716.12</v>
      </c>
      <c r="N807" s="31" t="n">
        <v>30697.12</v>
      </c>
      <c r="O807" s="31" t="n">
        <v>30754.8</v>
      </c>
      <c r="P807" s="44" t="n">
        <f aca="false">ABS(M807-N807)</f>
        <v>19</v>
      </c>
      <c r="Q807" s="44" t="n">
        <f aca="false">IF(O807="","",ABS(O807-M807))</f>
        <v>38.6800000000003</v>
      </c>
      <c r="R807" s="30" t="n">
        <f aca="false">P807*L807*Summary!$C$6</f>
        <v>64.6</v>
      </c>
      <c r="S807" s="31" t="n">
        <v>30696.79</v>
      </c>
      <c r="T807" s="28" t="s">
        <v>241</v>
      </c>
      <c r="U807" s="44" t="n">
        <f aca="false">IF(J807="BUY",S807-M807,M807-S807)</f>
        <v>-19.3299999999981</v>
      </c>
      <c r="V807" s="45" t="n">
        <v>0</v>
      </c>
      <c r="W807" s="45" t="n">
        <v>0</v>
      </c>
      <c r="X807" s="45" t="n">
        <v>-65.72</v>
      </c>
      <c r="Y807" s="32" t="n">
        <f aca="false">IFERROR(X807/R807,0)</f>
        <v>-1.01733746130031</v>
      </c>
      <c r="Z807" s="28" t="str">
        <f aca="false">IF(X807&gt;0,"Win",IF(X807&lt;0,"Loss","Flat"))</f>
        <v>Loss</v>
      </c>
      <c r="AA807" s="28" t="n">
        <f aca="false">ROUND((C807-B807)*1440,1)</f>
        <v>20.2</v>
      </c>
      <c r="AB807" s="28" t="str">
        <f aca="false">IF(AA807&lt;1,"a) &lt;1 min",IF(AA807&lt;10,"b) 1-10 min",IF(AA807&lt;60,"c) 10-60 min",IF(AA807&lt;240,"d) 1-4 h","e) 4 h+"))))</f>
        <v>c) 10-60 min</v>
      </c>
      <c r="AC807" s="28" t="str">
        <f aca="false">IF(P807&lt;10,"a) &lt;10",IF(P807&lt;20,"b) 10-20",IF(P807&lt;40,"c) 20-40",IF(P807&lt;80,"d) 40-80","e) 80+"))))</f>
        <v>b) 10-20</v>
      </c>
      <c r="AD807" s="30" t="n">
        <f aca="false">Summary!$C$5+SUM(X$2:X807)</f>
        <v>116035.08</v>
      </c>
      <c r="AE807" s="30" t="n">
        <f aca="false">MAX(AE806,AD807)</f>
        <v>116873.04</v>
      </c>
      <c r="AF807" s="30" t="n">
        <f aca="false">AE807-AD807</f>
        <v>837.960000000006</v>
      </c>
      <c r="AG807" s="29" t="n">
        <f aca="false">IFERROR(AF807/AE807,0)</f>
        <v>0.00716983146840372</v>
      </c>
    </row>
    <row r="808" customFormat="false" ht="15" hidden="false" customHeight="false" outlineLevel="0" collapsed="false">
      <c r="A808" s="28" t="n">
        <v>807</v>
      </c>
      <c r="B808" s="43" t="n">
        <v>46177.0423611111</v>
      </c>
      <c r="C808" s="43" t="n">
        <v>46177.1469212963</v>
      </c>
      <c r="D808" s="42" t="n">
        <f aca="false">INT(C808)</f>
        <v>46177</v>
      </c>
      <c r="E808" s="42" t="n">
        <f aca="false">D808-WEEKDAY(D808,3)</f>
        <v>46174</v>
      </c>
      <c r="F808" s="28" t="s">
        <v>181</v>
      </c>
      <c r="G808" s="28" t="n">
        <v>2026</v>
      </c>
      <c r="H808" s="28" t="s">
        <v>239</v>
      </c>
      <c r="I808" s="28" t="n">
        <v>1</v>
      </c>
      <c r="J808" s="28" t="s">
        <v>236</v>
      </c>
      <c r="K808" s="28" t="s">
        <v>237</v>
      </c>
      <c r="L808" s="28" t="n">
        <v>0.17</v>
      </c>
      <c r="M808" s="31" t="n">
        <v>30416.4</v>
      </c>
      <c r="N808" s="31" t="n">
        <v>30471.42</v>
      </c>
      <c r="O808" s="31" t="n">
        <v>30307.44</v>
      </c>
      <c r="P808" s="44" t="n">
        <f aca="false">ABS(M808-N808)</f>
        <v>55.0199999999968</v>
      </c>
      <c r="Q808" s="44" t="n">
        <f aca="false">IF(O808="","",ABS(O808-M808))</f>
        <v>108.960000000003</v>
      </c>
      <c r="R808" s="30" t="n">
        <f aca="false">P808*L808*Summary!$C$6</f>
        <v>187.067999999989</v>
      </c>
      <c r="S808" s="31" t="n">
        <v>30416.65</v>
      </c>
      <c r="T808" s="28" t="s">
        <v>238</v>
      </c>
      <c r="U808" s="44" t="n">
        <f aca="false">IF(J808="BUY",S808-M808,M808-S808)</f>
        <v>-0.25</v>
      </c>
      <c r="V808" s="45" t="n">
        <v>0</v>
      </c>
      <c r="W808" s="45" t="n">
        <v>0</v>
      </c>
      <c r="X808" s="45" t="n">
        <v>-0.85</v>
      </c>
      <c r="Y808" s="32" t="n">
        <f aca="false">IFERROR(X808/R808,0)</f>
        <v>-0.00454380225372618</v>
      </c>
      <c r="Z808" s="28" t="str">
        <f aca="false">IF(X808&gt;0,"Win",IF(X808&lt;0,"Loss","Flat"))</f>
        <v>Loss</v>
      </c>
      <c r="AA808" s="28" t="n">
        <f aca="false">ROUND((C808-B808)*1440,1)</f>
        <v>150.6</v>
      </c>
      <c r="AB808" s="28" t="str">
        <f aca="false">IF(AA808&lt;1,"a) &lt;1 min",IF(AA808&lt;10,"b) 1-10 min",IF(AA808&lt;60,"c) 10-60 min",IF(AA808&lt;240,"d) 1-4 h","e) 4 h+"))))</f>
        <v>d) 1-4 h</v>
      </c>
      <c r="AC808" s="28" t="str">
        <f aca="false">IF(P808&lt;10,"a) &lt;10",IF(P808&lt;20,"b) 10-20",IF(P808&lt;40,"c) 20-40",IF(P808&lt;80,"d) 40-80","e) 80+"))))</f>
        <v>d) 40-80</v>
      </c>
      <c r="AD808" s="30" t="n">
        <f aca="false">Summary!$C$5+SUM(X$2:X808)</f>
        <v>116034.23</v>
      </c>
      <c r="AE808" s="30" t="n">
        <f aca="false">MAX(AE807,AD808)</f>
        <v>116873.04</v>
      </c>
      <c r="AF808" s="30" t="n">
        <f aca="false">AE808-AD808</f>
        <v>838.810000000012</v>
      </c>
      <c r="AG808" s="29" t="n">
        <f aca="false">IFERROR(AF808/AE808,0)</f>
        <v>0.00717710431764256</v>
      </c>
    </row>
    <row r="809" customFormat="false" ht="15" hidden="false" customHeight="false" outlineLevel="0" collapsed="false">
      <c r="A809" s="28" t="n">
        <v>808</v>
      </c>
      <c r="B809" s="43" t="n">
        <v>46178.1611111111</v>
      </c>
      <c r="C809" s="43" t="n">
        <v>46178.1837731482</v>
      </c>
      <c r="D809" s="42" t="n">
        <f aca="false">INT(C809)</f>
        <v>46178</v>
      </c>
      <c r="E809" s="42" t="n">
        <f aca="false">D809-WEEKDAY(D809,3)</f>
        <v>46174</v>
      </c>
      <c r="F809" s="28" t="s">
        <v>181</v>
      </c>
      <c r="G809" s="28" t="n">
        <v>2026</v>
      </c>
      <c r="H809" s="28" t="s">
        <v>242</v>
      </c>
      <c r="I809" s="28" t="n">
        <v>3</v>
      </c>
      <c r="J809" s="28" t="s">
        <v>236</v>
      </c>
      <c r="K809" s="28" t="s">
        <v>237</v>
      </c>
      <c r="L809" s="28" t="n">
        <v>0.17</v>
      </c>
      <c r="M809" s="31" t="n">
        <v>30089.41</v>
      </c>
      <c r="N809" s="31" t="n">
        <v>30119.8</v>
      </c>
      <c r="O809" s="31" t="n">
        <v>30030.1</v>
      </c>
      <c r="P809" s="44" t="n">
        <f aca="false">ABS(M809-N809)</f>
        <v>30.3899999999994</v>
      </c>
      <c r="Q809" s="44" t="n">
        <f aca="false">IF(O809="","",ABS(O809-M809))</f>
        <v>59.3100000000013</v>
      </c>
      <c r="R809" s="30" t="n">
        <f aca="false">P809*L809*Summary!$C$6</f>
        <v>103.325999999998</v>
      </c>
      <c r="S809" s="31" t="n">
        <v>30029.52</v>
      </c>
      <c r="T809" s="28" t="s">
        <v>214</v>
      </c>
      <c r="U809" s="44" t="n">
        <f aca="false">IF(J809="BUY",S809-M809,M809-S809)</f>
        <v>59.8899999999994</v>
      </c>
      <c r="V809" s="45" t="n">
        <v>0</v>
      </c>
      <c r="W809" s="45" t="n">
        <v>0</v>
      </c>
      <c r="X809" s="45" t="n">
        <v>203.63</v>
      </c>
      <c r="Y809" s="32" t="n">
        <f aca="false">IFERROR(X809/R809,0)</f>
        <v>1.97075276309935</v>
      </c>
      <c r="Z809" s="28" t="str">
        <f aca="false">IF(X809&gt;0,"Win",IF(X809&lt;0,"Loss","Flat"))</f>
        <v>Win</v>
      </c>
      <c r="AA809" s="28" t="n">
        <f aca="false">ROUND((C809-B809)*1440,1)</f>
        <v>32.6</v>
      </c>
      <c r="AB809" s="28" t="str">
        <f aca="false">IF(AA809&lt;1,"a) &lt;1 min",IF(AA809&lt;10,"b) 1-10 min",IF(AA809&lt;60,"c) 10-60 min",IF(AA809&lt;240,"d) 1-4 h","e) 4 h+"))))</f>
        <v>c) 10-60 min</v>
      </c>
      <c r="AC809" s="28" t="str">
        <f aca="false">IF(P809&lt;10,"a) &lt;10",IF(P809&lt;20,"b) 10-20",IF(P809&lt;40,"c) 20-40",IF(P809&lt;80,"d) 40-80","e) 80+"))))</f>
        <v>c) 20-40</v>
      </c>
      <c r="AD809" s="30" t="n">
        <f aca="false">Summary!$C$5+SUM(X$2:X809)</f>
        <v>116237.86</v>
      </c>
      <c r="AE809" s="30" t="n">
        <f aca="false">MAX(AE808,AD809)</f>
        <v>116873.04</v>
      </c>
      <c r="AF809" s="30" t="n">
        <f aca="false">AE809-AD809</f>
        <v>635.180000000008</v>
      </c>
      <c r="AG809" s="29" t="n">
        <f aca="false">IFERROR(AF809/AE809,0)</f>
        <v>0.0054347863288232</v>
      </c>
    </row>
    <row r="810" customFormat="false" ht="15" hidden="false" customHeight="false" outlineLevel="0" collapsed="false">
      <c r="A810" s="28" t="n">
        <v>809</v>
      </c>
      <c r="B810" s="43" t="n">
        <v>46182.6708333333</v>
      </c>
      <c r="C810" s="43" t="n">
        <v>46182.6764699074</v>
      </c>
      <c r="D810" s="42" t="n">
        <f aca="false">INT(C810)</f>
        <v>46182</v>
      </c>
      <c r="E810" s="42" t="n">
        <f aca="false">D810-WEEKDAY(D810,3)</f>
        <v>46181</v>
      </c>
      <c r="F810" s="28" t="s">
        <v>181</v>
      </c>
      <c r="G810" s="28" t="n">
        <v>2026</v>
      </c>
      <c r="H810" s="28" t="s">
        <v>232</v>
      </c>
      <c r="I810" s="28" t="n">
        <v>16</v>
      </c>
      <c r="J810" s="28" t="s">
        <v>233</v>
      </c>
      <c r="K810" s="28" t="s">
        <v>234</v>
      </c>
      <c r="L810" s="28" t="n">
        <v>0.17</v>
      </c>
      <c r="M810" s="31" t="n">
        <v>29703.01</v>
      </c>
      <c r="N810" s="31" t="n">
        <v>29674.06</v>
      </c>
      <c r="O810" s="31" t="n">
        <v>29760.9</v>
      </c>
      <c r="P810" s="44" t="n">
        <f aca="false">ABS(M810-N810)</f>
        <v>28.9499999999971</v>
      </c>
      <c r="Q810" s="44" t="n">
        <f aca="false">IF(O810="","",ABS(O810-M810))</f>
        <v>57.8900000000031</v>
      </c>
      <c r="R810" s="30" t="n">
        <f aca="false">P810*L810*Summary!$C$6</f>
        <v>98.4299999999901</v>
      </c>
      <c r="S810" s="31" t="n">
        <v>29674.01</v>
      </c>
      <c r="T810" s="28" t="s">
        <v>241</v>
      </c>
      <c r="U810" s="44" t="n">
        <f aca="false">IF(J810="BUY",S810-M810,M810-S810)</f>
        <v>-29</v>
      </c>
      <c r="V810" s="45" t="n">
        <v>0</v>
      </c>
      <c r="W810" s="45" t="n">
        <v>0</v>
      </c>
      <c r="X810" s="45" t="n">
        <v>-98.6</v>
      </c>
      <c r="Y810" s="32" t="n">
        <f aca="false">IFERROR(X810/R810,0)</f>
        <v>-1.00172711571685</v>
      </c>
      <c r="Z810" s="28" t="str">
        <f aca="false">IF(X810&gt;0,"Win",IF(X810&lt;0,"Loss","Flat"))</f>
        <v>Loss</v>
      </c>
      <c r="AA810" s="28" t="n">
        <f aca="false">ROUND((C810-B810)*1440,1)</f>
        <v>8.1</v>
      </c>
      <c r="AB810" s="28" t="str">
        <f aca="false">IF(AA810&lt;1,"a) &lt;1 min",IF(AA810&lt;10,"b) 1-10 min",IF(AA810&lt;60,"c) 10-60 min",IF(AA810&lt;240,"d) 1-4 h","e) 4 h+"))))</f>
        <v>b) 1-10 min</v>
      </c>
      <c r="AC810" s="28" t="str">
        <f aca="false">IF(P810&lt;10,"a) &lt;10",IF(P810&lt;20,"b) 10-20",IF(P810&lt;40,"c) 20-40",IF(P810&lt;80,"d) 40-80","e) 80+"))))</f>
        <v>c) 20-40</v>
      </c>
      <c r="AD810" s="30" t="n">
        <f aca="false">Summary!$C$5+SUM(X$2:X810)</f>
        <v>116139.26</v>
      </c>
      <c r="AE810" s="30" t="n">
        <f aca="false">MAX(AE809,AD810)</f>
        <v>116873.04</v>
      </c>
      <c r="AF810" s="30" t="n">
        <f aca="false">AE810-AD810</f>
        <v>733.780000000013</v>
      </c>
      <c r="AG810" s="29" t="n">
        <f aca="false">IFERROR(AF810/AE810,0)</f>
        <v>0.00627843684052381</v>
      </c>
    </row>
    <row r="811" customFormat="false" ht="15" hidden="false" customHeight="false" outlineLevel="0" collapsed="false">
      <c r="A811" s="28" t="n">
        <v>810</v>
      </c>
      <c r="B811" s="43" t="n">
        <v>46182.7770833333</v>
      </c>
      <c r="C811" s="43" t="n">
        <v>46182.7781944444</v>
      </c>
      <c r="D811" s="42" t="n">
        <f aca="false">INT(C811)</f>
        <v>46182</v>
      </c>
      <c r="E811" s="42" t="n">
        <f aca="false">D811-WEEKDAY(D811,3)</f>
        <v>46181</v>
      </c>
      <c r="F811" s="28" t="s">
        <v>181</v>
      </c>
      <c r="G811" s="28" t="n">
        <v>2026</v>
      </c>
      <c r="H811" s="28" t="s">
        <v>232</v>
      </c>
      <c r="I811" s="28" t="n">
        <v>18</v>
      </c>
      <c r="J811" s="28" t="s">
        <v>236</v>
      </c>
      <c r="K811" s="28" t="s">
        <v>237</v>
      </c>
      <c r="L811" s="28" t="n">
        <v>0.18</v>
      </c>
      <c r="M811" s="31" t="n">
        <v>28777.73</v>
      </c>
      <c r="N811" s="31" t="n">
        <v>28873.26</v>
      </c>
      <c r="O811" s="31" t="n">
        <v>28590.63</v>
      </c>
      <c r="P811" s="44" t="n">
        <f aca="false">ABS(M811-N811)</f>
        <v>95.5299999999988</v>
      </c>
      <c r="Q811" s="44" t="n">
        <f aca="false">IF(O811="","",ABS(O811-M811))</f>
        <v>187.099999999999</v>
      </c>
      <c r="R811" s="30" t="n">
        <f aca="false">P811*L811*Summary!$C$6</f>
        <v>343.907999999996</v>
      </c>
      <c r="S811" s="31" t="n">
        <v>28878.81</v>
      </c>
      <c r="T811" s="28" t="s">
        <v>241</v>
      </c>
      <c r="U811" s="44" t="n">
        <f aca="false">IF(J811="BUY",S811-M811,M811-S811)</f>
        <v>-101.080000000002</v>
      </c>
      <c r="V811" s="45" t="n">
        <v>0</v>
      </c>
      <c r="W811" s="45" t="n">
        <v>0</v>
      </c>
      <c r="X811" s="45" t="n">
        <v>-363.89</v>
      </c>
      <c r="Y811" s="32" t="n">
        <f aca="false">IFERROR(X811/R811,0)</f>
        <v>-1.05810274840947</v>
      </c>
      <c r="Z811" s="28" t="str">
        <f aca="false">IF(X811&gt;0,"Win",IF(X811&lt;0,"Loss","Flat"))</f>
        <v>Loss</v>
      </c>
      <c r="AA811" s="28" t="n">
        <f aca="false">ROUND((C811-B811)*1440,1)</f>
        <v>1.6</v>
      </c>
      <c r="AB811" s="28" t="str">
        <f aca="false">IF(AA811&lt;1,"a) &lt;1 min",IF(AA811&lt;10,"b) 1-10 min",IF(AA811&lt;60,"c) 10-60 min",IF(AA811&lt;240,"d) 1-4 h","e) 4 h+"))))</f>
        <v>b) 1-10 min</v>
      </c>
      <c r="AC811" s="28" t="str">
        <f aca="false">IF(P811&lt;10,"a) &lt;10",IF(P811&lt;20,"b) 10-20",IF(P811&lt;40,"c) 20-40",IF(P811&lt;80,"d) 40-80","e) 80+"))))</f>
        <v>e) 80+</v>
      </c>
      <c r="AD811" s="30" t="n">
        <f aca="false">Summary!$C$5+SUM(X$2:X811)</f>
        <v>115775.37</v>
      </c>
      <c r="AE811" s="30" t="n">
        <f aca="false">MAX(AE810,AD811)</f>
        <v>116873.04</v>
      </c>
      <c r="AF811" s="30" t="n">
        <f aca="false">AE811-AD811</f>
        <v>1097.67000000001</v>
      </c>
      <c r="AG811" s="29" t="n">
        <f aca="false">IFERROR(AF811/AE811,0)</f>
        <v>0.00939198638111931</v>
      </c>
    </row>
    <row r="812" customFormat="false" ht="15" hidden="false" customHeight="false" outlineLevel="0" collapsed="false">
      <c r="A812" s="28" t="n">
        <v>811</v>
      </c>
      <c r="B812" s="43" t="n">
        <v>46184.0430555556</v>
      </c>
      <c r="C812" s="43" t="n">
        <v>46184.1085763889</v>
      </c>
      <c r="D812" s="42" t="n">
        <f aca="false">INT(C812)</f>
        <v>46184</v>
      </c>
      <c r="E812" s="42" t="n">
        <f aca="false">D812-WEEKDAY(D812,3)</f>
        <v>46181</v>
      </c>
      <c r="F812" s="28" t="s">
        <v>181</v>
      </c>
      <c r="G812" s="28" t="n">
        <v>2026</v>
      </c>
      <c r="H812" s="28" t="s">
        <v>239</v>
      </c>
      <c r="I812" s="28" t="n">
        <v>1</v>
      </c>
      <c r="J812" s="28" t="s">
        <v>236</v>
      </c>
      <c r="K812" s="28" t="s">
        <v>237</v>
      </c>
      <c r="L812" s="28" t="n">
        <v>0.18</v>
      </c>
      <c r="M812" s="31" t="n">
        <v>28374.9</v>
      </c>
      <c r="N812" s="31" t="n">
        <v>28443.13</v>
      </c>
      <c r="O812" s="31" t="n">
        <v>28232.94</v>
      </c>
      <c r="P812" s="44" t="n">
        <f aca="false">ABS(M812-N812)</f>
        <v>68.2299999999996</v>
      </c>
      <c r="Q812" s="44" t="n">
        <f aca="false">IF(O812="","",ABS(O812-M812))</f>
        <v>141.960000000003</v>
      </c>
      <c r="R812" s="30" t="n">
        <f aca="false">P812*L812*Summary!$C$6</f>
        <v>245.627999999998</v>
      </c>
      <c r="S812" s="31" t="n">
        <v>28374.91</v>
      </c>
      <c r="T812" s="28" t="s">
        <v>238</v>
      </c>
      <c r="U812" s="44" t="n">
        <f aca="false">IF(J812="BUY",S812-M812,M812-S812)</f>
        <v>-0.00999999999839929</v>
      </c>
      <c r="V812" s="45" t="n">
        <v>0</v>
      </c>
      <c r="W812" s="45" t="n">
        <v>0</v>
      </c>
      <c r="X812" s="45" t="n">
        <v>-0.04</v>
      </c>
      <c r="Y812" s="32" t="n">
        <f aca="false">IFERROR(X812/R812,0)</f>
        <v>-0.000162847883791751</v>
      </c>
      <c r="Z812" s="28" t="str">
        <f aca="false">IF(X812&gt;0,"Win",IF(X812&lt;0,"Loss","Flat"))</f>
        <v>Loss</v>
      </c>
      <c r="AA812" s="28" t="n">
        <f aca="false">ROUND((C812-B812)*1440,1)</f>
        <v>94.4</v>
      </c>
      <c r="AB812" s="28" t="str">
        <f aca="false">IF(AA812&lt;1,"a) &lt;1 min",IF(AA812&lt;10,"b) 1-10 min",IF(AA812&lt;60,"c) 10-60 min",IF(AA812&lt;240,"d) 1-4 h","e) 4 h+"))))</f>
        <v>d) 1-4 h</v>
      </c>
      <c r="AC812" s="28" t="str">
        <f aca="false">IF(P812&lt;10,"a) &lt;10",IF(P812&lt;20,"b) 10-20",IF(P812&lt;40,"c) 20-40",IF(P812&lt;80,"d) 40-80","e) 80+"))))</f>
        <v>d) 40-80</v>
      </c>
      <c r="AD812" s="30" t="n">
        <f aca="false">Summary!$C$5+SUM(X$2:X812)</f>
        <v>115775.33</v>
      </c>
      <c r="AE812" s="30" t="n">
        <f aca="false">MAX(AE811,AD812)</f>
        <v>116873.04</v>
      </c>
      <c r="AF812" s="30" t="n">
        <f aca="false">AE812-AD812</f>
        <v>1097.71000000001</v>
      </c>
      <c r="AG812" s="29" t="n">
        <f aca="false">IFERROR(AF812/AE812,0)</f>
        <v>0.00939232863284814</v>
      </c>
    </row>
    <row r="813" customFormat="false" ht="15" hidden="false" customHeight="false" outlineLevel="0" collapsed="false">
      <c r="A813" s="28" t="n">
        <v>812</v>
      </c>
      <c r="B813" s="43" t="n">
        <v>46184.8638888889</v>
      </c>
      <c r="C813" s="43" t="n">
        <v>46184.8682060185</v>
      </c>
      <c r="D813" s="42" t="n">
        <f aca="false">INT(C813)</f>
        <v>46184</v>
      </c>
      <c r="E813" s="42" t="n">
        <f aca="false">D813-WEEKDAY(D813,3)</f>
        <v>46181</v>
      </c>
      <c r="F813" s="28" t="s">
        <v>181</v>
      </c>
      <c r="G813" s="28" t="n">
        <v>2026</v>
      </c>
      <c r="H813" s="28" t="s">
        <v>239</v>
      </c>
      <c r="I813" s="28" t="n">
        <v>20</v>
      </c>
      <c r="J813" s="28" t="s">
        <v>233</v>
      </c>
      <c r="K813" s="28" t="s">
        <v>234</v>
      </c>
      <c r="L813" s="28" t="n">
        <v>0.17</v>
      </c>
      <c r="M813" s="31" t="n">
        <v>29230.37</v>
      </c>
      <c r="N813" s="31" t="n">
        <v>29128.41</v>
      </c>
      <c r="O813" s="31" t="n">
        <v>29434.29</v>
      </c>
      <c r="P813" s="44" t="n">
        <f aca="false">ABS(M813-N813)</f>
        <v>101.959999999999</v>
      </c>
      <c r="Q813" s="44" t="n">
        <f aca="false">IF(O813="","",ABS(O813-M813))</f>
        <v>203.920000000002</v>
      </c>
      <c r="R813" s="30" t="n">
        <f aca="false">P813*L813*Summary!$C$6</f>
        <v>346.663999999997</v>
      </c>
      <c r="S813" s="31" t="n">
        <v>29127.24</v>
      </c>
      <c r="T813" s="28" t="s">
        <v>241</v>
      </c>
      <c r="U813" s="44" t="n">
        <f aca="false">IF(J813="BUY",S813-M813,M813-S813)</f>
        <v>-103.129999999997</v>
      </c>
      <c r="V813" s="45" t="n">
        <v>0</v>
      </c>
      <c r="W813" s="45" t="n">
        <v>0</v>
      </c>
      <c r="X813" s="45" t="n">
        <v>-350.64</v>
      </c>
      <c r="Y813" s="32" t="n">
        <f aca="false">IFERROR(X813/R813,0)</f>
        <v>-1.01146931899477</v>
      </c>
      <c r="Z813" s="28" t="str">
        <f aca="false">IF(X813&gt;0,"Win",IF(X813&lt;0,"Loss","Flat"))</f>
        <v>Loss</v>
      </c>
      <c r="AA813" s="28" t="n">
        <f aca="false">ROUND((C813-B813)*1440,1)</f>
        <v>6.2</v>
      </c>
      <c r="AB813" s="28" t="str">
        <f aca="false">IF(AA813&lt;1,"a) &lt;1 min",IF(AA813&lt;10,"b) 1-10 min",IF(AA813&lt;60,"c) 10-60 min",IF(AA813&lt;240,"d) 1-4 h","e) 4 h+"))))</f>
        <v>b) 1-10 min</v>
      </c>
      <c r="AC813" s="28" t="str">
        <f aca="false">IF(P813&lt;10,"a) &lt;10",IF(P813&lt;20,"b) 10-20",IF(P813&lt;40,"c) 20-40",IF(P813&lt;80,"d) 40-80","e) 80+"))))</f>
        <v>e) 80+</v>
      </c>
      <c r="AD813" s="30" t="n">
        <f aca="false">Summary!$C$5+SUM(X$2:X813)</f>
        <v>115424.69</v>
      </c>
      <c r="AE813" s="30" t="n">
        <f aca="false">MAX(AE812,AD813)</f>
        <v>116873.04</v>
      </c>
      <c r="AF813" s="30" t="n">
        <f aca="false">AE813-AD813</f>
        <v>1448.35000000001</v>
      </c>
      <c r="AG813" s="29" t="n">
        <f aca="false">IFERROR(AF813/AE813,0)</f>
        <v>0.0123925072882506</v>
      </c>
    </row>
    <row r="814" customFormat="false" ht="15" hidden="false" customHeight="false" outlineLevel="0" collapsed="false">
      <c r="A814" s="28" t="n">
        <v>813</v>
      </c>
      <c r="B814" s="43" t="n">
        <v>46185.0534722222</v>
      </c>
      <c r="C814" s="43" t="n">
        <v>46185.0865509259</v>
      </c>
      <c r="D814" s="42" t="n">
        <f aca="false">INT(C814)</f>
        <v>46185</v>
      </c>
      <c r="E814" s="42" t="n">
        <f aca="false">D814-WEEKDAY(D814,3)</f>
        <v>46181</v>
      </c>
      <c r="F814" s="28" t="s">
        <v>181</v>
      </c>
      <c r="G814" s="28" t="n">
        <v>2026</v>
      </c>
      <c r="H814" s="28" t="s">
        <v>242</v>
      </c>
      <c r="I814" s="28" t="n">
        <v>1</v>
      </c>
      <c r="J814" s="28" t="s">
        <v>233</v>
      </c>
      <c r="K814" s="28" t="s">
        <v>234</v>
      </c>
      <c r="L814" s="28" t="n">
        <v>0.17</v>
      </c>
      <c r="M814" s="31" t="n">
        <v>29508.42</v>
      </c>
      <c r="N814" s="31" t="n">
        <v>29479.01</v>
      </c>
      <c r="O814" s="31" t="n">
        <v>29567.24</v>
      </c>
      <c r="P814" s="44" t="n">
        <f aca="false">ABS(M814-N814)</f>
        <v>29.4099999999999</v>
      </c>
      <c r="Q814" s="44" t="n">
        <f aca="false">IF(O814="","",ABS(O814-M814))</f>
        <v>58.8200000000034</v>
      </c>
      <c r="R814" s="30" t="n">
        <f aca="false">P814*L814*Summary!$C$6</f>
        <v>99.9939999999995</v>
      </c>
      <c r="S814" s="31" t="n">
        <v>29507.78</v>
      </c>
      <c r="T814" s="28" t="s">
        <v>238</v>
      </c>
      <c r="U814" s="44" t="n">
        <f aca="false">IF(J814="BUY",S814-M814,M814-S814)</f>
        <v>-0.639999999999418</v>
      </c>
      <c r="V814" s="45" t="n">
        <v>0</v>
      </c>
      <c r="W814" s="45" t="n">
        <v>0</v>
      </c>
      <c r="X814" s="45" t="n">
        <v>-2.18</v>
      </c>
      <c r="Y814" s="32" t="n">
        <f aca="false">IFERROR(X814/R814,0)</f>
        <v>-0.0218013080784848</v>
      </c>
      <c r="Z814" s="28" t="str">
        <f aca="false">IF(X814&gt;0,"Win",IF(X814&lt;0,"Loss","Flat"))</f>
        <v>Loss</v>
      </c>
      <c r="AA814" s="28" t="n">
        <f aca="false">ROUND((C814-B814)*1440,1)</f>
        <v>47.6</v>
      </c>
      <c r="AB814" s="28" t="str">
        <f aca="false">IF(AA814&lt;1,"a) &lt;1 min",IF(AA814&lt;10,"b) 1-10 min",IF(AA814&lt;60,"c) 10-60 min",IF(AA814&lt;240,"d) 1-4 h","e) 4 h+"))))</f>
        <v>c) 10-60 min</v>
      </c>
      <c r="AC814" s="28" t="str">
        <f aca="false">IF(P814&lt;10,"a) &lt;10",IF(P814&lt;20,"b) 10-20",IF(P814&lt;40,"c) 20-40",IF(P814&lt;80,"d) 40-80","e) 80+"))))</f>
        <v>c) 20-40</v>
      </c>
      <c r="AD814" s="30" t="n">
        <f aca="false">Summary!$C$5+SUM(X$2:X814)</f>
        <v>115422.51</v>
      </c>
      <c r="AE814" s="30" t="n">
        <f aca="false">MAX(AE813,AD814)</f>
        <v>116873.04</v>
      </c>
      <c r="AF814" s="30" t="n">
        <f aca="false">AE814-AD814</f>
        <v>1450.53000000001</v>
      </c>
      <c r="AG814" s="29" t="n">
        <f aca="false">IFERROR(AF814/AE814,0)</f>
        <v>0.0124111600074749</v>
      </c>
    </row>
    <row r="815" customFormat="false" ht="15" hidden="false" customHeight="false" outlineLevel="0" collapsed="false">
      <c r="A815" s="28" t="n">
        <v>814</v>
      </c>
      <c r="B815" s="43" t="n">
        <v>46188.0423611111</v>
      </c>
      <c r="C815" s="43" t="n">
        <v>46188.2618518519</v>
      </c>
      <c r="D815" s="42" t="n">
        <f aca="false">INT(C815)</f>
        <v>46188</v>
      </c>
      <c r="E815" s="42" t="n">
        <f aca="false">D815-WEEKDAY(D815,3)</f>
        <v>46188</v>
      </c>
      <c r="F815" s="28" t="s">
        <v>181</v>
      </c>
      <c r="G815" s="28" t="n">
        <v>2026</v>
      </c>
      <c r="H815" s="28" t="s">
        <v>240</v>
      </c>
      <c r="I815" s="28" t="n">
        <v>1</v>
      </c>
      <c r="J815" s="28" t="s">
        <v>233</v>
      </c>
      <c r="K815" s="28" t="s">
        <v>234</v>
      </c>
      <c r="L815" s="28" t="n">
        <v>0.17</v>
      </c>
      <c r="M815" s="31" t="n">
        <v>30006.39</v>
      </c>
      <c r="N815" s="31" t="n">
        <v>29917.89</v>
      </c>
      <c r="O815" s="31" t="n">
        <v>30183.39</v>
      </c>
      <c r="P815" s="44" t="n">
        <f aca="false">ABS(M815-N815)</f>
        <v>88.5</v>
      </c>
      <c r="Q815" s="44" t="n">
        <f aca="false">IF(O815="","",ABS(O815-M815))</f>
        <v>177</v>
      </c>
      <c r="R815" s="30" t="n">
        <f aca="false">P815*L815*Summary!$C$6</f>
        <v>300.9</v>
      </c>
      <c r="S815" s="31" t="n">
        <v>30183.9</v>
      </c>
      <c r="T815" s="28" t="s">
        <v>214</v>
      </c>
      <c r="U815" s="44" t="n">
        <f aca="false">IF(J815="BUY",S815-M815,M815-S815)</f>
        <v>177.510000000002</v>
      </c>
      <c r="V815" s="45" t="n">
        <v>0</v>
      </c>
      <c r="W815" s="45" t="n">
        <v>0</v>
      </c>
      <c r="X815" s="45" t="n">
        <v>603.53</v>
      </c>
      <c r="Y815" s="32" t="n">
        <f aca="false">IFERROR(X815/R815,0)</f>
        <v>2.00574941841143</v>
      </c>
      <c r="Z815" s="28" t="str">
        <f aca="false">IF(X815&gt;0,"Win",IF(X815&lt;0,"Loss","Flat"))</f>
        <v>Win</v>
      </c>
      <c r="AA815" s="28" t="n">
        <f aca="false">ROUND((C815-B815)*1440,1)</f>
        <v>316.1</v>
      </c>
      <c r="AB815" s="28" t="str">
        <f aca="false">IF(AA815&lt;1,"a) &lt;1 min",IF(AA815&lt;10,"b) 1-10 min",IF(AA815&lt;60,"c) 10-60 min",IF(AA815&lt;240,"d) 1-4 h","e) 4 h+"))))</f>
        <v>e) 4 h+</v>
      </c>
      <c r="AC815" s="28" t="str">
        <f aca="false">IF(P815&lt;10,"a) &lt;10",IF(P815&lt;20,"b) 10-20",IF(P815&lt;40,"c) 20-40",IF(P815&lt;80,"d) 40-80","e) 80+"))))</f>
        <v>e) 80+</v>
      </c>
      <c r="AD815" s="30" t="n">
        <f aca="false">Summary!$C$5+SUM(X$2:X815)</f>
        <v>116026.04</v>
      </c>
      <c r="AE815" s="30" t="n">
        <f aca="false">MAX(AE814,AD815)</f>
        <v>116873.04</v>
      </c>
      <c r="AF815" s="30" t="n">
        <f aca="false">AE815-AD815</f>
        <v>847</v>
      </c>
      <c r="AG815" s="29" t="n">
        <f aca="false">IFERROR(AF815/AE815,0)</f>
        <v>0.00724718035913158</v>
      </c>
    </row>
    <row r="816" customFormat="false" ht="15" hidden="false" customHeight="false" outlineLevel="0" collapsed="false">
      <c r="A816" s="28" t="n">
        <v>815</v>
      </c>
      <c r="B816" s="43" t="n">
        <v>46189.4951388889</v>
      </c>
      <c r="C816" s="43" t="n">
        <v>46189.5129976852</v>
      </c>
      <c r="D816" s="42" t="n">
        <f aca="false">INT(C816)</f>
        <v>46189</v>
      </c>
      <c r="E816" s="42" t="n">
        <f aca="false">D816-WEEKDAY(D816,3)</f>
        <v>46188</v>
      </c>
      <c r="F816" s="28" t="s">
        <v>181</v>
      </c>
      <c r="G816" s="28" t="n">
        <v>2026</v>
      </c>
      <c r="H816" s="28" t="s">
        <v>232</v>
      </c>
      <c r="I816" s="28" t="n">
        <v>11</v>
      </c>
      <c r="J816" s="28" t="s">
        <v>233</v>
      </c>
      <c r="K816" s="28" t="s">
        <v>234</v>
      </c>
      <c r="L816" s="28" t="n">
        <v>0.17</v>
      </c>
      <c r="M816" s="31" t="n">
        <v>30597.89</v>
      </c>
      <c r="N816" s="31" t="n">
        <v>30572.55</v>
      </c>
      <c r="O816" s="31" t="n">
        <v>30643.31</v>
      </c>
      <c r="P816" s="44" t="n">
        <f aca="false">ABS(M816-N816)</f>
        <v>25.3400000000001</v>
      </c>
      <c r="Q816" s="44" t="n">
        <f aca="false">IF(O816="","",ABS(O816-M816))</f>
        <v>45.4200000000019</v>
      </c>
      <c r="R816" s="30" t="n">
        <f aca="false">P816*L816*Summary!$C$6</f>
        <v>86.1560000000005</v>
      </c>
      <c r="S816" s="31" t="n">
        <v>30571.97</v>
      </c>
      <c r="T816" s="28" t="s">
        <v>241</v>
      </c>
      <c r="U816" s="44" t="n">
        <f aca="false">IF(J816="BUY",S816-M816,M816-S816)</f>
        <v>-25.9199999999983</v>
      </c>
      <c r="V816" s="45" t="n">
        <v>0</v>
      </c>
      <c r="W816" s="45" t="n">
        <v>0</v>
      </c>
      <c r="X816" s="45" t="n">
        <v>-88.13</v>
      </c>
      <c r="Y816" s="32" t="n">
        <f aca="false">IFERROR(X816/R816,0)</f>
        <v>-1.02291192720181</v>
      </c>
      <c r="Z816" s="28" t="str">
        <f aca="false">IF(X816&gt;0,"Win",IF(X816&lt;0,"Loss","Flat"))</f>
        <v>Loss</v>
      </c>
      <c r="AA816" s="28" t="n">
        <f aca="false">ROUND((C816-B816)*1440,1)</f>
        <v>25.7</v>
      </c>
      <c r="AB816" s="28" t="str">
        <f aca="false">IF(AA816&lt;1,"a) &lt;1 min",IF(AA816&lt;10,"b) 1-10 min",IF(AA816&lt;60,"c) 10-60 min",IF(AA816&lt;240,"d) 1-4 h","e) 4 h+"))))</f>
        <v>c) 10-60 min</v>
      </c>
      <c r="AC816" s="28" t="str">
        <f aca="false">IF(P816&lt;10,"a) &lt;10",IF(P816&lt;20,"b) 10-20",IF(P816&lt;40,"c) 20-40",IF(P816&lt;80,"d) 40-80","e) 80+"))))</f>
        <v>c) 20-40</v>
      </c>
      <c r="AD816" s="30" t="n">
        <f aca="false">Summary!$C$5+SUM(X$2:X816)</f>
        <v>115937.91</v>
      </c>
      <c r="AE816" s="30" t="n">
        <f aca="false">MAX(AE815,AD816)</f>
        <v>116873.04</v>
      </c>
      <c r="AF816" s="30" t="n">
        <f aca="false">AE816-AD816</f>
        <v>935.130000000005</v>
      </c>
      <c r="AG816" s="29" t="n">
        <f aca="false">IFERROR(AF816/AE816,0)</f>
        <v>0.00800124648079664</v>
      </c>
    </row>
    <row r="817" customFormat="false" ht="15" hidden="false" customHeight="false" outlineLevel="0" collapsed="false">
      <c r="A817" s="28" t="n">
        <v>816</v>
      </c>
      <c r="B817" s="43" t="n">
        <v>46190.8770833333</v>
      </c>
      <c r="C817" s="43" t="n">
        <v>46190.8789699074</v>
      </c>
      <c r="D817" s="42" t="n">
        <f aca="false">INT(C817)</f>
        <v>46190</v>
      </c>
      <c r="E817" s="42" t="n">
        <f aca="false">D817-WEEKDAY(D817,3)</f>
        <v>46188</v>
      </c>
      <c r="F817" s="28" t="s">
        <v>181</v>
      </c>
      <c r="G817" s="28" t="n">
        <v>2026</v>
      </c>
      <c r="H817" s="28" t="s">
        <v>235</v>
      </c>
      <c r="I817" s="28" t="n">
        <v>21</v>
      </c>
      <c r="J817" s="28" t="s">
        <v>236</v>
      </c>
      <c r="K817" s="28" t="s">
        <v>237</v>
      </c>
      <c r="L817" s="28" t="n">
        <v>0.17</v>
      </c>
      <c r="M817" s="31" t="n">
        <v>29927.59</v>
      </c>
      <c r="N817" s="31" t="n">
        <v>30010.81</v>
      </c>
      <c r="O817" s="31" t="n">
        <v>29762.56</v>
      </c>
      <c r="P817" s="44" t="n">
        <f aca="false">ABS(M817-N817)</f>
        <v>83.2200000000012</v>
      </c>
      <c r="Q817" s="44" t="n">
        <f aca="false">IF(O817="","",ABS(O817-M817))</f>
        <v>165.029999999999</v>
      </c>
      <c r="R817" s="30" t="n">
        <f aca="false">P817*L817*Summary!$C$6</f>
        <v>282.948000000004</v>
      </c>
      <c r="S817" s="31" t="n">
        <v>29761.06</v>
      </c>
      <c r="T817" s="28" t="s">
        <v>214</v>
      </c>
      <c r="U817" s="44" t="n">
        <f aca="false">IF(J817="BUY",S817-M817,M817-S817)</f>
        <v>166.529999999999</v>
      </c>
      <c r="V817" s="45" t="n">
        <v>0</v>
      </c>
      <c r="W817" s="45" t="n">
        <v>0</v>
      </c>
      <c r="X817" s="45" t="n">
        <v>566.2</v>
      </c>
      <c r="Y817" s="32" t="n">
        <f aca="false">IFERROR(X817/R817,0)</f>
        <v>2.00107440236366</v>
      </c>
      <c r="Z817" s="28" t="str">
        <f aca="false">IF(X817&gt;0,"Win",IF(X817&lt;0,"Loss","Flat"))</f>
        <v>Win</v>
      </c>
      <c r="AA817" s="28" t="n">
        <f aca="false">ROUND((C817-B817)*1440,1)</f>
        <v>2.7</v>
      </c>
      <c r="AB817" s="28" t="str">
        <f aca="false">IF(AA817&lt;1,"a) &lt;1 min",IF(AA817&lt;10,"b) 1-10 min",IF(AA817&lt;60,"c) 10-60 min",IF(AA817&lt;240,"d) 1-4 h","e) 4 h+"))))</f>
        <v>b) 1-10 min</v>
      </c>
      <c r="AC817" s="28" t="str">
        <f aca="false">IF(P817&lt;10,"a) &lt;10",IF(P817&lt;20,"b) 10-20",IF(P817&lt;40,"c) 20-40",IF(P817&lt;80,"d) 40-80","e) 80+"))))</f>
        <v>e) 80+</v>
      </c>
      <c r="AD817" s="30" t="n">
        <f aca="false">Summary!$C$5+SUM(X$2:X817)</f>
        <v>116504.11</v>
      </c>
      <c r="AE817" s="30" t="n">
        <f aca="false">MAX(AE816,AD817)</f>
        <v>116873.04</v>
      </c>
      <c r="AF817" s="30" t="n">
        <f aca="false">AE817-AD817</f>
        <v>368.930000000008</v>
      </c>
      <c r="AG817" s="29" t="n">
        <f aca="false">IFERROR(AF817/AE817,0)</f>
        <v>0.00315667325843503</v>
      </c>
    </row>
    <row r="818" customFormat="false" ht="15" hidden="false" customHeight="false" outlineLevel="0" collapsed="false">
      <c r="A818" s="28" t="n">
        <v>817</v>
      </c>
      <c r="B818" s="43" t="n">
        <v>46191.6847222222</v>
      </c>
      <c r="C818" s="43" t="n">
        <v>46191.6884722222</v>
      </c>
      <c r="D818" s="42" t="n">
        <f aca="false">INT(C818)</f>
        <v>46191</v>
      </c>
      <c r="E818" s="42" t="n">
        <f aca="false">D818-WEEKDAY(D818,3)</f>
        <v>46188</v>
      </c>
      <c r="F818" s="28" t="s">
        <v>181</v>
      </c>
      <c r="G818" s="28" t="n">
        <v>2026</v>
      </c>
      <c r="H818" s="28" t="s">
        <v>239</v>
      </c>
      <c r="I818" s="28" t="n">
        <v>16</v>
      </c>
      <c r="J818" s="28" t="s">
        <v>233</v>
      </c>
      <c r="K818" s="28" t="s">
        <v>234</v>
      </c>
      <c r="L818" s="28" t="n">
        <v>0.17</v>
      </c>
      <c r="M818" s="31" t="n">
        <v>30267</v>
      </c>
      <c r="N818" s="31" t="n">
        <v>30231.63</v>
      </c>
      <c r="O818" s="31" t="n">
        <v>30329.04</v>
      </c>
      <c r="P818" s="44" t="n">
        <f aca="false">ABS(M818-N818)</f>
        <v>35.369999999999</v>
      </c>
      <c r="Q818" s="44" t="n">
        <f aca="false">IF(O818="","",ABS(O818-M818))</f>
        <v>62.0400000000009</v>
      </c>
      <c r="R818" s="30" t="n">
        <f aca="false">P818*L818*Summary!$C$6</f>
        <v>120.257999999997</v>
      </c>
      <c r="S818" s="31" t="n">
        <v>30231.41</v>
      </c>
      <c r="T818" s="28" t="s">
        <v>241</v>
      </c>
      <c r="U818" s="44" t="n">
        <f aca="false">IF(J818="BUY",S818-M818,M818-S818)</f>
        <v>-35.5900000000001</v>
      </c>
      <c r="V818" s="45" t="n">
        <v>0</v>
      </c>
      <c r="W818" s="45" t="n">
        <v>0</v>
      </c>
      <c r="X818" s="45" t="n">
        <v>-121.01</v>
      </c>
      <c r="Y818" s="32" t="n">
        <f aca="false">IFERROR(X818/R818,0)</f>
        <v>-1.00625322223888</v>
      </c>
      <c r="Z818" s="28" t="str">
        <f aca="false">IF(X818&gt;0,"Win",IF(X818&lt;0,"Loss","Flat"))</f>
        <v>Loss</v>
      </c>
      <c r="AA818" s="28" t="n">
        <f aca="false">ROUND((C818-B818)*1440,1)</f>
        <v>5.4</v>
      </c>
      <c r="AB818" s="28" t="str">
        <f aca="false">IF(AA818&lt;1,"a) &lt;1 min",IF(AA818&lt;10,"b) 1-10 min",IF(AA818&lt;60,"c) 10-60 min",IF(AA818&lt;240,"d) 1-4 h","e) 4 h+"))))</f>
        <v>b) 1-10 min</v>
      </c>
      <c r="AC818" s="28" t="str">
        <f aca="false">IF(P818&lt;10,"a) &lt;10",IF(P818&lt;20,"b) 10-20",IF(P818&lt;40,"c) 20-40",IF(P818&lt;80,"d) 40-80","e) 80+"))))</f>
        <v>c) 20-40</v>
      </c>
      <c r="AD818" s="30" t="n">
        <f aca="false">Summary!$C$5+SUM(X$2:X818)</f>
        <v>116383.1</v>
      </c>
      <c r="AE818" s="30" t="n">
        <f aca="false">MAX(AE817,AD818)</f>
        <v>116873.04</v>
      </c>
      <c r="AF818" s="30" t="n">
        <f aca="false">AE818-AD818</f>
        <v>489.940000000002</v>
      </c>
      <c r="AG818" s="29" t="n">
        <f aca="false">IFERROR(AF818/AE818,0)</f>
        <v>0.00419207030124315</v>
      </c>
    </row>
    <row r="819" customFormat="false" ht="15" hidden="false" customHeight="false" outlineLevel="0" collapsed="false">
      <c r="A819" s="28" t="n">
        <v>818</v>
      </c>
      <c r="B819" s="43" t="n">
        <v>46195.1090277778</v>
      </c>
      <c r="C819" s="43" t="n">
        <v>46195.1253472222</v>
      </c>
      <c r="D819" s="42" t="n">
        <f aca="false">INT(C819)</f>
        <v>46195</v>
      </c>
      <c r="E819" s="42" t="n">
        <f aca="false">D819-WEEKDAY(D819,3)</f>
        <v>46195</v>
      </c>
      <c r="F819" s="28" t="s">
        <v>181</v>
      </c>
      <c r="G819" s="28" t="n">
        <v>2026</v>
      </c>
      <c r="H819" s="28" t="s">
        <v>240</v>
      </c>
      <c r="I819" s="28" t="n">
        <v>2</v>
      </c>
      <c r="J819" s="28" t="s">
        <v>236</v>
      </c>
      <c r="K819" s="28" t="s">
        <v>237</v>
      </c>
      <c r="L819" s="28" t="n">
        <v>0.17</v>
      </c>
      <c r="M819" s="31" t="n">
        <v>30067.42</v>
      </c>
      <c r="N819" s="31" t="n">
        <v>30101.97</v>
      </c>
      <c r="O819" s="31" t="n">
        <v>29998.32</v>
      </c>
      <c r="P819" s="44" t="n">
        <f aca="false">ABS(M819-N819)</f>
        <v>34.5500000000029</v>
      </c>
      <c r="Q819" s="44" t="n">
        <f aca="false">IF(O819="","",ABS(O819-M819))</f>
        <v>69.0999999999985</v>
      </c>
      <c r="R819" s="30" t="n">
        <f aca="false">P819*L819*Summary!$C$6</f>
        <v>117.47000000001</v>
      </c>
      <c r="S819" s="31" t="n">
        <v>30067.85</v>
      </c>
      <c r="T819" s="28" t="s">
        <v>238</v>
      </c>
      <c r="U819" s="44" t="n">
        <f aca="false">IF(J819="BUY",S819-M819,M819-S819)</f>
        <v>-0.430000000000291</v>
      </c>
      <c r="V819" s="45" t="n">
        <v>0</v>
      </c>
      <c r="W819" s="45" t="n">
        <v>0</v>
      </c>
      <c r="X819" s="45" t="n">
        <v>-1.46</v>
      </c>
      <c r="Y819" s="32" t="n">
        <f aca="false">IFERROR(X819/R819,0)</f>
        <v>-0.0124287052013269</v>
      </c>
      <c r="Z819" s="28" t="str">
        <f aca="false">IF(X819&gt;0,"Win",IF(X819&lt;0,"Loss","Flat"))</f>
        <v>Loss</v>
      </c>
      <c r="AA819" s="28" t="n">
        <f aca="false">ROUND((C819-B819)*1440,1)</f>
        <v>23.5</v>
      </c>
      <c r="AB819" s="28" t="str">
        <f aca="false">IF(AA819&lt;1,"a) &lt;1 min",IF(AA819&lt;10,"b) 1-10 min",IF(AA819&lt;60,"c) 10-60 min",IF(AA819&lt;240,"d) 1-4 h","e) 4 h+"))))</f>
        <v>c) 10-60 min</v>
      </c>
      <c r="AC819" s="28" t="str">
        <f aca="false">IF(P819&lt;10,"a) &lt;10",IF(P819&lt;20,"b) 10-20",IF(P819&lt;40,"c) 20-40",IF(P819&lt;80,"d) 40-80","e) 80+"))))</f>
        <v>c) 20-40</v>
      </c>
      <c r="AD819" s="30" t="n">
        <f aca="false">Summary!$C$5+SUM(X$2:X819)</f>
        <v>116381.64</v>
      </c>
      <c r="AE819" s="30" t="n">
        <f aca="false">MAX(AE818,AD819)</f>
        <v>116873.04</v>
      </c>
      <c r="AF819" s="30" t="n">
        <f aca="false">AE819-AD819</f>
        <v>491.400000000009</v>
      </c>
      <c r="AG819" s="29" t="n">
        <f aca="false">IFERROR(AF819/AE819,0)</f>
        <v>0.00420456248934749</v>
      </c>
    </row>
    <row r="820" customFormat="false" ht="15" hidden="false" customHeight="false" outlineLevel="0" collapsed="false">
      <c r="A820" s="28" t="n">
        <v>819</v>
      </c>
      <c r="B820" s="43" t="n">
        <v>46195.4201388889</v>
      </c>
      <c r="C820" s="43" t="n">
        <v>46195.4222800926</v>
      </c>
      <c r="D820" s="42" t="n">
        <f aca="false">INT(C820)</f>
        <v>46195</v>
      </c>
      <c r="E820" s="42" t="n">
        <f aca="false">D820-WEEKDAY(D820,3)</f>
        <v>46195</v>
      </c>
      <c r="F820" s="28" t="s">
        <v>181</v>
      </c>
      <c r="G820" s="28" t="n">
        <v>2026</v>
      </c>
      <c r="H820" s="28" t="s">
        <v>240</v>
      </c>
      <c r="I820" s="28" t="n">
        <v>10</v>
      </c>
      <c r="J820" s="28" t="s">
        <v>233</v>
      </c>
      <c r="K820" s="28" t="s">
        <v>234</v>
      </c>
      <c r="L820" s="28" t="n">
        <v>0.17</v>
      </c>
      <c r="M820" s="31" t="n">
        <v>30459.48</v>
      </c>
      <c r="N820" s="31" t="n">
        <v>30441.01</v>
      </c>
      <c r="O820" s="31" t="n">
        <v>30497.86</v>
      </c>
      <c r="P820" s="44" t="n">
        <f aca="false">ABS(M820-N820)</f>
        <v>18.4700000000012</v>
      </c>
      <c r="Q820" s="44" t="n">
        <f aca="false">IF(O820="","",ABS(O820-M820))</f>
        <v>38.380000000001</v>
      </c>
      <c r="R820" s="30" t="n">
        <f aca="false">P820*L820*Summary!$C$6</f>
        <v>62.798000000004</v>
      </c>
      <c r="S820" s="31" t="n">
        <v>30440.97</v>
      </c>
      <c r="T820" s="28" t="s">
        <v>241</v>
      </c>
      <c r="U820" s="44" t="n">
        <f aca="false">IF(J820="BUY",S820-M820,M820-S820)</f>
        <v>-18.5099999999984</v>
      </c>
      <c r="V820" s="45" t="n">
        <v>0</v>
      </c>
      <c r="W820" s="45" t="n">
        <v>0</v>
      </c>
      <c r="X820" s="45" t="n">
        <v>-62.93</v>
      </c>
      <c r="Y820" s="32" t="n">
        <f aca="false">IFERROR(X820/R820,0)</f>
        <v>-1.00210197776993</v>
      </c>
      <c r="Z820" s="28" t="str">
        <f aca="false">IF(X820&gt;0,"Win",IF(X820&lt;0,"Loss","Flat"))</f>
        <v>Loss</v>
      </c>
      <c r="AA820" s="28" t="n">
        <f aca="false">ROUND((C820-B820)*1440,1)</f>
        <v>3.1</v>
      </c>
      <c r="AB820" s="28" t="str">
        <f aca="false">IF(AA820&lt;1,"a) &lt;1 min",IF(AA820&lt;10,"b) 1-10 min",IF(AA820&lt;60,"c) 10-60 min",IF(AA820&lt;240,"d) 1-4 h","e) 4 h+"))))</f>
        <v>b) 1-10 min</v>
      </c>
      <c r="AC820" s="28" t="str">
        <f aca="false">IF(P820&lt;10,"a) &lt;10",IF(P820&lt;20,"b) 10-20",IF(P820&lt;40,"c) 20-40",IF(P820&lt;80,"d) 40-80","e) 80+"))))</f>
        <v>b) 10-20</v>
      </c>
      <c r="AD820" s="30" t="n">
        <f aca="false">Summary!$C$5+SUM(X$2:X820)</f>
        <v>116318.71</v>
      </c>
      <c r="AE820" s="30" t="n">
        <f aca="false">MAX(AE819,AD820)</f>
        <v>116873.04</v>
      </c>
      <c r="AF820" s="30" t="n">
        <f aca="false">AE820-AD820</f>
        <v>554.330000000002</v>
      </c>
      <c r="AG820" s="29" t="n">
        <f aca="false">IFERROR(AF820/AE820,0)</f>
        <v>0.00474301002181514</v>
      </c>
    </row>
    <row r="821" customFormat="false" ht="15" hidden="false" customHeight="false" outlineLevel="0" collapsed="false">
      <c r="A821" s="28" t="n">
        <v>820</v>
      </c>
      <c r="B821" s="43" t="n">
        <v>46196.2763888889</v>
      </c>
      <c r="C821" s="43" t="n">
        <v>46196.2850115741</v>
      </c>
      <c r="D821" s="42" t="n">
        <f aca="false">INT(C821)</f>
        <v>46196</v>
      </c>
      <c r="E821" s="42" t="n">
        <f aca="false">D821-WEEKDAY(D821,3)</f>
        <v>46195</v>
      </c>
      <c r="F821" s="28" t="s">
        <v>181</v>
      </c>
      <c r="G821" s="28" t="n">
        <v>2026</v>
      </c>
      <c r="H821" s="28" t="s">
        <v>232</v>
      </c>
      <c r="I821" s="28" t="n">
        <v>6</v>
      </c>
      <c r="J821" s="28" t="s">
        <v>236</v>
      </c>
      <c r="K821" s="28" t="s">
        <v>237</v>
      </c>
      <c r="L821" s="28" t="n">
        <v>0.17</v>
      </c>
      <c r="M821" s="31" t="n">
        <v>30011.96</v>
      </c>
      <c r="N821" s="31" t="n">
        <v>30038.3</v>
      </c>
      <c r="O821" s="31" t="n">
        <v>29959.27</v>
      </c>
      <c r="P821" s="44" t="n">
        <f aca="false">ABS(M821-N821)</f>
        <v>26.3400000000001</v>
      </c>
      <c r="Q821" s="44" t="n">
        <f aca="false">IF(O821="","",ABS(O821-M821))</f>
        <v>52.6899999999987</v>
      </c>
      <c r="R821" s="30" t="n">
        <f aca="false">P821*L821*Summary!$C$6</f>
        <v>89.5560000000005</v>
      </c>
      <c r="S821" s="31" t="n">
        <v>30038.6</v>
      </c>
      <c r="T821" s="28" t="s">
        <v>241</v>
      </c>
      <c r="U821" s="44" t="n">
        <f aca="false">IF(J821="BUY",S821-M821,M821-S821)</f>
        <v>-26.6399999999994</v>
      </c>
      <c r="V821" s="45" t="n">
        <v>0</v>
      </c>
      <c r="W821" s="45" t="n">
        <v>0</v>
      </c>
      <c r="X821" s="45" t="n">
        <v>-90.58</v>
      </c>
      <c r="Y821" s="32" t="n">
        <f aca="false">IFERROR(X821/R821,0)</f>
        <v>-1.01143418643083</v>
      </c>
      <c r="Z821" s="28" t="str">
        <f aca="false">IF(X821&gt;0,"Win",IF(X821&lt;0,"Loss","Flat"))</f>
        <v>Loss</v>
      </c>
      <c r="AA821" s="28" t="n">
        <f aca="false">ROUND((C821-B821)*1440,1)</f>
        <v>12.4</v>
      </c>
      <c r="AB821" s="28" t="str">
        <f aca="false">IF(AA821&lt;1,"a) &lt;1 min",IF(AA821&lt;10,"b) 1-10 min",IF(AA821&lt;60,"c) 10-60 min",IF(AA821&lt;240,"d) 1-4 h","e) 4 h+"))))</f>
        <v>c) 10-60 min</v>
      </c>
      <c r="AC821" s="28" t="str">
        <f aca="false">IF(P821&lt;10,"a) &lt;10",IF(P821&lt;20,"b) 10-20",IF(P821&lt;40,"c) 20-40",IF(P821&lt;80,"d) 40-80","e) 80+"))))</f>
        <v>c) 20-40</v>
      </c>
      <c r="AD821" s="30" t="n">
        <f aca="false">Summary!$C$5+SUM(X$2:X821)</f>
        <v>116228.13</v>
      </c>
      <c r="AE821" s="30" t="n">
        <f aca="false">MAX(AE820,AD821)</f>
        <v>116873.04</v>
      </c>
      <c r="AF821" s="30" t="n">
        <f aca="false">AE821-AD821</f>
        <v>644.910000000004</v>
      </c>
      <c r="AG821" s="29" t="n">
        <f aca="false">IFERROR(AF821/AE821,0)</f>
        <v>0.00551803906187435</v>
      </c>
    </row>
    <row r="822" customFormat="false" ht="15" hidden="false" customHeight="false" outlineLevel="0" collapsed="false">
      <c r="A822" s="28" t="n">
        <v>821</v>
      </c>
      <c r="B822" s="43" t="n">
        <v>46197.7229166667</v>
      </c>
      <c r="C822" s="43" t="n">
        <v>46197.7244907407</v>
      </c>
      <c r="D822" s="42" t="n">
        <f aca="false">INT(C822)</f>
        <v>46197</v>
      </c>
      <c r="E822" s="42" t="n">
        <f aca="false">D822-WEEKDAY(D822,3)</f>
        <v>46195</v>
      </c>
      <c r="F822" s="28" t="s">
        <v>181</v>
      </c>
      <c r="G822" s="28" t="n">
        <v>2026</v>
      </c>
      <c r="H822" s="28" t="s">
        <v>235</v>
      </c>
      <c r="I822" s="28" t="n">
        <v>17</v>
      </c>
      <c r="J822" s="28" t="s">
        <v>236</v>
      </c>
      <c r="K822" s="28" t="s">
        <v>237</v>
      </c>
      <c r="L822" s="28" t="n">
        <v>0.17</v>
      </c>
      <c r="M822" s="31" t="n">
        <v>29264.07</v>
      </c>
      <c r="N822" s="31" t="n">
        <v>29354.09</v>
      </c>
      <c r="O822" s="31" t="n">
        <v>29084.04</v>
      </c>
      <c r="P822" s="44" t="n">
        <f aca="false">ABS(M822-N822)</f>
        <v>90.0200000000004</v>
      </c>
      <c r="Q822" s="44" t="n">
        <f aca="false">IF(O822="","",ABS(O822-M822))</f>
        <v>180.029999999999</v>
      </c>
      <c r="R822" s="30" t="n">
        <f aca="false">P822*L822*Summary!$C$6</f>
        <v>306.068000000001</v>
      </c>
      <c r="S822" s="31" t="n">
        <v>29354.26</v>
      </c>
      <c r="T822" s="28" t="s">
        <v>241</v>
      </c>
      <c r="U822" s="44" t="n">
        <f aca="false">IF(J822="BUY",S822-M822,M822-S822)</f>
        <v>-90.1899999999987</v>
      </c>
      <c r="V822" s="45" t="n">
        <v>0</v>
      </c>
      <c r="W822" s="45" t="n">
        <v>0</v>
      </c>
      <c r="X822" s="45" t="n">
        <v>-306.65</v>
      </c>
      <c r="Y822" s="32" t="n">
        <f aca="false">IFERROR(X822/R822,0)</f>
        <v>-1.00190153822026</v>
      </c>
      <c r="Z822" s="28" t="str">
        <f aca="false">IF(X822&gt;0,"Win",IF(X822&lt;0,"Loss","Flat"))</f>
        <v>Loss</v>
      </c>
      <c r="AA822" s="28" t="n">
        <f aca="false">ROUND((C822-B822)*1440,1)</f>
        <v>2.3</v>
      </c>
      <c r="AB822" s="28" t="str">
        <f aca="false">IF(AA822&lt;1,"a) &lt;1 min",IF(AA822&lt;10,"b) 1-10 min",IF(AA822&lt;60,"c) 10-60 min",IF(AA822&lt;240,"d) 1-4 h","e) 4 h+"))))</f>
        <v>b) 1-10 min</v>
      </c>
      <c r="AC822" s="28" t="str">
        <f aca="false">IF(P822&lt;10,"a) &lt;10",IF(P822&lt;20,"b) 10-20",IF(P822&lt;40,"c) 20-40",IF(P822&lt;80,"d) 40-80","e) 80+"))))</f>
        <v>e) 80+</v>
      </c>
      <c r="AD822" s="30" t="n">
        <f aca="false">Summary!$C$5+SUM(X$2:X822)</f>
        <v>115921.48</v>
      </c>
      <c r="AE822" s="30" t="n">
        <f aca="false">MAX(AE821,AD822)</f>
        <v>116873.04</v>
      </c>
      <c r="AF822" s="30" t="n">
        <f aca="false">AE822-AD822</f>
        <v>951.560000000012</v>
      </c>
      <c r="AG822" s="29" t="n">
        <f aca="false">IFERROR(AF822/AE822,0)</f>
        <v>0.00814182637843606</v>
      </c>
    </row>
    <row r="823" customFormat="false" ht="15" hidden="false" customHeight="false" outlineLevel="0" collapsed="false">
      <c r="A823" s="28" t="n">
        <v>822</v>
      </c>
      <c r="B823" s="43" t="n">
        <v>46198.0423611111</v>
      </c>
      <c r="C823" s="43" t="n">
        <v>46198.1468055556</v>
      </c>
      <c r="D823" s="42" t="n">
        <f aca="false">INT(C823)</f>
        <v>46198</v>
      </c>
      <c r="E823" s="42" t="n">
        <f aca="false">D823-WEEKDAY(D823,3)</f>
        <v>46195</v>
      </c>
      <c r="F823" s="28" t="s">
        <v>181</v>
      </c>
      <c r="G823" s="28" t="n">
        <v>2026</v>
      </c>
      <c r="H823" s="28" t="s">
        <v>239</v>
      </c>
      <c r="I823" s="28" t="n">
        <v>1</v>
      </c>
      <c r="J823" s="28" t="s">
        <v>233</v>
      </c>
      <c r="K823" s="28" t="s">
        <v>234</v>
      </c>
      <c r="L823" s="28" t="n">
        <v>0.17</v>
      </c>
      <c r="M823" s="31" t="n">
        <v>29853.91</v>
      </c>
      <c r="N823" s="31" t="n">
        <v>29726.37</v>
      </c>
      <c r="O823" s="31" t="n">
        <v>30108.99</v>
      </c>
      <c r="P823" s="44" t="n">
        <f aca="false">ABS(M823-N823)</f>
        <v>127.540000000001</v>
      </c>
      <c r="Q823" s="44" t="n">
        <f aca="false">IF(O823="","",ABS(O823-M823))</f>
        <v>255.080000000002</v>
      </c>
      <c r="R823" s="30" t="n">
        <f aca="false">P823*L823*Summary!$C$6</f>
        <v>433.636000000003</v>
      </c>
      <c r="S823" s="31" t="n">
        <v>29724.54</v>
      </c>
      <c r="T823" s="28" t="s">
        <v>241</v>
      </c>
      <c r="U823" s="44" t="n">
        <f aca="false">IF(J823="BUY",S823-M823,M823-S823)</f>
        <v>-129.369999999999</v>
      </c>
      <c r="V823" s="45" t="n">
        <v>0</v>
      </c>
      <c r="W823" s="45" t="n">
        <v>0</v>
      </c>
      <c r="X823" s="45" t="n">
        <v>-439.86</v>
      </c>
      <c r="Y823" s="32" t="n">
        <f aca="false">IFERROR(X823/R823,0)</f>
        <v>-1.01435305186838</v>
      </c>
      <c r="Z823" s="28" t="str">
        <f aca="false">IF(X823&gt;0,"Win",IF(X823&lt;0,"Loss","Flat"))</f>
        <v>Loss</v>
      </c>
      <c r="AA823" s="28" t="n">
        <f aca="false">ROUND((C823-B823)*1440,1)</f>
        <v>150.4</v>
      </c>
      <c r="AB823" s="28" t="str">
        <f aca="false">IF(AA823&lt;1,"a) &lt;1 min",IF(AA823&lt;10,"b) 1-10 min",IF(AA823&lt;60,"c) 10-60 min",IF(AA823&lt;240,"d) 1-4 h","e) 4 h+"))))</f>
        <v>d) 1-4 h</v>
      </c>
      <c r="AC823" s="28" t="str">
        <f aca="false">IF(P823&lt;10,"a) &lt;10",IF(P823&lt;20,"b) 10-20",IF(P823&lt;40,"c) 20-40",IF(P823&lt;80,"d) 40-80","e) 80+"))))</f>
        <v>e) 80+</v>
      </c>
      <c r="AD823" s="30" t="n">
        <f aca="false">Summary!$C$5+SUM(X$2:X823)</f>
        <v>115481.62</v>
      </c>
      <c r="AE823" s="30" t="n">
        <f aca="false">MAX(AE822,AD823)</f>
        <v>116873.04</v>
      </c>
      <c r="AF823" s="30" t="n">
        <f aca="false">AE823-AD823</f>
        <v>1391.42000000001</v>
      </c>
      <c r="AG823" s="29" t="n">
        <f aca="false">IFERROR(AF823/AE823,0)</f>
        <v>0.0119053975151157</v>
      </c>
    </row>
    <row r="824" customFormat="false" ht="15" hidden="false" customHeight="false" outlineLevel="0" collapsed="false">
      <c r="A824" s="28" t="n">
        <v>823</v>
      </c>
      <c r="B824" s="43" t="n">
        <v>46199.2458333333</v>
      </c>
      <c r="C824" s="43" t="n">
        <v>46199.2758101852</v>
      </c>
      <c r="D824" s="42" t="n">
        <f aca="false">INT(C824)</f>
        <v>46199</v>
      </c>
      <c r="E824" s="42" t="n">
        <f aca="false">D824-WEEKDAY(D824,3)</f>
        <v>46195</v>
      </c>
      <c r="F824" s="28" t="s">
        <v>181</v>
      </c>
      <c r="G824" s="28" t="n">
        <v>2026</v>
      </c>
      <c r="H824" s="28" t="s">
        <v>242</v>
      </c>
      <c r="I824" s="28" t="n">
        <v>5</v>
      </c>
      <c r="J824" s="28" t="s">
        <v>236</v>
      </c>
      <c r="K824" s="28" t="s">
        <v>237</v>
      </c>
      <c r="L824" s="28" t="n">
        <v>0.17</v>
      </c>
      <c r="M824" s="31" t="n">
        <v>28981.34</v>
      </c>
      <c r="N824" s="31" t="n">
        <v>29019.68</v>
      </c>
      <c r="O824" s="31" t="n">
        <v>28904.67</v>
      </c>
      <c r="P824" s="44" t="n">
        <f aca="false">ABS(M824-N824)</f>
        <v>38.3400000000001</v>
      </c>
      <c r="Q824" s="44" t="n">
        <f aca="false">IF(O824="","",ABS(O824-M824))</f>
        <v>76.6700000000019</v>
      </c>
      <c r="R824" s="30" t="n">
        <f aca="false">P824*L824*Summary!$C$6</f>
        <v>130.356000000001</v>
      </c>
      <c r="S824" s="31" t="n">
        <v>28904.2</v>
      </c>
      <c r="T824" s="28" t="s">
        <v>214</v>
      </c>
      <c r="U824" s="44" t="n">
        <f aca="false">IF(J824="BUY",S824-M824,M824-S824)</f>
        <v>77.1399999999994</v>
      </c>
      <c r="V824" s="45" t="n">
        <v>0</v>
      </c>
      <c r="W824" s="45" t="n">
        <v>0</v>
      </c>
      <c r="X824" s="45" t="n">
        <v>262.28</v>
      </c>
      <c r="Y824" s="32" t="n">
        <f aca="false">IFERROR(X824/R824,0)</f>
        <v>2.01202859860688</v>
      </c>
      <c r="Z824" s="28" t="str">
        <f aca="false">IF(X824&gt;0,"Win",IF(X824&lt;0,"Loss","Flat"))</f>
        <v>Win</v>
      </c>
      <c r="AA824" s="28" t="n">
        <f aca="false">ROUND((C824-B824)*1440,1)</f>
        <v>43.2</v>
      </c>
      <c r="AB824" s="28" t="str">
        <f aca="false">IF(AA824&lt;1,"a) &lt;1 min",IF(AA824&lt;10,"b) 1-10 min",IF(AA824&lt;60,"c) 10-60 min",IF(AA824&lt;240,"d) 1-4 h","e) 4 h+"))))</f>
        <v>c) 10-60 min</v>
      </c>
      <c r="AC824" s="28" t="str">
        <f aca="false">IF(P824&lt;10,"a) &lt;10",IF(P824&lt;20,"b) 10-20",IF(P824&lt;40,"c) 20-40",IF(P824&lt;80,"d) 40-80","e) 80+"))))</f>
        <v>c) 20-40</v>
      </c>
      <c r="AD824" s="30" t="n">
        <f aca="false">Summary!$C$5+SUM(X$2:X824)</f>
        <v>115743.9</v>
      </c>
      <c r="AE824" s="30" t="n">
        <f aca="false">MAX(AE823,AD824)</f>
        <v>116873.04</v>
      </c>
      <c r="AF824" s="30" t="n">
        <f aca="false">AE824-AD824</f>
        <v>1129.14000000001</v>
      </c>
      <c r="AG824" s="29" t="n">
        <f aca="false">IFERROR(AF824/AE824,0)</f>
        <v>0.00966125292881929</v>
      </c>
    </row>
    <row r="825" customFormat="false" ht="15" hidden="false" customHeight="false" outlineLevel="0" collapsed="false">
      <c r="A825" s="28" t="n">
        <v>824</v>
      </c>
      <c r="B825" s="43" t="n">
        <v>46202.8034722222</v>
      </c>
      <c r="C825" s="43" t="n">
        <v>46202.8142824074</v>
      </c>
      <c r="D825" s="42" t="n">
        <f aca="false">INT(C825)</f>
        <v>46202</v>
      </c>
      <c r="E825" s="42" t="n">
        <f aca="false">D825-WEEKDAY(D825,3)</f>
        <v>46202</v>
      </c>
      <c r="F825" s="28" t="s">
        <v>181</v>
      </c>
      <c r="G825" s="28" t="n">
        <v>2026</v>
      </c>
      <c r="H825" s="28" t="s">
        <v>240</v>
      </c>
      <c r="I825" s="28" t="n">
        <v>19</v>
      </c>
      <c r="J825" s="28" t="s">
        <v>233</v>
      </c>
      <c r="K825" s="28" t="s">
        <v>234</v>
      </c>
      <c r="L825" s="28" t="n">
        <v>0.17</v>
      </c>
      <c r="M825" s="31" t="n">
        <v>29602.43</v>
      </c>
      <c r="N825" s="31" t="n">
        <v>29570.24</v>
      </c>
      <c r="O825" s="31" t="n">
        <v>29666.19</v>
      </c>
      <c r="P825" s="44" t="n">
        <f aca="false">ABS(M825-N825)</f>
        <v>32.1899999999987</v>
      </c>
      <c r="Q825" s="44" t="n">
        <f aca="false">IF(O825="","",ABS(O825-M825))</f>
        <v>63.7599999999984</v>
      </c>
      <c r="R825" s="30" t="n">
        <f aca="false">P825*L825*Summary!$C$6</f>
        <v>109.445999999996</v>
      </c>
      <c r="S825" s="31" t="n">
        <v>29569</v>
      </c>
      <c r="T825" s="28" t="s">
        <v>241</v>
      </c>
      <c r="U825" s="44" t="n">
        <f aca="false">IF(J825="BUY",S825-M825,M825-S825)</f>
        <v>-33.4300000000003</v>
      </c>
      <c r="V825" s="45" t="n">
        <v>0</v>
      </c>
      <c r="W825" s="45" t="n">
        <v>0</v>
      </c>
      <c r="X825" s="45" t="n">
        <v>-113.66</v>
      </c>
      <c r="Y825" s="32" t="n">
        <f aca="false">IFERROR(X825/R825,0)</f>
        <v>-1.03850300604869</v>
      </c>
      <c r="Z825" s="28" t="str">
        <f aca="false">IF(X825&gt;0,"Win",IF(X825&lt;0,"Loss","Flat"))</f>
        <v>Loss</v>
      </c>
      <c r="AA825" s="28" t="n">
        <f aca="false">ROUND((C825-B825)*1440,1)</f>
        <v>15.6</v>
      </c>
      <c r="AB825" s="28" t="str">
        <f aca="false">IF(AA825&lt;1,"a) &lt;1 min",IF(AA825&lt;10,"b) 1-10 min",IF(AA825&lt;60,"c) 10-60 min",IF(AA825&lt;240,"d) 1-4 h","e) 4 h+"))))</f>
        <v>c) 10-60 min</v>
      </c>
      <c r="AC825" s="28" t="str">
        <f aca="false">IF(P825&lt;10,"a) &lt;10",IF(P825&lt;20,"b) 10-20",IF(P825&lt;40,"c) 20-40",IF(P825&lt;80,"d) 40-80","e) 80+"))))</f>
        <v>c) 20-40</v>
      </c>
      <c r="AD825" s="30" t="n">
        <f aca="false">Summary!$C$5+SUM(X$2:X825)</f>
        <v>115630.24</v>
      </c>
      <c r="AE825" s="30" t="n">
        <f aca="false">MAX(AE824,AD825)</f>
        <v>116873.04</v>
      </c>
      <c r="AF825" s="30" t="n">
        <f aca="false">AE825-AD825</f>
        <v>1242.8</v>
      </c>
      <c r="AG825" s="29" t="n">
        <f aca="false">IFERROR(AF825/AE825,0)</f>
        <v>0.0106337612164448</v>
      </c>
    </row>
    <row r="826" customFormat="false" ht="15" hidden="false" customHeight="false" outlineLevel="0" collapsed="false">
      <c r="A826" s="28" t="n">
        <v>825</v>
      </c>
      <c r="B826" s="43" t="n">
        <v>46203.1298611111</v>
      </c>
      <c r="C826" s="43" t="n">
        <v>46203.1401736111</v>
      </c>
      <c r="D826" s="42" t="n">
        <f aca="false">INT(C826)</f>
        <v>46203</v>
      </c>
      <c r="E826" s="42" t="n">
        <f aca="false">D826-WEEKDAY(D826,3)</f>
        <v>46202</v>
      </c>
      <c r="F826" s="28" t="s">
        <v>181</v>
      </c>
      <c r="G826" s="28" t="n">
        <v>2026</v>
      </c>
      <c r="H826" s="28" t="s">
        <v>232</v>
      </c>
      <c r="I826" s="28" t="n">
        <v>3</v>
      </c>
      <c r="J826" s="28" t="s">
        <v>233</v>
      </c>
      <c r="K826" s="28" t="s">
        <v>234</v>
      </c>
      <c r="L826" s="28" t="n">
        <v>0.17</v>
      </c>
      <c r="M826" s="31" t="n">
        <v>29793.15</v>
      </c>
      <c r="N826" s="31" t="n">
        <v>29758.79</v>
      </c>
      <c r="O826" s="31" t="n">
        <v>29861.88</v>
      </c>
      <c r="P826" s="44" t="n">
        <f aca="false">ABS(M826-N826)</f>
        <v>34.3600000000006</v>
      </c>
      <c r="Q826" s="44" t="n">
        <f aca="false">IF(O826="","",ABS(O826-M826))</f>
        <v>68.7299999999996</v>
      </c>
      <c r="R826" s="30" t="n">
        <f aca="false">P826*L826*Summary!$C$6</f>
        <v>116.824000000002</v>
      </c>
      <c r="S826" s="31" t="n">
        <v>29758.5</v>
      </c>
      <c r="T826" s="28" t="s">
        <v>241</v>
      </c>
      <c r="U826" s="44" t="n">
        <f aca="false">IF(J826="BUY",S826-M826,M826-S826)</f>
        <v>-34.6500000000015</v>
      </c>
      <c r="V826" s="45" t="n">
        <v>0</v>
      </c>
      <c r="W826" s="45" t="n">
        <v>0</v>
      </c>
      <c r="X826" s="45" t="n">
        <v>-117.81</v>
      </c>
      <c r="Y826" s="32" t="n">
        <f aca="false">IFERROR(X826/R826,0)</f>
        <v>-1.00844004656576</v>
      </c>
      <c r="Z826" s="28" t="str">
        <f aca="false">IF(X826&gt;0,"Win",IF(X826&lt;0,"Loss","Flat"))</f>
        <v>Loss</v>
      </c>
      <c r="AA826" s="28" t="n">
        <f aca="false">ROUND((C826-B826)*1440,1)</f>
        <v>14.9</v>
      </c>
      <c r="AB826" s="28" t="str">
        <f aca="false">IF(AA826&lt;1,"a) &lt;1 min",IF(AA826&lt;10,"b) 1-10 min",IF(AA826&lt;60,"c) 10-60 min",IF(AA826&lt;240,"d) 1-4 h","e) 4 h+"))))</f>
        <v>c) 10-60 min</v>
      </c>
      <c r="AC826" s="28" t="str">
        <f aca="false">IF(P826&lt;10,"a) &lt;10",IF(P826&lt;20,"b) 10-20",IF(P826&lt;40,"c) 20-40",IF(P826&lt;80,"d) 40-80","e) 80+"))))</f>
        <v>c) 20-40</v>
      </c>
      <c r="AD826" s="30" t="n">
        <f aca="false">Summary!$C$5+SUM(X$2:X826)</f>
        <v>115512.43</v>
      </c>
      <c r="AE826" s="30" t="n">
        <f aca="false">MAX(AE825,AD826)</f>
        <v>116873.04</v>
      </c>
      <c r="AF826" s="30" t="n">
        <f aca="false">AE826-AD826</f>
        <v>1360.61000000002</v>
      </c>
      <c r="AG826" s="29" t="n">
        <f aca="false">IFERROR(AF826/AE826,0)</f>
        <v>0.0116417781209423</v>
      </c>
    </row>
    <row r="827" customFormat="false" ht="15" hidden="false" customHeight="false" outlineLevel="0" collapsed="false">
      <c r="A827" s="28" t="n">
        <v>826</v>
      </c>
      <c r="B827" s="43" t="n">
        <v>46205.1263888889</v>
      </c>
      <c r="C827" s="43" t="n">
        <v>46205.1320949074</v>
      </c>
      <c r="D827" s="42" t="n">
        <f aca="false">INT(C827)</f>
        <v>46205</v>
      </c>
      <c r="E827" s="42" t="n">
        <f aca="false">D827-WEEKDAY(D827,3)</f>
        <v>46202</v>
      </c>
      <c r="F827" s="28" t="s">
        <v>182</v>
      </c>
      <c r="G827" s="28" t="n">
        <v>2026</v>
      </c>
      <c r="H827" s="28" t="s">
        <v>239</v>
      </c>
      <c r="I827" s="28" t="n">
        <v>3</v>
      </c>
      <c r="J827" s="28" t="s">
        <v>236</v>
      </c>
      <c r="K827" s="28" t="s">
        <v>237</v>
      </c>
      <c r="L827" s="28" t="n">
        <v>0.17</v>
      </c>
      <c r="M827" s="31" t="n">
        <v>29727.01</v>
      </c>
      <c r="N827" s="31" t="n">
        <v>29761.47</v>
      </c>
      <c r="O827" s="31" t="n">
        <v>29659.56</v>
      </c>
      <c r="P827" s="44" t="n">
        <f aca="false">ABS(M827-N827)</f>
        <v>34.4600000000028</v>
      </c>
      <c r="Q827" s="44" t="n">
        <f aca="false">IF(O827="","",ABS(O827-M827))</f>
        <v>67.4499999999971</v>
      </c>
      <c r="R827" s="30" t="n">
        <f aca="false">P827*L827*Summary!$C$6</f>
        <v>117.164000000009</v>
      </c>
      <c r="S827" s="31" t="n">
        <v>29761.65</v>
      </c>
      <c r="T827" s="28" t="s">
        <v>241</v>
      </c>
      <c r="U827" s="44" t="n">
        <f aca="false">IF(J827="BUY",S827-M827,M827-S827)</f>
        <v>-34.6400000000031</v>
      </c>
      <c r="V827" s="45" t="n">
        <v>0</v>
      </c>
      <c r="W827" s="45" t="n">
        <v>0</v>
      </c>
      <c r="X827" s="45" t="n">
        <v>-117.78</v>
      </c>
      <c r="Y827" s="32" t="n">
        <f aca="false">IFERROR(X827/R827,0)</f>
        <v>-1.00525758765483</v>
      </c>
      <c r="Z827" s="28" t="str">
        <f aca="false">IF(X827&gt;0,"Win",IF(X827&lt;0,"Loss","Flat"))</f>
        <v>Loss</v>
      </c>
      <c r="AA827" s="28" t="n">
        <f aca="false">ROUND((C827-B827)*1440,1)</f>
        <v>8.2</v>
      </c>
      <c r="AB827" s="28" t="str">
        <f aca="false">IF(AA827&lt;1,"a) &lt;1 min",IF(AA827&lt;10,"b) 1-10 min",IF(AA827&lt;60,"c) 10-60 min",IF(AA827&lt;240,"d) 1-4 h","e) 4 h+"))))</f>
        <v>b) 1-10 min</v>
      </c>
      <c r="AC827" s="28" t="str">
        <f aca="false">IF(P827&lt;10,"a) &lt;10",IF(P827&lt;20,"b) 10-20",IF(P827&lt;40,"c) 20-40",IF(P827&lt;80,"d) 40-80","e) 80+"))))</f>
        <v>c) 20-40</v>
      </c>
      <c r="AD827" s="30" t="n">
        <f aca="false">Summary!$C$5+SUM(X$2:X827)</f>
        <v>115394.65</v>
      </c>
      <c r="AE827" s="30" t="n">
        <f aca="false">MAX(AE826,AD827)</f>
        <v>116873.04</v>
      </c>
      <c r="AF827" s="30" t="n">
        <f aca="false">AE827-AD827</f>
        <v>1478.39000000001</v>
      </c>
      <c r="AG827" s="29" t="n">
        <f aca="false">IFERROR(AF827/AE827,0)</f>
        <v>0.012649538336643</v>
      </c>
    </row>
    <row r="828" customFormat="false" ht="15" hidden="false" customHeight="false" outlineLevel="0" collapsed="false">
      <c r="A828" s="28" t="n">
        <v>827</v>
      </c>
      <c r="B828" s="43" t="n">
        <v>46209.0645833333</v>
      </c>
      <c r="C828" s="43" t="n">
        <v>46209.0783564815</v>
      </c>
      <c r="D828" s="42" t="n">
        <f aca="false">INT(C828)</f>
        <v>46209</v>
      </c>
      <c r="E828" s="42" t="n">
        <f aca="false">D828-WEEKDAY(D828,3)</f>
        <v>46209</v>
      </c>
      <c r="F828" s="28" t="s">
        <v>182</v>
      </c>
      <c r="G828" s="28" t="n">
        <v>2026</v>
      </c>
      <c r="H828" s="28" t="s">
        <v>240</v>
      </c>
      <c r="I828" s="28" t="n">
        <v>1</v>
      </c>
      <c r="J828" s="28" t="s">
        <v>233</v>
      </c>
      <c r="K828" s="28" t="s">
        <v>234</v>
      </c>
      <c r="L828" s="28" t="n">
        <v>0.17</v>
      </c>
      <c r="M828" s="31" t="n">
        <v>29723.4</v>
      </c>
      <c r="N828" s="31" t="n">
        <v>29701.65</v>
      </c>
      <c r="O828" s="31" t="n">
        <v>29766.9</v>
      </c>
      <c r="P828" s="44" t="n">
        <f aca="false">ABS(M828-N828)</f>
        <v>21.75</v>
      </c>
      <c r="Q828" s="44" t="n">
        <f aca="false">IF(O828="","",ABS(O828-M828))</f>
        <v>43.5</v>
      </c>
      <c r="R828" s="30" t="n">
        <f aca="false">P828*L828*Summary!$C$6</f>
        <v>73.95</v>
      </c>
      <c r="S828" s="31" t="n">
        <v>29723.11</v>
      </c>
      <c r="T828" s="28" t="s">
        <v>238</v>
      </c>
      <c r="U828" s="44" t="n">
        <f aca="false">IF(J828="BUY",S828-M828,M828-S828)</f>
        <v>-0.290000000000873</v>
      </c>
      <c r="V828" s="45" t="n">
        <v>0</v>
      </c>
      <c r="W828" s="45" t="n">
        <v>0</v>
      </c>
      <c r="X828" s="45" t="n">
        <v>-0.99</v>
      </c>
      <c r="Y828" s="32" t="n">
        <f aca="false">IFERROR(X828/R828,0)</f>
        <v>-0.0133874239350913</v>
      </c>
      <c r="Z828" s="28" t="str">
        <f aca="false">IF(X828&gt;0,"Win",IF(X828&lt;0,"Loss","Flat"))</f>
        <v>Loss</v>
      </c>
      <c r="AA828" s="28" t="n">
        <f aca="false">ROUND((C828-B828)*1440,1)</f>
        <v>19.8</v>
      </c>
      <c r="AB828" s="28" t="str">
        <f aca="false">IF(AA828&lt;1,"a) &lt;1 min",IF(AA828&lt;10,"b) 1-10 min",IF(AA828&lt;60,"c) 10-60 min",IF(AA828&lt;240,"d) 1-4 h","e) 4 h+"))))</f>
        <v>c) 10-60 min</v>
      </c>
      <c r="AC828" s="28" t="str">
        <f aca="false">IF(P828&lt;10,"a) &lt;10",IF(P828&lt;20,"b) 10-20",IF(P828&lt;40,"c) 20-40",IF(P828&lt;80,"d) 40-80","e) 80+"))))</f>
        <v>c) 20-40</v>
      </c>
      <c r="AD828" s="30" t="n">
        <f aca="false">Summary!$C$5+SUM(X$2:X828)</f>
        <v>115393.66</v>
      </c>
      <c r="AE828" s="30" t="n">
        <f aca="false">MAX(AE827,AD828)</f>
        <v>116873.04</v>
      </c>
      <c r="AF828" s="30" t="n">
        <f aca="false">AE828-AD828</f>
        <v>1479.38</v>
      </c>
      <c r="AG828" s="29" t="n">
        <f aca="false">IFERROR(AF828/AE828,0)</f>
        <v>0.0126580090669328</v>
      </c>
    </row>
    <row r="829" customFormat="false" ht="15" hidden="false" customHeight="false" outlineLevel="0" collapsed="false">
      <c r="A829" s="28" t="n">
        <v>828</v>
      </c>
      <c r="B829" s="43" t="n">
        <v>46210.2708333333</v>
      </c>
      <c r="C829" s="43" t="n">
        <v>46210.2839699074</v>
      </c>
      <c r="D829" s="42" t="n">
        <f aca="false">INT(C829)</f>
        <v>46210</v>
      </c>
      <c r="E829" s="42" t="n">
        <f aca="false">D829-WEEKDAY(D829,3)</f>
        <v>46209</v>
      </c>
      <c r="F829" s="28" t="s">
        <v>182</v>
      </c>
      <c r="G829" s="28" t="n">
        <v>2026</v>
      </c>
      <c r="H829" s="28" t="s">
        <v>232</v>
      </c>
      <c r="I829" s="28" t="n">
        <v>6</v>
      </c>
      <c r="J829" s="28" t="s">
        <v>236</v>
      </c>
      <c r="K829" s="28" t="s">
        <v>237</v>
      </c>
      <c r="L829" s="28" t="n">
        <v>0.17</v>
      </c>
      <c r="M829" s="31" t="n">
        <v>29447.54</v>
      </c>
      <c r="N829" s="31" t="n">
        <v>29472.73</v>
      </c>
      <c r="O829" s="31" t="n">
        <v>29395.57</v>
      </c>
      <c r="P829" s="44" t="n">
        <f aca="false">ABS(M829-N829)</f>
        <v>25.1899999999987</v>
      </c>
      <c r="Q829" s="44" t="n">
        <f aca="false">IF(O829="","",ABS(O829-M829))</f>
        <v>51.9700000000012</v>
      </c>
      <c r="R829" s="30" t="n">
        <f aca="false">P829*L829*Summary!$C$6</f>
        <v>85.6459999999956</v>
      </c>
      <c r="S829" s="31" t="n">
        <v>29394.78</v>
      </c>
      <c r="T829" s="28" t="s">
        <v>214</v>
      </c>
      <c r="U829" s="44" t="n">
        <f aca="false">IF(J829="BUY",S829-M829,M829-S829)</f>
        <v>52.760000000002</v>
      </c>
      <c r="V829" s="45" t="n">
        <v>0</v>
      </c>
      <c r="W829" s="45" t="n">
        <v>0</v>
      </c>
      <c r="X829" s="45" t="n">
        <v>179.38</v>
      </c>
      <c r="Y829" s="32" t="n">
        <f aca="false">IFERROR(X829/R829,0)</f>
        <v>2.09443523340272</v>
      </c>
      <c r="Z829" s="28" t="str">
        <f aca="false">IF(X829&gt;0,"Win",IF(X829&lt;0,"Loss","Flat"))</f>
        <v>Win</v>
      </c>
      <c r="AA829" s="28" t="n">
        <f aca="false">ROUND((C829-B829)*1440,1)</f>
        <v>18.9</v>
      </c>
      <c r="AB829" s="28" t="str">
        <f aca="false">IF(AA829&lt;1,"a) &lt;1 min",IF(AA829&lt;10,"b) 1-10 min",IF(AA829&lt;60,"c) 10-60 min",IF(AA829&lt;240,"d) 1-4 h","e) 4 h+"))))</f>
        <v>c) 10-60 min</v>
      </c>
      <c r="AC829" s="28" t="str">
        <f aca="false">IF(P829&lt;10,"a) &lt;10",IF(P829&lt;20,"b) 10-20",IF(P829&lt;40,"c) 20-40",IF(P829&lt;80,"d) 40-80","e) 80+"))))</f>
        <v>c) 20-40</v>
      </c>
      <c r="AD829" s="30" t="n">
        <f aca="false">Summary!$C$5+SUM(X$2:X829)</f>
        <v>115573.04</v>
      </c>
      <c r="AE829" s="30" t="n">
        <f aca="false">MAX(AE828,AD829)</f>
        <v>116873.04</v>
      </c>
      <c r="AF829" s="30" t="n">
        <f aca="false">AE829-AD829</f>
        <v>1300</v>
      </c>
      <c r="AG829" s="29" t="n">
        <f aca="false">IFERROR(AF829/AE829,0)</f>
        <v>0.0111231811887498</v>
      </c>
    </row>
    <row r="830" customFormat="false" ht="15" hidden="false" customHeight="false" outlineLevel="0" collapsed="false">
      <c r="A830" s="28" t="n">
        <v>829</v>
      </c>
      <c r="B830" s="43" t="n">
        <v>46211.475</v>
      </c>
      <c r="C830" s="43" t="n">
        <v>46211.4851736111</v>
      </c>
      <c r="D830" s="42" t="n">
        <f aca="false">INT(C830)</f>
        <v>46211</v>
      </c>
      <c r="E830" s="42" t="n">
        <f aca="false">D830-WEEKDAY(D830,3)</f>
        <v>46209</v>
      </c>
      <c r="F830" s="28" t="s">
        <v>182</v>
      </c>
      <c r="G830" s="28" t="n">
        <v>2026</v>
      </c>
      <c r="H830" s="28" t="s">
        <v>235</v>
      </c>
      <c r="I830" s="28" t="n">
        <v>11</v>
      </c>
      <c r="J830" s="28" t="s">
        <v>236</v>
      </c>
      <c r="K830" s="28" t="s">
        <v>237</v>
      </c>
      <c r="L830" s="28" t="n">
        <v>0.17</v>
      </c>
      <c r="M830" s="31" t="n">
        <v>28936.61</v>
      </c>
      <c r="N830" s="31" t="n">
        <v>29026.47</v>
      </c>
      <c r="O830" s="31" t="n">
        <v>28767.88</v>
      </c>
      <c r="P830" s="44" t="n">
        <f aca="false">ABS(M830-N830)</f>
        <v>89.8600000000006</v>
      </c>
      <c r="Q830" s="44" t="n">
        <f aca="false">IF(O830="","",ABS(O830-M830))</f>
        <v>168.73</v>
      </c>
      <c r="R830" s="30" t="n">
        <f aca="false">P830*L830*Summary!$C$6</f>
        <v>305.524000000002</v>
      </c>
      <c r="S830" s="31" t="n">
        <v>28767.6</v>
      </c>
      <c r="T830" s="28" t="s">
        <v>214</v>
      </c>
      <c r="U830" s="44" t="n">
        <f aca="false">IF(J830="BUY",S830-M830,M830-S830)</f>
        <v>169.010000000002</v>
      </c>
      <c r="V830" s="45" t="n">
        <v>0</v>
      </c>
      <c r="W830" s="45" t="n">
        <v>0</v>
      </c>
      <c r="X830" s="45" t="n">
        <v>574.63</v>
      </c>
      <c r="Y830" s="32" t="n">
        <f aca="false">IFERROR(X830/R830,0)</f>
        <v>1.88080150822847</v>
      </c>
      <c r="Z830" s="28" t="str">
        <f aca="false">IF(X830&gt;0,"Win",IF(X830&lt;0,"Loss","Flat"))</f>
        <v>Win</v>
      </c>
      <c r="AA830" s="28" t="n">
        <f aca="false">ROUND((C830-B830)*1440,1)</f>
        <v>14.7</v>
      </c>
      <c r="AB830" s="28" t="str">
        <f aca="false">IF(AA830&lt;1,"a) &lt;1 min",IF(AA830&lt;10,"b) 1-10 min",IF(AA830&lt;60,"c) 10-60 min",IF(AA830&lt;240,"d) 1-4 h","e) 4 h+"))))</f>
        <v>c) 10-60 min</v>
      </c>
      <c r="AC830" s="28" t="str">
        <f aca="false">IF(P830&lt;10,"a) &lt;10",IF(P830&lt;20,"b) 10-20",IF(P830&lt;40,"c) 20-40",IF(P830&lt;80,"d) 40-80","e) 80+"))))</f>
        <v>e) 80+</v>
      </c>
      <c r="AD830" s="30" t="n">
        <f aca="false">Summary!$C$5+SUM(X$2:X830)</f>
        <v>116147.67</v>
      </c>
      <c r="AE830" s="30" t="n">
        <f aca="false">MAX(AE829,AD830)</f>
        <v>116873.04</v>
      </c>
      <c r="AF830" s="30" t="n">
        <f aca="false">AE830-AD830</f>
        <v>725.37000000001</v>
      </c>
      <c r="AG830" s="29" t="n">
        <f aca="false">IFERROR(AF830/AE830,0)</f>
        <v>0.0062064784145258</v>
      </c>
    </row>
    <row r="831" customFormat="false" ht="15" hidden="false" customHeight="false" outlineLevel="0" collapsed="false">
      <c r="A831" s="28" t="n">
        <v>830</v>
      </c>
      <c r="B831" s="43" t="n">
        <v>46212.13125</v>
      </c>
      <c r="C831" s="43" t="n">
        <v>46212.1628472222</v>
      </c>
      <c r="D831" s="42" t="n">
        <f aca="false">INT(C831)</f>
        <v>46212</v>
      </c>
      <c r="E831" s="42" t="n">
        <f aca="false">D831-WEEKDAY(D831,3)</f>
        <v>46209</v>
      </c>
      <c r="F831" s="28" t="s">
        <v>182</v>
      </c>
      <c r="G831" s="28" t="n">
        <v>2026</v>
      </c>
      <c r="H831" s="28" t="s">
        <v>239</v>
      </c>
      <c r="I831" s="28" t="n">
        <v>3</v>
      </c>
      <c r="J831" s="28" t="s">
        <v>233</v>
      </c>
      <c r="K831" s="28" t="s">
        <v>234</v>
      </c>
      <c r="L831" s="28" t="n">
        <v>0.17</v>
      </c>
      <c r="M831" s="31" t="n">
        <v>29327.89</v>
      </c>
      <c r="N831" s="31" t="n">
        <v>29287.15</v>
      </c>
      <c r="O831" s="31" t="n">
        <v>29409.36</v>
      </c>
      <c r="P831" s="44" t="n">
        <f aca="false">ABS(M831-N831)</f>
        <v>40.739999999998</v>
      </c>
      <c r="Q831" s="44" t="n">
        <f aca="false">IF(O831="","",ABS(O831-M831))</f>
        <v>81.4700000000012</v>
      </c>
      <c r="R831" s="30" t="n">
        <f aca="false">P831*L831*Summary!$C$6</f>
        <v>138.515999999993</v>
      </c>
      <c r="S831" s="31" t="n">
        <v>29283.66</v>
      </c>
      <c r="T831" s="28" t="s">
        <v>241</v>
      </c>
      <c r="U831" s="44" t="n">
        <f aca="false">IF(J831="BUY",S831-M831,M831-S831)</f>
        <v>-44.2299999999996</v>
      </c>
      <c r="V831" s="45" t="n">
        <v>0</v>
      </c>
      <c r="W831" s="45" t="n">
        <v>0</v>
      </c>
      <c r="X831" s="45" t="n">
        <v>-150.38</v>
      </c>
      <c r="Y831" s="32" t="n">
        <f aca="false">IFERROR(X831/R831,0)</f>
        <v>-1.08565075514747</v>
      </c>
      <c r="Z831" s="28" t="str">
        <f aca="false">IF(X831&gt;0,"Win",IF(X831&lt;0,"Loss","Flat"))</f>
        <v>Loss</v>
      </c>
      <c r="AA831" s="28" t="n">
        <f aca="false">ROUND((C831-B831)*1440,1)</f>
        <v>45.5</v>
      </c>
      <c r="AB831" s="28" t="str">
        <f aca="false">IF(AA831&lt;1,"a) &lt;1 min",IF(AA831&lt;10,"b) 1-10 min",IF(AA831&lt;60,"c) 10-60 min",IF(AA831&lt;240,"d) 1-4 h","e) 4 h+"))))</f>
        <v>c) 10-60 min</v>
      </c>
      <c r="AC831" s="28" t="str">
        <f aca="false">IF(P831&lt;10,"a) &lt;10",IF(P831&lt;20,"b) 10-20",IF(P831&lt;40,"c) 20-40",IF(P831&lt;80,"d) 40-80","e) 80+"))))</f>
        <v>d) 40-80</v>
      </c>
      <c r="AD831" s="30" t="n">
        <f aca="false">Summary!$C$5+SUM(X$2:X831)</f>
        <v>115997.29</v>
      </c>
      <c r="AE831" s="30" t="n">
        <f aca="false">MAX(AE830,AD831)</f>
        <v>116873.04</v>
      </c>
      <c r="AF831" s="30" t="n">
        <f aca="false">AE831-AD831</f>
        <v>875.75</v>
      </c>
      <c r="AG831" s="29" t="n">
        <f aca="false">IFERROR(AF831/AE831,0)</f>
        <v>0.0074931737892674</v>
      </c>
    </row>
    <row r="832" customFormat="false" ht="15" hidden="false" customHeight="false" outlineLevel="0" collapsed="false">
      <c r="A832" s="28" t="n">
        <v>831</v>
      </c>
      <c r="B832" s="43" t="n">
        <v>46213.7729166667</v>
      </c>
      <c r="C832" s="43" t="n">
        <v>46213.7753472222</v>
      </c>
      <c r="D832" s="42" t="n">
        <f aca="false">INT(C832)</f>
        <v>46213</v>
      </c>
      <c r="E832" s="42" t="n">
        <f aca="false">D832-WEEKDAY(D832,3)</f>
        <v>46209</v>
      </c>
      <c r="F832" s="28" t="s">
        <v>182</v>
      </c>
      <c r="G832" s="28" t="n">
        <v>2026</v>
      </c>
      <c r="H832" s="28" t="s">
        <v>242</v>
      </c>
      <c r="I832" s="28" t="n">
        <v>18</v>
      </c>
      <c r="J832" s="28" t="s">
        <v>233</v>
      </c>
      <c r="K832" s="28" t="s">
        <v>234</v>
      </c>
      <c r="L832" s="28" t="n">
        <v>0.17</v>
      </c>
      <c r="M832" s="31" t="n">
        <v>29772.86</v>
      </c>
      <c r="N832" s="31" t="n">
        <v>29737.39</v>
      </c>
      <c r="O832" s="31" t="n">
        <v>29844.22</v>
      </c>
      <c r="P832" s="44" t="n">
        <f aca="false">ABS(M832-N832)</f>
        <v>35.4700000000012</v>
      </c>
      <c r="Q832" s="44" t="n">
        <f aca="false">IF(O832="","",ABS(O832-M832))</f>
        <v>71.3600000000006</v>
      </c>
      <c r="R832" s="30" t="n">
        <f aca="false">P832*L832*Summary!$C$6</f>
        <v>120.598000000004</v>
      </c>
      <c r="S832" s="31" t="n">
        <v>29736.33</v>
      </c>
      <c r="T832" s="28" t="s">
        <v>241</v>
      </c>
      <c r="U832" s="44" t="n">
        <f aca="false">IF(J832="BUY",S832-M832,M832-S832)</f>
        <v>-36.5299999999988</v>
      </c>
      <c r="V832" s="45" t="n">
        <v>0</v>
      </c>
      <c r="W832" s="45" t="n">
        <v>0</v>
      </c>
      <c r="X832" s="45" t="n">
        <v>-124.2</v>
      </c>
      <c r="Y832" s="32" t="n">
        <f aca="false">IFERROR(X832/R832,0)</f>
        <v>-1.02986782533704</v>
      </c>
      <c r="Z832" s="28" t="str">
        <f aca="false">IF(X832&gt;0,"Win",IF(X832&lt;0,"Loss","Flat"))</f>
        <v>Loss</v>
      </c>
      <c r="AA832" s="28" t="n">
        <f aca="false">ROUND((C832-B832)*1440,1)</f>
        <v>3.5</v>
      </c>
      <c r="AB832" s="28" t="str">
        <f aca="false">IF(AA832&lt;1,"a) &lt;1 min",IF(AA832&lt;10,"b) 1-10 min",IF(AA832&lt;60,"c) 10-60 min",IF(AA832&lt;240,"d) 1-4 h","e) 4 h+"))))</f>
        <v>b) 1-10 min</v>
      </c>
      <c r="AC832" s="28" t="str">
        <f aca="false">IF(P832&lt;10,"a) &lt;10",IF(P832&lt;20,"b) 10-20",IF(P832&lt;40,"c) 20-40",IF(P832&lt;80,"d) 40-80","e) 80+"))))</f>
        <v>c) 20-40</v>
      </c>
      <c r="AD832" s="30" t="n">
        <f aca="false">Summary!$C$5+SUM(X$2:X832)</f>
        <v>115873.09</v>
      </c>
      <c r="AE832" s="30" t="n">
        <f aca="false">MAX(AE831,AD832)</f>
        <v>116873.04</v>
      </c>
      <c r="AF832" s="30" t="n">
        <f aca="false">AE832-AD832</f>
        <v>999.950000000012</v>
      </c>
      <c r="AG832" s="29" t="n">
        <f aca="false">IFERROR(AF832/AE832,0)</f>
        <v>0.00855586540745421</v>
      </c>
    </row>
    <row r="833" customFormat="false" ht="15" hidden="false" customHeight="false" outlineLevel="0" collapsed="false">
      <c r="A833" s="28" t="n">
        <v>832</v>
      </c>
      <c r="B833" s="43" t="n">
        <v>46216.2923611111</v>
      </c>
      <c r="C833" s="43" t="n">
        <v>46216.3060532407</v>
      </c>
      <c r="D833" s="42" t="n">
        <f aca="false">INT(C833)</f>
        <v>46216</v>
      </c>
      <c r="E833" s="42" t="n">
        <f aca="false">D833-WEEKDAY(D833,3)</f>
        <v>46216</v>
      </c>
      <c r="F833" s="28" t="s">
        <v>182</v>
      </c>
      <c r="G833" s="28" t="n">
        <v>2026</v>
      </c>
      <c r="H833" s="28" t="s">
        <v>240</v>
      </c>
      <c r="I833" s="28" t="n">
        <v>7</v>
      </c>
      <c r="J833" s="28" t="s">
        <v>236</v>
      </c>
      <c r="K833" s="28" t="s">
        <v>237</v>
      </c>
      <c r="L833" s="28" t="n">
        <v>0.17</v>
      </c>
      <c r="M833" s="31" t="n">
        <v>29464.97</v>
      </c>
      <c r="N833" s="31" t="n">
        <v>29485.94</v>
      </c>
      <c r="O833" s="31" t="n">
        <v>29422.17</v>
      </c>
      <c r="P833" s="44" t="n">
        <f aca="false">ABS(M833-N833)</f>
        <v>20.9699999999975</v>
      </c>
      <c r="Q833" s="44" t="n">
        <f aca="false">IF(O833="","",ABS(O833-M833))</f>
        <v>42.8000000000029</v>
      </c>
      <c r="R833" s="30" t="n">
        <f aca="false">P833*L833*Summary!$C$6</f>
        <v>71.2979999999916</v>
      </c>
      <c r="S833" s="31" t="n">
        <v>29465.13</v>
      </c>
      <c r="T833" s="28" t="s">
        <v>238</v>
      </c>
      <c r="U833" s="44" t="n">
        <f aca="false">IF(J833="BUY",S833-M833,M833-S833)</f>
        <v>-0.159999999999854</v>
      </c>
      <c r="V833" s="45" t="n">
        <v>0</v>
      </c>
      <c r="W833" s="45" t="n">
        <v>0</v>
      </c>
      <c r="X833" s="45" t="n">
        <v>-0.54</v>
      </c>
      <c r="Y833" s="32" t="n">
        <f aca="false">IFERROR(X833/R833,0)</f>
        <v>-0.00757384498864013</v>
      </c>
      <c r="Z833" s="28" t="str">
        <f aca="false">IF(X833&gt;0,"Win",IF(X833&lt;0,"Loss","Flat"))</f>
        <v>Loss</v>
      </c>
      <c r="AA833" s="28" t="n">
        <f aca="false">ROUND((C833-B833)*1440,1)</f>
        <v>19.7</v>
      </c>
      <c r="AB833" s="28" t="str">
        <f aca="false">IF(AA833&lt;1,"a) &lt;1 min",IF(AA833&lt;10,"b) 1-10 min",IF(AA833&lt;60,"c) 10-60 min",IF(AA833&lt;240,"d) 1-4 h","e) 4 h+"))))</f>
        <v>c) 10-60 min</v>
      </c>
      <c r="AC833" s="28" t="str">
        <f aca="false">IF(P833&lt;10,"a) &lt;10",IF(P833&lt;20,"b) 10-20",IF(P833&lt;40,"c) 20-40",IF(P833&lt;80,"d) 40-80","e) 80+"))))</f>
        <v>c) 20-40</v>
      </c>
      <c r="AD833" s="30" t="n">
        <f aca="false">Summary!$C$5+SUM(X$2:X833)</f>
        <v>115872.55</v>
      </c>
      <c r="AE833" s="30" t="n">
        <f aca="false">MAX(AE832,AD833)</f>
        <v>116873.04</v>
      </c>
      <c r="AF833" s="30" t="n">
        <f aca="false">AE833-AD833</f>
        <v>1000.49000000001</v>
      </c>
      <c r="AG833" s="29" t="n">
        <f aca="false">IFERROR(AF833/AE833,0)</f>
        <v>0.00856048580579409</v>
      </c>
    </row>
    <row r="834" customFormat="false" ht="15" hidden="false" customHeight="false" outlineLevel="0" collapsed="false">
      <c r="A834" s="28" t="n">
        <v>833</v>
      </c>
      <c r="B834" s="43" t="n">
        <v>46217.0861111111</v>
      </c>
      <c r="C834" s="43" t="n">
        <v>46217.0981828704</v>
      </c>
      <c r="D834" s="42" t="n">
        <f aca="false">INT(C834)</f>
        <v>46217</v>
      </c>
      <c r="E834" s="42" t="n">
        <f aca="false">D834-WEEKDAY(D834,3)</f>
        <v>46216</v>
      </c>
      <c r="F834" s="28" t="s">
        <v>182</v>
      </c>
      <c r="G834" s="28" t="n">
        <v>2026</v>
      </c>
      <c r="H834" s="28" t="s">
        <v>232</v>
      </c>
      <c r="I834" s="28" t="n">
        <v>2</v>
      </c>
      <c r="J834" s="28" t="s">
        <v>236</v>
      </c>
      <c r="K834" s="28" t="s">
        <v>237</v>
      </c>
      <c r="L834" s="28" t="n">
        <v>0.17</v>
      </c>
      <c r="M834" s="31" t="n">
        <v>29188.85</v>
      </c>
      <c r="N834" s="31" t="n">
        <v>29205.34</v>
      </c>
      <c r="O834" s="31" t="n">
        <v>29155.88</v>
      </c>
      <c r="P834" s="44" t="n">
        <f aca="false">ABS(M834-N834)</f>
        <v>16.4900000000016</v>
      </c>
      <c r="Q834" s="44" t="n">
        <f aca="false">IF(O834="","",ABS(O834-M834))</f>
        <v>32.9699999999975</v>
      </c>
      <c r="R834" s="30" t="n">
        <f aca="false">P834*L834*Summary!$C$6</f>
        <v>56.0660000000054</v>
      </c>
      <c r="S834" s="31" t="n">
        <v>29189.82</v>
      </c>
      <c r="T834" s="28" t="s">
        <v>238</v>
      </c>
      <c r="U834" s="44" t="n">
        <f aca="false">IF(J834="BUY",S834-M834,M834-S834)</f>
        <v>-0.970000000001164</v>
      </c>
      <c r="V834" s="45" t="n">
        <v>0</v>
      </c>
      <c r="W834" s="45" t="n">
        <v>0</v>
      </c>
      <c r="X834" s="45" t="n">
        <v>-3.3</v>
      </c>
      <c r="Y834" s="32" t="n">
        <f aca="false">IFERROR(X834/R834,0)</f>
        <v>-0.0588592016551864</v>
      </c>
      <c r="Z834" s="28" t="str">
        <f aca="false">IF(X834&gt;0,"Win",IF(X834&lt;0,"Loss","Flat"))</f>
        <v>Loss</v>
      </c>
      <c r="AA834" s="28" t="n">
        <f aca="false">ROUND((C834-B834)*1440,1)</f>
        <v>17.4</v>
      </c>
      <c r="AB834" s="28" t="str">
        <f aca="false">IF(AA834&lt;1,"a) &lt;1 min",IF(AA834&lt;10,"b) 1-10 min",IF(AA834&lt;60,"c) 10-60 min",IF(AA834&lt;240,"d) 1-4 h","e) 4 h+"))))</f>
        <v>c) 10-60 min</v>
      </c>
      <c r="AC834" s="28" t="str">
        <f aca="false">IF(P834&lt;10,"a) &lt;10",IF(P834&lt;20,"b) 10-20",IF(P834&lt;40,"c) 20-40",IF(P834&lt;80,"d) 40-80","e) 80+"))))</f>
        <v>b) 10-20</v>
      </c>
      <c r="AD834" s="30" t="n">
        <f aca="false">Summary!$C$5+SUM(X$2:X834)</f>
        <v>115869.25</v>
      </c>
      <c r="AE834" s="30" t="n">
        <f aca="false">MAX(AE833,AD834)</f>
        <v>116873.04</v>
      </c>
      <c r="AF834" s="30" t="n">
        <f aca="false">AE834-AD834</f>
        <v>1003.79000000001</v>
      </c>
      <c r="AG834" s="29" t="n">
        <f aca="false">IFERROR(AF834/AE834,0)</f>
        <v>0.0085887215734271</v>
      </c>
    </row>
    <row r="835" customFormat="false" ht="15" hidden="false" customHeight="false" outlineLevel="0" collapsed="false">
      <c r="A835" s="28" t="n">
        <v>834</v>
      </c>
      <c r="B835" s="43" t="n">
        <v>46218.1395833333</v>
      </c>
      <c r="C835" s="43" t="n">
        <v>46218.1494560185</v>
      </c>
      <c r="D835" s="42" t="n">
        <f aca="false">INT(C835)</f>
        <v>46218</v>
      </c>
      <c r="E835" s="42" t="n">
        <f aca="false">D835-WEEKDAY(D835,3)</f>
        <v>46216</v>
      </c>
      <c r="F835" s="28" t="s">
        <v>182</v>
      </c>
      <c r="G835" s="28" t="n">
        <v>2026</v>
      </c>
      <c r="H835" s="28" t="s">
        <v>235</v>
      </c>
      <c r="I835" s="28" t="n">
        <v>3</v>
      </c>
      <c r="J835" s="28" t="s">
        <v>233</v>
      </c>
      <c r="K835" s="28" t="s">
        <v>234</v>
      </c>
      <c r="L835" s="28" t="n">
        <v>0.17</v>
      </c>
      <c r="M835" s="31" t="n">
        <v>29723.87</v>
      </c>
      <c r="N835" s="31" t="n">
        <v>29692.32</v>
      </c>
      <c r="O835" s="31" t="n">
        <v>29786.97</v>
      </c>
      <c r="P835" s="44" t="n">
        <f aca="false">ABS(M835-N835)</f>
        <v>31.5499999999993</v>
      </c>
      <c r="Q835" s="44" t="n">
        <f aca="false">IF(O835="","",ABS(O835-M835))</f>
        <v>63.1000000000022</v>
      </c>
      <c r="R835" s="30" t="n">
        <f aca="false">P835*L835*Summary!$C$6</f>
        <v>107.269999999998</v>
      </c>
      <c r="S835" s="31" t="n">
        <v>29692.23</v>
      </c>
      <c r="T835" s="28" t="s">
        <v>241</v>
      </c>
      <c r="U835" s="44" t="n">
        <f aca="false">IF(J835="BUY",S835-M835,M835-S835)</f>
        <v>-31.6399999999994</v>
      </c>
      <c r="V835" s="45" t="n">
        <v>0</v>
      </c>
      <c r="W835" s="45" t="n">
        <v>0</v>
      </c>
      <c r="X835" s="45" t="n">
        <v>-107.58</v>
      </c>
      <c r="Y835" s="32" t="n">
        <f aca="false">IFERROR(X835/R835,0)</f>
        <v>-1.00288990398063</v>
      </c>
      <c r="Z835" s="28" t="str">
        <f aca="false">IF(X835&gt;0,"Win",IF(X835&lt;0,"Loss","Flat"))</f>
        <v>Loss</v>
      </c>
      <c r="AA835" s="28" t="n">
        <f aca="false">ROUND((C835-B835)*1440,1)</f>
        <v>14.2</v>
      </c>
      <c r="AB835" s="28" t="str">
        <f aca="false">IF(AA835&lt;1,"a) &lt;1 min",IF(AA835&lt;10,"b) 1-10 min",IF(AA835&lt;60,"c) 10-60 min",IF(AA835&lt;240,"d) 1-4 h","e) 4 h+"))))</f>
        <v>c) 10-60 min</v>
      </c>
      <c r="AC835" s="28" t="str">
        <f aca="false">IF(P835&lt;10,"a) &lt;10",IF(P835&lt;20,"b) 10-20",IF(P835&lt;40,"c) 20-40",IF(P835&lt;80,"d) 40-80","e) 80+"))))</f>
        <v>c) 20-40</v>
      </c>
      <c r="AD835" s="30" t="n">
        <f aca="false">Summary!$C$5+SUM(X$2:X835)</f>
        <v>115761.67</v>
      </c>
      <c r="AE835" s="30" t="n">
        <f aca="false">MAX(AE834,AD835)</f>
        <v>116873.04</v>
      </c>
      <c r="AF835" s="30" t="n">
        <f aca="false">AE835-AD835</f>
        <v>1111.37000000001</v>
      </c>
      <c r="AG835" s="29" t="n">
        <f aca="false">IFERROR(AF835/AE835,0)</f>
        <v>0.00950920759826227</v>
      </c>
    </row>
    <row r="836" customFormat="false" ht="15" hidden="false" customHeight="false" outlineLevel="0" collapsed="false">
      <c r="A836" s="28" t="n">
        <v>835</v>
      </c>
      <c r="B836" s="43" t="n">
        <v>46219.6180555556</v>
      </c>
      <c r="C836" s="43" t="n">
        <v>46219.6188425926</v>
      </c>
      <c r="D836" s="42" t="n">
        <f aca="false">INT(C836)</f>
        <v>46219</v>
      </c>
      <c r="E836" s="42" t="n">
        <f aca="false">D836-WEEKDAY(D836,3)</f>
        <v>46216</v>
      </c>
      <c r="F836" s="28" t="s">
        <v>182</v>
      </c>
      <c r="G836" s="28" t="n">
        <v>2026</v>
      </c>
      <c r="H836" s="28" t="s">
        <v>239</v>
      </c>
      <c r="I836" s="28" t="n">
        <v>14</v>
      </c>
      <c r="J836" s="28" t="s">
        <v>236</v>
      </c>
      <c r="K836" s="28" t="s">
        <v>237</v>
      </c>
      <c r="L836" s="28" t="n">
        <v>0.17</v>
      </c>
      <c r="M836" s="31" t="n">
        <v>29188.79</v>
      </c>
      <c r="N836" s="31" t="n">
        <v>29228.78</v>
      </c>
      <c r="O836" s="31" t="n">
        <v>29108.82</v>
      </c>
      <c r="P836" s="44" t="n">
        <f aca="false">ABS(M836-N836)</f>
        <v>39.989999999998</v>
      </c>
      <c r="Q836" s="44" t="n">
        <f aca="false">IF(O836="","",ABS(O836-M836))</f>
        <v>79.9700000000012</v>
      </c>
      <c r="R836" s="30" t="n">
        <f aca="false">P836*L836*Summary!$C$6</f>
        <v>135.965999999993</v>
      </c>
      <c r="S836" s="31" t="n">
        <v>29229</v>
      </c>
      <c r="T836" s="28" t="s">
        <v>241</v>
      </c>
      <c r="U836" s="44" t="n">
        <f aca="false">IF(J836="BUY",S836-M836,M836-S836)</f>
        <v>-40.2099999999991</v>
      </c>
      <c r="V836" s="45" t="n">
        <v>0</v>
      </c>
      <c r="W836" s="45" t="n">
        <v>0</v>
      </c>
      <c r="X836" s="45" t="n">
        <v>-136.71</v>
      </c>
      <c r="Y836" s="32" t="n">
        <f aca="false">IFERROR(X836/R836,0)</f>
        <v>-1.0054719562244</v>
      </c>
      <c r="Z836" s="28" t="str">
        <f aca="false">IF(X836&gt;0,"Win",IF(X836&lt;0,"Loss","Flat"))</f>
        <v>Loss</v>
      </c>
      <c r="AA836" s="28" t="n">
        <f aca="false">ROUND((C836-B836)*1440,1)</f>
        <v>1.1</v>
      </c>
      <c r="AB836" s="28" t="str">
        <f aca="false">IF(AA836&lt;1,"a) &lt;1 min",IF(AA836&lt;10,"b) 1-10 min",IF(AA836&lt;60,"c) 10-60 min",IF(AA836&lt;240,"d) 1-4 h","e) 4 h+"))))</f>
        <v>b) 1-10 min</v>
      </c>
      <c r="AC836" s="28" t="str">
        <f aca="false">IF(P836&lt;10,"a) &lt;10",IF(P836&lt;20,"b) 10-20",IF(P836&lt;40,"c) 20-40",IF(P836&lt;80,"d) 40-80","e) 80+"))))</f>
        <v>c) 20-40</v>
      </c>
      <c r="AD836" s="30" t="n">
        <f aca="false">Summary!$C$5+SUM(X$2:X836)</f>
        <v>115624.96</v>
      </c>
      <c r="AE836" s="30" t="n">
        <f aca="false">MAX(AE835,AD836)</f>
        <v>116873.04</v>
      </c>
      <c r="AF836" s="30" t="n">
        <f aca="false">AE836-AD836</f>
        <v>1248.08</v>
      </c>
      <c r="AG836" s="29" t="n">
        <f aca="false">IFERROR(AF836/AE836,0)</f>
        <v>0.0106789384446576</v>
      </c>
    </row>
    <row r="837" customFormat="false" ht="15" hidden="false" customHeight="false" outlineLevel="0" collapsed="false">
      <c r="A837" s="28" t="n">
        <v>836</v>
      </c>
      <c r="B837" s="43" t="n">
        <v>46220.1069444444</v>
      </c>
      <c r="C837" s="43" t="n">
        <v>46220.1101736111</v>
      </c>
      <c r="D837" s="42" t="n">
        <f aca="false">INT(C837)</f>
        <v>46220</v>
      </c>
      <c r="E837" s="42" t="n">
        <f aca="false">D837-WEEKDAY(D837,3)</f>
        <v>46216</v>
      </c>
      <c r="F837" s="28" t="s">
        <v>182</v>
      </c>
      <c r="G837" s="28" t="n">
        <v>2026</v>
      </c>
      <c r="H837" s="28" t="s">
        <v>242</v>
      </c>
      <c r="I837" s="28" t="n">
        <v>2</v>
      </c>
      <c r="J837" s="28" t="s">
        <v>236</v>
      </c>
      <c r="K837" s="28" t="s">
        <v>237</v>
      </c>
      <c r="L837" s="28" t="n">
        <v>0.18</v>
      </c>
      <c r="M837" s="31" t="n">
        <v>28881.57</v>
      </c>
      <c r="N837" s="31" t="n">
        <v>28903.63</v>
      </c>
      <c r="O837" s="31" t="n">
        <v>28837.46</v>
      </c>
      <c r="P837" s="44" t="n">
        <f aca="false">ABS(M837-N837)</f>
        <v>22.0600000000013</v>
      </c>
      <c r="Q837" s="44" t="n">
        <f aca="false">IF(O837="","",ABS(O837-M837))</f>
        <v>44.1100000000006</v>
      </c>
      <c r="R837" s="30" t="n">
        <f aca="false">P837*L837*Summary!$C$6</f>
        <v>79.4160000000047</v>
      </c>
      <c r="S837" s="31" t="n">
        <v>28903.69</v>
      </c>
      <c r="T837" s="28" t="s">
        <v>241</v>
      </c>
      <c r="U837" s="44" t="n">
        <f aca="false">IF(J837="BUY",S837-M837,M837-S837)</f>
        <v>-22.119999999999</v>
      </c>
      <c r="V837" s="45" t="n">
        <v>0</v>
      </c>
      <c r="W837" s="45" t="n">
        <v>0</v>
      </c>
      <c r="X837" s="45" t="n">
        <v>-79.63</v>
      </c>
      <c r="Y837" s="32" t="n">
        <f aca="false">IFERROR(X837/R837,0)</f>
        <v>-1.00269467109896</v>
      </c>
      <c r="Z837" s="28" t="str">
        <f aca="false">IF(X837&gt;0,"Win",IF(X837&lt;0,"Loss","Flat"))</f>
        <v>Loss</v>
      </c>
      <c r="AA837" s="28" t="n">
        <f aca="false">ROUND((C837-B837)*1440,1)</f>
        <v>4.7</v>
      </c>
      <c r="AB837" s="28" t="str">
        <f aca="false">IF(AA837&lt;1,"a) &lt;1 min",IF(AA837&lt;10,"b) 1-10 min",IF(AA837&lt;60,"c) 10-60 min",IF(AA837&lt;240,"d) 1-4 h","e) 4 h+"))))</f>
        <v>b) 1-10 min</v>
      </c>
      <c r="AC837" s="28" t="str">
        <f aca="false">IF(P837&lt;10,"a) &lt;10",IF(P837&lt;20,"b) 10-20",IF(P837&lt;40,"c) 20-40",IF(P837&lt;80,"d) 40-80","e) 80+"))))</f>
        <v>c) 20-40</v>
      </c>
      <c r="AD837" s="30" t="n">
        <f aca="false">Summary!$C$5+SUM(X$2:X837)</f>
        <v>115545.33</v>
      </c>
      <c r="AE837" s="30" t="n">
        <f aca="false">MAX(AE836,AD837)</f>
        <v>116873.04</v>
      </c>
      <c r="AF837" s="30" t="n">
        <f aca="false">AE837-AD837</f>
        <v>1327.71000000001</v>
      </c>
      <c r="AG837" s="29" t="n">
        <f aca="false">IFERROR(AF837/AE837,0)</f>
        <v>0.0113602760739346</v>
      </c>
    </row>
    <row r="838" customFormat="false" ht="15" hidden="false" customHeight="false" outlineLevel="0" collapsed="false">
      <c r="A838" s="28" t="n">
        <v>837</v>
      </c>
      <c r="B838" s="43" t="n">
        <v>46224.5125</v>
      </c>
      <c r="C838" s="43" t="n">
        <v>46224.5184722222</v>
      </c>
      <c r="D838" s="42" t="n">
        <f aca="false">INT(C838)</f>
        <v>46224</v>
      </c>
      <c r="E838" s="42" t="n">
        <f aca="false">D838-WEEKDAY(D838,3)</f>
        <v>46223</v>
      </c>
      <c r="F838" s="28" t="s">
        <v>182</v>
      </c>
      <c r="G838" s="28" t="n">
        <v>2026</v>
      </c>
      <c r="H838" s="28" t="s">
        <v>232</v>
      </c>
      <c r="I838" s="28" t="n">
        <v>12</v>
      </c>
      <c r="J838" s="28" t="s">
        <v>233</v>
      </c>
      <c r="K838" s="28" t="s">
        <v>234</v>
      </c>
      <c r="L838" s="28" t="n">
        <v>0.17</v>
      </c>
      <c r="M838" s="31" t="n">
        <v>29016.75</v>
      </c>
      <c r="N838" s="31" t="n">
        <v>29003.58</v>
      </c>
      <c r="O838" s="31" t="n">
        <v>29043.09</v>
      </c>
      <c r="P838" s="44" t="n">
        <f aca="false">ABS(M838-N838)</f>
        <v>13.1699999999983</v>
      </c>
      <c r="Q838" s="44" t="n">
        <f aca="false">IF(O838="","",ABS(O838-M838))</f>
        <v>26.3400000000001</v>
      </c>
      <c r="R838" s="30" t="n">
        <f aca="false">P838*L838*Summary!$C$6</f>
        <v>44.7779999999941</v>
      </c>
      <c r="S838" s="31" t="n">
        <v>29003.4</v>
      </c>
      <c r="T838" s="28" t="s">
        <v>241</v>
      </c>
      <c r="U838" s="44" t="n">
        <f aca="false">IF(J838="BUY",S838-M838,M838-S838)</f>
        <v>-13.3499999999985</v>
      </c>
      <c r="V838" s="45" t="n">
        <v>0</v>
      </c>
      <c r="W838" s="45" t="n">
        <v>0</v>
      </c>
      <c r="X838" s="45" t="n">
        <v>-45.39</v>
      </c>
      <c r="Y838" s="32" t="n">
        <f aca="false">IFERROR(X838/R838,0)</f>
        <v>-1.01366742596824</v>
      </c>
      <c r="Z838" s="28" t="str">
        <f aca="false">IF(X838&gt;0,"Win",IF(X838&lt;0,"Loss","Flat"))</f>
        <v>Loss</v>
      </c>
      <c r="AA838" s="28" t="n">
        <f aca="false">ROUND((C838-B838)*1440,1)</f>
        <v>8.6</v>
      </c>
      <c r="AB838" s="28" t="str">
        <f aca="false">IF(AA838&lt;1,"a) &lt;1 min",IF(AA838&lt;10,"b) 1-10 min",IF(AA838&lt;60,"c) 10-60 min",IF(AA838&lt;240,"d) 1-4 h","e) 4 h+"))))</f>
        <v>b) 1-10 min</v>
      </c>
      <c r="AC838" s="28" t="str">
        <f aca="false">IF(P838&lt;10,"a) &lt;10",IF(P838&lt;20,"b) 10-20",IF(P838&lt;40,"c) 20-40",IF(P838&lt;80,"d) 40-80","e) 80+"))))</f>
        <v>b) 10-20</v>
      </c>
      <c r="AD838" s="30" t="n">
        <f aca="false">Summary!$C$5+SUM(X$2:X838)</f>
        <v>115499.94</v>
      </c>
      <c r="AE838" s="30" t="n">
        <f aca="false">MAX(AE837,AD838)</f>
        <v>116873.04</v>
      </c>
      <c r="AF838" s="30" t="n">
        <f aca="false">AE838-AD838</f>
        <v>1373.10000000001</v>
      </c>
      <c r="AG838" s="29" t="n">
        <f aca="false">IFERROR(AF838/AE838,0)</f>
        <v>0.0117486462232864</v>
      </c>
    </row>
    <row r="839" customFormat="false" ht="15" hidden="false" customHeight="false" outlineLevel="0" collapsed="false">
      <c r="A839" s="28" t="n">
        <v>838</v>
      </c>
      <c r="B839" s="43" t="n">
        <v>46226.4256944444</v>
      </c>
      <c r="C839" s="43" t="n">
        <v>46226.4269328704</v>
      </c>
      <c r="D839" s="42" t="n">
        <f aca="false">INT(C839)</f>
        <v>46226</v>
      </c>
      <c r="E839" s="42" t="n">
        <f aca="false">D839-WEEKDAY(D839,3)</f>
        <v>46223</v>
      </c>
      <c r="F839" s="28" t="s">
        <v>182</v>
      </c>
      <c r="G839" s="28" t="n">
        <v>2026</v>
      </c>
      <c r="H839" s="28" t="s">
        <v>239</v>
      </c>
      <c r="I839" s="28" t="n">
        <v>10</v>
      </c>
      <c r="J839" s="28" t="s">
        <v>236</v>
      </c>
      <c r="K839" s="28" t="s">
        <v>237</v>
      </c>
      <c r="L839" s="28" t="n">
        <v>0.18</v>
      </c>
      <c r="M839" s="31" t="n">
        <v>28795.59</v>
      </c>
      <c r="N839" s="31" t="n">
        <v>28830.79</v>
      </c>
      <c r="O839" s="31" t="n">
        <v>28725.19</v>
      </c>
      <c r="P839" s="44" t="n">
        <f aca="false">ABS(M839-N839)</f>
        <v>35.2000000000007</v>
      </c>
      <c r="Q839" s="44" t="n">
        <f aca="false">IF(O839="","",ABS(O839-M839))</f>
        <v>70.4000000000015</v>
      </c>
      <c r="R839" s="30" t="n">
        <f aca="false">P839*L839*Summary!$C$6</f>
        <v>126.720000000003</v>
      </c>
      <c r="S839" s="31" t="n">
        <v>28831.34</v>
      </c>
      <c r="T839" s="28" t="s">
        <v>241</v>
      </c>
      <c r="U839" s="44" t="n">
        <f aca="false">IF(J839="BUY",S839-M839,M839-S839)</f>
        <v>-35.75</v>
      </c>
      <c r="V839" s="45" t="n">
        <v>0</v>
      </c>
      <c r="W839" s="45" t="n">
        <v>0</v>
      </c>
      <c r="X839" s="45" t="n">
        <v>-128.7</v>
      </c>
      <c r="Y839" s="32" t="n">
        <f aca="false">IFERROR(X839/R839,0)</f>
        <v>-1.01562499999998</v>
      </c>
      <c r="Z839" s="28" t="str">
        <f aca="false">IF(X839&gt;0,"Win",IF(X839&lt;0,"Loss","Flat"))</f>
        <v>Loss</v>
      </c>
      <c r="AA839" s="28" t="n">
        <f aca="false">ROUND((C839-B839)*1440,1)</f>
        <v>1.8</v>
      </c>
      <c r="AB839" s="28" t="str">
        <f aca="false">IF(AA839&lt;1,"a) &lt;1 min",IF(AA839&lt;10,"b) 1-10 min",IF(AA839&lt;60,"c) 10-60 min",IF(AA839&lt;240,"d) 1-4 h","e) 4 h+"))))</f>
        <v>b) 1-10 min</v>
      </c>
      <c r="AC839" s="28" t="str">
        <f aca="false">IF(P839&lt;10,"a) &lt;10",IF(P839&lt;20,"b) 10-20",IF(P839&lt;40,"c) 20-40",IF(P839&lt;80,"d) 40-80","e) 80+"))))</f>
        <v>c) 20-40</v>
      </c>
      <c r="AD839" s="30" t="n">
        <f aca="false">Summary!$C$5+SUM(X$2:X839)</f>
        <v>115371.24</v>
      </c>
      <c r="AE839" s="30" t="n">
        <f aca="false">MAX(AE838,AD839)</f>
        <v>116873.04</v>
      </c>
      <c r="AF839" s="30" t="n">
        <f aca="false">AE839-AD839</f>
        <v>1501.8</v>
      </c>
      <c r="AG839" s="29" t="n">
        <f aca="false">IFERROR(AF839/AE839,0)</f>
        <v>0.0128498411609727</v>
      </c>
    </row>
    <row r="840" customFormat="false" ht="15" hidden="false" customHeight="false" outlineLevel="0" collapsed="false">
      <c r="A840" s="28" t="n">
        <v>839</v>
      </c>
      <c r="B840" s="43" t="n">
        <v>46227.7027777778</v>
      </c>
      <c r="C840" s="43" t="n">
        <v>46227.7136458333</v>
      </c>
      <c r="D840" s="42" t="n">
        <f aca="false">INT(C840)</f>
        <v>46227</v>
      </c>
      <c r="E840" s="42" t="n">
        <f aca="false">D840-WEEKDAY(D840,3)</f>
        <v>46223</v>
      </c>
      <c r="F840" s="28" t="s">
        <v>182</v>
      </c>
      <c r="G840" s="28" t="n">
        <v>2026</v>
      </c>
      <c r="H840" s="28" t="s">
        <v>242</v>
      </c>
      <c r="I840" s="28" t="n">
        <v>16</v>
      </c>
      <c r="J840" s="28" t="s">
        <v>236</v>
      </c>
      <c r="K840" s="28" t="s">
        <v>237</v>
      </c>
      <c r="L840" s="28" t="n">
        <v>0.18</v>
      </c>
      <c r="M840" s="31" t="n">
        <v>28240.64</v>
      </c>
      <c r="N840" s="31" t="n">
        <v>28315.63</v>
      </c>
      <c r="O840" s="31" t="n">
        <v>28090.48</v>
      </c>
      <c r="P840" s="44" t="n">
        <f aca="false">ABS(M840-N840)</f>
        <v>74.9900000000016</v>
      </c>
      <c r="Q840" s="44" t="n">
        <f aca="false">IF(O840="","",ABS(O840-M840))</f>
        <v>150.16</v>
      </c>
      <c r="R840" s="30" t="n">
        <f aca="false">P840*L840*Summary!$C$6</f>
        <v>269.964000000006</v>
      </c>
      <c r="S840" s="31" t="n">
        <v>28242.31</v>
      </c>
      <c r="T840" s="28" t="s">
        <v>238</v>
      </c>
      <c r="U840" s="44" t="n">
        <f aca="false">IF(J840="BUY",S840-M840,M840-S840)</f>
        <v>-1.67000000000189</v>
      </c>
      <c r="V840" s="45" t="n">
        <v>0</v>
      </c>
      <c r="W840" s="45" t="n">
        <v>0</v>
      </c>
      <c r="X840" s="45" t="n">
        <v>-6.01</v>
      </c>
      <c r="Y840" s="32" t="n">
        <f aca="false">IFERROR(X840/R840,0)</f>
        <v>-0.0222622275562663</v>
      </c>
      <c r="Z840" s="28" t="str">
        <f aca="false">IF(X840&gt;0,"Win",IF(X840&lt;0,"Loss","Flat"))</f>
        <v>Loss</v>
      </c>
      <c r="AA840" s="28" t="n">
        <f aca="false">ROUND((C840-B840)*1440,1)</f>
        <v>15.7</v>
      </c>
      <c r="AB840" s="28" t="str">
        <f aca="false">IF(AA840&lt;1,"a) &lt;1 min",IF(AA840&lt;10,"b) 1-10 min",IF(AA840&lt;60,"c) 10-60 min",IF(AA840&lt;240,"d) 1-4 h","e) 4 h+"))))</f>
        <v>c) 10-60 min</v>
      </c>
      <c r="AC840" s="28" t="str">
        <f aca="false">IF(P840&lt;10,"a) &lt;10",IF(P840&lt;20,"b) 10-20",IF(P840&lt;40,"c) 20-40",IF(P840&lt;80,"d) 40-80","e) 80+"))))</f>
        <v>d) 40-80</v>
      </c>
      <c r="AD840" s="30" t="n">
        <f aca="false">Summary!$C$5+SUM(X$2:X840)</f>
        <v>115365.23</v>
      </c>
      <c r="AE840" s="30" t="n">
        <f aca="false">MAX(AE839,AD840)</f>
        <v>116873.04</v>
      </c>
      <c r="AF840" s="30" t="n">
        <f aca="false">AE840-AD840</f>
        <v>1507.81000000001</v>
      </c>
      <c r="AG840" s="29" t="n">
        <f aca="false">IFERROR(AF840/AE840,0)</f>
        <v>0.0129012644832376</v>
      </c>
    </row>
    <row r="841" customFormat="false" ht="15" hidden="false" customHeight="false" outlineLevel="0" collapsed="false">
      <c r="A841" s="28" t="n">
        <v>840</v>
      </c>
      <c r="B841" s="43" t="n">
        <v>46230.4881944444</v>
      </c>
      <c r="C841" s="43" t="n">
        <v>46230.548912037</v>
      </c>
      <c r="D841" s="42" t="n">
        <f aca="false">INT(C841)</f>
        <v>46230</v>
      </c>
      <c r="E841" s="42" t="n">
        <f aca="false">D841-WEEKDAY(D841,3)</f>
        <v>46230</v>
      </c>
      <c r="F841" s="28" t="s">
        <v>182</v>
      </c>
      <c r="G841" s="28" t="n">
        <v>2026</v>
      </c>
      <c r="H841" s="28" t="s">
        <v>240</v>
      </c>
      <c r="I841" s="28" t="n">
        <v>11</v>
      </c>
      <c r="J841" s="28" t="s">
        <v>233</v>
      </c>
      <c r="K841" s="28" t="s">
        <v>234</v>
      </c>
      <c r="L841" s="28" t="n">
        <v>0.18</v>
      </c>
      <c r="M841" s="31" t="n">
        <v>28583.12</v>
      </c>
      <c r="N841" s="31" t="n">
        <v>28564.9</v>
      </c>
      <c r="O841" s="31" t="n">
        <v>28618.26</v>
      </c>
      <c r="P841" s="44" t="n">
        <f aca="false">ABS(M841-N841)</f>
        <v>18.2199999999975</v>
      </c>
      <c r="Q841" s="44" t="n">
        <f aca="false">IF(O841="","",ABS(O841-M841))</f>
        <v>35.1399999999994</v>
      </c>
      <c r="R841" s="30" t="n">
        <f aca="false">P841*L841*Summary!$C$6</f>
        <v>65.5919999999911</v>
      </c>
      <c r="S841" s="31" t="n">
        <v>28582.75</v>
      </c>
      <c r="T841" s="28" t="s">
        <v>238</v>
      </c>
      <c r="U841" s="44" t="n">
        <f aca="false">IF(J841="BUY",S841-M841,M841-S841)</f>
        <v>-0.369999999998981</v>
      </c>
      <c r="V841" s="45" t="n">
        <v>0</v>
      </c>
      <c r="W841" s="45" t="n">
        <v>0</v>
      </c>
      <c r="X841" s="45" t="n">
        <v>-1.33</v>
      </c>
      <c r="Y841" s="32" t="n">
        <f aca="false">IFERROR(X841/R841,0)</f>
        <v>-0.0202768630320798</v>
      </c>
      <c r="Z841" s="28" t="str">
        <f aca="false">IF(X841&gt;0,"Win",IF(X841&lt;0,"Loss","Flat"))</f>
        <v>Loss</v>
      </c>
      <c r="AA841" s="28" t="n">
        <f aca="false">ROUND((C841-B841)*1440,1)</f>
        <v>87.4</v>
      </c>
      <c r="AB841" s="28" t="str">
        <f aca="false">IF(AA841&lt;1,"a) &lt;1 min",IF(AA841&lt;10,"b) 1-10 min",IF(AA841&lt;60,"c) 10-60 min",IF(AA841&lt;240,"d) 1-4 h","e) 4 h+"))))</f>
        <v>d) 1-4 h</v>
      </c>
      <c r="AC841" s="28" t="str">
        <f aca="false">IF(P841&lt;10,"a) &lt;10",IF(P841&lt;20,"b) 10-20",IF(P841&lt;40,"c) 20-40",IF(P841&lt;80,"d) 40-80","e) 80+"))))</f>
        <v>b) 10-20</v>
      </c>
      <c r="AD841" s="30" t="n">
        <f aca="false">Summary!$C$5+SUM(X$2:X841)</f>
        <v>115363.9</v>
      </c>
      <c r="AE841" s="30" t="n">
        <f aca="false">MAX(AE840,AD841)</f>
        <v>116873.04</v>
      </c>
      <c r="AF841" s="30" t="n">
        <f aca="false">AE841-AD841</f>
        <v>1509.14000000001</v>
      </c>
      <c r="AG841" s="29" t="n">
        <f aca="false">IFERROR(AF841/AE841,0)</f>
        <v>0.0129126443532231</v>
      </c>
    </row>
    <row r="842" customFormat="false" ht="15" hidden="false" customHeight="false" outlineLevel="0" collapsed="false">
      <c r="A842" s="28" t="n">
        <v>841</v>
      </c>
      <c r="B842" s="43" t="n">
        <v>46230.725</v>
      </c>
      <c r="C842" s="43" t="n">
        <v>46230.7328240741</v>
      </c>
      <c r="D842" s="42" t="n">
        <f aca="false">INT(C842)</f>
        <v>46230</v>
      </c>
      <c r="E842" s="42" t="n">
        <f aca="false">D842-WEEKDAY(D842,3)</f>
        <v>46230</v>
      </c>
      <c r="F842" s="28" t="s">
        <v>182</v>
      </c>
      <c r="G842" s="28" t="n">
        <v>2026</v>
      </c>
      <c r="H842" s="28" t="s">
        <v>240</v>
      </c>
      <c r="I842" s="28" t="n">
        <v>17</v>
      </c>
      <c r="J842" s="28" t="s">
        <v>236</v>
      </c>
      <c r="K842" s="28" t="s">
        <v>237</v>
      </c>
      <c r="L842" s="28" t="n">
        <v>0.18</v>
      </c>
      <c r="M842" s="31" t="n">
        <v>28030.12</v>
      </c>
      <c r="N842" s="31" t="n">
        <v>28108.23</v>
      </c>
      <c r="O842" s="31" t="n">
        <v>27875.48</v>
      </c>
      <c r="P842" s="44" t="n">
        <f aca="false">ABS(M842-N842)</f>
        <v>78.1100000000006</v>
      </c>
      <c r="Q842" s="44" t="n">
        <f aca="false">IF(O842="","",ABS(O842-M842))</f>
        <v>154.639999999999</v>
      </c>
      <c r="R842" s="30" t="n">
        <f aca="false">P842*L842*Summary!$C$6</f>
        <v>281.196000000002</v>
      </c>
      <c r="S842" s="31" t="n">
        <v>27874.93</v>
      </c>
      <c r="T842" s="28" t="s">
        <v>214</v>
      </c>
      <c r="U842" s="44" t="n">
        <f aca="false">IF(J842="BUY",S842-M842,M842-S842)</f>
        <v>155.189999999999</v>
      </c>
      <c r="V842" s="45" t="n">
        <v>0</v>
      </c>
      <c r="W842" s="45" t="n">
        <v>0</v>
      </c>
      <c r="X842" s="45" t="n">
        <v>558.68</v>
      </c>
      <c r="Y842" s="32" t="n">
        <f aca="false">IFERROR(X842/R842,0)</f>
        <v>1.98679924323246</v>
      </c>
      <c r="Z842" s="28" t="str">
        <f aca="false">IF(X842&gt;0,"Win",IF(X842&lt;0,"Loss","Flat"))</f>
        <v>Win</v>
      </c>
      <c r="AA842" s="28" t="n">
        <f aca="false">ROUND((C842-B842)*1440,1)</f>
        <v>11.3</v>
      </c>
      <c r="AB842" s="28" t="str">
        <f aca="false">IF(AA842&lt;1,"a) &lt;1 min",IF(AA842&lt;10,"b) 1-10 min",IF(AA842&lt;60,"c) 10-60 min",IF(AA842&lt;240,"d) 1-4 h","e) 4 h+"))))</f>
        <v>c) 10-60 min</v>
      </c>
      <c r="AC842" s="28" t="str">
        <f aca="false">IF(P842&lt;10,"a) &lt;10",IF(P842&lt;20,"b) 10-20",IF(P842&lt;40,"c) 20-40",IF(P842&lt;80,"d) 40-80","e) 80+"))))</f>
        <v>d) 40-80</v>
      </c>
      <c r="AD842" s="30" t="n">
        <f aca="false">Summary!$C$5+SUM(X$2:X842)</f>
        <v>115922.58</v>
      </c>
      <c r="AE842" s="30" t="n">
        <f aca="false">MAX(AE841,AD842)</f>
        <v>116873.04</v>
      </c>
      <c r="AF842" s="30" t="n">
        <f aca="false">AE842-AD842</f>
        <v>950.460000000006</v>
      </c>
      <c r="AG842" s="29" t="n">
        <f aca="false">IFERROR(AF842/AE842,0)</f>
        <v>0.00813241445589168</v>
      </c>
    </row>
    <row r="843" customFormat="false" ht="15" hidden="false" customHeight="false" outlineLevel="0" collapsed="false">
      <c r="A843" s="28" t="n">
        <v>842</v>
      </c>
      <c r="B843" s="43" t="n">
        <v>46231.3486111111</v>
      </c>
      <c r="C843" s="43" t="n">
        <v>46231.3549768519</v>
      </c>
      <c r="D843" s="42" t="n">
        <f aca="false">INT(C843)</f>
        <v>46231</v>
      </c>
      <c r="E843" s="42" t="n">
        <f aca="false">D843-WEEKDAY(D843,3)</f>
        <v>46230</v>
      </c>
      <c r="F843" s="28" t="s">
        <v>182</v>
      </c>
      <c r="G843" s="28" t="n">
        <v>2026</v>
      </c>
      <c r="H843" s="28" t="s">
        <v>232</v>
      </c>
      <c r="I843" s="28" t="n">
        <v>8</v>
      </c>
      <c r="J843" s="28" t="s">
        <v>236</v>
      </c>
      <c r="K843" s="28" t="s">
        <v>237</v>
      </c>
      <c r="L843" s="28" t="n">
        <v>0.18</v>
      </c>
      <c r="M843" s="31" t="n">
        <v>27784.63</v>
      </c>
      <c r="N843" s="31" t="n">
        <v>27800.77</v>
      </c>
      <c r="O843" s="31" t="n">
        <v>27752.35</v>
      </c>
      <c r="P843" s="44" t="n">
        <f aca="false">ABS(M843-N843)</f>
        <v>16.1399999999994</v>
      </c>
      <c r="Q843" s="44" t="n">
        <f aca="false">IF(O843="","",ABS(O843-M843))</f>
        <v>32.2800000000025</v>
      </c>
      <c r="R843" s="30" t="n">
        <f aca="false">P843*L843*Summary!$C$6</f>
        <v>58.1039999999979</v>
      </c>
      <c r="S843" s="31" t="n">
        <v>27751.88</v>
      </c>
      <c r="T843" s="28" t="s">
        <v>214</v>
      </c>
      <c r="U843" s="44" t="n">
        <f aca="false">IF(J843="BUY",S843-M843,M843-S843)</f>
        <v>32.75</v>
      </c>
      <c r="V843" s="45" t="n">
        <v>0</v>
      </c>
      <c r="W843" s="45" t="n">
        <v>0</v>
      </c>
      <c r="X843" s="45" t="n">
        <v>117.9</v>
      </c>
      <c r="Y843" s="32" t="n">
        <f aca="false">IFERROR(X843/R843,0)</f>
        <v>2.02912019826525</v>
      </c>
      <c r="Z843" s="28" t="str">
        <f aca="false">IF(X843&gt;0,"Win",IF(X843&lt;0,"Loss","Flat"))</f>
        <v>Win</v>
      </c>
      <c r="AA843" s="28" t="n">
        <f aca="false">ROUND((C843-B843)*1440,1)</f>
        <v>9.2</v>
      </c>
      <c r="AB843" s="28" t="str">
        <f aca="false">IF(AA843&lt;1,"a) &lt;1 min",IF(AA843&lt;10,"b) 1-10 min",IF(AA843&lt;60,"c) 10-60 min",IF(AA843&lt;240,"d) 1-4 h","e) 4 h+"))))</f>
        <v>b) 1-10 min</v>
      </c>
      <c r="AC843" s="28" t="str">
        <f aca="false">IF(P843&lt;10,"a) &lt;10",IF(P843&lt;20,"b) 10-20",IF(P843&lt;40,"c) 20-40",IF(P843&lt;80,"d) 40-80","e) 80+"))))</f>
        <v>b) 10-20</v>
      </c>
      <c r="AD843" s="30" t="n">
        <f aca="false">Summary!$C$5+SUM(X$2:X843)</f>
        <v>116040.48</v>
      </c>
      <c r="AE843" s="30" t="n">
        <f aca="false">MAX(AE842,AD843)</f>
        <v>116873.04</v>
      </c>
      <c r="AF843" s="30" t="n">
        <f aca="false">AE843-AD843</f>
        <v>832.560000000012</v>
      </c>
      <c r="AG843" s="29" t="n">
        <f aca="false">IFERROR(AF843/AE843,0)</f>
        <v>0.00712362748500434</v>
      </c>
    </row>
    <row r="844" customFormat="false" ht="15" hidden="false" customHeight="false" outlineLevel="0" collapsed="false">
      <c r="A844" s="28" t="n">
        <v>843</v>
      </c>
      <c r="B844" s="43" t="n">
        <v>46232.7263888889</v>
      </c>
      <c r="C844" s="43" t="n">
        <v>46232.7313194444</v>
      </c>
      <c r="D844" s="42" t="n">
        <f aca="false">INT(C844)</f>
        <v>46232</v>
      </c>
      <c r="E844" s="42" t="n">
        <f aca="false">D844-WEEKDAY(D844,3)</f>
        <v>46230</v>
      </c>
      <c r="F844" s="28" t="s">
        <v>182</v>
      </c>
      <c r="G844" s="28" t="n">
        <v>2026</v>
      </c>
      <c r="H844" s="28" t="s">
        <v>235</v>
      </c>
      <c r="I844" s="28" t="n">
        <v>17</v>
      </c>
      <c r="J844" s="28" t="s">
        <v>236</v>
      </c>
      <c r="K844" s="28" t="s">
        <v>237</v>
      </c>
      <c r="L844" s="28" t="n">
        <v>0.19</v>
      </c>
      <c r="M844" s="31" t="n">
        <v>27430.39</v>
      </c>
      <c r="N844" s="31" t="n">
        <v>27499.63</v>
      </c>
      <c r="O844" s="31" t="n">
        <v>27291.92</v>
      </c>
      <c r="P844" s="44" t="n">
        <f aca="false">ABS(M844-N844)</f>
        <v>69.2400000000016</v>
      </c>
      <c r="Q844" s="44" t="n">
        <f aca="false">IF(O844="","",ABS(O844-M844))</f>
        <v>138.470000000001</v>
      </c>
      <c r="R844" s="30" t="n">
        <f aca="false">P844*L844*Summary!$C$6</f>
        <v>263.112000000006</v>
      </c>
      <c r="S844" s="31" t="n">
        <v>27500.28</v>
      </c>
      <c r="T844" s="28" t="s">
        <v>241</v>
      </c>
      <c r="U844" s="44" t="n">
        <f aca="false">IF(J844="BUY",S844-M844,M844-S844)</f>
        <v>-69.8899999999994</v>
      </c>
      <c r="V844" s="45" t="n">
        <v>0</v>
      </c>
      <c r="W844" s="45" t="n">
        <v>0</v>
      </c>
      <c r="X844" s="45" t="n">
        <v>-265.58</v>
      </c>
      <c r="Y844" s="32" t="n">
        <f aca="false">IFERROR(X844/R844,0)</f>
        <v>-1.00938003587823</v>
      </c>
      <c r="Z844" s="28" t="str">
        <f aca="false">IF(X844&gt;0,"Win",IF(X844&lt;0,"Loss","Flat"))</f>
        <v>Loss</v>
      </c>
      <c r="AA844" s="28" t="n">
        <f aca="false">ROUND((C844-B844)*1440,1)</f>
        <v>7.1</v>
      </c>
      <c r="AB844" s="28" t="str">
        <f aca="false">IF(AA844&lt;1,"a) &lt;1 min",IF(AA844&lt;10,"b) 1-10 min",IF(AA844&lt;60,"c) 10-60 min",IF(AA844&lt;240,"d) 1-4 h","e) 4 h+"))))</f>
        <v>b) 1-10 min</v>
      </c>
      <c r="AC844" s="28" t="str">
        <f aca="false">IF(P844&lt;10,"a) &lt;10",IF(P844&lt;20,"b) 10-20",IF(P844&lt;40,"c) 20-40",IF(P844&lt;80,"d) 40-80","e) 80+"))))</f>
        <v>d) 40-80</v>
      </c>
      <c r="AD844" s="30" t="n">
        <f aca="false">Summary!$C$5+SUM(X$2:X844)</f>
        <v>115774.9</v>
      </c>
      <c r="AE844" s="30" t="n">
        <f aca="false">MAX(AE843,AD844)</f>
        <v>116873.04</v>
      </c>
      <c r="AF844" s="30" t="n">
        <f aca="false">AE844-AD844</f>
        <v>1098.14000000001</v>
      </c>
      <c r="AG844" s="29" t="n">
        <f aca="false">IFERROR(AF844/AE844,0)</f>
        <v>0.00939600783893372</v>
      </c>
    </row>
    <row r="845" customFormat="false" ht="15" hidden="false" customHeight="false" outlineLevel="0" collapsed="false">
      <c r="A845" s="28" t="n">
        <v>844</v>
      </c>
      <c r="B845" s="43" t="n">
        <v>46233.7097222222</v>
      </c>
      <c r="C845" s="43" t="n">
        <v>46233.7139930556</v>
      </c>
      <c r="D845" s="42" t="n">
        <f aca="false">INT(C845)</f>
        <v>46233</v>
      </c>
      <c r="E845" s="42" t="n">
        <f aca="false">D845-WEEKDAY(D845,3)</f>
        <v>46230</v>
      </c>
      <c r="F845" s="28" t="s">
        <v>182</v>
      </c>
      <c r="G845" s="28" t="n">
        <v>2026</v>
      </c>
      <c r="H845" s="28" t="s">
        <v>239</v>
      </c>
      <c r="I845" s="28" t="n">
        <v>17</v>
      </c>
      <c r="J845" s="28" t="s">
        <v>233</v>
      </c>
      <c r="K845" s="28" t="s">
        <v>234</v>
      </c>
      <c r="L845" s="28" t="n">
        <v>0.18</v>
      </c>
      <c r="M845" s="31" t="n">
        <v>28030.02</v>
      </c>
      <c r="N845" s="31" t="n">
        <v>27962.13</v>
      </c>
      <c r="O845" s="31" t="n">
        <v>28165.8</v>
      </c>
      <c r="P845" s="44" t="n">
        <f aca="false">ABS(M845-N845)</f>
        <v>67.8899999999994</v>
      </c>
      <c r="Q845" s="44" t="n">
        <f aca="false">IF(O845="","",ABS(O845-M845))</f>
        <v>135.779999999999</v>
      </c>
      <c r="R845" s="30" t="n">
        <f aca="false">P845*L845*Summary!$C$6</f>
        <v>244.403999999998</v>
      </c>
      <c r="S845" s="31" t="n">
        <v>27961.53</v>
      </c>
      <c r="T845" s="28" t="s">
        <v>241</v>
      </c>
      <c r="U845" s="44" t="n">
        <f aca="false">IF(J845="BUY",S845-M845,M845-S845)</f>
        <v>-68.4900000000016</v>
      </c>
      <c r="V845" s="45" t="n">
        <v>0</v>
      </c>
      <c r="W845" s="45" t="n">
        <v>0</v>
      </c>
      <c r="X845" s="45" t="n">
        <v>-246.56</v>
      </c>
      <c r="Y845" s="32" t="n">
        <f aca="false">IFERROR(X845/R845,0)</f>
        <v>-1.00882145955059</v>
      </c>
      <c r="Z845" s="28" t="str">
        <f aca="false">IF(X845&gt;0,"Win",IF(X845&lt;0,"Loss","Flat"))</f>
        <v>Loss</v>
      </c>
      <c r="AA845" s="28" t="n">
        <f aca="false">ROUND((C845-B845)*1440,1)</f>
        <v>6.2</v>
      </c>
      <c r="AB845" s="28" t="str">
        <f aca="false">IF(AA845&lt;1,"a) &lt;1 min",IF(AA845&lt;10,"b) 1-10 min",IF(AA845&lt;60,"c) 10-60 min",IF(AA845&lt;240,"d) 1-4 h","e) 4 h+"))))</f>
        <v>b) 1-10 min</v>
      </c>
      <c r="AC845" s="28" t="str">
        <f aca="false">IF(P845&lt;10,"a) &lt;10",IF(P845&lt;20,"b) 10-20",IF(P845&lt;40,"c) 20-40",IF(P845&lt;80,"d) 40-80","e) 80+"))))</f>
        <v>d) 40-80</v>
      </c>
      <c r="AD845" s="30" t="n">
        <f aca="false">Summary!$C$5+SUM(X$2:X845)</f>
        <v>115528.34</v>
      </c>
      <c r="AE845" s="30" t="n">
        <f aca="false">MAX(AE844,AD845)</f>
        <v>116873.04</v>
      </c>
      <c r="AF845" s="30" t="n">
        <f aca="false">AE845-AD845</f>
        <v>1344.70000000001</v>
      </c>
      <c r="AG845" s="29" t="n">
        <f aca="false">IFERROR(AF845/AE845,0)</f>
        <v>0.0115056474957784</v>
      </c>
    </row>
    <row r="846" customFormat="false" ht="15" hidden="false" customHeight="false" outlineLevel="0" collapsed="false">
      <c r="A846" s="28" t="n">
        <v>845</v>
      </c>
      <c r="B846" s="43" t="n">
        <v>46234.0430555556</v>
      </c>
      <c r="C846" s="43" t="n">
        <v>46234.0635185185</v>
      </c>
      <c r="D846" s="42" t="n">
        <f aca="false">INT(C846)</f>
        <v>46234</v>
      </c>
      <c r="E846" s="42" t="n">
        <f aca="false">D846-WEEKDAY(D846,3)</f>
        <v>46230</v>
      </c>
      <c r="F846" s="28" t="s">
        <v>182</v>
      </c>
      <c r="G846" s="28" t="n">
        <v>2026</v>
      </c>
      <c r="H846" s="28" t="s">
        <v>242</v>
      </c>
      <c r="I846" s="28" t="n">
        <v>1</v>
      </c>
      <c r="J846" s="28" t="s">
        <v>233</v>
      </c>
      <c r="K846" s="28" t="s">
        <v>234</v>
      </c>
      <c r="L846" s="28" t="n">
        <v>0.18</v>
      </c>
      <c r="M846" s="31" t="n">
        <v>28265.88</v>
      </c>
      <c r="N846" s="31" t="n">
        <v>28213.3</v>
      </c>
      <c r="O846" s="31" t="n">
        <v>28371.04</v>
      </c>
      <c r="P846" s="44" t="n">
        <f aca="false">ABS(M846-N846)</f>
        <v>52.5800000000017</v>
      </c>
      <c r="Q846" s="44" t="n">
        <f aca="false">IF(O846="","",ABS(O846-M846))</f>
        <v>105.16</v>
      </c>
      <c r="R846" s="30" t="n">
        <f aca="false">P846*L846*Summary!$C$6</f>
        <v>189.288000000006</v>
      </c>
      <c r="S846" s="31" t="n">
        <v>28212.69</v>
      </c>
      <c r="T846" s="28" t="s">
        <v>241</v>
      </c>
      <c r="U846" s="44" t="n">
        <f aca="false">IF(J846="BUY",S846-M846,M846-S846)</f>
        <v>-53.1900000000023</v>
      </c>
      <c r="V846" s="45" t="n">
        <v>0</v>
      </c>
      <c r="W846" s="45" t="n">
        <v>0</v>
      </c>
      <c r="X846" s="45" t="n">
        <v>-191.48</v>
      </c>
      <c r="Y846" s="32" t="n">
        <f aca="false">IFERROR(X846/R846,0)</f>
        <v>-1.01158023752163</v>
      </c>
      <c r="Z846" s="28" t="str">
        <f aca="false">IF(X846&gt;0,"Win",IF(X846&lt;0,"Loss","Flat"))</f>
        <v>Loss</v>
      </c>
      <c r="AA846" s="28" t="n">
        <f aca="false">ROUND((C846-B846)*1440,1)</f>
        <v>29.5</v>
      </c>
      <c r="AB846" s="28" t="str">
        <f aca="false">IF(AA846&lt;1,"a) &lt;1 min",IF(AA846&lt;10,"b) 1-10 min",IF(AA846&lt;60,"c) 10-60 min",IF(AA846&lt;240,"d) 1-4 h","e) 4 h+"))))</f>
        <v>c) 10-60 min</v>
      </c>
      <c r="AC846" s="28" t="str">
        <f aca="false">IF(P846&lt;10,"a) &lt;10",IF(P846&lt;20,"b) 10-20",IF(P846&lt;40,"c) 20-40",IF(P846&lt;80,"d) 40-80","e) 80+"))))</f>
        <v>d) 40-80</v>
      </c>
      <c r="AD846" s="30" t="n">
        <f aca="false">Summary!$C$5+SUM(X$2:X846)</f>
        <v>115336.86</v>
      </c>
      <c r="AE846" s="30" t="n">
        <f aca="false">MAX(AE845,AD846)</f>
        <v>116873.04</v>
      </c>
      <c r="AF846" s="30" t="n">
        <f aca="false">AE846-AD846</f>
        <v>1536.18000000001</v>
      </c>
      <c r="AG846" s="29" t="n">
        <f aca="false">IFERROR(AF846/AE846,0)</f>
        <v>0.013144006521949</v>
      </c>
    </row>
    <row r="847" customFormat="false" ht="15" hidden="false" customHeight="false" outlineLevel="0" collapsed="false">
      <c r="A847" s="28" t="n">
        <v>846</v>
      </c>
      <c r="B847" s="43" t="n">
        <v>46237.7368055556</v>
      </c>
      <c r="C847" s="43" t="n">
        <v>46237.7456134259</v>
      </c>
      <c r="D847" s="42" t="n">
        <f aca="false">INT(C847)</f>
        <v>46237</v>
      </c>
      <c r="E847" s="42" t="n">
        <f aca="false">D847-WEEKDAY(D847,3)</f>
        <v>46237</v>
      </c>
      <c r="F847" s="28" t="s">
        <v>183</v>
      </c>
      <c r="G847" s="28" t="n">
        <v>2026</v>
      </c>
      <c r="H847" s="28" t="s">
        <v>240</v>
      </c>
      <c r="I847" s="28" t="n">
        <v>17</v>
      </c>
      <c r="J847" s="28" t="s">
        <v>233</v>
      </c>
      <c r="K847" s="28" t="s">
        <v>234</v>
      </c>
      <c r="L847" s="28" t="n">
        <v>0.18</v>
      </c>
      <c r="M847" s="31" t="n">
        <v>28601.58</v>
      </c>
      <c r="N847" s="31" t="n">
        <v>28568.36</v>
      </c>
      <c r="O847" s="31" t="n">
        <v>28668.29</v>
      </c>
      <c r="P847" s="44" t="n">
        <f aca="false">ABS(M847-N847)</f>
        <v>33.2200000000012</v>
      </c>
      <c r="Q847" s="44" t="n">
        <f aca="false">IF(O847="","",ABS(O847-M847))</f>
        <v>66.7099999999991</v>
      </c>
      <c r="R847" s="30" t="n">
        <f aca="false">P847*L847*Summary!$C$6</f>
        <v>119.592000000004</v>
      </c>
      <c r="S847" s="31" t="n">
        <v>28669.13</v>
      </c>
      <c r="T847" s="28" t="s">
        <v>214</v>
      </c>
      <c r="U847" s="44" t="n">
        <f aca="false">IF(J847="BUY",S847-M847,M847-S847)</f>
        <v>67.5499999999993</v>
      </c>
      <c r="V847" s="45" t="n">
        <v>0</v>
      </c>
      <c r="W847" s="45" t="n">
        <v>0</v>
      </c>
      <c r="X847" s="45" t="n">
        <v>243.18</v>
      </c>
      <c r="Y847" s="32" t="n">
        <f aca="false">IFERROR(X847/R847,0)</f>
        <v>2.03341360626122</v>
      </c>
      <c r="Z847" s="28" t="str">
        <f aca="false">IF(X847&gt;0,"Win",IF(X847&lt;0,"Loss","Flat"))</f>
        <v>Win</v>
      </c>
      <c r="AA847" s="28" t="n">
        <f aca="false">ROUND((C847-B847)*1440,1)</f>
        <v>12.7</v>
      </c>
      <c r="AB847" s="28" t="str">
        <f aca="false">IF(AA847&lt;1,"a) &lt;1 min",IF(AA847&lt;10,"b) 1-10 min",IF(AA847&lt;60,"c) 10-60 min",IF(AA847&lt;240,"d) 1-4 h","e) 4 h+"))))</f>
        <v>c) 10-60 min</v>
      </c>
      <c r="AC847" s="28" t="str">
        <f aca="false">IF(P847&lt;10,"a) &lt;10",IF(P847&lt;20,"b) 10-20",IF(P847&lt;40,"c) 20-40",IF(P847&lt;80,"d) 40-80","e) 80+"))))</f>
        <v>c) 20-40</v>
      </c>
      <c r="AD847" s="30" t="n">
        <f aca="false">Summary!$C$5+SUM(X$2:X847)</f>
        <v>115580.04</v>
      </c>
      <c r="AE847" s="30" t="n">
        <f aca="false">MAX(AE846,AD847)</f>
        <v>116873.04</v>
      </c>
      <c r="AF847" s="30" t="n">
        <f aca="false">AE847-AD847</f>
        <v>1293</v>
      </c>
      <c r="AG847" s="29" t="n">
        <f aca="false">IFERROR(AF847/AE847,0)</f>
        <v>0.011063287136195</v>
      </c>
    </row>
    <row r="848" customFormat="false" ht="15" hidden="false" customHeight="false" outlineLevel="0" collapsed="false">
      <c r="A848" s="28" t="n">
        <v>847</v>
      </c>
      <c r="B848" s="43" t="n">
        <v>46238.1243055556</v>
      </c>
      <c r="C848" s="43" t="n">
        <v>46238.1252893519</v>
      </c>
      <c r="D848" s="42" t="n">
        <f aca="false">INT(C848)</f>
        <v>46238</v>
      </c>
      <c r="E848" s="42" t="n">
        <f aca="false">D848-WEEKDAY(D848,3)</f>
        <v>46237</v>
      </c>
      <c r="F848" s="28" t="s">
        <v>183</v>
      </c>
      <c r="G848" s="28" t="n">
        <v>2026</v>
      </c>
      <c r="H848" s="28" t="s">
        <v>232</v>
      </c>
      <c r="I848" s="28" t="n">
        <v>2</v>
      </c>
      <c r="J848" s="28" t="s">
        <v>233</v>
      </c>
      <c r="K848" s="28" t="s">
        <v>234</v>
      </c>
      <c r="L848" s="28" t="n">
        <v>0.18</v>
      </c>
      <c r="M848" s="31" t="n">
        <v>28839.54</v>
      </c>
      <c r="N848" s="31" t="n">
        <v>28825.87</v>
      </c>
      <c r="O848" s="31" t="n">
        <v>28866.88</v>
      </c>
      <c r="P848" s="44" t="n">
        <f aca="false">ABS(M848-N848)</f>
        <v>13.6700000000019</v>
      </c>
      <c r="Q848" s="44" t="n">
        <f aca="false">IF(O848="","",ABS(O848-M848))</f>
        <v>27.3400000000001</v>
      </c>
      <c r="R848" s="30" t="n">
        <f aca="false">P848*L848*Summary!$C$6</f>
        <v>49.2120000000068</v>
      </c>
      <c r="S848" s="31" t="n">
        <v>28825.04</v>
      </c>
      <c r="T848" s="28" t="s">
        <v>241</v>
      </c>
      <c r="U848" s="44" t="n">
        <f aca="false">IF(J848="BUY",S848-M848,M848-S848)</f>
        <v>-14.5</v>
      </c>
      <c r="V848" s="45" t="n">
        <v>0</v>
      </c>
      <c r="W848" s="45" t="n">
        <v>0</v>
      </c>
      <c r="X848" s="45" t="n">
        <v>-52.2</v>
      </c>
      <c r="Y848" s="32" t="n">
        <f aca="false">IFERROR(X848/R848,0)</f>
        <v>-1.06071689831734</v>
      </c>
      <c r="Z848" s="28" t="str">
        <f aca="false">IF(X848&gt;0,"Win",IF(X848&lt;0,"Loss","Flat"))</f>
        <v>Loss</v>
      </c>
      <c r="AA848" s="28" t="n">
        <f aca="false">ROUND((C848-B848)*1440,1)</f>
        <v>1.4</v>
      </c>
      <c r="AB848" s="28" t="str">
        <f aca="false">IF(AA848&lt;1,"a) &lt;1 min",IF(AA848&lt;10,"b) 1-10 min",IF(AA848&lt;60,"c) 10-60 min",IF(AA848&lt;240,"d) 1-4 h","e) 4 h+"))))</f>
        <v>b) 1-10 min</v>
      </c>
      <c r="AC848" s="28" t="str">
        <f aca="false">IF(P848&lt;10,"a) &lt;10",IF(P848&lt;20,"b) 10-20",IF(P848&lt;40,"c) 20-40",IF(P848&lt;80,"d) 40-80","e) 80+"))))</f>
        <v>b) 10-20</v>
      </c>
      <c r="AD848" s="30" t="n">
        <f aca="false">Summary!$C$5+SUM(X$2:X848)</f>
        <v>115527.84</v>
      </c>
      <c r="AE848" s="30" t="n">
        <f aca="false">MAX(AE847,AD848)</f>
        <v>116873.04</v>
      </c>
      <c r="AF848" s="30" t="n">
        <f aca="false">AE848-AD848</f>
        <v>1345.20000000001</v>
      </c>
      <c r="AG848" s="29" t="n">
        <f aca="false">IFERROR(AF848/AE848,0)</f>
        <v>0.0115099256423895</v>
      </c>
    </row>
    <row r="849" customFormat="false" ht="15" hidden="false" customHeight="false" outlineLevel="0" collapsed="false">
      <c r="A849" s="28" t="n">
        <v>848</v>
      </c>
      <c r="B849" s="43" t="n">
        <v>46239.3694444444</v>
      </c>
      <c r="C849" s="43" t="n">
        <v>46239.3747800926</v>
      </c>
      <c r="D849" s="42" t="n">
        <f aca="false">INT(C849)</f>
        <v>46239</v>
      </c>
      <c r="E849" s="42" t="n">
        <f aca="false">D849-WEEKDAY(D849,3)</f>
        <v>46237</v>
      </c>
      <c r="F849" s="28" t="s">
        <v>183</v>
      </c>
      <c r="G849" s="28" t="n">
        <v>2026</v>
      </c>
      <c r="H849" s="28" t="s">
        <v>235</v>
      </c>
      <c r="I849" s="28" t="n">
        <v>8</v>
      </c>
      <c r="J849" s="28" t="s">
        <v>233</v>
      </c>
      <c r="K849" s="28" t="s">
        <v>234</v>
      </c>
      <c r="L849" s="28" t="n">
        <v>0.17</v>
      </c>
      <c r="M849" s="31" t="n">
        <v>29838.69</v>
      </c>
      <c r="N849" s="31" t="n">
        <v>29828.51</v>
      </c>
      <c r="O849" s="31" t="n">
        <v>29859.04</v>
      </c>
      <c r="P849" s="44" t="n">
        <f aca="false">ABS(M849-N849)</f>
        <v>10.1800000000003</v>
      </c>
      <c r="Q849" s="44" t="n">
        <f aca="false">IF(O849="","",ABS(O849-M849))</f>
        <v>20.3500000000022</v>
      </c>
      <c r="R849" s="30" t="n">
        <f aca="false">P849*L849*Summary!$C$6</f>
        <v>34.612000000001</v>
      </c>
      <c r="S849" s="31" t="n">
        <v>29859.19</v>
      </c>
      <c r="T849" s="28" t="s">
        <v>214</v>
      </c>
      <c r="U849" s="44" t="n">
        <f aca="false">IF(J849="BUY",S849-M849,M849-S849)</f>
        <v>20.5</v>
      </c>
      <c r="V849" s="45" t="n">
        <v>0</v>
      </c>
      <c r="W849" s="45" t="n">
        <v>0</v>
      </c>
      <c r="X849" s="45" t="n">
        <v>69.7</v>
      </c>
      <c r="Y849" s="32" t="n">
        <f aca="false">IFERROR(X849/R849,0)</f>
        <v>2.01375245579562</v>
      </c>
      <c r="Z849" s="28" t="str">
        <f aca="false">IF(X849&gt;0,"Win",IF(X849&lt;0,"Loss","Flat"))</f>
        <v>Win</v>
      </c>
      <c r="AA849" s="28" t="n">
        <f aca="false">ROUND((C849-B849)*1440,1)</f>
        <v>7.7</v>
      </c>
      <c r="AB849" s="28" t="str">
        <f aca="false">IF(AA849&lt;1,"a) &lt;1 min",IF(AA849&lt;10,"b) 1-10 min",IF(AA849&lt;60,"c) 10-60 min",IF(AA849&lt;240,"d) 1-4 h","e) 4 h+"))))</f>
        <v>b) 1-10 min</v>
      </c>
      <c r="AC849" s="28" t="str">
        <f aca="false">IF(P849&lt;10,"a) &lt;10",IF(P849&lt;20,"b) 10-20",IF(P849&lt;40,"c) 20-40",IF(P849&lt;80,"d) 40-80","e) 80+"))))</f>
        <v>b) 10-20</v>
      </c>
      <c r="AD849" s="30" t="n">
        <f aca="false">Summary!$C$5+SUM(X$2:X849)</f>
        <v>115597.54</v>
      </c>
      <c r="AE849" s="30" t="n">
        <f aca="false">MAX(AE848,AD849)</f>
        <v>116873.04</v>
      </c>
      <c r="AF849" s="30" t="n">
        <f aca="false">AE849-AD849</f>
        <v>1275.5</v>
      </c>
      <c r="AG849" s="29" t="n">
        <f aca="false">IFERROR(AF849/AE849,0)</f>
        <v>0.010913552004808</v>
      </c>
    </row>
    <row r="850" customFormat="false" ht="15" hidden="false" customHeight="false" outlineLevel="0" collapsed="false">
      <c r="A850" s="28" t="n">
        <v>849</v>
      </c>
      <c r="B850" s="43" t="n">
        <v>46240.1673611111</v>
      </c>
      <c r="C850" s="43" t="n">
        <v>46240.1721990741</v>
      </c>
      <c r="D850" s="42" t="n">
        <f aca="false">INT(C850)</f>
        <v>46240</v>
      </c>
      <c r="E850" s="42" t="n">
        <f aca="false">D850-WEEKDAY(D850,3)</f>
        <v>46237</v>
      </c>
      <c r="F850" s="28" t="s">
        <v>183</v>
      </c>
      <c r="G850" s="28" t="n">
        <v>2026</v>
      </c>
      <c r="H850" s="28" t="s">
        <v>239</v>
      </c>
      <c r="I850" s="28" t="n">
        <v>4</v>
      </c>
      <c r="J850" s="28" t="s">
        <v>236</v>
      </c>
      <c r="K850" s="28" t="s">
        <v>237</v>
      </c>
      <c r="L850" s="28" t="n">
        <v>0.17</v>
      </c>
      <c r="M850" s="31" t="n">
        <v>29402.53</v>
      </c>
      <c r="N850" s="31" t="n">
        <v>29421.06</v>
      </c>
      <c r="O850" s="31" t="n">
        <v>29365.47</v>
      </c>
      <c r="P850" s="44" t="n">
        <f aca="false">ABS(M850-N850)</f>
        <v>18.5300000000025</v>
      </c>
      <c r="Q850" s="44" t="n">
        <f aca="false">IF(O850="","",ABS(O850-M850))</f>
        <v>37.0599999999977</v>
      </c>
      <c r="R850" s="30" t="n">
        <f aca="false">P850*L850*Summary!$C$6</f>
        <v>63.0020000000084</v>
      </c>
      <c r="S850" s="31" t="n">
        <v>29403.1</v>
      </c>
      <c r="T850" s="28" t="s">
        <v>238</v>
      </c>
      <c r="U850" s="44" t="n">
        <f aca="false">IF(J850="BUY",S850-M850,M850-S850)</f>
        <v>-0.569999999999709</v>
      </c>
      <c r="V850" s="45" t="n">
        <v>0</v>
      </c>
      <c r="W850" s="45" t="n">
        <v>0</v>
      </c>
      <c r="X850" s="45" t="n">
        <v>-1.94</v>
      </c>
      <c r="Y850" s="32" t="n">
        <f aca="false">IFERROR(X850/R850,0)</f>
        <v>-0.0307926732484642</v>
      </c>
      <c r="Z850" s="28" t="str">
        <f aca="false">IF(X850&gt;0,"Win",IF(X850&lt;0,"Loss","Flat"))</f>
        <v>Loss</v>
      </c>
      <c r="AA850" s="28" t="n">
        <f aca="false">ROUND((C850-B850)*1440,1)</f>
        <v>7</v>
      </c>
      <c r="AB850" s="28" t="str">
        <f aca="false">IF(AA850&lt;1,"a) &lt;1 min",IF(AA850&lt;10,"b) 1-10 min",IF(AA850&lt;60,"c) 10-60 min",IF(AA850&lt;240,"d) 1-4 h","e) 4 h+"))))</f>
        <v>b) 1-10 min</v>
      </c>
      <c r="AC850" s="28" t="str">
        <f aca="false">IF(P850&lt;10,"a) &lt;10",IF(P850&lt;20,"b) 10-20",IF(P850&lt;40,"c) 20-40",IF(P850&lt;80,"d) 40-80","e) 80+"))))</f>
        <v>b) 10-20</v>
      </c>
      <c r="AD850" s="30" t="n">
        <f aca="false">Summary!$C$5+SUM(X$2:X850)</f>
        <v>115595.6</v>
      </c>
      <c r="AE850" s="30" t="n">
        <f aca="false">MAX(AE849,AD850)</f>
        <v>116873.04</v>
      </c>
      <c r="AF850" s="30" t="n">
        <f aca="false">AE850-AD850</f>
        <v>1277.44</v>
      </c>
      <c r="AG850" s="29" t="n">
        <f aca="false">IFERROR(AF850/AE850,0)</f>
        <v>0.0109301512136589</v>
      </c>
    </row>
    <row r="851" customFormat="false" ht="15" hidden="false" customHeight="false" outlineLevel="0" collapsed="false">
      <c r="A851" s="28" t="n">
        <v>850</v>
      </c>
      <c r="B851" s="43" t="n">
        <v>46241.6465277778</v>
      </c>
      <c r="C851" s="43" t="n">
        <v>46241.6548842593</v>
      </c>
      <c r="D851" s="42" t="n">
        <f aca="false">INT(C851)</f>
        <v>46241</v>
      </c>
      <c r="E851" s="42" t="n">
        <f aca="false">D851-WEEKDAY(D851,3)</f>
        <v>46237</v>
      </c>
      <c r="F851" s="28" t="s">
        <v>183</v>
      </c>
      <c r="G851" s="28" t="n">
        <v>2026</v>
      </c>
      <c r="H851" s="28" t="s">
        <v>242</v>
      </c>
      <c r="I851" s="28" t="n">
        <v>15</v>
      </c>
      <c r="J851" s="28" t="s">
        <v>233</v>
      </c>
      <c r="K851" s="28" t="s">
        <v>234</v>
      </c>
      <c r="L851" s="28" t="n">
        <v>0.17</v>
      </c>
      <c r="M851" s="31" t="n">
        <v>29604.22</v>
      </c>
      <c r="N851" s="31" t="n">
        <v>29557.59</v>
      </c>
      <c r="O851" s="31" t="n">
        <v>29700.27</v>
      </c>
      <c r="P851" s="44" t="n">
        <f aca="false">ABS(M851-N851)</f>
        <v>46.630000000001</v>
      </c>
      <c r="Q851" s="44" t="n">
        <f aca="false">IF(O851="","",ABS(O851-M851))</f>
        <v>96.0499999999993</v>
      </c>
      <c r="R851" s="30" t="n">
        <f aca="false">P851*L851*Summary!$C$6</f>
        <v>158.542000000003</v>
      </c>
      <c r="S851" s="31" t="n">
        <v>29701.1</v>
      </c>
      <c r="T851" s="28" t="s">
        <v>214</v>
      </c>
      <c r="U851" s="44" t="n">
        <f aca="false">IF(J851="BUY",S851-M851,M851-S851)</f>
        <v>96.8799999999974</v>
      </c>
      <c r="V851" s="45" t="n">
        <v>0</v>
      </c>
      <c r="W851" s="45" t="n">
        <v>0</v>
      </c>
      <c r="X851" s="45" t="n">
        <v>329.39</v>
      </c>
      <c r="Y851" s="32" t="n">
        <f aca="false">IFERROR(X851/R851,0)</f>
        <v>2.07761981052335</v>
      </c>
      <c r="Z851" s="28" t="str">
        <f aca="false">IF(X851&gt;0,"Win",IF(X851&lt;0,"Loss","Flat"))</f>
        <v>Win</v>
      </c>
      <c r="AA851" s="28" t="n">
        <f aca="false">ROUND((C851-B851)*1440,1)</f>
        <v>12</v>
      </c>
      <c r="AB851" s="28" t="str">
        <f aca="false">IF(AA851&lt;1,"a) &lt;1 min",IF(AA851&lt;10,"b) 1-10 min",IF(AA851&lt;60,"c) 10-60 min",IF(AA851&lt;240,"d) 1-4 h","e) 4 h+"))))</f>
        <v>c) 10-60 min</v>
      </c>
      <c r="AC851" s="28" t="str">
        <f aca="false">IF(P851&lt;10,"a) &lt;10",IF(P851&lt;20,"b) 10-20",IF(P851&lt;40,"c) 20-40",IF(P851&lt;80,"d) 40-80","e) 80+"))))</f>
        <v>d) 40-80</v>
      </c>
      <c r="AD851" s="30" t="n">
        <f aca="false">Summary!$C$5+SUM(X$2:X851)</f>
        <v>115924.99</v>
      </c>
      <c r="AE851" s="30" t="n">
        <f aca="false">MAX(AE850,AD851)</f>
        <v>116873.04</v>
      </c>
      <c r="AF851" s="30" t="n">
        <f aca="false">AE851-AD851</f>
        <v>948.050000000003</v>
      </c>
      <c r="AG851" s="29" t="n">
        <f aca="false">IFERROR(AF851/AE851,0)</f>
        <v>0.00811179378922635</v>
      </c>
    </row>
    <row r="852" customFormat="false" ht="15" hidden="false" customHeight="false" outlineLevel="0" collapsed="false">
      <c r="A852" s="28" t="n">
        <v>851</v>
      </c>
      <c r="B852" s="43" t="n">
        <v>46244.0423611111</v>
      </c>
      <c r="C852" s="43" t="n">
        <v>46244.0453240741</v>
      </c>
      <c r="D852" s="42" t="n">
        <f aca="false">INT(C852)</f>
        <v>46244</v>
      </c>
      <c r="E852" s="42" t="n">
        <f aca="false">D852-WEEKDAY(D852,3)</f>
        <v>46244</v>
      </c>
      <c r="F852" s="28" t="s">
        <v>183</v>
      </c>
      <c r="G852" s="28" t="n">
        <v>2026</v>
      </c>
      <c r="H852" s="28" t="s">
        <v>240</v>
      </c>
      <c r="I852" s="28" t="n">
        <v>1</v>
      </c>
      <c r="J852" s="28" t="s">
        <v>233</v>
      </c>
      <c r="K852" s="28" t="s">
        <v>234</v>
      </c>
      <c r="L852" s="28" t="n">
        <v>0.17</v>
      </c>
      <c r="M852" s="31" t="n">
        <v>29765.43</v>
      </c>
      <c r="N852" s="31" t="n">
        <v>29739.99</v>
      </c>
      <c r="O852" s="31" t="n">
        <v>29816.31</v>
      </c>
      <c r="P852" s="44" t="n">
        <f aca="false">ABS(M852-N852)</f>
        <v>25.4399999999987</v>
      </c>
      <c r="Q852" s="44" t="n">
        <f aca="false">IF(O852="","",ABS(O852-M852))</f>
        <v>50.880000000001</v>
      </c>
      <c r="R852" s="30" t="n">
        <f aca="false">P852*L852*Summary!$C$6</f>
        <v>86.4959999999956</v>
      </c>
      <c r="S852" s="31" t="n">
        <v>29738.28</v>
      </c>
      <c r="T852" s="28" t="s">
        <v>241</v>
      </c>
      <c r="U852" s="44" t="n">
        <f aca="false">IF(J852="BUY",S852-M852,M852-S852)</f>
        <v>-27.1500000000015</v>
      </c>
      <c r="V852" s="45" t="n">
        <v>0</v>
      </c>
      <c r="W852" s="45" t="n">
        <v>0</v>
      </c>
      <c r="X852" s="45" t="n">
        <v>-92.31</v>
      </c>
      <c r="Y852" s="32" t="n">
        <f aca="false">IFERROR(X852/R852,0)</f>
        <v>-1.06721698113213</v>
      </c>
      <c r="Z852" s="28" t="str">
        <f aca="false">IF(X852&gt;0,"Win",IF(X852&lt;0,"Loss","Flat"))</f>
        <v>Loss</v>
      </c>
      <c r="AA852" s="28" t="n">
        <f aca="false">ROUND((C852-B852)*1440,1)</f>
        <v>4.3</v>
      </c>
      <c r="AB852" s="28" t="str">
        <f aca="false">IF(AA852&lt;1,"a) &lt;1 min",IF(AA852&lt;10,"b) 1-10 min",IF(AA852&lt;60,"c) 10-60 min",IF(AA852&lt;240,"d) 1-4 h","e) 4 h+"))))</f>
        <v>b) 1-10 min</v>
      </c>
      <c r="AC852" s="28" t="str">
        <f aca="false">IF(P852&lt;10,"a) &lt;10",IF(P852&lt;20,"b) 10-20",IF(P852&lt;40,"c) 20-40",IF(P852&lt;80,"d) 40-80","e) 80+"))))</f>
        <v>c) 20-40</v>
      </c>
      <c r="AD852" s="30" t="n">
        <f aca="false">Summary!$C$5+SUM(X$2:X852)</f>
        <v>115832.68</v>
      </c>
      <c r="AE852" s="30" t="n">
        <f aca="false">MAX(AE851,AD852)</f>
        <v>116873.04</v>
      </c>
      <c r="AF852" s="30" t="n">
        <f aca="false">AE852-AD852</f>
        <v>1040.36000000002</v>
      </c>
      <c r="AG852" s="29" t="n">
        <f aca="false">IFERROR(AF852/AE852,0)</f>
        <v>0.00890162521655991</v>
      </c>
    </row>
    <row r="853" customFormat="false" ht="15" hidden="false" customHeight="false" outlineLevel="0" collapsed="false">
      <c r="A853" s="28" t="n">
        <v>852</v>
      </c>
      <c r="B853" s="43" t="n">
        <v>46245.0979166667</v>
      </c>
      <c r="C853" s="43" t="n">
        <v>46245.1011689815</v>
      </c>
      <c r="D853" s="42" t="n">
        <f aca="false">INT(C853)</f>
        <v>46245</v>
      </c>
      <c r="E853" s="42" t="n">
        <f aca="false">D853-WEEKDAY(D853,3)</f>
        <v>46244</v>
      </c>
      <c r="F853" s="28" t="s">
        <v>183</v>
      </c>
      <c r="G853" s="28" t="n">
        <v>2026</v>
      </c>
      <c r="H853" s="28" t="s">
        <v>232</v>
      </c>
      <c r="I853" s="28" t="n">
        <v>2</v>
      </c>
      <c r="J853" s="28" t="s">
        <v>236</v>
      </c>
      <c r="K853" s="28" t="s">
        <v>237</v>
      </c>
      <c r="L853" s="28" t="n">
        <v>0.17</v>
      </c>
      <c r="M853" s="31" t="n">
        <v>29603.59</v>
      </c>
      <c r="N853" s="31" t="n">
        <v>29610.91</v>
      </c>
      <c r="O853" s="31" t="n">
        <v>29588.95</v>
      </c>
      <c r="P853" s="44" t="n">
        <f aca="false">ABS(M853-N853)</f>
        <v>7.31999999999971</v>
      </c>
      <c r="Q853" s="44" t="n">
        <f aca="false">IF(O853="","",ABS(O853-M853))</f>
        <v>14.6399999999994</v>
      </c>
      <c r="R853" s="30" t="n">
        <f aca="false">P853*L853*Summary!$C$6</f>
        <v>24.887999999999</v>
      </c>
      <c r="S853" s="31" t="n">
        <v>29603.97</v>
      </c>
      <c r="T853" s="28" t="s">
        <v>238</v>
      </c>
      <c r="U853" s="44" t="n">
        <f aca="false">IF(J853="BUY",S853-M853,M853-S853)</f>
        <v>-0.380000000001019</v>
      </c>
      <c r="V853" s="45" t="n">
        <v>0</v>
      </c>
      <c r="W853" s="45" t="n">
        <v>0</v>
      </c>
      <c r="X853" s="45" t="n">
        <v>-1.29</v>
      </c>
      <c r="Y853" s="32" t="n">
        <f aca="false">IFERROR(X853/R853,0)</f>
        <v>-0.0518322082931554</v>
      </c>
      <c r="Z853" s="28" t="str">
        <f aca="false">IF(X853&gt;0,"Win",IF(X853&lt;0,"Loss","Flat"))</f>
        <v>Loss</v>
      </c>
      <c r="AA853" s="28" t="n">
        <f aca="false">ROUND((C853-B853)*1440,1)</f>
        <v>4.7</v>
      </c>
      <c r="AB853" s="28" t="str">
        <f aca="false">IF(AA853&lt;1,"a) &lt;1 min",IF(AA853&lt;10,"b) 1-10 min",IF(AA853&lt;60,"c) 10-60 min",IF(AA853&lt;240,"d) 1-4 h","e) 4 h+"))))</f>
        <v>b) 1-10 min</v>
      </c>
      <c r="AC853" s="28" t="str">
        <f aca="false">IF(P853&lt;10,"a) &lt;10",IF(P853&lt;20,"b) 10-20",IF(P853&lt;40,"c) 20-40",IF(P853&lt;80,"d) 40-80","e) 80+"))))</f>
        <v>a) &lt;10</v>
      </c>
      <c r="AD853" s="30" t="n">
        <f aca="false">Summary!$C$5+SUM(X$2:X853)</f>
        <v>115831.39</v>
      </c>
      <c r="AE853" s="30" t="n">
        <f aca="false">MAX(AE852,AD853)</f>
        <v>116873.04</v>
      </c>
      <c r="AF853" s="30" t="n">
        <f aca="false">AE853-AD853</f>
        <v>1041.65000000001</v>
      </c>
      <c r="AG853" s="29" t="n">
        <f aca="false">IFERROR(AF853/AE853,0)</f>
        <v>0.00891266283481638</v>
      </c>
    </row>
    <row r="854" customFormat="false" ht="15" hidden="false" customHeight="false" outlineLevel="0" collapsed="false">
      <c r="A854" s="28" t="n">
        <v>853</v>
      </c>
      <c r="B854" s="43" t="n">
        <v>46246.6458564815</v>
      </c>
      <c r="C854" s="43" t="n">
        <v>46246.6458912037</v>
      </c>
      <c r="D854" s="42" t="n">
        <f aca="false">INT(C854)</f>
        <v>46246</v>
      </c>
      <c r="E854" s="42" t="n">
        <f aca="false">D854-WEEKDAY(D854,3)</f>
        <v>46244</v>
      </c>
      <c r="F854" s="28" t="s">
        <v>183</v>
      </c>
      <c r="G854" s="28" t="n">
        <v>2026</v>
      </c>
      <c r="H854" s="28" t="s">
        <v>235</v>
      </c>
      <c r="I854" s="28" t="n">
        <v>15</v>
      </c>
      <c r="J854" s="28" t="s">
        <v>233</v>
      </c>
      <c r="K854" s="28" t="s">
        <v>234</v>
      </c>
      <c r="L854" s="28" t="n">
        <v>0.17</v>
      </c>
      <c r="M854" s="31" t="n">
        <v>29817.11</v>
      </c>
      <c r="N854" s="31" t="n">
        <v>29789.53</v>
      </c>
      <c r="O854" s="31" t="n">
        <v>29873.07</v>
      </c>
      <c r="P854" s="44" t="n">
        <f aca="false">ABS(M854-N854)</f>
        <v>27.5800000000017</v>
      </c>
      <c r="Q854" s="44" t="n">
        <f aca="false">IF(O854="","",ABS(O854-M854))</f>
        <v>55.9599999999991</v>
      </c>
      <c r="R854" s="30" t="n">
        <f aca="false">P854*L854*Summary!$C$6</f>
        <v>93.7720000000059</v>
      </c>
      <c r="S854" s="31" t="n">
        <v>29785.64</v>
      </c>
      <c r="T854" s="28" t="s">
        <v>241</v>
      </c>
      <c r="U854" s="44" t="n">
        <f aca="false">IF(J854="BUY",S854-M854,M854-S854)</f>
        <v>-31.4700000000012</v>
      </c>
      <c r="V854" s="45" t="n">
        <v>0</v>
      </c>
      <c r="W854" s="45" t="n">
        <v>0</v>
      </c>
      <c r="X854" s="45" t="n">
        <v>-107</v>
      </c>
      <c r="Y854" s="32" t="n">
        <f aca="false">IFERROR(X854/R854,0)</f>
        <v>-1.14106556328108</v>
      </c>
      <c r="Z854" s="28" t="str">
        <f aca="false">IF(X854&gt;0,"Win",IF(X854&lt;0,"Loss","Flat"))</f>
        <v>Loss</v>
      </c>
      <c r="AA854" s="28" t="n">
        <f aca="false">ROUND((C854-B854)*1440,1)</f>
        <v>0.1</v>
      </c>
      <c r="AB854" s="28" t="str">
        <f aca="false">IF(AA854&lt;1,"a) &lt;1 min",IF(AA854&lt;10,"b) 1-10 min",IF(AA854&lt;60,"c) 10-60 min",IF(AA854&lt;240,"d) 1-4 h","e) 4 h+"))))</f>
        <v>a) &lt;1 min</v>
      </c>
      <c r="AC854" s="28" t="str">
        <f aca="false">IF(P854&lt;10,"a) &lt;10",IF(P854&lt;20,"b) 10-20",IF(P854&lt;40,"c) 20-40",IF(P854&lt;80,"d) 40-80","e) 80+"))))</f>
        <v>c) 20-40</v>
      </c>
      <c r="AD854" s="30" t="n">
        <f aca="false">Summary!$C$5+SUM(X$2:X854)</f>
        <v>115724.39</v>
      </c>
      <c r="AE854" s="30" t="n">
        <f aca="false">MAX(AE853,AD854)</f>
        <v>116873.04</v>
      </c>
      <c r="AF854" s="30" t="n">
        <f aca="false">AE854-AD854</f>
        <v>1148.65000000001</v>
      </c>
      <c r="AG854" s="29" t="n">
        <f aca="false">IFERROR(AF854/AE854,0)</f>
        <v>0.00982818620958271</v>
      </c>
    </row>
    <row r="855" customFormat="false" ht="15" hidden="false" customHeight="false" outlineLevel="0" collapsed="false">
      <c r="A855" s="28" t="n">
        <v>854</v>
      </c>
      <c r="B855" s="43" t="n">
        <v>46247.6923611111</v>
      </c>
      <c r="C855" s="43" t="n">
        <v>46247.7009027778</v>
      </c>
      <c r="D855" s="42" t="n">
        <f aca="false">INT(C855)</f>
        <v>46247</v>
      </c>
      <c r="E855" s="42" t="n">
        <f aca="false">D855-WEEKDAY(D855,3)</f>
        <v>46244</v>
      </c>
      <c r="F855" s="28" t="s">
        <v>183</v>
      </c>
      <c r="G855" s="28" t="n">
        <v>2026</v>
      </c>
      <c r="H855" s="28" t="s">
        <v>239</v>
      </c>
      <c r="I855" s="28" t="n">
        <v>16</v>
      </c>
      <c r="J855" s="28" t="s">
        <v>233</v>
      </c>
      <c r="K855" s="28" t="s">
        <v>234</v>
      </c>
      <c r="L855" s="28" t="n">
        <v>0.17</v>
      </c>
      <c r="M855" s="31" t="n">
        <v>29921.65</v>
      </c>
      <c r="N855" s="31" t="n">
        <v>29866.95</v>
      </c>
      <c r="O855" s="31" t="n">
        <v>30031.06</v>
      </c>
      <c r="P855" s="44" t="n">
        <f aca="false">ABS(M855-N855)</f>
        <v>54.7000000000007</v>
      </c>
      <c r="Q855" s="44" t="n">
        <f aca="false">IF(O855="","",ABS(O855-M855))</f>
        <v>109.41</v>
      </c>
      <c r="R855" s="30" t="n">
        <f aca="false">P855*L855*Summary!$C$6</f>
        <v>185.980000000002</v>
      </c>
      <c r="S855" s="31" t="n">
        <v>30031.09</v>
      </c>
      <c r="T855" s="28" t="s">
        <v>214</v>
      </c>
      <c r="U855" s="44" t="n">
        <f aca="false">IF(J855="BUY",S855-M855,M855-S855)</f>
        <v>109.439999999999</v>
      </c>
      <c r="V855" s="45" t="n">
        <v>0</v>
      </c>
      <c r="W855" s="45" t="n">
        <v>0</v>
      </c>
      <c r="X855" s="45" t="n">
        <v>372.1</v>
      </c>
      <c r="Y855" s="32" t="n">
        <f aca="false">IFERROR(X855/R855,0)</f>
        <v>2.00075276911493</v>
      </c>
      <c r="Z855" s="28" t="str">
        <f aca="false">IF(X855&gt;0,"Win",IF(X855&lt;0,"Loss","Flat"))</f>
        <v>Win</v>
      </c>
      <c r="AA855" s="28" t="n">
        <f aca="false">ROUND((C855-B855)*1440,1)</f>
        <v>12.3</v>
      </c>
      <c r="AB855" s="28" t="str">
        <f aca="false">IF(AA855&lt;1,"a) &lt;1 min",IF(AA855&lt;10,"b) 1-10 min",IF(AA855&lt;60,"c) 10-60 min",IF(AA855&lt;240,"d) 1-4 h","e) 4 h+"))))</f>
        <v>c) 10-60 min</v>
      </c>
      <c r="AC855" s="28" t="str">
        <f aca="false">IF(P855&lt;10,"a) &lt;10",IF(P855&lt;20,"b) 10-20",IF(P855&lt;40,"c) 20-40",IF(P855&lt;80,"d) 40-80","e) 80+"))))</f>
        <v>d) 40-80</v>
      </c>
      <c r="AD855" s="30" t="n">
        <f aca="false">Summary!$C$5+SUM(X$2:X855)</f>
        <v>116096.49</v>
      </c>
      <c r="AE855" s="30" t="n">
        <f aca="false">MAX(AE854,AD855)</f>
        <v>116873.04</v>
      </c>
      <c r="AF855" s="30" t="n">
        <f aca="false">AE855-AD855</f>
        <v>776.550000000003</v>
      </c>
      <c r="AG855" s="29" t="n">
        <f aca="false">IFERROR(AF855/AE855,0)</f>
        <v>0.00664438950163359</v>
      </c>
    </row>
    <row r="856" customFormat="false" ht="15" hidden="false" customHeight="false" outlineLevel="0" collapsed="false">
      <c r="A856" s="28" t="n">
        <v>855</v>
      </c>
      <c r="B856" s="43" t="n">
        <v>46248.6194560185</v>
      </c>
      <c r="C856" s="43" t="n">
        <v>46248.6219097222</v>
      </c>
      <c r="D856" s="42" t="n">
        <f aca="false">INT(C856)</f>
        <v>46248</v>
      </c>
      <c r="E856" s="42" t="n">
        <f aca="false">D856-WEEKDAY(D856,3)</f>
        <v>46244</v>
      </c>
      <c r="F856" s="28" t="s">
        <v>183</v>
      </c>
      <c r="G856" s="28" t="n">
        <v>2026</v>
      </c>
      <c r="H856" s="28" t="s">
        <v>242</v>
      </c>
      <c r="I856" s="28" t="n">
        <v>14</v>
      </c>
      <c r="J856" s="28" t="s">
        <v>233</v>
      </c>
      <c r="K856" s="28" t="s">
        <v>234</v>
      </c>
      <c r="L856" s="28" t="n">
        <v>0.17</v>
      </c>
      <c r="M856" s="31" t="n">
        <v>30167.9</v>
      </c>
      <c r="N856" s="31" t="n">
        <v>30159.15</v>
      </c>
      <c r="O856" s="31" t="n">
        <v>30185.4</v>
      </c>
      <c r="P856" s="44" t="n">
        <f aca="false">ABS(M856-N856)</f>
        <v>8.75</v>
      </c>
      <c r="Q856" s="44" t="n">
        <f aca="false">IF(O856="","",ABS(O856-M856))</f>
        <v>17.5</v>
      </c>
      <c r="R856" s="30" t="n">
        <f aca="false">P856*L856*Summary!$C$6</f>
        <v>29.75</v>
      </c>
      <c r="S856" s="31" t="n">
        <v>30159.14</v>
      </c>
      <c r="T856" s="28" t="s">
        <v>241</v>
      </c>
      <c r="U856" s="44" t="n">
        <f aca="false">IF(J856="BUY",S856-M856,M856-S856)</f>
        <v>-8.76000000000204</v>
      </c>
      <c r="V856" s="45" t="n">
        <v>0</v>
      </c>
      <c r="W856" s="45" t="n">
        <v>0</v>
      </c>
      <c r="X856" s="45" t="n">
        <v>-29.78</v>
      </c>
      <c r="Y856" s="32" t="n">
        <f aca="false">IFERROR(X856/R856,0)</f>
        <v>-1.00100840336134</v>
      </c>
      <c r="Z856" s="28" t="str">
        <f aca="false">IF(X856&gt;0,"Win",IF(X856&lt;0,"Loss","Flat"))</f>
        <v>Loss</v>
      </c>
      <c r="AA856" s="28" t="n">
        <f aca="false">ROUND((C856-B856)*1440,1)</f>
        <v>3.5</v>
      </c>
      <c r="AB856" s="28" t="str">
        <f aca="false">IF(AA856&lt;1,"a) &lt;1 min",IF(AA856&lt;10,"b) 1-10 min",IF(AA856&lt;60,"c) 10-60 min",IF(AA856&lt;240,"d) 1-4 h","e) 4 h+"))))</f>
        <v>b) 1-10 min</v>
      </c>
      <c r="AC856" s="28" t="str">
        <f aca="false">IF(P856&lt;10,"a) &lt;10",IF(P856&lt;20,"b) 10-20",IF(P856&lt;40,"c) 20-40",IF(P856&lt;80,"d) 40-80","e) 80+"))))</f>
        <v>a) &lt;10</v>
      </c>
      <c r="AD856" s="30" t="n">
        <f aca="false">Summary!$C$5+SUM(X$2:X856)</f>
        <v>116066.71</v>
      </c>
      <c r="AE856" s="30" t="n">
        <f aca="false">MAX(AE855,AD856)</f>
        <v>116873.04</v>
      </c>
      <c r="AF856" s="30" t="n">
        <f aca="false">AE856-AD856</f>
        <v>806.330000000002</v>
      </c>
      <c r="AG856" s="29" t="n">
        <f aca="false">IFERROR(AF856/AE856,0)</f>
        <v>0.00689919591378817</v>
      </c>
    </row>
    <row r="857" customFormat="false" ht="15" hidden="false" customHeight="false" outlineLevel="0" collapsed="false">
      <c r="A857" s="28" t="n">
        <v>856</v>
      </c>
      <c r="B857" s="43" t="n">
        <v>46251.3770833333</v>
      </c>
      <c r="C857" s="43" t="n">
        <v>46251.3860532407</v>
      </c>
      <c r="D857" s="42" t="n">
        <f aca="false">INT(C857)</f>
        <v>46251</v>
      </c>
      <c r="E857" s="42" t="n">
        <f aca="false">D857-WEEKDAY(D857,3)</f>
        <v>46251</v>
      </c>
      <c r="F857" s="28" t="s">
        <v>183</v>
      </c>
      <c r="G857" s="28" t="n">
        <v>2026</v>
      </c>
      <c r="H857" s="28" t="s">
        <v>240</v>
      </c>
      <c r="I857" s="28" t="n">
        <v>9</v>
      </c>
      <c r="J857" s="28" t="s">
        <v>233</v>
      </c>
      <c r="K857" s="28" t="s">
        <v>234</v>
      </c>
      <c r="L857" s="28" t="n">
        <v>0.17</v>
      </c>
      <c r="M857" s="31" t="n">
        <v>30184.9</v>
      </c>
      <c r="N857" s="31" t="n">
        <v>30176.12</v>
      </c>
      <c r="O857" s="31" t="n">
        <v>30202.45</v>
      </c>
      <c r="P857" s="44" t="n">
        <f aca="false">ABS(M857-N857)</f>
        <v>8.78000000000247</v>
      </c>
      <c r="Q857" s="44" t="n">
        <f aca="false">IF(O857="","",ABS(O857-M857))</f>
        <v>17.5499999999993</v>
      </c>
      <c r="R857" s="30" t="n">
        <f aca="false">P857*L857*Summary!$C$6</f>
        <v>29.8520000000084</v>
      </c>
      <c r="S857" s="31" t="n">
        <v>30184.67</v>
      </c>
      <c r="T857" s="28" t="s">
        <v>238</v>
      </c>
      <c r="U857" s="44" t="n">
        <f aca="false">IF(J857="BUY",S857-M857,M857-S857)</f>
        <v>-0.230000000003201</v>
      </c>
      <c r="V857" s="45" t="n">
        <v>0</v>
      </c>
      <c r="W857" s="45" t="n">
        <v>0</v>
      </c>
      <c r="X857" s="45" t="n">
        <v>-0.78</v>
      </c>
      <c r="Y857" s="32" t="n">
        <f aca="false">IFERROR(X857/R857,0)</f>
        <v>-0.026128902586084</v>
      </c>
      <c r="Z857" s="28" t="str">
        <f aca="false">IF(X857&gt;0,"Win",IF(X857&lt;0,"Loss","Flat"))</f>
        <v>Loss</v>
      </c>
      <c r="AA857" s="28" t="n">
        <f aca="false">ROUND((C857-B857)*1440,1)</f>
        <v>12.9</v>
      </c>
      <c r="AB857" s="28" t="str">
        <f aca="false">IF(AA857&lt;1,"a) &lt;1 min",IF(AA857&lt;10,"b) 1-10 min",IF(AA857&lt;60,"c) 10-60 min",IF(AA857&lt;240,"d) 1-4 h","e) 4 h+"))))</f>
        <v>c) 10-60 min</v>
      </c>
      <c r="AC857" s="28" t="str">
        <f aca="false">IF(P857&lt;10,"a) &lt;10",IF(P857&lt;20,"b) 10-20",IF(P857&lt;40,"c) 20-40",IF(P857&lt;80,"d) 40-80","e) 80+"))))</f>
        <v>a) &lt;10</v>
      </c>
      <c r="AD857" s="30" t="n">
        <f aca="false">Summary!$C$5+SUM(X$2:X857)</f>
        <v>116065.93</v>
      </c>
      <c r="AE857" s="30" t="n">
        <f aca="false">MAX(AE856,AD857)</f>
        <v>116873.04</v>
      </c>
      <c r="AF857" s="30" t="n">
        <f aca="false">AE857-AD857</f>
        <v>807.110000000015</v>
      </c>
      <c r="AG857" s="29" t="n">
        <f aca="false">IFERROR(AF857/AE857,0)</f>
        <v>0.00690586982250154</v>
      </c>
    </row>
    <row r="858" customFormat="false" ht="15" hidden="false" customHeight="false" outlineLevel="0" collapsed="false">
      <c r="A858" s="28" t="n">
        <v>857</v>
      </c>
      <c r="B858" s="43" t="n">
        <v>46252.0541666667</v>
      </c>
      <c r="C858" s="43" t="n">
        <v>46252.0555439815</v>
      </c>
      <c r="D858" s="42" t="n">
        <f aca="false">INT(C858)</f>
        <v>46252</v>
      </c>
      <c r="E858" s="42" t="n">
        <f aca="false">D858-WEEKDAY(D858,3)</f>
        <v>46251</v>
      </c>
      <c r="F858" s="28" t="s">
        <v>183</v>
      </c>
      <c r="G858" s="28" t="n">
        <v>2026</v>
      </c>
      <c r="H858" s="28" t="s">
        <v>232</v>
      </c>
      <c r="I858" s="28" t="n">
        <v>1</v>
      </c>
      <c r="J858" s="28" t="s">
        <v>236</v>
      </c>
      <c r="K858" s="28" t="s">
        <v>237</v>
      </c>
      <c r="L858" s="28" t="n">
        <v>0.17</v>
      </c>
      <c r="M858" s="31" t="n">
        <v>29971.26</v>
      </c>
      <c r="N858" s="31" t="n">
        <v>29984.63</v>
      </c>
      <c r="O858" s="31" t="n">
        <v>29944.51</v>
      </c>
      <c r="P858" s="44" t="n">
        <f aca="false">ABS(M858-N858)</f>
        <v>13.3700000000026</v>
      </c>
      <c r="Q858" s="44" t="n">
        <f aca="false">IF(O858="","",ABS(O858-M858))</f>
        <v>26.75</v>
      </c>
      <c r="R858" s="30" t="n">
        <f aca="false">P858*L858*Summary!$C$6</f>
        <v>45.4580000000089</v>
      </c>
      <c r="S858" s="31" t="n">
        <v>29984.95</v>
      </c>
      <c r="T858" s="28" t="s">
        <v>241</v>
      </c>
      <c r="U858" s="44" t="n">
        <f aca="false">IF(J858="BUY",S858-M858,M858-S858)</f>
        <v>-13.6900000000023</v>
      </c>
      <c r="V858" s="45" t="n">
        <v>0</v>
      </c>
      <c r="W858" s="45" t="n">
        <v>0</v>
      </c>
      <c r="X858" s="45" t="n">
        <v>-46.55</v>
      </c>
      <c r="Y858" s="32" t="n">
        <f aca="false">IFERROR(X858/R858,0)</f>
        <v>-1.02402217431455</v>
      </c>
      <c r="Z858" s="28" t="str">
        <f aca="false">IF(X858&gt;0,"Win",IF(X858&lt;0,"Loss","Flat"))</f>
        <v>Loss</v>
      </c>
      <c r="AA858" s="28" t="n">
        <f aca="false">ROUND((C858-B858)*1440,1)</f>
        <v>2</v>
      </c>
      <c r="AB858" s="28" t="str">
        <f aca="false">IF(AA858&lt;1,"a) &lt;1 min",IF(AA858&lt;10,"b) 1-10 min",IF(AA858&lt;60,"c) 10-60 min",IF(AA858&lt;240,"d) 1-4 h","e) 4 h+"))))</f>
        <v>b) 1-10 min</v>
      </c>
      <c r="AC858" s="28" t="str">
        <f aca="false">IF(P858&lt;10,"a) &lt;10",IF(P858&lt;20,"b) 10-20",IF(P858&lt;40,"c) 20-40",IF(P858&lt;80,"d) 40-80","e) 80+"))))</f>
        <v>b) 10-20</v>
      </c>
      <c r="AD858" s="30" t="n">
        <f aca="false">Summary!$C$5+SUM(X$2:X858)</f>
        <v>116019.38</v>
      </c>
      <c r="AE858" s="30" t="n">
        <f aca="false">MAX(AE857,AD858)</f>
        <v>116873.04</v>
      </c>
      <c r="AF858" s="30" t="n">
        <f aca="false">AE858-AD858</f>
        <v>853.660000000004</v>
      </c>
      <c r="AG858" s="29" t="n">
        <f aca="false">IFERROR(AF858/AE858,0)</f>
        <v>0.0073041652719909</v>
      </c>
    </row>
    <row r="859" customFormat="false" ht="15" hidden="false" customHeight="false" outlineLevel="0" collapsed="false">
      <c r="A859" s="28" t="n">
        <v>858</v>
      </c>
      <c r="B859" s="43" t="n">
        <v>46253.1263888889</v>
      </c>
      <c r="C859" s="43" t="n">
        <v>46253.1307638889</v>
      </c>
      <c r="D859" s="42" t="n">
        <f aca="false">INT(C859)</f>
        <v>46253</v>
      </c>
      <c r="E859" s="42" t="n">
        <f aca="false">D859-WEEKDAY(D859,3)</f>
        <v>46251</v>
      </c>
      <c r="F859" s="28" t="s">
        <v>183</v>
      </c>
      <c r="G859" s="28" t="n">
        <v>2026</v>
      </c>
      <c r="H859" s="28" t="s">
        <v>235</v>
      </c>
      <c r="I859" s="28" t="n">
        <v>3</v>
      </c>
      <c r="J859" s="28" t="s">
        <v>236</v>
      </c>
      <c r="K859" s="28" t="s">
        <v>237</v>
      </c>
      <c r="L859" s="28" t="n">
        <v>0.17</v>
      </c>
      <c r="M859" s="31" t="n">
        <v>29384.44</v>
      </c>
      <c r="N859" s="31" t="n">
        <v>29410.5</v>
      </c>
      <c r="O859" s="31" t="n">
        <v>29323.74</v>
      </c>
      <c r="P859" s="44" t="n">
        <f aca="false">ABS(M859-N859)</f>
        <v>26.0600000000013</v>
      </c>
      <c r="Q859" s="44" t="n">
        <f aca="false">IF(O859="","",ABS(O859-M859))</f>
        <v>60.6999999999971</v>
      </c>
      <c r="R859" s="30" t="n">
        <f aca="false">P859*L859*Summary!$C$6</f>
        <v>88.6040000000045</v>
      </c>
      <c r="S859" s="31" t="n">
        <v>29411.24</v>
      </c>
      <c r="T859" s="28" t="s">
        <v>241</v>
      </c>
      <c r="U859" s="44" t="n">
        <f aca="false">IF(J859="BUY",S859-M859,M859-S859)</f>
        <v>-26.8000000000029</v>
      </c>
      <c r="V859" s="45" t="n">
        <v>0</v>
      </c>
      <c r="W859" s="45" t="n">
        <v>0</v>
      </c>
      <c r="X859" s="45" t="n">
        <v>-91.12</v>
      </c>
      <c r="Y859" s="32" t="n">
        <f aca="false">IFERROR(X859/R859,0)</f>
        <v>-1.02839600920946</v>
      </c>
      <c r="Z859" s="28" t="str">
        <f aca="false">IF(X859&gt;0,"Win",IF(X859&lt;0,"Loss","Flat"))</f>
        <v>Loss</v>
      </c>
      <c r="AA859" s="28" t="n">
        <f aca="false">ROUND((C859-B859)*1440,1)</f>
        <v>6.3</v>
      </c>
      <c r="AB859" s="28" t="str">
        <f aca="false">IF(AA859&lt;1,"a) &lt;1 min",IF(AA859&lt;10,"b) 1-10 min",IF(AA859&lt;60,"c) 10-60 min",IF(AA859&lt;240,"d) 1-4 h","e) 4 h+"))))</f>
        <v>b) 1-10 min</v>
      </c>
      <c r="AC859" s="28" t="str">
        <f aca="false">IF(P859&lt;10,"a) &lt;10",IF(P859&lt;20,"b) 10-20",IF(P859&lt;40,"c) 20-40",IF(P859&lt;80,"d) 40-80","e) 80+"))))</f>
        <v>c) 20-40</v>
      </c>
      <c r="AD859" s="30" t="n">
        <f aca="false">Summary!$C$5+SUM(X$2:X859)</f>
        <v>115928.26</v>
      </c>
      <c r="AE859" s="30" t="n">
        <f aca="false">MAX(AE858,AD859)</f>
        <v>116873.04</v>
      </c>
      <c r="AF859" s="30" t="n">
        <f aca="false">AE859-AD859</f>
        <v>944.780000000013</v>
      </c>
      <c r="AG859" s="29" t="n">
        <f aca="false">IFERROR(AF859/AE859,0)</f>
        <v>0.00808381471039012</v>
      </c>
    </row>
    <row r="860" customFormat="false" ht="15" hidden="false" customHeight="false" outlineLevel="0" collapsed="false">
      <c r="A860" s="28" t="n">
        <v>859</v>
      </c>
      <c r="B860" s="43" t="n">
        <v>46254.6173611111</v>
      </c>
      <c r="C860" s="43" t="n">
        <v>46254.6283333333</v>
      </c>
      <c r="D860" s="42" t="n">
        <f aca="false">INT(C860)</f>
        <v>46254</v>
      </c>
      <c r="E860" s="42" t="n">
        <f aca="false">D860-WEEKDAY(D860,3)</f>
        <v>46251</v>
      </c>
      <c r="F860" s="28" t="s">
        <v>183</v>
      </c>
      <c r="G860" s="28" t="n">
        <v>2026</v>
      </c>
      <c r="H860" s="28" t="s">
        <v>239</v>
      </c>
      <c r="I860" s="28" t="n">
        <v>14</v>
      </c>
      <c r="J860" s="28" t="s">
        <v>236</v>
      </c>
      <c r="K860" s="28" t="s">
        <v>237</v>
      </c>
      <c r="L860" s="28" t="n">
        <v>0.17</v>
      </c>
      <c r="M860" s="31" t="n">
        <v>29288.39</v>
      </c>
      <c r="N860" s="31" t="n">
        <v>29324.28</v>
      </c>
      <c r="O860" s="31" t="n">
        <v>29214.93</v>
      </c>
      <c r="P860" s="44" t="n">
        <f aca="false">ABS(M860-N860)</f>
        <v>35.8899999999994</v>
      </c>
      <c r="Q860" s="44" t="n">
        <f aca="false">IF(O860="","",ABS(O860-M860))</f>
        <v>73.4599999999991</v>
      </c>
      <c r="R860" s="30" t="n">
        <f aca="false">P860*L860*Summary!$C$6</f>
        <v>122.025999999998</v>
      </c>
      <c r="S860" s="31" t="n">
        <v>29211.37</v>
      </c>
      <c r="T860" s="28" t="s">
        <v>214</v>
      </c>
      <c r="U860" s="44" t="n">
        <f aca="false">IF(J860="BUY",S860-M860,M860-S860)</f>
        <v>77.0200000000004</v>
      </c>
      <c r="V860" s="45" t="n">
        <v>0</v>
      </c>
      <c r="W860" s="45" t="n">
        <v>0</v>
      </c>
      <c r="X860" s="45" t="n">
        <v>261.87</v>
      </c>
      <c r="Y860" s="32" t="n">
        <f aca="false">IFERROR(X860/R860,0)</f>
        <v>2.14601806172459</v>
      </c>
      <c r="Z860" s="28" t="str">
        <f aca="false">IF(X860&gt;0,"Win",IF(X860&lt;0,"Loss","Flat"))</f>
        <v>Win</v>
      </c>
      <c r="AA860" s="28" t="n">
        <f aca="false">ROUND((C860-B860)*1440,1)</f>
        <v>15.8</v>
      </c>
      <c r="AB860" s="28" t="str">
        <f aca="false">IF(AA860&lt;1,"a) &lt;1 min",IF(AA860&lt;10,"b) 1-10 min",IF(AA860&lt;60,"c) 10-60 min",IF(AA860&lt;240,"d) 1-4 h","e) 4 h+"))))</f>
        <v>c) 10-60 min</v>
      </c>
      <c r="AC860" s="28" t="str">
        <f aca="false">IF(P860&lt;10,"a) &lt;10",IF(P860&lt;20,"b) 10-20",IF(P860&lt;40,"c) 20-40",IF(P860&lt;80,"d) 40-80","e) 80+"))))</f>
        <v>c) 20-40</v>
      </c>
      <c r="AD860" s="30" t="n">
        <f aca="false">Summary!$C$5+SUM(X$2:X860)</f>
        <v>116190.13</v>
      </c>
      <c r="AE860" s="30" t="n">
        <f aca="false">MAX(AE859,AD860)</f>
        <v>116873.04</v>
      </c>
      <c r="AF860" s="30" t="n">
        <f aca="false">AE860-AD860</f>
        <v>682.910000000004</v>
      </c>
      <c r="AG860" s="29" t="n">
        <f aca="false">IFERROR(AF860/AE860,0)</f>
        <v>0.00584317820431473</v>
      </c>
    </row>
    <row r="861" customFormat="false" ht="15" hidden="false" customHeight="false" outlineLevel="0" collapsed="false">
      <c r="A861" s="28" t="n">
        <v>860</v>
      </c>
      <c r="B861" s="43" t="n">
        <v>46258.3583333333</v>
      </c>
      <c r="C861" s="43" t="n">
        <v>46258.3593402778</v>
      </c>
      <c r="D861" s="42" t="n">
        <f aca="false">INT(C861)</f>
        <v>46258</v>
      </c>
      <c r="E861" s="42" t="n">
        <f aca="false">D861-WEEKDAY(D861,3)</f>
        <v>46258</v>
      </c>
      <c r="F861" s="28" t="s">
        <v>183</v>
      </c>
      <c r="G861" s="28" t="n">
        <v>2026</v>
      </c>
      <c r="H861" s="28" t="s">
        <v>240</v>
      </c>
      <c r="I861" s="28" t="n">
        <v>8</v>
      </c>
      <c r="J861" s="28" t="s">
        <v>236</v>
      </c>
      <c r="K861" s="28" t="s">
        <v>237</v>
      </c>
      <c r="L861" s="28" t="n">
        <v>0.17</v>
      </c>
      <c r="M861" s="31" t="n">
        <v>29138.22</v>
      </c>
      <c r="N861" s="31" t="n">
        <v>29154.66</v>
      </c>
      <c r="O861" s="31" t="n">
        <v>29105.35</v>
      </c>
      <c r="P861" s="44" t="n">
        <f aca="false">ABS(M861-N861)</f>
        <v>16.4399999999987</v>
      </c>
      <c r="Q861" s="44" t="n">
        <f aca="false">IF(O861="","",ABS(O861-M861))</f>
        <v>32.8700000000026</v>
      </c>
      <c r="R861" s="30" t="n">
        <f aca="false">P861*L861*Summary!$C$6</f>
        <v>55.8959999999956</v>
      </c>
      <c r="S861" s="31" t="n">
        <v>29154.76</v>
      </c>
      <c r="T861" s="28" t="s">
        <v>241</v>
      </c>
      <c r="U861" s="44" t="n">
        <f aca="false">IF(J861="BUY",S861-M861,M861-S861)</f>
        <v>-16.5399999999972</v>
      </c>
      <c r="V861" s="45" t="n">
        <v>0</v>
      </c>
      <c r="W861" s="45" t="n">
        <v>0</v>
      </c>
      <c r="X861" s="45" t="n">
        <v>-56.24</v>
      </c>
      <c r="Y861" s="32" t="n">
        <f aca="false">IFERROR(X861/R861,0)</f>
        <v>-1.00615428653221</v>
      </c>
      <c r="Z861" s="28" t="str">
        <f aca="false">IF(X861&gt;0,"Win",IF(X861&lt;0,"Loss","Flat"))</f>
        <v>Loss</v>
      </c>
      <c r="AA861" s="28" t="n">
        <f aca="false">ROUND((C861-B861)*1440,1)</f>
        <v>1.5</v>
      </c>
      <c r="AB861" s="28" t="str">
        <f aca="false">IF(AA861&lt;1,"a) &lt;1 min",IF(AA861&lt;10,"b) 1-10 min",IF(AA861&lt;60,"c) 10-60 min",IF(AA861&lt;240,"d) 1-4 h","e) 4 h+"))))</f>
        <v>b) 1-10 min</v>
      </c>
      <c r="AC861" s="28" t="str">
        <f aca="false">IF(P861&lt;10,"a) &lt;10",IF(P861&lt;20,"b) 10-20",IF(P861&lt;40,"c) 20-40",IF(P861&lt;80,"d) 40-80","e) 80+"))))</f>
        <v>b) 10-20</v>
      </c>
      <c r="AD861" s="30" t="n">
        <f aca="false">Summary!$C$5+SUM(X$2:X861)</f>
        <v>116133.89</v>
      </c>
      <c r="AE861" s="30" t="n">
        <f aca="false">MAX(AE860,AD861)</f>
        <v>116873.04</v>
      </c>
      <c r="AF861" s="30" t="n">
        <f aca="false">AE861-AD861</f>
        <v>739.150000000009</v>
      </c>
      <c r="AG861" s="29" t="n">
        <f aca="false">IFERROR(AF861/AE861,0)</f>
        <v>0.00632438413512653</v>
      </c>
    </row>
    <row r="862" customFormat="false" ht="15" hidden="false" customHeight="false" outlineLevel="0" collapsed="false">
      <c r="A862" s="28" t="n">
        <v>861</v>
      </c>
      <c r="B862" s="43" t="n">
        <v>46261.0423611111</v>
      </c>
      <c r="C862" s="43" t="n">
        <v>46261.1250347222</v>
      </c>
      <c r="D862" s="42" t="n">
        <f aca="false">INT(C862)</f>
        <v>46261</v>
      </c>
      <c r="E862" s="42" t="n">
        <f aca="false">D862-WEEKDAY(D862,3)</f>
        <v>46258</v>
      </c>
      <c r="F862" s="28" t="s">
        <v>183</v>
      </c>
      <c r="G862" s="28" t="n">
        <v>2026</v>
      </c>
      <c r="H862" s="28" t="s">
        <v>239</v>
      </c>
      <c r="I862" s="28" t="n">
        <v>1</v>
      </c>
      <c r="J862" s="28" t="s">
        <v>233</v>
      </c>
      <c r="K862" s="28" t="s">
        <v>234</v>
      </c>
      <c r="L862" s="28" t="n">
        <v>0.17</v>
      </c>
      <c r="M862" s="31" t="n">
        <v>29481.68</v>
      </c>
      <c r="N862" s="31" t="n">
        <v>29426.33</v>
      </c>
      <c r="O862" s="31" t="n">
        <v>29588.81</v>
      </c>
      <c r="P862" s="44" t="n">
        <f aca="false">ABS(M862-N862)</f>
        <v>55.3499999999985</v>
      </c>
      <c r="Q862" s="44" t="n">
        <f aca="false">IF(O862="","",ABS(O862-M862))</f>
        <v>107.130000000001</v>
      </c>
      <c r="R862" s="30" t="n">
        <f aca="false">P862*L862*Summary!$C$6</f>
        <v>188.189999999995</v>
      </c>
      <c r="S862" s="31" t="n">
        <v>29588.87</v>
      </c>
      <c r="T862" s="28" t="s">
        <v>214</v>
      </c>
      <c r="U862" s="44" t="n">
        <f aca="false">IF(J862="BUY",S862-M862,M862-S862)</f>
        <v>107.189999999999</v>
      </c>
      <c r="V862" s="45" t="n">
        <v>0</v>
      </c>
      <c r="W862" s="45" t="n">
        <v>0</v>
      </c>
      <c r="X862" s="45" t="n">
        <v>364.45</v>
      </c>
      <c r="Y862" s="32" t="n">
        <f aca="false">IFERROR(X862/R862,0)</f>
        <v>1.93660662096822</v>
      </c>
      <c r="Z862" s="28" t="str">
        <f aca="false">IF(X862&gt;0,"Win",IF(X862&lt;0,"Loss","Flat"))</f>
        <v>Win</v>
      </c>
      <c r="AA862" s="28" t="n">
        <f aca="false">ROUND((C862-B862)*1440,1)</f>
        <v>119.1</v>
      </c>
      <c r="AB862" s="28" t="str">
        <f aca="false">IF(AA862&lt;1,"a) &lt;1 min",IF(AA862&lt;10,"b) 1-10 min",IF(AA862&lt;60,"c) 10-60 min",IF(AA862&lt;240,"d) 1-4 h","e) 4 h+"))))</f>
        <v>d) 1-4 h</v>
      </c>
      <c r="AC862" s="28" t="str">
        <f aca="false">IF(P862&lt;10,"a) &lt;10",IF(P862&lt;20,"b) 10-20",IF(P862&lt;40,"c) 20-40",IF(P862&lt;80,"d) 40-80","e) 80+"))))</f>
        <v>d) 40-80</v>
      </c>
      <c r="AD862" s="30" t="n">
        <f aca="false">Summary!$C$5+SUM(X$2:X862)</f>
        <v>116498.34</v>
      </c>
      <c r="AE862" s="30" t="n">
        <f aca="false">MAX(AE861,AD862)</f>
        <v>116873.04</v>
      </c>
      <c r="AF862" s="30" t="n">
        <f aca="false">AE862-AD862</f>
        <v>374.700000000012</v>
      </c>
      <c r="AG862" s="29" t="n">
        <f aca="false">IFERROR(AF862/AE862,0)</f>
        <v>0.00320604307032667</v>
      </c>
    </row>
    <row r="863" customFormat="false" ht="15" hidden="false" customHeight="false" outlineLevel="0" collapsed="false">
      <c r="A863" s="28" t="n">
        <v>862</v>
      </c>
      <c r="B863" s="43" t="n">
        <v>46262.2590277778</v>
      </c>
      <c r="C863" s="43" t="n">
        <v>46262.273599537</v>
      </c>
      <c r="D863" s="42" t="n">
        <f aca="false">INT(C863)</f>
        <v>46262</v>
      </c>
      <c r="E863" s="42" t="n">
        <f aca="false">D863-WEEKDAY(D863,3)</f>
        <v>46258</v>
      </c>
      <c r="F863" s="28" t="s">
        <v>183</v>
      </c>
      <c r="G863" s="28" t="n">
        <v>2026</v>
      </c>
      <c r="H863" s="28" t="s">
        <v>242</v>
      </c>
      <c r="I863" s="28" t="n">
        <v>6</v>
      </c>
      <c r="J863" s="28" t="s">
        <v>233</v>
      </c>
      <c r="K863" s="28" t="s">
        <v>234</v>
      </c>
      <c r="L863" s="28" t="n">
        <v>0.17</v>
      </c>
      <c r="M863" s="31" t="n">
        <v>29644.27</v>
      </c>
      <c r="N863" s="31" t="n">
        <v>29629.07</v>
      </c>
      <c r="O863" s="31" t="n">
        <v>29674.67</v>
      </c>
      <c r="P863" s="44" t="n">
        <f aca="false">ABS(M863-N863)</f>
        <v>15.2000000000007</v>
      </c>
      <c r="Q863" s="44" t="n">
        <f aca="false">IF(O863="","",ABS(O863-M863))</f>
        <v>30.3999999999978</v>
      </c>
      <c r="R863" s="30" t="n">
        <f aca="false">P863*L863*Summary!$C$6</f>
        <v>51.6800000000025</v>
      </c>
      <c r="S863" s="31" t="n">
        <v>29628.26</v>
      </c>
      <c r="T863" s="28" t="s">
        <v>241</v>
      </c>
      <c r="U863" s="44" t="n">
        <f aca="false">IF(J863="BUY",S863-M863,M863-S863)</f>
        <v>-16.010000000002</v>
      </c>
      <c r="V863" s="45" t="n">
        <v>0</v>
      </c>
      <c r="W863" s="45" t="n">
        <v>0</v>
      </c>
      <c r="X863" s="45" t="n">
        <v>-54.43</v>
      </c>
      <c r="Y863" s="32" t="n">
        <f aca="false">IFERROR(X863/R863,0)</f>
        <v>-1.05321207430336</v>
      </c>
      <c r="Z863" s="28" t="str">
        <f aca="false">IF(X863&gt;0,"Win",IF(X863&lt;0,"Loss","Flat"))</f>
        <v>Loss</v>
      </c>
      <c r="AA863" s="28" t="n">
        <f aca="false">ROUND((C863-B863)*1440,1)</f>
        <v>21</v>
      </c>
      <c r="AB863" s="28" t="str">
        <f aca="false">IF(AA863&lt;1,"a) &lt;1 min",IF(AA863&lt;10,"b) 1-10 min",IF(AA863&lt;60,"c) 10-60 min",IF(AA863&lt;240,"d) 1-4 h","e) 4 h+"))))</f>
        <v>c) 10-60 min</v>
      </c>
      <c r="AC863" s="28" t="str">
        <f aca="false">IF(P863&lt;10,"a) &lt;10",IF(P863&lt;20,"b) 10-20",IF(P863&lt;40,"c) 20-40",IF(P863&lt;80,"d) 40-80","e) 80+"))))</f>
        <v>b) 10-20</v>
      </c>
      <c r="AD863" s="30" t="n">
        <f aca="false">Summary!$C$5+SUM(X$2:X863)</f>
        <v>116443.91</v>
      </c>
      <c r="AE863" s="30" t="n">
        <f aca="false">MAX(AE862,AD863)</f>
        <v>116873.04</v>
      </c>
      <c r="AF863" s="30" t="n">
        <f aca="false">AE863-AD863</f>
        <v>429.130000000005</v>
      </c>
      <c r="AG863" s="29" t="n">
        <f aca="false">IFERROR(AF863/AE863,0)</f>
        <v>0.00367176211040634</v>
      </c>
    </row>
    <row r="864" customFormat="false" ht="15" hidden="false" customHeight="false" outlineLevel="0" collapsed="false">
      <c r="A864" s="28" t="n">
        <v>863</v>
      </c>
      <c r="B864" s="43" t="n">
        <v>46265.0715277778</v>
      </c>
      <c r="C864" s="43" t="n">
        <v>46265.0991550926</v>
      </c>
      <c r="D864" s="42" t="n">
        <f aca="false">INT(C864)</f>
        <v>46265</v>
      </c>
      <c r="E864" s="42" t="n">
        <f aca="false">D864-WEEKDAY(D864,3)</f>
        <v>46265</v>
      </c>
      <c r="F864" s="28" t="s">
        <v>183</v>
      </c>
      <c r="G864" s="28" t="n">
        <v>2026</v>
      </c>
      <c r="H864" s="28" t="s">
        <v>240</v>
      </c>
      <c r="I864" s="28" t="n">
        <v>1</v>
      </c>
      <c r="J864" s="28" t="s">
        <v>236</v>
      </c>
      <c r="K864" s="28" t="s">
        <v>237</v>
      </c>
      <c r="L864" s="28" t="n">
        <v>0.17</v>
      </c>
      <c r="M864" s="31" t="n">
        <v>29377.55</v>
      </c>
      <c r="N864" s="31" t="n">
        <v>29401.85</v>
      </c>
      <c r="O864" s="31" t="n">
        <v>29328.94</v>
      </c>
      <c r="P864" s="44" t="n">
        <f aca="false">ABS(M864-N864)</f>
        <v>24.2999999999993</v>
      </c>
      <c r="Q864" s="44" t="n">
        <f aca="false">IF(O864="","",ABS(O864-M864))</f>
        <v>48.6100000000006</v>
      </c>
      <c r="R864" s="30" t="n">
        <f aca="false">P864*L864*Summary!$C$6</f>
        <v>82.6199999999975</v>
      </c>
      <c r="S864" s="31" t="n">
        <v>29328.33</v>
      </c>
      <c r="T864" s="28" t="s">
        <v>214</v>
      </c>
      <c r="U864" s="44" t="n">
        <f aca="false">IF(J864="BUY",S864-M864,M864-S864)</f>
        <v>49.2199999999975</v>
      </c>
      <c r="V864" s="45" t="n">
        <v>0</v>
      </c>
      <c r="W864" s="45" t="n">
        <v>0</v>
      </c>
      <c r="X864" s="45" t="n">
        <v>167.35</v>
      </c>
      <c r="Y864" s="32" t="n">
        <f aca="false">IFERROR(X864/R864,0)</f>
        <v>2.02553861050599</v>
      </c>
      <c r="Z864" s="28" t="str">
        <f aca="false">IF(X864&gt;0,"Win",IF(X864&lt;0,"Loss","Flat"))</f>
        <v>Win</v>
      </c>
      <c r="AA864" s="28" t="n">
        <f aca="false">ROUND((C864-B864)*1440,1)</f>
        <v>39.8</v>
      </c>
      <c r="AB864" s="28" t="str">
        <f aca="false">IF(AA864&lt;1,"a) &lt;1 min",IF(AA864&lt;10,"b) 1-10 min",IF(AA864&lt;60,"c) 10-60 min",IF(AA864&lt;240,"d) 1-4 h","e) 4 h+"))))</f>
        <v>c) 10-60 min</v>
      </c>
      <c r="AC864" s="28" t="str">
        <f aca="false">IF(P864&lt;10,"a) &lt;10",IF(P864&lt;20,"b) 10-20",IF(P864&lt;40,"c) 20-40",IF(P864&lt;80,"d) 40-80","e) 80+"))))</f>
        <v>c) 20-40</v>
      </c>
      <c r="AD864" s="30" t="n">
        <f aca="false">Summary!$C$5+SUM(X$2:X864)</f>
        <v>116611.26</v>
      </c>
      <c r="AE864" s="30" t="n">
        <f aca="false">MAX(AE863,AD864)</f>
        <v>116873.04</v>
      </c>
      <c r="AF864" s="30" t="n">
        <f aca="false">AE864-AD864</f>
        <v>261.780000000013</v>
      </c>
      <c r="AG864" s="29" t="n">
        <f aca="false">IFERROR(AF864/AE864,0)</f>
        <v>0.00223986643968543</v>
      </c>
    </row>
    <row r="865" customFormat="false" ht="15" hidden="false" customHeight="false" outlineLevel="0" collapsed="false">
      <c r="A865" s="28" t="n">
        <v>864</v>
      </c>
      <c r="B865" s="43" t="n">
        <v>46266.3715277778</v>
      </c>
      <c r="C865" s="43" t="n">
        <v>46266.3732060185</v>
      </c>
      <c r="D865" s="42" t="n">
        <f aca="false">INT(C865)</f>
        <v>46266</v>
      </c>
      <c r="E865" s="42" t="n">
        <f aca="false">D865-WEEKDAY(D865,3)</f>
        <v>46265</v>
      </c>
      <c r="F865" s="28" t="s">
        <v>184</v>
      </c>
      <c r="G865" s="28" t="n">
        <v>2026</v>
      </c>
      <c r="H865" s="28" t="s">
        <v>232</v>
      </c>
      <c r="I865" s="28" t="n">
        <v>8</v>
      </c>
      <c r="J865" s="28" t="s">
        <v>233</v>
      </c>
      <c r="K865" s="28" t="s">
        <v>234</v>
      </c>
      <c r="L865" s="28" t="n">
        <v>0.17</v>
      </c>
      <c r="M865" s="31" t="n">
        <v>29492.66</v>
      </c>
      <c r="N865" s="31" t="n">
        <v>29481.72</v>
      </c>
      <c r="O865" s="31" t="n">
        <v>29514.54</v>
      </c>
      <c r="P865" s="44" t="n">
        <f aca="false">ABS(M865-N865)</f>
        <v>10.9399999999987</v>
      </c>
      <c r="Q865" s="44" t="n">
        <f aca="false">IF(O865="","",ABS(O865-M865))</f>
        <v>21.880000000001</v>
      </c>
      <c r="R865" s="30" t="n">
        <f aca="false">P865*L865*Summary!$C$6</f>
        <v>37.1959999999956</v>
      </c>
      <c r="S865" s="31" t="n">
        <v>29514.59</v>
      </c>
      <c r="T865" s="28" t="s">
        <v>214</v>
      </c>
      <c r="U865" s="44" t="n">
        <f aca="false">IF(J865="BUY",S865-M865,M865-S865)</f>
        <v>21.9300000000003</v>
      </c>
      <c r="V865" s="45" t="n">
        <v>0</v>
      </c>
      <c r="W865" s="45" t="n">
        <v>0</v>
      </c>
      <c r="X865" s="45" t="n">
        <v>74.56</v>
      </c>
      <c r="Y865" s="32" t="n">
        <f aca="false">IFERROR(X865/R865,0)</f>
        <v>2.00451661468999</v>
      </c>
      <c r="Z865" s="28" t="str">
        <f aca="false">IF(X865&gt;0,"Win",IF(X865&lt;0,"Loss","Flat"))</f>
        <v>Win</v>
      </c>
      <c r="AA865" s="28" t="n">
        <f aca="false">ROUND((C865-B865)*1440,1)</f>
        <v>2.4</v>
      </c>
      <c r="AB865" s="28" t="str">
        <f aca="false">IF(AA865&lt;1,"a) &lt;1 min",IF(AA865&lt;10,"b) 1-10 min",IF(AA865&lt;60,"c) 10-60 min",IF(AA865&lt;240,"d) 1-4 h","e) 4 h+"))))</f>
        <v>b) 1-10 min</v>
      </c>
      <c r="AC865" s="28" t="str">
        <f aca="false">IF(P865&lt;10,"a) &lt;10",IF(P865&lt;20,"b) 10-20",IF(P865&lt;40,"c) 20-40",IF(P865&lt;80,"d) 40-80","e) 80+"))))</f>
        <v>b) 10-20</v>
      </c>
      <c r="AD865" s="30" t="n">
        <f aca="false">Summary!$C$5+SUM(X$2:X865)</f>
        <v>116685.82</v>
      </c>
      <c r="AE865" s="30" t="n">
        <f aca="false">MAX(AE864,AD865)</f>
        <v>116873.04</v>
      </c>
      <c r="AF865" s="30" t="n">
        <f aca="false">AE865-AD865</f>
        <v>187.220000000001</v>
      </c>
      <c r="AG865" s="29" t="n">
        <f aca="false">IFERROR(AF865/AE865,0)</f>
        <v>0.00160190921704442</v>
      </c>
    </row>
    <row r="866" customFormat="false" ht="15" hidden="false" customHeight="false" outlineLevel="0" collapsed="false">
      <c r="A866" s="28" t="n">
        <v>865</v>
      </c>
      <c r="B866" s="43" t="n">
        <v>46266.4847222222</v>
      </c>
      <c r="C866" s="43" t="n">
        <v>46266.504375</v>
      </c>
      <c r="D866" s="42" t="n">
        <f aca="false">INT(C866)</f>
        <v>46266</v>
      </c>
      <c r="E866" s="42" t="n">
        <f aca="false">D866-WEEKDAY(D866,3)</f>
        <v>46265</v>
      </c>
      <c r="F866" s="28" t="s">
        <v>184</v>
      </c>
      <c r="G866" s="28" t="n">
        <v>2026</v>
      </c>
      <c r="H866" s="28" t="s">
        <v>232</v>
      </c>
      <c r="I866" s="28" t="n">
        <v>11</v>
      </c>
      <c r="J866" s="28" t="s">
        <v>236</v>
      </c>
      <c r="K866" s="28" t="s">
        <v>237</v>
      </c>
      <c r="L866" s="28" t="n">
        <v>0.17</v>
      </c>
      <c r="M866" s="31" t="n">
        <v>29218.51</v>
      </c>
      <c r="N866" s="31" t="n">
        <v>29247.01</v>
      </c>
      <c r="O866" s="31" t="n">
        <v>29161.51</v>
      </c>
      <c r="P866" s="44" t="n">
        <f aca="false">ABS(M866-N866)</f>
        <v>28.5</v>
      </c>
      <c r="Q866" s="44" t="n">
        <f aca="false">IF(O866="","",ABS(O866-M866))</f>
        <v>57</v>
      </c>
      <c r="R866" s="30" t="n">
        <f aca="false">P866*L866*Summary!$C$6</f>
        <v>96.9</v>
      </c>
      <c r="S866" s="31" t="n">
        <v>29161.42</v>
      </c>
      <c r="T866" s="28" t="s">
        <v>214</v>
      </c>
      <c r="U866" s="44" t="n">
        <f aca="false">IF(J866="BUY",S866-M866,M866-S866)</f>
        <v>57.0900000000001</v>
      </c>
      <c r="V866" s="45" t="n">
        <v>0</v>
      </c>
      <c r="W866" s="45" t="n">
        <v>0</v>
      </c>
      <c r="X866" s="45" t="n">
        <v>194.11</v>
      </c>
      <c r="Y866" s="32" t="n">
        <f aca="false">IFERROR(X866/R866,0)</f>
        <v>2.0031991744066</v>
      </c>
      <c r="Z866" s="28" t="str">
        <f aca="false">IF(X866&gt;0,"Win",IF(X866&lt;0,"Loss","Flat"))</f>
        <v>Win</v>
      </c>
      <c r="AA866" s="28" t="n">
        <f aca="false">ROUND((C866-B866)*1440,1)</f>
        <v>28.3</v>
      </c>
      <c r="AB866" s="28" t="str">
        <f aca="false">IF(AA866&lt;1,"a) &lt;1 min",IF(AA866&lt;10,"b) 1-10 min",IF(AA866&lt;60,"c) 10-60 min",IF(AA866&lt;240,"d) 1-4 h","e) 4 h+"))))</f>
        <v>c) 10-60 min</v>
      </c>
      <c r="AC866" s="28" t="str">
        <f aca="false">IF(P866&lt;10,"a) &lt;10",IF(P866&lt;20,"b) 10-20",IF(P866&lt;40,"c) 20-40",IF(P866&lt;80,"d) 40-80","e) 80+"))))</f>
        <v>c) 20-40</v>
      </c>
      <c r="AD866" s="30" t="n">
        <f aca="false">Summary!$C$5+SUM(X$2:X866)</f>
        <v>116879.93</v>
      </c>
      <c r="AE866" s="30" t="n">
        <f aca="false">MAX(AE865,AD866)</f>
        <v>116879.93</v>
      </c>
      <c r="AF866" s="30" t="n">
        <f aca="false">AE866-AD866</f>
        <v>0</v>
      </c>
      <c r="AG866" s="29" t="n">
        <f aca="false">IFERROR(AF866/AE866,0)</f>
        <v>0</v>
      </c>
    </row>
    <row r="867" customFormat="false" ht="15" hidden="false" customHeight="false" outlineLevel="0" collapsed="false">
      <c r="A867" s="28" t="n">
        <v>866</v>
      </c>
      <c r="B867" s="43" t="n">
        <v>46267.4951388889</v>
      </c>
      <c r="C867" s="43" t="n">
        <v>46267.5002083333</v>
      </c>
      <c r="D867" s="42" t="n">
        <f aca="false">INT(C867)</f>
        <v>46267</v>
      </c>
      <c r="E867" s="42" t="n">
        <f aca="false">D867-WEEKDAY(D867,3)</f>
        <v>46265</v>
      </c>
      <c r="F867" s="28" t="s">
        <v>184</v>
      </c>
      <c r="G867" s="28" t="n">
        <v>2026</v>
      </c>
      <c r="H867" s="28" t="s">
        <v>235</v>
      </c>
      <c r="I867" s="28" t="n">
        <v>11</v>
      </c>
      <c r="J867" s="28" t="s">
        <v>236</v>
      </c>
      <c r="K867" s="28" t="s">
        <v>237</v>
      </c>
      <c r="L867" s="28" t="n">
        <v>0.18</v>
      </c>
      <c r="M867" s="31" t="n">
        <v>28942.25</v>
      </c>
      <c r="N867" s="31" t="n">
        <v>28959.71</v>
      </c>
      <c r="O867" s="31" t="n">
        <v>28907.34</v>
      </c>
      <c r="P867" s="44" t="n">
        <f aca="false">ABS(M867-N867)</f>
        <v>17.4599999999991</v>
      </c>
      <c r="Q867" s="44" t="n">
        <f aca="false">IF(O867="","",ABS(O867-M867))</f>
        <v>34.9099999999999</v>
      </c>
      <c r="R867" s="30" t="n">
        <f aca="false">P867*L867*Summary!$C$6</f>
        <v>62.8559999999969</v>
      </c>
      <c r="S867" s="31" t="n">
        <v>28944.39</v>
      </c>
      <c r="T867" s="28" t="s">
        <v>238</v>
      </c>
      <c r="U867" s="44" t="n">
        <f aca="false">IF(J867="BUY",S867-M867,M867-S867)</f>
        <v>-2.13999999999942</v>
      </c>
      <c r="V867" s="45" t="n">
        <v>0</v>
      </c>
      <c r="W867" s="45" t="n">
        <v>0</v>
      </c>
      <c r="X867" s="45" t="n">
        <v>-7.7</v>
      </c>
      <c r="Y867" s="32" t="n">
        <f aca="false">IFERROR(X867/R867,0)</f>
        <v>-0.12250222731323</v>
      </c>
      <c r="Z867" s="28" t="str">
        <f aca="false">IF(X867&gt;0,"Win",IF(X867&lt;0,"Loss","Flat"))</f>
        <v>Loss</v>
      </c>
      <c r="AA867" s="28" t="n">
        <f aca="false">ROUND((C867-B867)*1440,1)</f>
        <v>7.3</v>
      </c>
      <c r="AB867" s="28" t="str">
        <f aca="false">IF(AA867&lt;1,"a) &lt;1 min",IF(AA867&lt;10,"b) 1-10 min",IF(AA867&lt;60,"c) 10-60 min",IF(AA867&lt;240,"d) 1-4 h","e) 4 h+"))))</f>
        <v>b) 1-10 min</v>
      </c>
      <c r="AC867" s="28" t="str">
        <f aca="false">IF(P867&lt;10,"a) &lt;10",IF(P867&lt;20,"b) 10-20",IF(P867&lt;40,"c) 20-40",IF(P867&lt;80,"d) 40-80","e) 80+"))))</f>
        <v>b) 10-20</v>
      </c>
      <c r="AD867" s="30" t="n">
        <f aca="false">Summary!$C$5+SUM(X$2:X867)</f>
        <v>116872.23</v>
      </c>
      <c r="AE867" s="30" t="n">
        <f aca="false">MAX(AE866,AD867)</f>
        <v>116879.93</v>
      </c>
      <c r="AF867" s="30" t="n">
        <f aca="false">AE867-AD867</f>
        <v>7.69999999999709</v>
      </c>
      <c r="AG867" s="29" t="n">
        <f aca="false">IFERROR(AF867/AE867,0)</f>
        <v>6.58795740209383E-005</v>
      </c>
    </row>
    <row r="868" customFormat="false" ht="15" hidden="false" customHeight="false" outlineLevel="0" collapsed="false">
      <c r="A868" s="28" t="n">
        <v>867</v>
      </c>
      <c r="B868" s="43" t="n">
        <v>46268.2631944444</v>
      </c>
      <c r="C868" s="43" t="n">
        <v>46268.267037037</v>
      </c>
      <c r="D868" s="42" t="n">
        <f aca="false">INT(C868)</f>
        <v>46268</v>
      </c>
      <c r="E868" s="42" t="n">
        <f aca="false">D868-WEEKDAY(D868,3)</f>
        <v>46265</v>
      </c>
      <c r="F868" s="28" t="s">
        <v>184</v>
      </c>
      <c r="G868" s="28" t="n">
        <v>2026</v>
      </c>
      <c r="H868" s="28" t="s">
        <v>239</v>
      </c>
      <c r="I868" s="28" t="n">
        <v>6</v>
      </c>
      <c r="J868" s="28" t="s">
        <v>233</v>
      </c>
      <c r="K868" s="28" t="s">
        <v>234</v>
      </c>
      <c r="L868" s="28" t="n">
        <v>0.18</v>
      </c>
      <c r="M868" s="31" t="n">
        <v>29181.01</v>
      </c>
      <c r="N868" s="31" t="n">
        <v>29168.06</v>
      </c>
      <c r="O868" s="31" t="n">
        <v>29206.9</v>
      </c>
      <c r="P868" s="44" t="n">
        <f aca="false">ABS(M868-N868)</f>
        <v>12.9499999999971</v>
      </c>
      <c r="Q868" s="44" t="n">
        <f aca="false">IF(O868="","",ABS(O868-M868))</f>
        <v>25.8900000000031</v>
      </c>
      <c r="R868" s="30" t="n">
        <f aca="false">P868*L868*Summary!$C$6</f>
        <v>46.6199999999895</v>
      </c>
      <c r="S868" s="31" t="n">
        <v>29167.9</v>
      </c>
      <c r="T868" s="28" t="s">
        <v>241</v>
      </c>
      <c r="U868" s="44" t="n">
        <f aca="false">IF(J868="BUY",S868-M868,M868-S868)</f>
        <v>-13.1099999999969</v>
      </c>
      <c r="V868" s="45" t="n">
        <v>0</v>
      </c>
      <c r="W868" s="45" t="n">
        <v>0</v>
      </c>
      <c r="X868" s="45" t="n">
        <v>-47.2</v>
      </c>
      <c r="Y868" s="32" t="n">
        <f aca="false">IFERROR(X868/R868,0)</f>
        <v>-1.01244101244124</v>
      </c>
      <c r="Z868" s="28" t="str">
        <f aca="false">IF(X868&gt;0,"Win",IF(X868&lt;0,"Loss","Flat"))</f>
        <v>Loss</v>
      </c>
      <c r="AA868" s="28" t="n">
        <f aca="false">ROUND((C868-B868)*1440,1)</f>
        <v>5.5</v>
      </c>
      <c r="AB868" s="28" t="str">
        <f aca="false">IF(AA868&lt;1,"a) &lt;1 min",IF(AA868&lt;10,"b) 1-10 min",IF(AA868&lt;60,"c) 10-60 min",IF(AA868&lt;240,"d) 1-4 h","e) 4 h+"))))</f>
        <v>b) 1-10 min</v>
      </c>
      <c r="AC868" s="28" t="str">
        <f aca="false">IF(P868&lt;10,"a) &lt;10",IF(P868&lt;20,"b) 10-20",IF(P868&lt;40,"c) 20-40",IF(P868&lt;80,"d) 40-80","e) 80+"))))</f>
        <v>b) 10-20</v>
      </c>
      <c r="AD868" s="30" t="n">
        <f aca="false">Summary!$C$5+SUM(X$2:X868)</f>
        <v>116825.03</v>
      </c>
      <c r="AE868" s="30" t="n">
        <f aca="false">MAX(AE867,AD868)</f>
        <v>116879.93</v>
      </c>
      <c r="AF868" s="30" t="n">
        <f aca="false">AE868-AD868</f>
        <v>54.8999999999942</v>
      </c>
      <c r="AG868" s="29" t="n">
        <f aca="false">IFERROR(AF868/AE868,0)</f>
        <v>0.000469712806980584</v>
      </c>
    </row>
    <row r="869" customFormat="false" ht="15" hidden="false" customHeight="false" outlineLevel="0" collapsed="false">
      <c r="A869" s="28" t="n">
        <v>868</v>
      </c>
      <c r="B869" s="43" t="n">
        <v>46269.3090277778</v>
      </c>
      <c r="C869" s="43" t="n">
        <v>46269.3134837963</v>
      </c>
      <c r="D869" s="42" t="n">
        <f aca="false">INT(C869)</f>
        <v>46269</v>
      </c>
      <c r="E869" s="42" t="n">
        <f aca="false">D869-WEEKDAY(D869,3)</f>
        <v>46265</v>
      </c>
      <c r="F869" s="28" t="s">
        <v>184</v>
      </c>
      <c r="G869" s="28" t="n">
        <v>2026</v>
      </c>
      <c r="H869" s="28" t="s">
        <v>242</v>
      </c>
      <c r="I869" s="28" t="n">
        <v>7</v>
      </c>
      <c r="J869" s="28" t="s">
        <v>233</v>
      </c>
      <c r="K869" s="28" t="s">
        <v>234</v>
      </c>
      <c r="L869" s="28" t="n">
        <v>0.17</v>
      </c>
      <c r="M869" s="31" t="n">
        <v>29539.52</v>
      </c>
      <c r="N869" s="31" t="n">
        <v>29531.49</v>
      </c>
      <c r="O869" s="31" t="n">
        <v>29555.58</v>
      </c>
      <c r="P869" s="44" t="n">
        <f aca="false">ABS(M869-N869)</f>
        <v>8.02999999999884</v>
      </c>
      <c r="Q869" s="44" t="n">
        <f aca="false">IF(O869="","",ABS(O869-M869))</f>
        <v>16.0600000000013</v>
      </c>
      <c r="R869" s="30" t="n">
        <f aca="false">P869*L869*Summary!$C$6</f>
        <v>27.301999999996</v>
      </c>
      <c r="S869" s="31" t="n">
        <v>29555.59</v>
      </c>
      <c r="T869" s="28" t="s">
        <v>214</v>
      </c>
      <c r="U869" s="44" t="n">
        <f aca="false">IF(J869="BUY",S869-M869,M869-S869)</f>
        <v>16.0699999999997</v>
      </c>
      <c r="V869" s="45" t="n">
        <v>0</v>
      </c>
      <c r="W869" s="45" t="n">
        <v>0</v>
      </c>
      <c r="X869" s="45" t="n">
        <v>54.64</v>
      </c>
      <c r="Y869" s="32" t="n">
        <f aca="false">IFERROR(X869/R869,0)</f>
        <v>2.00131858471936</v>
      </c>
      <c r="Z869" s="28" t="str">
        <f aca="false">IF(X869&gt;0,"Win",IF(X869&lt;0,"Loss","Flat"))</f>
        <v>Win</v>
      </c>
      <c r="AA869" s="28" t="n">
        <f aca="false">ROUND((C869-B869)*1440,1)</f>
        <v>6.4</v>
      </c>
      <c r="AB869" s="28" t="str">
        <f aca="false">IF(AA869&lt;1,"a) &lt;1 min",IF(AA869&lt;10,"b) 1-10 min",IF(AA869&lt;60,"c) 10-60 min",IF(AA869&lt;240,"d) 1-4 h","e) 4 h+"))))</f>
        <v>b) 1-10 min</v>
      </c>
      <c r="AC869" s="28" t="str">
        <f aca="false">IF(P869&lt;10,"a) &lt;10",IF(P869&lt;20,"b) 10-20",IF(P869&lt;40,"c) 20-40",IF(P869&lt;80,"d) 40-80","e) 80+"))))</f>
        <v>a) &lt;10</v>
      </c>
      <c r="AD869" s="30" t="n">
        <f aca="false">Summary!$C$5+SUM(X$2:X869)</f>
        <v>116879.67</v>
      </c>
      <c r="AE869" s="30" t="n">
        <f aca="false">MAX(AE868,AD869)</f>
        <v>116879.93</v>
      </c>
      <c r="AF869" s="30" t="n">
        <f aca="false">AE869-AD869</f>
        <v>0.259999999994761</v>
      </c>
      <c r="AG869" s="29" t="n">
        <f aca="false">IFERROR(AF869/AE869,0)</f>
        <v>2.22450509676692E-006</v>
      </c>
    </row>
    <row r="870" customFormat="false" ht="15" hidden="false" customHeight="false" outlineLevel="0" collapsed="false">
      <c r="A870" s="28" t="n">
        <v>869</v>
      </c>
      <c r="B870" s="43" t="n">
        <v>46273.0965277778</v>
      </c>
      <c r="C870" s="43" t="n">
        <v>46273.0974189815</v>
      </c>
      <c r="D870" s="42" t="n">
        <f aca="false">INT(C870)</f>
        <v>46273</v>
      </c>
      <c r="E870" s="42" t="n">
        <f aca="false">D870-WEEKDAY(D870,3)</f>
        <v>46272</v>
      </c>
      <c r="F870" s="28" t="s">
        <v>184</v>
      </c>
      <c r="G870" s="28" t="n">
        <v>2026</v>
      </c>
      <c r="H870" s="28" t="s">
        <v>232</v>
      </c>
      <c r="I870" s="28" t="n">
        <v>2</v>
      </c>
      <c r="J870" s="28" t="s">
        <v>236</v>
      </c>
      <c r="K870" s="28" t="s">
        <v>237</v>
      </c>
      <c r="L870" s="28" t="n">
        <v>0.17</v>
      </c>
      <c r="M870" s="31" t="n">
        <v>29495.28</v>
      </c>
      <c r="N870" s="31" t="n">
        <v>29509.53</v>
      </c>
      <c r="O870" s="31" t="n">
        <v>29466.78</v>
      </c>
      <c r="P870" s="44" t="n">
        <f aca="false">ABS(M870-N870)</f>
        <v>14.25</v>
      </c>
      <c r="Q870" s="44" t="n">
        <f aca="false">IF(O870="","",ABS(O870-M870))</f>
        <v>28.5</v>
      </c>
      <c r="R870" s="30" t="n">
        <f aca="false">P870*L870*Summary!$C$6</f>
        <v>48.45</v>
      </c>
      <c r="S870" s="31" t="n">
        <v>29509.6</v>
      </c>
      <c r="T870" s="28" t="s">
        <v>241</v>
      </c>
      <c r="U870" s="44" t="n">
        <f aca="false">IF(J870="BUY",S870-M870,M870-S870)</f>
        <v>-14.3199999999997</v>
      </c>
      <c r="V870" s="45" t="n">
        <v>0</v>
      </c>
      <c r="W870" s="45" t="n">
        <v>0</v>
      </c>
      <c r="X870" s="45" t="n">
        <v>-48.69</v>
      </c>
      <c r="Y870" s="32" t="n">
        <f aca="false">IFERROR(X870/R870,0)</f>
        <v>-1.00495356037152</v>
      </c>
      <c r="Z870" s="28" t="str">
        <f aca="false">IF(X870&gt;0,"Win",IF(X870&lt;0,"Loss","Flat"))</f>
        <v>Loss</v>
      </c>
      <c r="AA870" s="28" t="n">
        <f aca="false">ROUND((C870-B870)*1440,1)</f>
        <v>1.3</v>
      </c>
      <c r="AB870" s="28" t="str">
        <f aca="false">IF(AA870&lt;1,"a) &lt;1 min",IF(AA870&lt;10,"b) 1-10 min",IF(AA870&lt;60,"c) 10-60 min",IF(AA870&lt;240,"d) 1-4 h","e) 4 h+"))))</f>
        <v>b) 1-10 min</v>
      </c>
      <c r="AC870" s="28" t="str">
        <f aca="false">IF(P870&lt;10,"a) &lt;10",IF(P870&lt;20,"b) 10-20",IF(P870&lt;40,"c) 20-40",IF(P870&lt;80,"d) 40-80","e) 80+"))))</f>
        <v>b) 10-20</v>
      </c>
      <c r="AD870" s="30" t="n">
        <f aca="false">Summary!$C$5+SUM(X$2:X870)</f>
        <v>116830.98</v>
      </c>
      <c r="AE870" s="30" t="n">
        <f aca="false">MAX(AE869,AD870)</f>
        <v>116879.93</v>
      </c>
      <c r="AF870" s="30" t="n">
        <f aca="false">AE870-AD870</f>
        <v>48.9499999999971</v>
      </c>
      <c r="AG870" s="29" t="n">
        <f aca="false">IFERROR(AF870/AE870,0)</f>
        <v>0.000418805863418956</v>
      </c>
    </row>
    <row r="871" customFormat="false" ht="15" hidden="false" customHeight="false" outlineLevel="0" collapsed="false">
      <c r="A871" s="28" t="n">
        <v>870</v>
      </c>
      <c r="B871" s="43" t="n">
        <v>46273.2006944444</v>
      </c>
      <c r="C871" s="43" t="n">
        <v>46273.2083449074</v>
      </c>
      <c r="D871" s="42" t="n">
        <f aca="false">INT(C871)</f>
        <v>46273</v>
      </c>
      <c r="E871" s="42" t="n">
        <f aca="false">D871-WEEKDAY(D871,3)</f>
        <v>46272</v>
      </c>
      <c r="F871" s="28" t="s">
        <v>184</v>
      </c>
      <c r="G871" s="28" t="n">
        <v>2026</v>
      </c>
      <c r="H871" s="28" t="s">
        <v>232</v>
      </c>
      <c r="I871" s="28" t="n">
        <v>4</v>
      </c>
      <c r="J871" s="28" t="s">
        <v>233</v>
      </c>
      <c r="K871" s="28" t="s">
        <v>234</v>
      </c>
      <c r="L871" s="28" t="n">
        <v>0.17</v>
      </c>
      <c r="M871" s="31" t="n">
        <v>29649.73</v>
      </c>
      <c r="N871" s="31" t="n">
        <v>29636.11</v>
      </c>
      <c r="O871" s="31" t="n">
        <v>29676.65</v>
      </c>
      <c r="P871" s="44" t="n">
        <f aca="false">ABS(M871-N871)</f>
        <v>13.619999999999</v>
      </c>
      <c r="Q871" s="44" t="n">
        <f aca="false">IF(O871="","",ABS(O871-M871))</f>
        <v>26.9200000000019</v>
      </c>
      <c r="R871" s="30" t="n">
        <f aca="false">P871*L871*Summary!$C$6</f>
        <v>46.3079999999965</v>
      </c>
      <c r="S871" s="31" t="n">
        <v>29676.7</v>
      </c>
      <c r="T871" s="28" t="s">
        <v>214</v>
      </c>
      <c r="U871" s="44" t="n">
        <f aca="false">IF(J871="BUY",S871-M871,M871-S871)</f>
        <v>26.9700000000012</v>
      </c>
      <c r="V871" s="45" t="n">
        <v>0</v>
      </c>
      <c r="W871" s="45" t="n">
        <v>0</v>
      </c>
      <c r="X871" s="45" t="n">
        <v>91.7</v>
      </c>
      <c r="Y871" s="32" t="n">
        <f aca="false">IFERROR(X871/R871,0)</f>
        <v>1.98021940053569</v>
      </c>
      <c r="Z871" s="28" t="str">
        <f aca="false">IF(X871&gt;0,"Win",IF(X871&lt;0,"Loss","Flat"))</f>
        <v>Win</v>
      </c>
      <c r="AA871" s="28" t="n">
        <f aca="false">ROUND((C871-B871)*1440,1)</f>
        <v>11</v>
      </c>
      <c r="AB871" s="28" t="str">
        <f aca="false">IF(AA871&lt;1,"a) &lt;1 min",IF(AA871&lt;10,"b) 1-10 min",IF(AA871&lt;60,"c) 10-60 min",IF(AA871&lt;240,"d) 1-4 h","e) 4 h+"))))</f>
        <v>c) 10-60 min</v>
      </c>
      <c r="AC871" s="28" t="str">
        <f aca="false">IF(P871&lt;10,"a) &lt;10",IF(P871&lt;20,"b) 10-20",IF(P871&lt;40,"c) 20-40",IF(P871&lt;80,"d) 40-80","e) 80+"))))</f>
        <v>b) 10-20</v>
      </c>
      <c r="AD871" s="30" t="n">
        <f aca="false">Summary!$C$5+SUM(X$2:X871)</f>
        <v>116922.68</v>
      </c>
      <c r="AE871" s="30" t="n">
        <f aca="false">MAX(AE870,AD871)</f>
        <v>116922.68</v>
      </c>
      <c r="AF871" s="30" t="n">
        <f aca="false">AE871-AD871</f>
        <v>0</v>
      </c>
      <c r="AG871" s="29" t="n">
        <f aca="false">IFERROR(AF871/AE871,0)</f>
        <v>0</v>
      </c>
    </row>
    <row r="872" customFormat="false" ht="15" hidden="false" customHeight="false" outlineLevel="0" collapsed="false">
      <c r="A872" s="28" t="n">
        <v>871</v>
      </c>
      <c r="B872" s="43" t="n">
        <v>46274.5381944445</v>
      </c>
      <c r="C872" s="43" t="n">
        <v>46274.5452314815</v>
      </c>
      <c r="D872" s="42" t="n">
        <f aca="false">INT(C872)</f>
        <v>46274</v>
      </c>
      <c r="E872" s="42" t="n">
        <f aca="false">D872-WEEKDAY(D872,3)</f>
        <v>46272</v>
      </c>
      <c r="F872" s="28" t="s">
        <v>184</v>
      </c>
      <c r="G872" s="28" t="n">
        <v>2026</v>
      </c>
      <c r="H872" s="28" t="s">
        <v>235</v>
      </c>
      <c r="I872" s="28" t="n">
        <v>12</v>
      </c>
      <c r="J872" s="28" t="s">
        <v>236</v>
      </c>
      <c r="K872" s="28" t="s">
        <v>237</v>
      </c>
      <c r="L872" s="28" t="n">
        <v>0.17</v>
      </c>
      <c r="M872" s="31" t="n">
        <v>29391.97</v>
      </c>
      <c r="N872" s="31" t="n">
        <v>29416.78</v>
      </c>
      <c r="O872" s="31" t="n">
        <v>29342.35</v>
      </c>
      <c r="P872" s="44" t="n">
        <f aca="false">ABS(M872-N872)</f>
        <v>24.8099999999977</v>
      </c>
      <c r="Q872" s="44" t="n">
        <f aca="false">IF(O872="","",ABS(O872-M872))</f>
        <v>49.6200000000026</v>
      </c>
      <c r="R872" s="30" t="n">
        <f aca="false">P872*L872*Summary!$C$6</f>
        <v>84.3539999999921</v>
      </c>
      <c r="S872" s="31" t="n">
        <v>29392.14</v>
      </c>
      <c r="T872" s="28" t="s">
        <v>238</v>
      </c>
      <c r="U872" s="44" t="n">
        <f aca="false">IF(J872="BUY",S872-M872,M872-S872)</f>
        <v>-0.169999999998254</v>
      </c>
      <c r="V872" s="45" t="n">
        <v>0</v>
      </c>
      <c r="W872" s="45" t="n">
        <v>0</v>
      </c>
      <c r="X872" s="45" t="n">
        <v>-0.58</v>
      </c>
      <c r="Y872" s="32" t="n">
        <f aca="false">IFERROR(X872/R872,0)</f>
        <v>-0.00687578538065835</v>
      </c>
      <c r="Z872" s="28" t="str">
        <f aca="false">IF(X872&gt;0,"Win",IF(X872&lt;0,"Loss","Flat"))</f>
        <v>Loss</v>
      </c>
      <c r="AA872" s="28" t="n">
        <f aca="false">ROUND((C872-B872)*1440,1)</f>
        <v>10.1</v>
      </c>
      <c r="AB872" s="28" t="str">
        <f aca="false">IF(AA872&lt;1,"a) &lt;1 min",IF(AA872&lt;10,"b) 1-10 min",IF(AA872&lt;60,"c) 10-60 min",IF(AA872&lt;240,"d) 1-4 h","e) 4 h+"))))</f>
        <v>c) 10-60 min</v>
      </c>
      <c r="AC872" s="28" t="str">
        <f aca="false">IF(P872&lt;10,"a) &lt;10",IF(P872&lt;20,"b) 10-20",IF(P872&lt;40,"c) 20-40",IF(P872&lt;80,"d) 40-80","e) 80+"))))</f>
        <v>c) 20-40</v>
      </c>
      <c r="AD872" s="30" t="n">
        <f aca="false">Summary!$C$5+SUM(X$2:X872)</f>
        <v>116922.1</v>
      </c>
      <c r="AE872" s="30" t="n">
        <f aca="false">MAX(AE871,AD872)</f>
        <v>116922.68</v>
      </c>
      <c r="AF872" s="30" t="n">
        <f aca="false">AE872-AD872</f>
        <v>0.579999999987194</v>
      </c>
      <c r="AG872" s="29" t="n">
        <f aca="false">IFERROR(AF872/AE872,0)</f>
        <v>4.96054315541856E-006</v>
      </c>
    </row>
    <row r="873" customFormat="false" ht="15" hidden="false" customHeight="false" outlineLevel="0" collapsed="false">
      <c r="A873" s="28" t="n">
        <v>872</v>
      </c>
      <c r="B873" s="43" t="n">
        <v>46275.5909722222</v>
      </c>
      <c r="C873" s="43" t="n">
        <v>46275.6070023148</v>
      </c>
      <c r="D873" s="42" t="n">
        <f aca="false">INT(C873)</f>
        <v>46275</v>
      </c>
      <c r="E873" s="42" t="n">
        <f aca="false">D873-WEEKDAY(D873,3)</f>
        <v>46272</v>
      </c>
      <c r="F873" s="28" t="s">
        <v>184</v>
      </c>
      <c r="G873" s="28" t="n">
        <v>2026</v>
      </c>
      <c r="H873" s="28" t="s">
        <v>239</v>
      </c>
      <c r="I873" s="28" t="n">
        <v>14</v>
      </c>
      <c r="J873" s="28" t="s">
        <v>236</v>
      </c>
      <c r="K873" s="28" t="s">
        <v>237</v>
      </c>
      <c r="L873" s="28" t="n">
        <v>0.17</v>
      </c>
      <c r="M873" s="31" t="n">
        <v>29307.17</v>
      </c>
      <c r="N873" s="31" t="n">
        <v>29331.08</v>
      </c>
      <c r="O873" s="31" t="n">
        <v>29259.34</v>
      </c>
      <c r="P873" s="44" t="n">
        <f aca="false">ABS(M873-N873)</f>
        <v>23.9100000000035</v>
      </c>
      <c r="Q873" s="44" t="n">
        <f aca="false">IF(O873="","",ABS(O873-M873))</f>
        <v>47.8299999999981</v>
      </c>
      <c r="R873" s="30" t="n">
        <f aca="false">P873*L873*Summary!$C$6</f>
        <v>81.2940000000119</v>
      </c>
      <c r="S873" s="31" t="n">
        <v>29331.21</v>
      </c>
      <c r="T873" s="28" t="s">
        <v>241</v>
      </c>
      <c r="U873" s="44" t="n">
        <f aca="false">IF(J873="BUY",S873-M873,M873-S873)</f>
        <v>-24.0400000000009</v>
      </c>
      <c r="V873" s="45" t="n">
        <v>0</v>
      </c>
      <c r="W873" s="45" t="n">
        <v>0</v>
      </c>
      <c r="X873" s="45" t="n">
        <v>-81.74</v>
      </c>
      <c r="Y873" s="32" t="n">
        <f aca="false">IFERROR(X873/R873,0)</f>
        <v>-1.00548625974842</v>
      </c>
      <c r="Z873" s="28" t="str">
        <f aca="false">IF(X873&gt;0,"Win",IF(X873&lt;0,"Loss","Flat"))</f>
        <v>Loss</v>
      </c>
      <c r="AA873" s="28" t="n">
        <f aca="false">ROUND((C873-B873)*1440,1)</f>
        <v>23.1</v>
      </c>
      <c r="AB873" s="28" t="str">
        <f aca="false">IF(AA873&lt;1,"a) &lt;1 min",IF(AA873&lt;10,"b) 1-10 min",IF(AA873&lt;60,"c) 10-60 min",IF(AA873&lt;240,"d) 1-4 h","e) 4 h+"))))</f>
        <v>c) 10-60 min</v>
      </c>
      <c r="AC873" s="28" t="str">
        <f aca="false">IF(P873&lt;10,"a) &lt;10",IF(P873&lt;20,"b) 10-20",IF(P873&lt;40,"c) 20-40",IF(P873&lt;80,"d) 40-80","e) 80+"))))</f>
        <v>c) 20-40</v>
      </c>
      <c r="AD873" s="30" t="n">
        <f aca="false">Summary!$C$5+SUM(X$2:X873)</f>
        <v>116840.36</v>
      </c>
      <c r="AE873" s="30" t="n">
        <f aca="false">MAX(AE872,AD873)</f>
        <v>116922.68</v>
      </c>
      <c r="AF873" s="30" t="n">
        <f aca="false">AE873-AD873</f>
        <v>82.3199999999924</v>
      </c>
      <c r="AG873" s="29" t="n">
        <f aca="false">IFERROR(AF873/AE873,0)</f>
        <v>0.000704055021660404</v>
      </c>
    </row>
    <row r="874" customFormat="false" ht="15" hidden="false" customHeight="false" outlineLevel="0" collapsed="false">
      <c r="A874" s="28" t="n">
        <v>873</v>
      </c>
      <c r="B874" s="43" t="n">
        <v>46279.0451388889</v>
      </c>
      <c r="C874" s="43" t="n">
        <v>46279.5106712963</v>
      </c>
      <c r="D874" s="42" t="n">
        <f aca="false">INT(C874)</f>
        <v>46279</v>
      </c>
      <c r="E874" s="42" t="n">
        <f aca="false">D874-WEEKDAY(D874,3)</f>
        <v>46279</v>
      </c>
      <c r="F874" s="28" t="s">
        <v>184</v>
      </c>
      <c r="G874" s="28" t="n">
        <v>2026</v>
      </c>
      <c r="H874" s="28" t="s">
        <v>240</v>
      </c>
      <c r="I874" s="28" t="n">
        <v>1</v>
      </c>
      <c r="J874" s="28" t="s">
        <v>236</v>
      </c>
      <c r="K874" s="28" t="s">
        <v>237</v>
      </c>
      <c r="L874" s="28" t="n">
        <v>0.18</v>
      </c>
      <c r="M874" s="31" t="n">
        <v>29017.67</v>
      </c>
      <c r="N874" s="31" t="n">
        <v>29119.42</v>
      </c>
      <c r="O874" s="31" t="n">
        <v>28817.83</v>
      </c>
      <c r="P874" s="44" t="n">
        <f aca="false">ABS(M874-N874)</f>
        <v>101.75</v>
      </c>
      <c r="Q874" s="44" t="n">
        <f aca="false">IF(O874="","",ABS(O874-M874))</f>
        <v>199.839999999997</v>
      </c>
      <c r="R874" s="30" t="n">
        <f aca="false">P874*L874*Summary!$C$6</f>
        <v>366.3</v>
      </c>
      <c r="S874" s="31" t="n">
        <v>28817.63</v>
      </c>
      <c r="T874" s="28" t="s">
        <v>214</v>
      </c>
      <c r="U874" s="44" t="n">
        <f aca="false">IF(J874="BUY",S874-M874,M874-S874)</f>
        <v>200.039999999997</v>
      </c>
      <c r="V874" s="45" t="n">
        <v>0</v>
      </c>
      <c r="W874" s="45" t="n">
        <v>0</v>
      </c>
      <c r="X874" s="45" t="n">
        <v>720.14</v>
      </c>
      <c r="Y874" s="32" t="n">
        <f aca="false">IFERROR(X874/R874,0)</f>
        <v>1.96598416598417</v>
      </c>
      <c r="Z874" s="28" t="str">
        <f aca="false">IF(X874&gt;0,"Win",IF(X874&lt;0,"Loss","Flat"))</f>
        <v>Win</v>
      </c>
      <c r="AA874" s="28" t="n">
        <f aca="false">ROUND((C874-B874)*1440,1)</f>
        <v>670.4</v>
      </c>
      <c r="AB874" s="28" t="str">
        <f aca="false">IF(AA874&lt;1,"a) &lt;1 min",IF(AA874&lt;10,"b) 1-10 min",IF(AA874&lt;60,"c) 10-60 min",IF(AA874&lt;240,"d) 1-4 h","e) 4 h+"))))</f>
        <v>e) 4 h+</v>
      </c>
      <c r="AC874" s="28" t="str">
        <f aca="false">IF(P874&lt;10,"a) &lt;10",IF(P874&lt;20,"b) 10-20",IF(P874&lt;40,"c) 20-40",IF(P874&lt;80,"d) 40-80","e) 80+"))))</f>
        <v>e) 80+</v>
      </c>
      <c r="AD874" s="30" t="n">
        <f aca="false">Summary!$C$5+SUM(X$2:X874)</f>
        <v>117560.5</v>
      </c>
      <c r="AE874" s="30" t="n">
        <f aca="false">MAX(AE873,AD874)</f>
        <v>117560.5</v>
      </c>
      <c r="AF874" s="30" t="n">
        <f aca="false">AE874-AD874</f>
        <v>0</v>
      </c>
      <c r="AG874" s="29" t="n">
        <f aca="false">IFERROR(AF874/AE874,0)</f>
        <v>0</v>
      </c>
    </row>
    <row r="875" customFormat="false" ht="15" hidden="false" customHeight="false" outlineLevel="0" collapsed="false">
      <c r="A875" s="28" t="n">
        <v>874</v>
      </c>
      <c r="B875" s="43" t="n">
        <v>46281.75</v>
      </c>
      <c r="C875" s="43" t="n">
        <v>46281.7618634259</v>
      </c>
      <c r="D875" s="42" t="n">
        <f aca="false">INT(C875)</f>
        <v>46281</v>
      </c>
      <c r="E875" s="42" t="n">
        <f aca="false">D875-WEEKDAY(D875,3)</f>
        <v>46279</v>
      </c>
      <c r="F875" s="28" t="s">
        <v>184</v>
      </c>
      <c r="G875" s="28" t="n">
        <v>2026</v>
      </c>
      <c r="H875" s="28" t="s">
        <v>235</v>
      </c>
      <c r="I875" s="28" t="n">
        <v>18</v>
      </c>
      <c r="J875" s="28" t="s">
        <v>233</v>
      </c>
      <c r="K875" s="28" t="s">
        <v>234</v>
      </c>
      <c r="L875" s="28" t="n">
        <v>0.18</v>
      </c>
      <c r="M875" s="31" t="n">
        <v>29190.23</v>
      </c>
      <c r="N875" s="31" t="n">
        <v>29169.27</v>
      </c>
      <c r="O875" s="31" t="n">
        <v>29232.14</v>
      </c>
      <c r="P875" s="44" t="n">
        <f aca="false">ABS(M875-N875)</f>
        <v>20.9599999999991</v>
      </c>
      <c r="Q875" s="44" t="n">
        <f aca="false">IF(O875="","",ABS(O875-M875))</f>
        <v>41.9099999999999</v>
      </c>
      <c r="R875" s="30" t="n">
        <f aca="false">P875*L875*Summary!$C$6</f>
        <v>75.4559999999969</v>
      </c>
      <c r="S875" s="31" t="n">
        <v>29189.56</v>
      </c>
      <c r="T875" s="28" t="s">
        <v>238</v>
      </c>
      <c r="U875" s="44" t="n">
        <f aca="false">IF(J875="BUY",S875-M875,M875-S875)</f>
        <v>-0.669999999998254</v>
      </c>
      <c r="V875" s="45" t="n">
        <v>0</v>
      </c>
      <c r="W875" s="45" t="n">
        <v>0</v>
      </c>
      <c r="X875" s="45" t="n">
        <v>-2.41</v>
      </c>
      <c r="Y875" s="32" t="n">
        <f aca="false">IFERROR(X875/R875,0)</f>
        <v>-0.0319391433418164</v>
      </c>
      <c r="Z875" s="28" t="str">
        <f aca="false">IF(X875&gt;0,"Win",IF(X875&lt;0,"Loss","Flat"))</f>
        <v>Loss</v>
      </c>
      <c r="AA875" s="28" t="n">
        <f aca="false">ROUND((C875-B875)*1440,1)</f>
        <v>17.1</v>
      </c>
      <c r="AB875" s="28" t="str">
        <f aca="false">IF(AA875&lt;1,"a) &lt;1 min",IF(AA875&lt;10,"b) 1-10 min",IF(AA875&lt;60,"c) 10-60 min",IF(AA875&lt;240,"d) 1-4 h","e) 4 h+"))))</f>
        <v>c) 10-60 min</v>
      </c>
      <c r="AC875" s="28" t="str">
        <f aca="false">IF(P875&lt;10,"a) &lt;10",IF(P875&lt;20,"b) 10-20",IF(P875&lt;40,"c) 20-40",IF(P875&lt;80,"d) 40-80","e) 80+"))))</f>
        <v>c) 20-40</v>
      </c>
      <c r="AD875" s="30" t="n">
        <f aca="false">Summary!$C$5+SUM(X$2:X875)</f>
        <v>117558.09</v>
      </c>
      <c r="AE875" s="30" t="n">
        <f aca="false">MAX(AE874,AD875)</f>
        <v>117560.5</v>
      </c>
      <c r="AF875" s="30" t="n">
        <f aca="false">AE875-AD875</f>
        <v>2.41000000000349</v>
      </c>
      <c r="AG875" s="29" t="n">
        <f aca="false">IFERROR(AF875/AE875,0)</f>
        <v>2.05000829360499E-005</v>
      </c>
    </row>
    <row r="876" customFormat="false" ht="15" hidden="false" customHeight="false" outlineLevel="0" collapsed="false">
      <c r="A876" s="28" t="n">
        <v>875</v>
      </c>
      <c r="B876" s="43" t="n">
        <v>46281.9229166667</v>
      </c>
      <c r="C876" s="43" t="n">
        <v>46281.9485069444</v>
      </c>
      <c r="D876" s="42" t="n">
        <f aca="false">INT(C876)</f>
        <v>46281</v>
      </c>
      <c r="E876" s="42" t="n">
        <f aca="false">D876-WEEKDAY(D876,3)</f>
        <v>46279</v>
      </c>
      <c r="F876" s="28" t="s">
        <v>184</v>
      </c>
      <c r="G876" s="28" t="n">
        <v>2026</v>
      </c>
      <c r="H876" s="28" t="s">
        <v>235</v>
      </c>
      <c r="I876" s="28" t="n">
        <v>22</v>
      </c>
      <c r="J876" s="28" t="s">
        <v>236</v>
      </c>
      <c r="K876" s="28" t="s">
        <v>237</v>
      </c>
      <c r="L876" s="28" t="n">
        <v>0.18</v>
      </c>
      <c r="M876" s="31" t="n">
        <v>28900.27</v>
      </c>
      <c r="N876" s="31" t="n">
        <v>28979.98</v>
      </c>
      <c r="O876" s="31" t="n">
        <v>28741.87</v>
      </c>
      <c r="P876" s="44" t="n">
        <f aca="false">ABS(M876-N876)</f>
        <v>79.7099999999991</v>
      </c>
      <c r="Q876" s="44" t="n">
        <f aca="false">IF(O876="","",ABS(O876-M876))</f>
        <v>158.400000000001</v>
      </c>
      <c r="R876" s="30" t="n">
        <f aca="false">P876*L876*Summary!$C$6</f>
        <v>286.955999999997</v>
      </c>
      <c r="S876" s="31" t="n">
        <v>28900.27</v>
      </c>
      <c r="T876" s="28" t="s">
        <v>238</v>
      </c>
      <c r="U876" s="44" t="n">
        <f aca="false">IF(J876="BUY",S876-M876,M876-S876)</f>
        <v>0</v>
      </c>
      <c r="V876" s="45" t="n">
        <v>0</v>
      </c>
      <c r="W876" s="45" t="n">
        <v>0</v>
      </c>
      <c r="X876" s="45" t="n">
        <v>0</v>
      </c>
      <c r="Y876" s="32" t="n">
        <f aca="false">IFERROR(X876/R876,0)</f>
        <v>0</v>
      </c>
      <c r="Z876" s="28" t="str">
        <f aca="false">IF(X876&gt;0,"Win",IF(X876&lt;0,"Loss","Flat"))</f>
        <v>Flat</v>
      </c>
      <c r="AA876" s="28" t="n">
        <f aca="false">ROUND((C876-B876)*1440,1)</f>
        <v>36.9</v>
      </c>
      <c r="AB876" s="28" t="str">
        <f aca="false">IF(AA876&lt;1,"a) &lt;1 min",IF(AA876&lt;10,"b) 1-10 min",IF(AA876&lt;60,"c) 10-60 min",IF(AA876&lt;240,"d) 1-4 h","e) 4 h+"))))</f>
        <v>c) 10-60 min</v>
      </c>
      <c r="AC876" s="28" t="str">
        <f aca="false">IF(P876&lt;10,"a) &lt;10",IF(P876&lt;20,"b) 10-20",IF(P876&lt;40,"c) 20-40",IF(P876&lt;80,"d) 40-80","e) 80+"))))</f>
        <v>d) 40-80</v>
      </c>
      <c r="AD876" s="30" t="n">
        <f aca="false">Summary!$C$5+SUM(X$2:X876)</f>
        <v>117558.09</v>
      </c>
      <c r="AE876" s="30" t="n">
        <f aca="false">MAX(AE875,AD876)</f>
        <v>117560.5</v>
      </c>
      <c r="AF876" s="30" t="n">
        <f aca="false">AE876-AD876</f>
        <v>2.41000000000349</v>
      </c>
      <c r="AG876" s="29" t="n">
        <f aca="false">IFERROR(AF876/AE876,0)</f>
        <v>2.05000829360499E-005</v>
      </c>
    </row>
    <row r="877" customFormat="false" ht="15" hidden="false" customHeight="false" outlineLevel="0" collapsed="false">
      <c r="A877" s="28" t="n">
        <v>876</v>
      </c>
      <c r="B877" s="43" t="n">
        <v>46282.4375</v>
      </c>
      <c r="C877" s="43" t="n">
        <v>46282.4390509259</v>
      </c>
      <c r="D877" s="42" t="n">
        <f aca="false">INT(C877)</f>
        <v>46282</v>
      </c>
      <c r="E877" s="42" t="n">
        <f aca="false">D877-WEEKDAY(D877,3)</f>
        <v>46279</v>
      </c>
      <c r="F877" s="28" t="s">
        <v>184</v>
      </c>
      <c r="G877" s="28" t="n">
        <v>2026</v>
      </c>
      <c r="H877" s="28" t="s">
        <v>239</v>
      </c>
      <c r="I877" s="28" t="n">
        <v>10</v>
      </c>
      <c r="J877" s="28" t="s">
        <v>233</v>
      </c>
      <c r="K877" s="28" t="s">
        <v>234</v>
      </c>
      <c r="L877" s="28" t="n">
        <v>0.18</v>
      </c>
      <c r="M877" s="31" t="n">
        <v>29242.43</v>
      </c>
      <c r="N877" s="31" t="n">
        <v>29225.08</v>
      </c>
      <c r="O877" s="31" t="n">
        <v>29277.13</v>
      </c>
      <c r="P877" s="44" t="n">
        <f aca="false">ABS(M877-N877)</f>
        <v>17.3499999999985</v>
      </c>
      <c r="Q877" s="44" t="n">
        <f aca="false">IF(O877="","",ABS(O877-M877))</f>
        <v>34.7000000000007</v>
      </c>
      <c r="R877" s="30" t="n">
        <f aca="false">P877*L877*Summary!$C$6</f>
        <v>62.4599999999948</v>
      </c>
      <c r="S877" s="31" t="n">
        <v>29242.29</v>
      </c>
      <c r="T877" s="28" t="s">
        <v>238</v>
      </c>
      <c r="U877" s="44" t="n">
        <f aca="false">IF(J877="BUY",S877-M877,M877-S877)</f>
        <v>-0.139999999999418</v>
      </c>
      <c r="V877" s="45" t="n">
        <v>0</v>
      </c>
      <c r="W877" s="45" t="n">
        <v>0</v>
      </c>
      <c r="X877" s="45" t="n">
        <v>-0.5</v>
      </c>
      <c r="Y877" s="32" t="n">
        <f aca="false">IFERROR(X877/R877,0)</f>
        <v>-0.00800512327889917</v>
      </c>
      <c r="Z877" s="28" t="str">
        <f aca="false">IF(X877&gt;0,"Win",IF(X877&lt;0,"Loss","Flat"))</f>
        <v>Loss</v>
      </c>
      <c r="AA877" s="28" t="n">
        <f aca="false">ROUND((C877-B877)*1440,1)</f>
        <v>2.2</v>
      </c>
      <c r="AB877" s="28" t="str">
        <f aca="false">IF(AA877&lt;1,"a) &lt;1 min",IF(AA877&lt;10,"b) 1-10 min",IF(AA877&lt;60,"c) 10-60 min",IF(AA877&lt;240,"d) 1-4 h","e) 4 h+"))))</f>
        <v>b) 1-10 min</v>
      </c>
      <c r="AC877" s="28" t="str">
        <f aca="false">IF(P877&lt;10,"a) &lt;10",IF(P877&lt;20,"b) 10-20",IF(P877&lt;40,"c) 20-40",IF(P877&lt;80,"d) 40-80","e) 80+"))))</f>
        <v>b) 10-20</v>
      </c>
      <c r="AD877" s="30" t="n">
        <f aca="false">Summary!$C$5+SUM(X$2:X877)</f>
        <v>117557.59</v>
      </c>
      <c r="AE877" s="30" t="n">
        <f aca="false">MAX(AE876,AD877)</f>
        <v>117560.5</v>
      </c>
      <c r="AF877" s="30" t="n">
        <f aca="false">AE877-AD877</f>
        <v>2.91000000000349</v>
      </c>
      <c r="AG877" s="29" t="n">
        <f aca="false">IFERROR(AF877/AE877,0)</f>
        <v>2.47532121758881E-005</v>
      </c>
    </row>
    <row r="878" customFormat="false" ht="15" hidden="false" customHeight="false" outlineLevel="0" collapsed="false">
      <c r="A878" s="28" t="n">
        <v>877</v>
      </c>
      <c r="B878" s="43" t="n">
        <v>46283.3222222222</v>
      </c>
      <c r="C878" s="43" t="n">
        <v>46283.350775463</v>
      </c>
      <c r="D878" s="42" t="n">
        <f aca="false">INT(C878)</f>
        <v>46283</v>
      </c>
      <c r="E878" s="42" t="n">
        <f aca="false">D878-WEEKDAY(D878,3)</f>
        <v>46279</v>
      </c>
      <c r="F878" s="28" t="s">
        <v>184</v>
      </c>
      <c r="G878" s="28" t="n">
        <v>2026</v>
      </c>
      <c r="H878" s="28" t="s">
        <v>242</v>
      </c>
      <c r="I878" s="28" t="n">
        <v>7</v>
      </c>
      <c r="J878" s="28" t="s">
        <v>233</v>
      </c>
      <c r="K878" s="28" t="s">
        <v>234</v>
      </c>
      <c r="L878" s="28" t="n">
        <v>0.17</v>
      </c>
      <c r="M878" s="31" t="n">
        <v>29499.81</v>
      </c>
      <c r="N878" s="31" t="n">
        <v>29486.79</v>
      </c>
      <c r="O878" s="31" t="n">
        <v>29525.85</v>
      </c>
      <c r="P878" s="44" t="n">
        <f aca="false">ABS(M878-N878)</f>
        <v>13.0200000000004</v>
      </c>
      <c r="Q878" s="44" t="n">
        <f aca="false">IF(O878="","",ABS(O878-M878))</f>
        <v>26.0399999999972</v>
      </c>
      <c r="R878" s="30" t="n">
        <f aca="false">P878*L878*Summary!$C$6</f>
        <v>44.2680000000015</v>
      </c>
      <c r="S878" s="31" t="n">
        <v>29526.06</v>
      </c>
      <c r="T878" s="28" t="s">
        <v>214</v>
      </c>
      <c r="U878" s="44" t="n">
        <f aca="false">IF(J878="BUY",S878-M878,M878-S878)</f>
        <v>26.25</v>
      </c>
      <c r="V878" s="45" t="n">
        <v>0</v>
      </c>
      <c r="W878" s="45" t="n">
        <v>0</v>
      </c>
      <c r="X878" s="45" t="n">
        <v>89.25</v>
      </c>
      <c r="Y878" s="32" t="n">
        <f aca="false">IFERROR(X878/R878,0)</f>
        <v>2.016129032258</v>
      </c>
      <c r="Z878" s="28" t="str">
        <f aca="false">IF(X878&gt;0,"Win",IF(X878&lt;0,"Loss","Flat"))</f>
        <v>Win</v>
      </c>
      <c r="AA878" s="28" t="n">
        <f aca="false">ROUND((C878-B878)*1440,1)</f>
        <v>41.1</v>
      </c>
      <c r="AB878" s="28" t="str">
        <f aca="false">IF(AA878&lt;1,"a) &lt;1 min",IF(AA878&lt;10,"b) 1-10 min",IF(AA878&lt;60,"c) 10-60 min",IF(AA878&lt;240,"d) 1-4 h","e) 4 h+"))))</f>
        <v>c) 10-60 min</v>
      </c>
      <c r="AC878" s="28" t="str">
        <f aca="false">IF(P878&lt;10,"a) &lt;10",IF(P878&lt;20,"b) 10-20",IF(P878&lt;40,"c) 20-40",IF(P878&lt;80,"d) 40-80","e) 80+"))))</f>
        <v>b) 10-20</v>
      </c>
      <c r="AD878" s="30" t="n">
        <f aca="false">Summary!$C$5+SUM(X$2:X878)</f>
        <v>117646.84</v>
      </c>
      <c r="AE878" s="30" t="n">
        <f aca="false">MAX(AE877,AD878)</f>
        <v>117646.84</v>
      </c>
      <c r="AF878" s="30" t="n">
        <f aca="false">AE878-AD878</f>
        <v>0</v>
      </c>
      <c r="AG878" s="29" t="n">
        <f aca="false">IFERROR(AF878/AE878,0)</f>
        <v>0</v>
      </c>
    </row>
    <row r="879" customFormat="false" ht="15" hidden="false" customHeight="false" outlineLevel="0" collapsed="false">
      <c r="A879" s="28" t="n">
        <v>878</v>
      </c>
      <c r="B879" s="43" t="n">
        <v>46286.0520833333</v>
      </c>
      <c r="C879" s="43" t="n">
        <v>46286.0758912037</v>
      </c>
      <c r="D879" s="42" t="n">
        <f aca="false">INT(C879)</f>
        <v>46286</v>
      </c>
      <c r="E879" s="42" t="n">
        <f aca="false">D879-WEEKDAY(D879,3)</f>
        <v>46286</v>
      </c>
      <c r="F879" s="28" t="s">
        <v>184</v>
      </c>
      <c r="G879" s="28" t="n">
        <v>2026</v>
      </c>
      <c r="H879" s="28" t="s">
        <v>240</v>
      </c>
      <c r="I879" s="28" t="n">
        <v>1</v>
      </c>
      <c r="J879" s="28" t="s">
        <v>233</v>
      </c>
      <c r="K879" s="28" t="s">
        <v>234</v>
      </c>
      <c r="L879" s="28" t="n">
        <v>0.17</v>
      </c>
      <c r="M879" s="31" t="n">
        <v>29708.64</v>
      </c>
      <c r="N879" s="31" t="n">
        <v>29686.46</v>
      </c>
      <c r="O879" s="31" t="n">
        <v>29752.99</v>
      </c>
      <c r="P879" s="44" t="n">
        <f aca="false">ABS(M879-N879)</f>
        <v>22.1800000000003</v>
      </c>
      <c r="Q879" s="44" t="n">
        <f aca="false">IF(O879="","",ABS(O879-M879))</f>
        <v>44.3500000000022</v>
      </c>
      <c r="R879" s="30" t="n">
        <f aca="false">P879*L879*Summary!$C$6</f>
        <v>75.412000000001</v>
      </c>
      <c r="S879" s="31" t="n">
        <v>29708.12</v>
      </c>
      <c r="T879" s="28" t="s">
        <v>238</v>
      </c>
      <c r="U879" s="44" t="n">
        <f aca="false">IF(J879="BUY",S879-M879,M879-S879)</f>
        <v>-0.520000000000437</v>
      </c>
      <c r="V879" s="45" t="n">
        <v>0</v>
      </c>
      <c r="W879" s="45" t="n">
        <v>0</v>
      </c>
      <c r="X879" s="45" t="n">
        <v>-1.77</v>
      </c>
      <c r="Y879" s="32" t="n">
        <f aca="false">IFERROR(X879/R879,0)</f>
        <v>-0.0234710656128995</v>
      </c>
      <c r="Z879" s="28" t="str">
        <f aca="false">IF(X879&gt;0,"Win",IF(X879&lt;0,"Loss","Flat"))</f>
        <v>Loss</v>
      </c>
      <c r="AA879" s="28" t="n">
        <f aca="false">ROUND((C879-B879)*1440,1)</f>
        <v>34.3</v>
      </c>
      <c r="AB879" s="28" t="str">
        <f aca="false">IF(AA879&lt;1,"a) &lt;1 min",IF(AA879&lt;10,"b) 1-10 min",IF(AA879&lt;60,"c) 10-60 min",IF(AA879&lt;240,"d) 1-4 h","e) 4 h+"))))</f>
        <v>c) 10-60 min</v>
      </c>
      <c r="AC879" s="28" t="str">
        <f aca="false">IF(P879&lt;10,"a) &lt;10",IF(P879&lt;20,"b) 10-20",IF(P879&lt;40,"c) 20-40",IF(P879&lt;80,"d) 40-80","e) 80+"))))</f>
        <v>c) 20-40</v>
      </c>
      <c r="AD879" s="30" t="n">
        <f aca="false">Summary!$C$5+SUM(X$2:X879)</f>
        <v>117645.07</v>
      </c>
      <c r="AE879" s="30" t="n">
        <f aca="false">MAX(AE878,AD879)</f>
        <v>117646.84</v>
      </c>
      <c r="AF879" s="30" t="n">
        <f aca="false">AE879-AD879</f>
        <v>1.76999999998952</v>
      </c>
      <c r="AG879" s="29" t="n">
        <f aca="false">IFERROR(AF879/AE879,0)</f>
        <v>1.5045027983663E-005</v>
      </c>
    </row>
    <row r="880" customFormat="false" ht="15" hidden="false" customHeight="false" outlineLevel="0" collapsed="false">
      <c r="A880" s="28" t="n">
        <v>879</v>
      </c>
      <c r="B880" s="43" t="n">
        <v>46287.1263888889</v>
      </c>
      <c r="C880" s="43" t="n">
        <v>46287.1317476852</v>
      </c>
      <c r="D880" s="42" t="n">
        <f aca="false">INT(C880)</f>
        <v>46287</v>
      </c>
      <c r="E880" s="42" t="n">
        <f aca="false">D880-WEEKDAY(D880,3)</f>
        <v>46286</v>
      </c>
      <c r="F880" s="28" t="s">
        <v>184</v>
      </c>
      <c r="G880" s="28" t="n">
        <v>2026</v>
      </c>
      <c r="H880" s="28" t="s">
        <v>232</v>
      </c>
      <c r="I880" s="28" t="n">
        <v>3</v>
      </c>
      <c r="J880" s="28" t="s">
        <v>233</v>
      </c>
      <c r="K880" s="28" t="s">
        <v>234</v>
      </c>
      <c r="L880" s="28" t="n">
        <v>0.17</v>
      </c>
      <c r="M880" s="31" t="n">
        <v>30556.96</v>
      </c>
      <c r="N880" s="31" t="n">
        <v>30547.72</v>
      </c>
      <c r="O880" s="31" t="n">
        <v>30575.45</v>
      </c>
      <c r="P880" s="44" t="n">
        <f aca="false">ABS(M880-N880)</f>
        <v>9.23999999999796</v>
      </c>
      <c r="Q880" s="44" t="n">
        <f aca="false">IF(O880="","",ABS(O880-M880))</f>
        <v>18.4900000000016</v>
      </c>
      <c r="R880" s="30" t="n">
        <f aca="false">P880*L880*Summary!$C$6</f>
        <v>31.4159999999931</v>
      </c>
      <c r="S880" s="31" t="n">
        <v>30578.22</v>
      </c>
      <c r="T880" s="28" t="s">
        <v>214</v>
      </c>
      <c r="U880" s="44" t="n">
        <f aca="false">IF(J880="BUY",S880-M880,M880-S880)</f>
        <v>21.260000000002</v>
      </c>
      <c r="V880" s="45" t="n">
        <v>0</v>
      </c>
      <c r="W880" s="45" t="n">
        <v>0</v>
      </c>
      <c r="X880" s="45" t="n">
        <v>72.28</v>
      </c>
      <c r="Y880" s="32" t="n">
        <f aca="false">IFERROR(X880/R880,0)</f>
        <v>2.30073847720957</v>
      </c>
      <c r="Z880" s="28" t="str">
        <f aca="false">IF(X880&gt;0,"Win",IF(X880&lt;0,"Loss","Flat"))</f>
        <v>Win</v>
      </c>
      <c r="AA880" s="28" t="n">
        <f aca="false">ROUND((C880-B880)*1440,1)</f>
        <v>7.7</v>
      </c>
      <c r="AB880" s="28" t="str">
        <f aca="false">IF(AA880&lt;1,"a) &lt;1 min",IF(AA880&lt;10,"b) 1-10 min",IF(AA880&lt;60,"c) 10-60 min",IF(AA880&lt;240,"d) 1-4 h","e) 4 h+"))))</f>
        <v>b) 1-10 min</v>
      </c>
      <c r="AC880" s="28" t="str">
        <f aca="false">IF(P880&lt;10,"a) &lt;10",IF(P880&lt;20,"b) 10-20",IF(P880&lt;40,"c) 20-40",IF(P880&lt;80,"d) 40-80","e) 80+"))))</f>
        <v>a) &lt;10</v>
      </c>
      <c r="AD880" s="30" t="n">
        <f aca="false">Summary!$C$5+SUM(X$2:X880)</f>
        <v>117717.35</v>
      </c>
      <c r="AE880" s="30" t="n">
        <f aca="false">MAX(AE879,AD880)</f>
        <v>117717.35</v>
      </c>
      <c r="AF880" s="30" t="n">
        <f aca="false">AE880-AD880</f>
        <v>0</v>
      </c>
      <c r="AG880" s="29" t="n">
        <f aca="false">IFERROR(AF880/AE880,0)</f>
        <v>0</v>
      </c>
    </row>
    <row r="881" customFormat="false" ht="15" hidden="false" customHeight="false" outlineLevel="0" collapsed="false">
      <c r="A881" s="28" t="n">
        <v>880</v>
      </c>
      <c r="B881" s="43" t="n">
        <v>46288.1243055556</v>
      </c>
      <c r="C881" s="43" t="n">
        <v>46288.1250810185</v>
      </c>
      <c r="D881" s="42" t="n">
        <f aca="false">INT(C881)</f>
        <v>46288</v>
      </c>
      <c r="E881" s="42" t="n">
        <f aca="false">D881-WEEKDAY(D881,3)</f>
        <v>46286</v>
      </c>
      <c r="F881" s="28" t="s">
        <v>184</v>
      </c>
      <c r="G881" s="28" t="n">
        <v>2026</v>
      </c>
      <c r="H881" s="28" t="s">
        <v>235</v>
      </c>
      <c r="I881" s="28" t="n">
        <v>2</v>
      </c>
      <c r="J881" s="28" t="s">
        <v>233</v>
      </c>
      <c r="K881" s="28" t="s">
        <v>234</v>
      </c>
      <c r="L881" s="28" t="n">
        <v>0.17</v>
      </c>
      <c r="M881" s="31" t="n">
        <v>30766.28</v>
      </c>
      <c r="N881" s="31" t="n">
        <v>30755.04</v>
      </c>
      <c r="O881" s="31" t="n">
        <v>30788.76</v>
      </c>
      <c r="P881" s="44" t="n">
        <f aca="false">ABS(M881-N881)</f>
        <v>11.239999999998</v>
      </c>
      <c r="Q881" s="44" t="n">
        <f aca="false">IF(O881="","",ABS(O881-M881))</f>
        <v>22.4799999999996</v>
      </c>
      <c r="R881" s="30" t="n">
        <f aca="false">P881*L881*Summary!$C$6</f>
        <v>38.2159999999931</v>
      </c>
      <c r="S881" s="31" t="n">
        <v>30754.53</v>
      </c>
      <c r="T881" s="28" t="s">
        <v>241</v>
      </c>
      <c r="U881" s="44" t="n">
        <f aca="false">IF(J881="BUY",S881-M881,M881-S881)</f>
        <v>-11.75</v>
      </c>
      <c r="V881" s="45" t="n">
        <v>0</v>
      </c>
      <c r="W881" s="45" t="n">
        <v>0</v>
      </c>
      <c r="X881" s="45" t="n">
        <v>-39.95</v>
      </c>
      <c r="Y881" s="32" t="n">
        <f aca="false">IFERROR(X881/R881,0)</f>
        <v>-1.04537366548062</v>
      </c>
      <c r="Z881" s="28" t="str">
        <f aca="false">IF(X881&gt;0,"Win",IF(X881&lt;0,"Loss","Flat"))</f>
        <v>Loss</v>
      </c>
      <c r="AA881" s="28" t="n">
        <f aca="false">ROUND((C881-B881)*1440,1)</f>
        <v>1.1</v>
      </c>
      <c r="AB881" s="28" t="str">
        <f aca="false">IF(AA881&lt;1,"a) &lt;1 min",IF(AA881&lt;10,"b) 1-10 min",IF(AA881&lt;60,"c) 10-60 min",IF(AA881&lt;240,"d) 1-4 h","e) 4 h+"))))</f>
        <v>b) 1-10 min</v>
      </c>
      <c r="AC881" s="28" t="str">
        <f aca="false">IF(P881&lt;10,"a) &lt;10",IF(P881&lt;20,"b) 10-20",IF(P881&lt;40,"c) 20-40",IF(P881&lt;80,"d) 40-80","e) 80+"))))</f>
        <v>b) 10-20</v>
      </c>
      <c r="AD881" s="30" t="n">
        <f aca="false">Summary!$C$5+SUM(X$2:X881)</f>
        <v>117677.4</v>
      </c>
      <c r="AE881" s="30" t="n">
        <f aca="false">MAX(AE880,AD881)</f>
        <v>117717.35</v>
      </c>
      <c r="AF881" s="30" t="n">
        <f aca="false">AE881-AD881</f>
        <v>39.9500000000116</v>
      </c>
      <c r="AG881" s="29" t="n">
        <f aca="false">IFERROR(AF881/AE881,0)</f>
        <v>0.000339372233574844</v>
      </c>
    </row>
    <row r="882" customFormat="false" ht="15" hidden="false" customHeight="false" outlineLevel="0" collapsed="false">
      <c r="A882" s="28" t="n">
        <v>881</v>
      </c>
      <c r="B882" s="43" t="n">
        <v>46288.7243055556</v>
      </c>
      <c r="C882" s="43" t="n">
        <v>46288.7310069444</v>
      </c>
      <c r="D882" s="42" t="n">
        <f aca="false">INT(C882)</f>
        <v>46288</v>
      </c>
      <c r="E882" s="42" t="n">
        <f aca="false">D882-WEEKDAY(D882,3)</f>
        <v>46286</v>
      </c>
      <c r="F882" s="28" t="s">
        <v>184</v>
      </c>
      <c r="G882" s="28" t="n">
        <v>2026</v>
      </c>
      <c r="H882" s="28" t="s">
        <v>235</v>
      </c>
      <c r="I882" s="28" t="n">
        <v>17</v>
      </c>
      <c r="J882" s="28" t="s">
        <v>236</v>
      </c>
      <c r="K882" s="28" t="s">
        <v>237</v>
      </c>
      <c r="L882" s="28" t="n">
        <v>0.17</v>
      </c>
      <c r="M882" s="31" t="n">
        <v>30355.29</v>
      </c>
      <c r="N882" s="31" t="n">
        <v>30408.36</v>
      </c>
      <c r="O882" s="31" t="n">
        <v>30249.15</v>
      </c>
      <c r="P882" s="44" t="n">
        <f aca="false">ABS(M882-N882)</f>
        <v>53.0699999999997</v>
      </c>
      <c r="Q882" s="44" t="n">
        <f aca="false">IF(O882="","",ABS(O882-M882))</f>
        <v>106.139999999999</v>
      </c>
      <c r="R882" s="30" t="n">
        <f aca="false">P882*L882*Summary!$C$6</f>
        <v>180.437999999999</v>
      </c>
      <c r="S882" s="31" t="n">
        <v>30408.49</v>
      </c>
      <c r="T882" s="28" t="s">
        <v>241</v>
      </c>
      <c r="U882" s="44" t="n">
        <f aca="false">IF(J882="BUY",S882-M882,M882-S882)</f>
        <v>-53.2000000000007</v>
      </c>
      <c r="V882" s="45" t="n">
        <v>0</v>
      </c>
      <c r="W882" s="45" t="n">
        <v>0</v>
      </c>
      <c r="X882" s="45" t="n">
        <v>-180.88</v>
      </c>
      <c r="Y882" s="32" t="n">
        <f aca="false">IFERROR(X882/R882,0)</f>
        <v>-1.0024495948747</v>
      </c>
      <c r="Z882" s="28" t="str">
        <f aca="false">IF(X882&gt;0,"Win",IF(X882&lt;0,"Loss","Flat"))</f>
        <v>Loss</v>
      </c>
      <c r="AA882" s="28" t="n">
        <f aca="false">ROUND((C882-B882)*1440,1)</f>
        <v>9.7</v>
      </c>
      <c r="AB882" s="28" t="str">
        <f aca="false">IF(AA882&lt;1,"a) &lt;1 min",IF(AA882&lt;10,"b) 1-10 min",IF(AA882&lt;60,"c) 10-60 min",IF(AA882&lt;240,"d) 1-4 h","e) 4 h+"))))</f>
        <v>b) 1-10 min</v>
      </c>
      <c r="AC882" s="28" t="str">
        <f aca="false">IF(P882&lt;10,"a) &lt;10",IF(P882&lt;20,"b) 10-20",IF(P882&lt;40,"c) 20-40",IF(P882&lt;80,"d) 40-80","e) 80+"))))</f>
        <v>d) 40-80</v>
      </c>
      <c r="AD882" s="30" t="n">
        <f aca="false">Summary!$C$5+SUM(X$2:X882)</f>
        <v>117496.52</v>
      </c>
      <c r="AE882" s="30" t="n">
        <f aca="false">MAX(AE881,AD882)</f>
        <v>117717.35</v>
      </c>
      <c r="AF882" s="30" t="n">
        <f aca="false">AE882-AD882</f>
        <v>220.830000000002</v>
      </c>
      <c r="AG882" s="29" t="n">
        <f aca="false">IFERROR(AF882/AE882,0)</f>
        <v>0.00187593417622807</v>
      </c>
    </row>
    <row r="883" customFormat="false" ht="15" hidden="false" customHeight="false" outlineLevel="0" collapsed="false">
      <c r="A883" s="28" t="n">
        <v>882</v>
      </c>
      <c r="B883" s="43" t="n">
        <v>46289.3729166667</v>
      </c>
      <c r="C883" s="43" t="n">
        <v>46289.3754398148</v>
      </c>
      <c r="D883" s="42" t="n">
        <f aca="false">INT(C883)</f>
        <v>46289</v>
      </c>
      <c r="E883" s="42" t="n">
        <f aca="false">D883-WEEKDAY(D883,3)</f>
        <v>46286</v>
      </c>
      <c r="F883" s="28" t="s">
        <v>184</v>
      </c>
      <c r="G883" s="28" t="n">
        <v>2026</v>
      </c>
      <c r="H883" s="28" t="s">
        <v>239</v>
      </c>
      <c r="I883" s="28" t="n">
        <v>8</v>
      </c>
      <c r="J883" s="28" t="s">
        <v>236</v>
      </c>
      <c r="K883" s="28" t="s">
        <v>237</v>
      </c>
      <c r="L883" s="28" t="n">
        <v>0.17</v>
      </c>
      <c r="M883" s="31" t="n">
        <v>30336.68</v>
      </c>
      <c r="N883" s="31" t="n">
        <v>30352.67</v>
      </c>
      <c r="O883" s="31" t="n">
        <v>30304.7</v>
      </c>
      <c r="P883" s="44" t="n">
        <f aca="false">ABS(M883-N883)</f>
        <v>15.989999999998</v>
      </c>
      <c r="Q883" s="44" t="n">
        <f aca="false">IF(O883="","",ABS(O883-M883))</f>
        <v>31.9799999999996</v>
      </c>
      <c r="R883" s="30" t="n">
        <f aca="false">P883*L883*Summary!$C$6</f>
        <v>54.3659999999931</v>
      </c>
      <c r="S883" s="31" t="n">
        <v>30304.31</v>
      </c>
      <c r="T883" s="28" t="s">
        <v>214</v>
      </c>
      <c r="U883" s="44" t="n">
        <f aca="false">IF(J883="BUY",S883-M883,M883-S883)</f>
        <v>32.369999999999</v>
      </c>
      <c r="V883" s="45" t="n">
        <v>0</v>
      </c>
      <c r="W883" s="45" t="n">
        <v>0</v>
      </c>
      <c r="X883" s="45" t="n">
        <v>110.06</v>
      </c>
      <c r="Y883" s="32" t="n">
        <f aca="false">IFERROR(X883/R883,0)</f>
        <v>2.02442703160089</v>
      </c>
      <c r="Z883" s="28" t="str">
        <f aca="false">IF(X883&gt;0,"Win",IF(X883&lt;0,"Loss","Flat"))</f>
        <v>Win</v>
      </c>
      <c r="AA883" s="28" t="n">
        <f aca="false">ROUND((C883-B883)*1440,1)</f>
        <v>3.6</v>
      </c>
      <c r="AB883" s="28" t="str">
        <f aca="false">IF(AA883&lt;1,"a) &lt;1 min",IF(AA883&lt;10,"b) 1-10 min",IF(AA883&lt;60,"c) 10-60 min",IF(AA883&lt;240,"d) 1-4 h","e) 4 h+"))))</f>
        <v>b) 1-10 min</v>
      </c>
      <c r="AC883" s="28" t="str">
        <f aca="false">IF(P883&lt;10,"a) &lt;10",IF(P883&lt;20,"b) 10-20",IF(P883&lt;40,"c) 20-40",IF(P883&lt;80,"d) 40-80","e) 80+"))))</f>
        <v>b) 10-20</v>
      </c>
      <c r="AD883" s="30" t="n">
        <f aca="false">Summary!$C$5+SUM(X$2:X883)</f>
        <v>117606.58</v>
      </c>
      <c r="AE883" s="30" t="n">
        <f aca="false">MAX(AE882,AD883)</f>
        <v>117717.35</v>
      </c>
      <c r="AF883" s="30" t="n">
        <f aca="false">AE883-AD883</f>
        <v>110.770000000004</v>
      </c>
      <c r="AG883" s="29" t="n">
        <f aca="false">IFERROR(AF883/AE883,0)</f>
        <v>0.000940982786309784</v>
      </c>
    </row>
    <row r="884" customFormat="false" ht="15" hidden="false" customHeight="false" outlineLevel="0" collapsed="false">
      <c r="A884" s="28" t="n">
        <v>883</v>
      </c>
      <c r="B884" s="43" t="n">
        <v>46290.3548611111</v>
      </c>
      <c r="C884" s="43" t="n">
        <v>46290.3617939815</v>
      </c>
      <c r="D884" s="42" t="n">
        <f aca="false">INT(C884)</f>
        <v>46290</v>
      </c>
      <c r="E884" s="42" t="n">
        <f aca="false">D884-WEEKDAY(D884,3)</f>
        <v>46286</v>
      </c>
      <c r="F884" s="28" t="s">
        <v>184</v>
      </c>
      <c r="G884" s="28" t="n">
        <v>2026</v>
      </c>
      <c r="H884" s="28" t="s">
        <v>242</v>
      </c>
      <c r="I884" s="28" t="n">
        <v>8</v>
      </c>
      <c r="J884" s="28" t="s">
        <v>233</v>
      </c>
      <c r="K884" s="28" t="s">
        <v>234</v>
      </c>
      <c r="L884" s="28" t="n">
        <v>0.17</v>
      </c>
      <c r="M884" s="31" t="n">
        <v>30537.4</v>
      </c>
      <c r="N884" s="31" t="n">
        <v>30521.1</v>
      </c>
      <c r="O884" s="31" t="n">
        <v>30570</v>
      </c>
      <c r="P884" s="44" t="n">
        <f aca="false">ABS(M884-N884)</f>
        <v>16.3000000000029</v>
      </c>
      <c r="Q884" s="44" t="n">
        <f aca="false">IF(O884="","",ABS(O884-M884))</f>
        <v>32.5999999999985</v>
      </c>
      <c r="R884" s="30" t="n">
        <f aca="false">P884*L884*Summary!$C$6</f>
        <v>55.4200000000099</v>
      </c>
      <c r="S884" s="31" t="n">
        <v>30570.08</v>
      </c>
      <c r="T884" s="28" t="s">
        <v>214</v>
      </c>
      <c r="U884" s="44" t="n">
        <f aca="false">IF(J884="BUY",S884-M884,M884-S884)</f>
        <v>32.6800000000003</v>
      </c>
      <c r="V884" s="45" t="n">
        <v>0</v>
      </c>
      <c r="W884" s="45" t="n">
        <v>0</v>
      </c>
      <c r="X884" s="45" t="n">
        <v>111.11</v>
      </c>
      <c r="Y884" s="32" t="n">
        <f aca="false">IFERROR(X884/R884,0)</f>
        <v>2.00487188740491</v>
      </c>
      <c r="Z884" s="28" t="str">
        <f aca="false">IF(X884&gt;0,"Win",IF(X884&lt;0,"Loss","Flat"))</f>
        <v>Win</v>
      </c>
      <c r="AA884" s="28" t="n">
        <f aca="false">ROUND((C884-B884)*1440,1)</f>
        <v>10</v>
      </c>
      <c r="AB884" s="28" t="str">
        <f aca="false">IF(AA884&lt;1,"a) &lt;1 min",IF(AA884&lt;10,"b) 1-10 min",IF(AA884&lt;60,"c) 10-60 min",IF(AA884&lt;240,"d) 1-4 h","e) 4 h+"))))</f>
        <v>c) 10-60 min</v>
      </c>
      <c r="AC884" s="28" t="str">
        <f aca="false">IF(P884&lt;10,"a) &lt;10",IF(P884&lt;20,"b) 10-20",IF(P884&lt;40,"c) 20-40",IF(P884&lt;80,"d) 40-80","e) 80+"))))</f>
        <v>b) 10-20</v>
      </c>
      <c r="AD884" s="30" t="n">
        <f aca="false">Summary!$C$5+SUM(X$2:X884)</f>
        <v>117717.69</v>
      </c>
      <c r="AE884" s="30" t="n">
        <f aca="false">MAX(AE883,AD884)</f>
        <v>117717.69</v>
      </c>
      <c r="AF884" s="30" t="n">
        <f aca="false">AE884-AD884</f>
        <v>0</v>
      </c>
      <c r="AG884" s="29" t="n">
        <f aca="false">IFERROR(AF884/AE884,0)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243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244</v>
      </c>
      <c r="B3" s="2"/>
      <c r="C3" s="2"/>
      <c r="D3" s="2"/>
      <c r="E3" s="2"/>
      <c r="F3" s="2"/>
      <c r="G3" s="2"/>
      <c r="H3" s="4" t="s">
        <v>245</v>
      </c>
    </row>
    <row r="4" customFormat="false" ht="31.5" hidden="false" customHeight="true" outlineLevel="0" collapsed="false">
      <c r="A4" s="26" t="s">
        <v>246</v>
      </c>
      <c r="B4" s="26" t="s">
        <v>7</v>
      </c>
      <c r="C4" s="26" t="s">
        <v>61</v>
      </c>
      <c r="D4" s="26" t="s">
        <v>42</v>
      </c>
      <c r="E4" s="26" t="s">
        <v>247</v>
      </c>
      <c r="F4" s="26" t="s">
        <v>248</v>
      </c>
      <c r="G4" s="26" t="s">
        <v>50</v>
      </c>
      <c r="H4" s="2"/>
    </row>
    <row r="5" customFormat="false" ht="15" hidden="false" customHeight="false" outlineLevel="0" collapsed="false">
      <c r="A5" s="2" t="s">
        <v>233</v>
      </c>
      <c r="B5" s="2" t="n">
        <f aca="false">COUNTIFS(Trades!$J$2:$J$884,$A5)</f>
        <v>508</v>
      </c>
      <c r="C5" s="40" t="n">
        <f aca="false">IFERROR(COUNTIFS(Trades!$J$2:$J$884,$A5,Trades!$Z$2:$Z$884,"Win")/B5,0)</f>
        <v>0.34251968503937</v>
      </c>
      <c r="D5" s="39" t="n">
        <f aca="false">SUMIFS(Trades!$X$2:$X$884,Trades!$J$2:$J$884,$A5)</f>
        <v>9002.57</v>
      </c>
      <c r="E5" s="39" t="n">
        <f aca="false">IFERROR(D5/B5,0)</f>
        <v>17.721594488189</v>
      </c>
      <c r="F5" s="46" t="n">
        <f aca="false">IFERROR(AVERAGEIFS(Trades!$Y$2:$Y$884,Trades!$J$2:$J$884,$A5),0)</f>
        <v>0.234508518541801</v>
      </c>
      <c r="G5" s="47" t="n">
        <f aca="false">IFERROR(SUMIFS(Trades!$X$2:$X$884,Trades!$J$2:$J$884,$A5,Trades!$X$2:$X$884,"&gt;0")/-SUMIFS(Trades!$X$2:$X$884,Trades!$J$2:$J$884,$A5,Trades!$X$2:$X$884,"&lt;0"),"-")</f>
        <v>1.36843638899541</v>
      </c>
      <c r="H5" s="2"/>
    </row>
    <row r="6" customFormat="false" ht="15" hidden="false" customHeight="false" outlineLevel="0" collapsed="false">
      <c r="A6" s="2" t="s">
        <v>236</v>
      </c>
      <c r="B6" s="2" t="n">
        <f aca="false">COUNTIFS(Trades!$J$2:$J$884,$A6)</f>
        <v>375</v>
      </c>
      <c r="C6" s="40" t="n">
        <f aca="false">IFERROR(COUNTIFS(Trades!$J$2:$J$884,$A6,Trades!$Z$2:$Z$884,"Win")/B6,0)</f>
        <v>0.288</v>
      </c>
      <c r="D6" s="39" t="n">
        <f aca="false">SUMIFS(Trades!$X$2:$X$884,Trades!$J$2:$J$884,$A6)</f>
        <v>8715.12</v>
      </c>
      <c r="E6" s="39" t="n">
        <f aca="false">IFERROR(D6/B6,0)</f>
        <v>23.24032</v>
      </c>
      <c r="F6" s="46" t="n">
        <f aca="false">IFERROR(AVERAGEIFS(Trades!$Y$2:$Y$884,Trades!$J$2:$J$884,$A6),0)</f>
        <v>0.153437642630365</v>
      </c>
      <c r="G6" s="47" t="n">
        <f aca="false">IFERROR(SUMIFS(Trades!$X$2:$X$884,Trades!$J$2:$J$884,$A6,Trades!$X$2:$X$884,"&gt;0")/-SUMIFS(Trades!$X$2:$X$884,Trades!$J$2:$J$884,$A6,Trades!$X$2:$X$884,"&lt;0"),"-")</f>
        <v>1.39288639721147</v>
      </c>
      <c r="H6" s="2"/>
    </row>
    <row r="7" customFormat="false" ht="15" hidden="false" customHeight="false" outlineLevel="0" collapsed="false">
      <c r="A7" s="33" t="s">
        <v>249</v>
      </c>
      <c r="B7" s="33" t="n">
        <f aca="false">SUM(B5:B6)</f>
        <v>883</v>
      </c>
      <c r="C7" s="37"/>
      <c r="D7" s="48" t="n">
        <f aca="false">SUM(D5:D6)</f>
        <v>17717.69</v>
      </c>
      <c r="E7" s="37"/>
      <c r="F7" s="37"/>
      <c r="G7" s="37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3" t="s">
        <v>250</v>
      </c>
      <c r="B9" s="2"/>
      <c r="C9" s="2"/>
      <c r="D9" s="2"/>
      <c r="E9" s="2"/>
      <c r="F9" s="2"/>
      <c r="G9" s="2"/>
      <c r="H9" s="4" t="s">
        <v>251</v>
      </c>
    </row>
    <row r="10" customFormat="false" ht="31.5" hidden="false" customHeight="true" outlineLevel="0" collapsed="false">
      <c r="A10" s="26" t="s">
        <v>252</v>
      </c>
      <c r="B10" s="26" t="s">
        <v>7</v>
      </c>
      <c r="C10" s="26" t="s">
        <v>61</v>
      </c>
      <c r="D10" s="26" t="s">
        <v>42</v>
      </c>
      <c r="E10" s="26" t="s">
        <v>247</v>
      </c>
      <c r="F10" s="26" t="s">
        <v>248</v>
      </c>
      <c r="G10" s="26" t="s">
        <v>50</v>
      </c>
      <c r="H10" s="2"/>
    </row>
    <row r="11" customFormat="false" ht="15" hidden="false" customHeight="false" outlineLevel="0" collapsed="false">
      <c r="A11" s="2" t="s">
        <v>234</v>
      </c>
      <c r="B11" s="2" t="n">
        <f aca="false">COUNTIFS(Trades!$K$2:$K$884,$A11)</f>
        <v>508</v>
      </c>
      <c r="C11" s="40" t="n">
        <f aca="false">IFERROR(COUNTIFS(Trades!$K$2:$K$884,$A11,Trades!$Z$2:$Z$884,"Win")/B11,0)</f>
        <v>0.34251968503937</v>
      </c>
      <c r="D11" s="39" t="n">
        <f aca="false">SUMIFS(Trades!$X$2:$X$884,Trades!$K$2:$K$884,$A11)</f>
        <v>9002.57</v>
      </c>
      <c r="E11" s="39" t="n">
        <f aca="false">IFERROR(D11/B11,0)</f>
        <v>17.721594488189</v>
      </c>
      <c r="F11" s="46" t="n">
        <f aca="false">IFERROR(AVERAGEIFS(Trades!$Y$2:$Y$884,Trades!$K$2:$K$884,$A11),0)</f>
        <v>0.234508518541801</v>
      </c>
      <c r="G11" s="47" t="n">
        <f aca="false">IFERROR(SUMIFS(Trades!$X$2:$X$884,Trades!$K$2:$K$884,$A11,Trades!$X$2:$X$884,"&gt;0")/-SUMIFS(Trades!$X$2:$X$884,Trades!$K$2:$K$884,$A11,Trades!$X$2:$X$884,"&lt;0"),"-")</f>
        <v>1.36843638899541</v>
      </c>
      <c r="H11" s="2"/>
    </row>
    <row r="12" customFormat="false" ht="15" hidden="false" customHeight="false" outlineLevel="0" collapsed="false">
      <c r="A12" s="2" t="s">
        <v>237</v>
      </c>
      <c r="B12" s="2" t="n">
        <f aca="false">COUNTIFS(Trades!$K$2:$K$884,$A12)</f>
        <v>375</v>
      </c>
      <c r="C12" s="40" t="n">
        <f aca="false">IFERROR(COUNTIFS(Trades!$K$2:$K$884,$A12,Trades!$Z$2:$Z$884,"Win")/B12,0)</f>
        <v>0.288</v>
      </c>
      <c r="D12" s="39" t="n">
        <f aca="false">SUMIFS(Trades!$X$2:$X$884,Trades!$K$2:$K$884,$A12)</f>
        <v>8715.12</v>
      </c>
      <c r="E12" s="39" t="n">
        <f aca="false">IFERROR(D12/B12,0)</f>
        <v>23.24032</v>
      </c>
      <c r="F12" s="46" t="n">
        <f aca="false">IFERROR(AVERAGEIFS(Trades!$Y$2:$Y$884,Trades!$K$2:$K$884,$A12),0)</f>
        <v>0.153437642630365</v>
      </c>
      <c r="G12" s="47" t="n">
        <f aca="false">IFERROR(SUMIFS(Trades!$X$2:$X$884,Trades!$K$2:$K$884,$A12,Trades!$X$2:$X$884,"&gt;0")/-SUMIFS(Trades!$X$2:$X$884,Trades!$K$2:$K$884,$A12,Trades!$X$2:$X$884,"&lt;0"),"-")</f>
        <v>1.39288639721147</v>
      </c>
      <c r="H12" s="2"/>
    </row>
    <row r="13" customFormat="false" ht="15" hidden="false" customHeight="false" outlineLevel="0" collapsed="false">
      <c r="A13" s="33" t="s">
        <v>249</v>
      </c>
      <c r="B13" s="33" t="n">
        <f aca="false">SUM(B11:B12)</f>
        <v>883</v>
      </c>
      <c r="C13" s="37"/>
      <c r="D13" s="48" t="n">
        <f aca="false">SUM(D11:D12)</f>
        <v>17717.69</v>
      </c>
      <c r="E13" s="37"/>
      <c r="F13" s="37"/>
      <c r="G13" s="37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39.55" hidden="false" customHeight="false" outlineLevel="0" collapsed="false">
      <c r="A15" s="3" t="s">
        <v>253</v>
      </c>
      <c r="B15" s="2"/>
      <c r="C15" s="2"/>
      <c r="D15" s="2"/>
      <c r="E15" s="2"/>
      <c r="F15" s="2"/>
      <c r="G15" s="2"/>
      <c r="H15" s="4" t="s">
        <v>254</v>
      </c>
    </row>
    <row r="16" customFormat="false" ht="31.5" hidden="false" customHeight="true" outlineLevel="0" collapsed="false">
      <c r="A16" s="26" t="s">
        <v>255</v>
      </c>
      <c r="B16" s="26" t="s">
        <v>7</v>
      </c>
      <c r="C16" s="26" t="s">
        <v>61</v>
      </c>
      <c r="D16" s="26" t="s">
        <v>42</v>
      </c>
      <c r="E16" s="26" t="s">
        <v>247</v>
      </c>
      <c r="F16" s="26" t="s">
        <v>248</v>
      </c>
      <c r="G16" s="26" t="s">
        <v>50</v>
      </c>
      <c r="H16" s="2"/>
    </row>
    <row r="17" customFormat="false" ht="15" hidden="false" customHeight="false" outlineLevel="0" collapsed="false">
      <c r="A17" s="2" t="s">
        <v>214</v>
      </c>
      <c r="B17" s="2" t="n">
        <f aca="false">COUNTIFS(Trades!$T$2:$T$884,$A17)</f>
        <v>282</v>
      </c>
      <c r="C17" s="40" t="n">
        <f aca="false">IFERROR(COUNTIFS(Trades!$T$2:$T$884,$A17,Trades!$Z$2:$Z$884,"Win")/B17,0)</f>
        <v>1</v>
      </c>
      <c r="D17" s="39" t="n">
        <f aca="false">SUMIFS(Trades!$X$2:$X$884,Trades!$T$2:$T$884,$A17)</f>
        <v>64334.51</v>
      </c>
      <c r="E17" s="39" t="n">
        <f aca="false">IFERROR(D17/B17,0)</f>
        <v>228.136560283688</v>
      </c>
      <c r="F17" s="46" t="n">
        <f aca="false">IFERROR(AVERAGEIFS(Trades!$Y$2:$Y$884,Trades!$T$2:$T$884,$A17),0)</f>
        <v>2.05454129181969</v>
      </c>
      <c r="G17" s="47" t="str">
        <f aca="false">IFERROR(SUMIFS(Trades!$X$2:$X$884,Trades!$T$2:$T$884,$A17,Trades!$X$2:$X$884,"&gt;0")/-SUMIFS(Trades!$X$2:$X$884,Trades!$T$2:$T$884,$A17,Trades!$X$2:$X$884,"&lt;0"),"-")</f>
        <v>-</v>
      </c>
      <c r="H17" s="2"/>
    </row>
    <row r="18" customFormat="false" ht="15" hidden="false" customHeight="false" outlineLevel="0" collapsed="false">
      <c r="A18" s="2" t="s">
        <v>241</v>
      </c>
      <c r="B18" s="2" t="n">
        <f aca="false">COUNTIFS(Trades!$T$2:$T$884,$A18)</f>
        <v>386</v>
      </c>
      <c r="C18" s="40" t="n">
        <f aca="false">IFERROR(COUNTIFS(Trades!$T$2:$T$884,$A18,Trades!$Z$2:$Z$884,"Win")/B18,0)</f>
        <v>0</v>
      </c>
      <c r="D18" s="39" t="n">
        <f aca="false">SUMIFS(Trades!$X$2:$X$884,Trades!$T$2:$T$884,$A18)</f>
        <v>-45672.71</v>
      </c>
      <c r="E18" s="39" t="n">
        <f aca="false">IFERROR(D18/B18,0)</f>
        <v>-118.323082901554</v>
      </c>
      <c r="F18" s="46" t="n">
        <f aca="false">IFERROR(AVERAGEIFS(Trades!$Y$2:$Y$884,Trades!$T$2:$T$884,$A18),0)</f>
        <v>-1.02609533908059</v>
      </c>
      <c r="G18" s="47" t="n">
        <f aca="false">IFERROR(SUMIFS(Trades!$X$2:$X$884,Trades!$T$2:$T$884,$A18,Trades!$X$2:$X$884,"&gt;0")/-SUMIFS(Trades!$X$2:$X$884,Trades!$T$2:$T$884,$A18,Trades!$X$2:$X$884,"&lt;0"),"-")</f>
        <v>0</v>
      </c>
      <c r="H18" s="2"/>
    </row>
    <row r="19" customFormat="false" ht="15" hidden="false" customHeight="false" outlineLevel="0" collapsed="false">
      <c r="A19" s="2" t="s">
        <v>238</v>
      </c>
      <c r="B19" s="2" t="n">
        <f aca="false">COUNTIFS(Trades!$T$2:$T$884,$A19)</f>
        <v>215</v>
      </c>
      <c r="C19" s="40" t="n">
        <f aca="false">IFERROR(COUNTIFS(Trades!$T$2:$T$884,$A19,Trades!$Z$2:$Z$884,"Win")/B19,0)</f>
        <v>0</v>
      </c>
      <c r="D19" s="39" t="n">
        <f aca="false">SUMIFS(Trades!$X$2:$X$884,Trades!$T$2:$T$884,$A19)</f>
        <v>-944.11</v>
      </c>
      <c r="E19" s="39" t="n">
        <f aca="false">IFERROR(D19/B19,0)</f>
        <v>-4.39120930232558</v>
      </c>
      <c r="F19" s="46" t="n">
        <f aca="false">IFERROR(AVERAGEIFS(Trades!$Y$2:$Y$884,Trades!$T$2:$T$884,$A19),0)</f>
        <v>-0.0308762790810421</v>
      </c>
      <c r="G19" s="47" t="n">
        <f aca="false">IFERROR(SUMIFS(Trades!$X$2:$X$884,Trades!$T$2:$T$884,$A19,Trades!$X$2:$X$884,"&gt;0")/-SUMIFS(Trades!$X$2:$X$884,Trades!$T$2:$T$884,$A19,Trades!$X$2:$X$884,"&lt;0"),"-")</f>
        <v>0</v>
      </c>
      <c r="H19" s="2"/>
    </row>
    <row r="20" customFormat="false" ht="15" hidden="false" customHeight="false" outlineLevel="0" collapsed="false">
      <c r="A20" s="2" t="s">
        <v>256</v>
      </c>
      <c r="B20" s="2" t="n">
        <f aca="false">COUNTIFS(Trades!$T$2:$T$884,$A20)</f>
        <v>0</v>
      </c>
      <c r="C20" s="40" t="n">
        <f aca="false">IFERROR(COUNTIFS(Trades!$T$2:$T$884,$A20,Trades!$Z$2:$Z$884,"Win")/B20,0)</f>
        <v>0</v>
      </c>
      <c r="D20" s="39" t="n">
        <f aca="false">SUMIFS(Trades!$X$2:$X$884,Trades!$T$2:$T$884,$A20)</f>
        <v>0</v>
      </c>
      <c r="E20" s="39" t="n">
        <f aca="false">IFERROR(D20/B20,0)</f>
        <v>0</v>
      </c>
      <c r="F20" s="46" t="n">
        <f aca="false">IFERROR(AVERAGEIFS(Trades!$Y$2:$Y$884,Trades!$T$2:$T$884,$A20),0)</f>
        <v>0</v>
      </c>
      <c r="G20" s="47" t="str">
        <f aca="false">IFERROR(SUMIFS(Trades!$X$2:$X$884,Trades!$T$2:$T$884,$A20,Trades!$X$2:$X$884,"&gt;0")/-SUMIFS(Trades!$X$2:$X$884,Trades!$T$2:$T$884,$A20,Trades!$X$2:$X$884,"&lt;0"),"-")</f>
        <v>-</v>
      </c>
      <c r="H20" s="2"/>
    </row>
    <row r="21" customFormat="false" ht="15" hidden="false" customHeight="false" outlineLevel="0" collapsed="false">
      <c r="A21" s="2" t="s">
        <v>257</v>
      </c>
      <c r="B21" s="2" t="n">
        <f aca="false">COUNTIFS(Trades!$T$2:$T$884,$A21)</f>
        <v>0</v>
      </c>
      <c r="C21" s="40" t="n">
        <f aca="false">IFERROR(COUNTIFS(Trades!$T$2:$T$884,$A21,Trades!$Z$2:$Z$884,"Win")/B21,0)</f>
        <v>0</v>
      </c>
      <c r="D21" s="39" t="n">
        <f aca="false">SUMIFS(Trades!$X$2:$X$884,Trades!$T$2:$T$884,$A21)</f>
        <v>0</v>
      </c>
      <c r="E21" s="39" t="n">
        <f aca="false">IFERROR(D21/B21,0)</f>
        <v>0</v>
      </c>
      <c r="F21" s="46" t="n">
        <f aca="false">IFERROR(AVERAGEIFS(Trades!$Y$2:$Y$884,Trades!$T$2:$T$884,$A21),0)</f>
        <v>0</v>
      </c>
      <c r="G21" s="47" t="str">
        <f aca="false">IFERROR(SUMIFS(Trades!$X$2:$X$884,Trades!$T$2:$T$884,$A21,Trades!$X$2:$X$884,"&gt;0")/-SUMIFS(Trades!$X$2:$X$884,Trades!$T$2:$T$884,$A21,Trades!$X$2:$X$884,"&lt;0"),"-")</f>
        <v>-</v>
      </c>
      <c r="H21" s="2"/>
    </row>
    <row r="22" customFormat="false" ht="15" hidden="false" customHeight="false" outlineLevel="0" collapsed="false">
      <c r="A22" s="33" t="s">
        <v>249</v>
      </c>
      <c r="B22" s="33" t="n">
        <f aca="false">SUM(B17:B21)</f>
        <v>883</v>
      </c>
      <c r="C22" s="37"/>
      <c r="D22" s="48" t="n">
        <f aca="false">SUM(D17:D21)</f>
        <v>17717.69</v>
      </c>
      <c r="E22" s="37"/>
      <c r="F22" s="37"/>
      <c r="G22" s="37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s">
        <v>258</v>
      </c>
      <c r="B24" s="2"/>
      <c r="C24" s="2"/>
      <c r="D24" s="2"/>
      <c r="E24" s="2"/>
      <c r="F24" s="2"/>
      <c r="G24" s="2"/>
      <c r="H24" s="4" t="s">
        <v>259</v>
      </c>
    </row>
    <row r="25" customFormat="false" ht="31.5" hidden="false" customHeight="true" outlineLevel="0" collapsed="false">
      <c r="A25" s="26" t="s">
        <v>260</v>
      </c>
      <c r="B25" s="26" t="s">
        <v>7</v>
      </c>
      <c r="C25" s="26" t="s">
        <v>61</v>
      </c>
      <c r="D25" s="26" t="s">
        <v>42</v>
      </c>
      <c r="E25" s="26" t="s">
        <v>247</v>
      </c>
      <c r="F25" s="26" t="s">
        <v>248</v>
      </c>
      <c r="G25" s="26" t="s">
        <v>50</v>
      </c>
      <c r="H25" s="2"/>
    </row>
    <row r="26" customFormat="false" ht="15" hidden="false" customHeight="false" outlineLevel="0" collapsed="false">
      <c r="A26" s="2" t="s">
        <v>240</v>
      </c>
      <c r="B26" s="2" t="n">
        <f aca="false">COUNTIFS(Trades!$H$2:$H$884,$A26)</f>
        <v>165</v>
      </c>
      <c r="C26" s="40" t="n">
        <f aca="false">IFERROR(COUNTIFS(Trades!$H$2:$H$884,$A26,Trades!$Z$2:$Z$884,"Win")/B26,0)</f>
        <v>0.321212121212121</v>
      </c>
      <c r="D26" s="39" t="n">
        <f aca="false">SUMIFS(Trades!$X$2:$X$884,Trades!$H$2:$H$884,$A26)</f>
        <v>3816.28</v>
      </c>
      <c r="E26" s="39" t="n">
        <f aca="false">IFERROR(D26/B26,0)</f>
        <v>23.1289696969697</v>
      </c>
      <c r="F26" s="46" t="n">
        <f aca="false">IFERROR(AVERAGEIFS(Trades!$Y$2:$Y$884,Trades!$H$2:$H$884,$A26),0)</f>
        <v>0.171390642593568</v>
      </c>
      <c r="G26" s="47" t="n">
        <f aca="false">IFERROR(SUMIFS(Trades!$X$2:$X$884,Trades!$H$2:$H$884,$A26,Trades!$X$2:$X$884,"&gt;0")/-SUMIFS(Trades!$X$2:$X$884,Trades!$H$2:$H$884,$A26,Trades!$X$2:$X$884,"&lt;0"),"-")</f>
        <v>1.3713136494457</v>
      </c>
      <c r="H26" s="2"/>
    </row>
    <row r="27" customFormat="false" ht="15" hidden="false" customHeight="false" outlineLevel="0" collapsed="false">
      <c r="A27" s="2" t="s">
        <v>232</v>
      </c>
      <c r="B27" s="2" t="n">
        <f aca="false">COUNTIFS(Trades!$H$2:$H$884,$A27)</f>
        <v>179</v>
      </c>
      <c r="C27" s="40" t="n">
        <f aca="false">IFERROR(COUNTIFS(Trades!$H$2:$H$884,$A27,Trades!$Z$2:$Z$884,"Win")/B27,0)</f>
        <v>0.29608938547486</v>
      </c>
      <c r="D27" s="39" t="n">
        <f aca="false">SUMIFS(Trades!$X$2:$X$884,Trades!$H$2:$H$884,$A27)</f>
        <v>-860.87</v>
      </c>
      <c r="E27" s="39" t="n">
        <f aca="false">IFERROR(D27/B27,0)</f>
        <v>-4.80932960893855</v>
      </c>
      <c r="F27" s="46" t="n">
        <f aca="false">IFERROR(AVERAGEIFS(Trades!$Y$2:$Y$884,Trades!$H$2:$H$884,$A27),0)</f>
        <v>0.138934810184162</v>
      </c>
      <c r="G27" s="47" t="n">
        <f aca="false">IFERROR(SUMIFS(Trades!$X$2:$X$884,Trades!$H$2:$H$884,$A27,Trades!$X$2:$X$884,"&gt;0")/-SUMIFS(Trades!$X$2:$X$884,Trades!$H$2:$H$884,$A27,Trades!$X$2:$X$884,"&lt;0"),"-")</f>
        <v>0.905143413744051</v>
      </c>
      <c r="H27" s="2"/>
    </row>
    <row r="28" customFormat="false" ht="15" hidden="false" customHeight="false" outlineLevel="0" collapsed="false">
      <c r="A28" s="2" t="s">
        <v>235</v>
      </c>
      <c r="B28" s="2" t="n">
        <f aca="false">COUNTIFS(Trades!$H$2:$H$884,$A28)</f>
        <v>187</v>
      </c>
      <c r="C28" s="40" t="n">
        <f aca="false">IFERROR(COUNTIFS(Trades!$H$2:$H$884,$A28,Trades!$Z$2:$Z$884,"Win")/B28,0)</f>
        <v>0.299465240641711</v>
      </c>
      <c r="D28" s="39" t="n">
        <f aca="false">SUMIFS(Trades!$X$2:$X$884,Trades!$H$2:$H$884,$A28)</f>
        <v>4652.11</v>
      </c>
      <c r="E28" s="39" t="n">
        <f aca="false">IFERROR(D28/B28,0)</f>
        <v>24.8775935828877</v>
      </c>
      <c r="F28" s="46" t="n">
        <f aca="false">IFERROR(AVERAGEIFS(Trades!$Y$2:$Y$884,Trades!$H$2:$H$884,$A28),0)</f>
        <v>0.144748235650399</v>
      </c>
      <c r="G28" s="47" t="n">
        <f aca="false">IFERROR(SUMIFS(Trades!$X$2:$X$884,Trades!$H$2:$H$884,$A28,Trades!$X$2:$X$884,"&gt;0")/-SUMIFS(Trades!$X$2:$X$884,Trades!$H$2:$H$884,$A28,Trades!$X$2:$X$884,"&lt;0"),"-")</f>
        <v>1.44289021875518</v>
      </c>
      <c r="H28" s="2"/>
    </row>
    <row r="29" customFormat="false" ht="15" hidden="false" customHeight="false" outlineLevel="0" collapsed="false">
      <c r="A29" s="2" t="s">
        <v>239</v>
      </c>
      <c r="B29" s="2" t="n">
        <f aca="false">COUNTIFS(Trades!$H$2:$H$884,$A29)</f>
        <v>187</v>
      </c>
      <c r="C29" s="40" t="n">
        <f aca="false">IFERROR(COUNTIFS(Trades!$H$2:$H$884,$A29,Trades!$Z$2:$Z$884,"Win")/B29,0)</f>
        <v>0.347593582887701</v>
      </c>
      <c r="D29" s="39" t="n">
        <f aca="false">SUMIFS(Trades!$X$2:$X$884,Trades!$H$2:$H$884,$A29)</f>
        <v>6869.27</v>
      </c>
      <c r="E29" s="39" t="n">
        <f aca="false">IFERROR(D29/B29,0)</f>
        <v>36.734064171123</v>
      </c>
      <c r="F29" s="46" t="n">
        <f aca="false">IFERROR(AVERAGEIFS(Trades!$Y$2:$Y$884,Trades!$H$2:$H$884,$A29),0)</f>
        <v>0.302728652619656</v>
      </c>
      <c r="G29" s="47" t="n">
        <f aca="false">IFERROR(SUMIFS(Trades!$X$2:$X$884,Trades!$H$2:$H$884,$A29,Trades!$X$2:$X$884,"&gt;0")/-SUMIFS(Trades!$X$2:$X$884,Trades!$H$2:$H$884,$A29,Trades!$X$2:$X$884,"&lt;0"),"-")</f>
        <v>1.73857876752833</v>
      </c>
      <c r="H29" s="2"/>
    </row>
    <row r="30" customFormat="false" ht="15" hidden="false" customHeight="false" outlineLevel="0" collapsed="false">
      <c r="A30" s="2" t="s">
        <v>242</v>
      </c>
      <c r="B30" s="2" t="n">
        <f aca="false">COUNTIFS(Trades!$H$2:$H$884,$A30)</f>
        <v>165</v>
      </c>
      <c r="C30" s="40" t="n">
        <f aca="false">IFERROR(COUNTIFS(Trades!$H$2:$H$884,$A30,Trades!$Z$2:$Z$884,"Win")/B30,0)</f>
        <v>0.333333333333333</v>
      </c>
      <c r="D30" s="39" t="n">
        <f aca="false">SUMIFS(Trades!$X$2:$X$884,Trades!$H$2:$H$884,$A30)</f>
        <v>3240.9</v>
      </c>
      <c r="E30" s="39" t="n">
        <f aca="false">IFERROR(D30/B30,0)</f>
        <v>19.6418181818182</v>
      </c>
      <c r="F30" s="46" t="n">
        <f aca="false">IFERROR(AVERAGEIFS(Trades!$Y$2:$Y$884,Trades!$H$2:$H$884,$A30),0)</f>
        <v>0.241469565140715</v>
      </c>
      <c r="G30" s="47" t="n">
        <f aca="false">IFERROR(SUMIFS(Trades!$X$2:$X$884,Trades!$H$2:$H$884,$A30,Trades!$X$2:$X$884,"&gt;0")/-SUMIFS(Trades!$X$2:$X$884,Trades!$H$2:$H$884,$A30,Trades!$X$2:$X$884,"&lt;0"),"-")</f>
        <v>1.43450048331459</v>
      </c>
      <c r="H30" s="2"/>
    </row>
    <row r="31" customFormat="false" ht="15" hidden="false" customHeight="false" outlineLevel="0" collapsed="false">
      <c r="A31" s="33" t="s">
        <v>249</v>
      </c>
      <c r="B31" s="33" t="n">
        <f aca="false">SUM(B26:B30)</f>
        <v>883</v>
      </c>
      <c r="C31" s="37"/>
      <c r="D31" s="48" t="n">
        <f aca="false">SUM(D26:D30)</f>
        <v>17717.69</v>
      </c>
      <c r="E31" s="37"/>
      <c r="F31" s="37"/>
      <c r="G31" s="37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6.85" hidden="false" customHeight="false" outlineLevel="0" collapsed="false">
      <c r="A33" s="3" t="s">
        <v>261</v>
      </c>
      <c r="B33" s="2"/>
      <c r="C33" s="2"/>
      <c r="D33" s="2"/>
      <c r="E33" s="2"/>
      <c r="F33" s="2"/>
      <c r="G33" s="2"/>
      <c r="H33" s="4" t="s">
        <v>262</v>
      </c>
    </row>
    <row r="34" customFormat="false" ht="31.5" hidden="false" customHeight="true" outlineLevel="0" collapsed="false">
      <c r="A34" s="26" t="s">
        <v>263</v>
      </c>
      <c r="B34" s="26" t="s">
        <v>7</v>
      </c>
      <c r="C34" s="26" t="s">
        <v>61</v>
      </c>
      <c r="D34" s="26" t="s">
        <v>42</v>
      </c>
      <c r="E34" s="26" t="s">
        <v>247</v>
      </c>
      <c r="F34" s="26" t="s">
        <v>248</v>
      </c>
      <c r="G34" s="26" t="s">
        <v>50</v>
      </c>
      <c r="H34" s="2"/>
    </row>
    <row r="35" customFormat="false" ht="15" hidden="false" customHeight="false" outlineLevel="0" collapsed="false">
      <c r="A35" s="2" t="n">
        <v>1</v>
      </c>
      <c r="B35" s="2" t="n">
        <f aca="false">COUNTIFS(Trades!$I$2:$I$884,$A35)</f>
        <v>176</v>
      </c>
      <c r="C35" s="40" t="n">
        <f aca="false">IFERROR(COUNTIFS(Trades!$I$2:$I$884,$A35,Trades!$Z$2:$Z$884,"Win")/B35,0)</f>
        <v>0.397727272727273</v>
      </c>
      <c r="D35" s="39" t="n">
        <f aca="false">SUMIFS(Trades!$X$2:$X$884,Trades!$I$2:$I$884,$A35)</f>
        <v>10454.29</v>
      </c>
      <c r="E35" s="39" t="n">
        <f aca="false">IFERROR(D35/B35,0)</f>
        <v>59.399375</v>
      </c>
      <c r="F35" s="46" t="n">
        <f aca="false">IFERROR(AVERAGEIFS(Trades!$Y$2:$Y$884,Trades!$I$2:$I$884,$A35),0)</f>
        <v>0.390086149278838</v>
      </c>
      <c r="G35" s="47" t="n">
        <f aca="false">IFERROR(SUMIFS(Trades!$X$2:$X$884,Trades!$I$2:$I$884,$A35,Trades!$X$2:$X$884,"&gt;0")/-SUMIFS(Trades!$X$2:$X$884,Trades!$I$2:$I$884,$A35,Trades!$X$2:$X$884,"&lt;0"),"-")</f>
        <v>1.98494082887622</v>
      </c>
      <c r="H35" s="2"/>
    </row>
    <row r="36" customFormat="false" ht="15" hidden="false" customHeight="false" outlineLevel="0" collapsed="false">
      <c r="A36" s="2" t="n">
        <v>2</v>
      </c>
      <c r="B36" s="2" t="n">
        <f aca="false">COUNTIFS(Trades!$I$2:$I$884,$A36)</f>
        <v>52</v>
      </c>
      <c r="C36" s="40" t="n">
        <f aca="false">IFERROR(COUNTIFS(Trades!$I$2:$I$884,$A36,Trades!$Z$2:$Z$884,"Win")/B36,0)</f>
        <v>0.173076923076923</v>
      </c>
      <c r="D36" s="39" t="n">
        <f aca="false">SUMIFS(Trades!$X$2:$X$884,Trades!$I$2:$I$884,$A36)</f>
        <v>-834.04</v>
      </c>
      <c r="E36" s="39" t="n">
        <f aca="false">IFERROR(D36/B36,0)</f>
        <v>-16.0392307692308</v>
      </c>
      <c r="F36" s="46" t="n">
        <f aca="false">IFERROR(AVERAGEIFS(Trades!$Y$2:$Y$884,Trades!$I$2:$I$884,$A36),0)</f>
        <v>-0.193475445052769</v>
      </c>
      <c r="G36" s="47" t="n">
        <f aca="false">IFERROR(SUMIFS(Trades!$X$2:$X$884,Trades!$I$2:$I$884,$A36,Trades!$X$2:$X$884,"&gt;0")/-SUMIFS(Trades!$X$2:$X$884,Trades!$I$2:$I$884,$A36,Trades!$X$2:$X$884,"&lt;0"),"-")</f>
        <v>0.464617675756175</v>
      </c>
      <c r="H36" s="2"/>
    </row>
    <row r="37" customFormat="false" ht="15" hidden="false" customHeight="false" outlineLevel="0" collapsed="false">
      <c r="A37" s="2" t="n">
        <v>3</v>
      </c>
      <c r="B37" s="2" t="n">
        <f aca="false">COUNTIFS(Trades!$I$2:$I$884,$A37)</f>
        <v>45</v>
      </c>
      <c r="C37" s="40" t="n">
        <f aca="false">IFERROR(COUNTIFS(Trades!$I$2:$I$884,$A37,Trades!$Z$2:$Z$884,"Win")/B37,0)</f>
        <v>0.355555555555556</v>
      </c>
      <c r="D37" s="39" t="n">
        <f aca="false">SUMIFS(Trades!$X$2:$X$884,Trades!$I$2:$I$884,$A37)</f>
        <v>402.56</v>
      </c>
      <c r="E37" s="39" t="n">
        <f aca="false">IFERROR(D37/B37,0)</f>
        <v>8.94577777777778</v>
      </c>
      <c r="F37" s="46" t="n">
        <f aca="false">IFERROR(AVERAGEIFS(Trades!$Y$2:$Y$884,Trades!$I$2:$I$884,$A37),0)</f>
        <v>0.34209560335148</v>
      </c>
      <c r="G37" s="47" t="n">
        <f aca="false">IFERROR(SUMIFS(Trades!$X$2:$X$884,Trades!$I$2:$I$884,$A37,Trades!$X$2:$X$884,"&gt;0")/-SUMIFS(Trades!$X$2:$X$884,Trades!$I$2:$I$884,$A37,Trades!$X$2:$X$884,"&lt;0"),"-")</f>
        <v>1.25866810599635</v>
      </c>
      <c r="H37" s="2"/>
    </row>
    <row r="38" customFormat="false" ht="15" hidden="false" customHeight="false" outlineLevel="0" collapsed="false">
      <c r="A38" s="2" t="n">
        <v>4</v>
      </c>
      <c r="B38" s="2" t="n">
        <f aca="false">COUNTIFS(Trades!$I$2:$I$884,$A38)</f>
        <v>26</v>
      </c>
      <c r="C38" s="40" t="n">
        <f aca="false">IFERROR(COUNTIFS(Trades!$I$2:$I$884,$A38,Trades!$Z$2:$Z$884,"Win")/B38,0)</f>
        <v>0.346153846153846</v>
      </c>
      <c r="D38" s="39" t="n">
        <f aca="false">SUMIFS(Trades!$X$2:$X$884,Trades!$I$2:$I$884,$A38)</f>
        <v>322.25</v>
      </c>
      <c r="E38" s="39" t="n">
        <f aca="false">IFERROR(D38/B38,0)</f>
        <v>12.3942307692308</v>
      </c>
      <c r="F38" s="46" t="n">
        <f aca="false">IFERROR(AVERAGEIFS(Trades!$Y$2:$Y$884,Trades!$I$2:$I$884,$A38),0)</f>
        <v>0.299224052956714</v>
      </c>
      <c r="G38" s="47" t="n">
        <f aca="false">IFERROR(SUMIFS(Trades!$X$2:$X$884,Trades!$I$2:$I$884,$A38,Trades!$X$2:$X$884,"&gt;0")/-SUMIFS(Trades!$X$2:$X$884,Trades!$I$2:$I$884,$A38,Trades!$X$2:$X$884,"&lt;0"),"-")</f>
        <v>1.47403648131803</v>
      </c>
      <c r="H38" s="2"/>
    </row>
    <row r="39" customFormat="false" ht="15" hidden="false" customHeight="false" outlineLevel="0" collapsed="false">
      <c r="A39" s="2" t="n">
        <v>5</v>
      </c>
      <c r="B39" s="2" t="n">
        <f aca="false">COUNTIFS(Trades!$I$2:$I$884,$A39)</f>
        <v>25</v>
      </c>
      <c r="C39" s="40" t="n">
        <f aca="false">IFERROR(COUNTIFS(Trades!$I$2:$I$884,$A39,Trades!$Z$2:$Z$884,"Win")/B39,0)</f>
        <v>0.2</v>
      </c>
      <c r="D39" s="39" t="n">
        <f aca="false">SUMIFS(Trades!$X$2:$X$884,Trades!$I$2:$I$884,$A39)</f>
        <v>345.75</v>
      </c>
      <c r="E39" s="39" t="n">
        <f aca="false">IFERROR(D39/B39,0)</f>
        <v>13.83</v>
      </c>
      <c r="F39" s="46" t="n">
        <f aca="false">IFERROR(AVERAGEIFS(Trades!$Y$2:$Y$884,Trades!$I$2:$I$884,$A39),0)</f>
        <v>-0.179655755105791</v>
      </c>
      <c r="G39" s="47" t="n">
        <f aca="false">IFERROR(SUMIFS(Trades!$X$2:$X$884,Trades!$I$2:$I$884,$A39,Trades!$X$2:$X$884,"&gt;0")/-SUMIFS(Trades!$X$2:$X$884,Trades!$I$2:$I$884,$A39,Trades!$X$2:$X$884,"&lt;0"),"-")</f>
        <v>1.46788096945749</v>
      </c>
      <c r="H39" s="2"/>
    </row>
    <row r="40" customFormat="false" ht="15" hidden="false" customHeight="false" outlineLevel="0" collapsed="false">
      <c r="A40" s="2" t="n">
        <v>6</v>
      </c>
      <c r="B40" s="2" t="n">
        <f aca="false">COUNTIFS(Trades!$I$2:$I$884,$A40)</f>
        <v>15</v>
      </c>
      <c r="C40" s="40" t="n">
        <f aca="false">IFERROR(COUNTIFS(Trades!$I$2:$I$884,$A40,Trades!$Z$2:$Z$884,"Win")/B40,0)</f>
        <v>0.333333333333333</v>
      </c>
      <c r="D40" s="39" t="n">
        <f aca="false">SUMIFS(Trades!$X$2:$X$884,Trades!$I$2:$I$884,$A40)</f>
        <v>193.47</v>
      </c>
      <c r="E40" s="39" t="n">
        <f aca="false">IFERROR(D40/B40,0)</f>
        <v>12.898</v>
      </c>
      <c r="F40" s="46" t="n">
        <f aca="false">IFERROR(AVERAGEIFS(Trades!$Y$2:$Y$884,Trades!$I$2:$I$884,$A40),0)</f>
        <v>0.084281367429228</v>
      </c>
      <c r="G40" s="47" t="n">
        <f aca="false">IFERROR(SUMIFS(Trades!$X$2:$X$884,Trades!$I$2:$I$884,$A40,Trades!$X$2:$X$884,"&gt;0")/-SUMIFS(Trades!$X$2:$X$884,Trades!$I$2:$I$884,$A40,Trades!$X$2:$X$884,"&lt;0"),"-")</f>
        <v>1.40680852853358</v>
      </c>
      <c r="H40" s="2"/>
    </row>
    <row r="41" customFormat="false" ht="15" hidden="false" customHeight="false" outlineLevel="0" collapsed="false">
      <c r="A41" s="2" t="n">
        <v>7</v>
      </c>
      <c r="B41" s="2" t="n">
        <f aca="false">COUNTIFS(Trades!$I$2:$I$884,$A41)</f>
        <v>12</v>
      </c>
      <c r="C41" s="40" t="n">
        <f aca="false">IFERROR(COUNTIFS(Trades!$I$2:$I$884,$A41,Trades!$Z$2:$Z$884,"Win")/B41,0)</f>
        <v>0.333333333333333</v>
      </c>
      <c r="D41" s="39" t="n">
        <f aca="false">SUMIFS(Trades!$X$2:$X$884,Trades!$I$2:$I$884,$A41)</f>
        <v>47.86</v>
      </c>
      <c r="E41" s="39" t="n">
        <f aca="false">IFERROR(D41/B41,0)</f>
        <v>3.98833333333333</v>
      </c>
      <c r="F41" s="46" t="n">
        <f aca="false">IFERROR(AVERAGEIFS(Trades!$Y$2:$Y$884,Trades!$I$2:$I$884,$A41),0)</f>
        <v>0.344073422708859</v>
      </c>
      <c r="G41" s="47" t="n">
        <f aca="false">IFERROR(SUMIFS(Trades!$X$2:$X$884,Trades!$I$2:$I$884,$A41,Trades!$X$2:$X$884,"&gt;0")/-SUMIFS(Trades!$X$2:$X$884,Trades!$I$2:$I$884,$A41,Trades!$X$2:$X$884,"&lt;0"),"-")</f>
        <v>1.20717717847712</v>
      </c>
      <c r="H41" s="2"/>
    </row>
    <row r="42" customFormat="false" ht="15" hidden="false" customHeight="false" outlineLevel="0" collapsed="false">
      <c r="A42" s="2" t="n">
        <v>8</v>
      </c>
      <c r="B42" s="2" t="n">
        <f aca="false">COUNTIFS(Trades!$I$2:$I$884,$A42)</f>
        <v>19</v>
      </c>
      <c r="C42" s="40" t="n">
        <f aca="false">IFERROR(COUNTIFS(Trades!$I$2:$I$884,$A42,Trades!$Z$2:$Z$884,"Win")/B42,0)</f>
        <v>0.526315789473684</v>
      </c>
      <c r="D42" s="39" t="n">
        <f aca="false">SUMIFS(Trades!$X$2:$X$884,Trades!$I$2:$I$884,$A42)</f>
        <v>734.06</v>
      </c>
      <c r="E42" s="39" t="n">
        <f aca="false">IFERROR(D42/B42,0)</f>
        <v>38.6347368421053</v>
      </c>
      <c r="F42" s="46" t="n">
        <f aca="false">IFERROR(AVERAGEIFS(Trades!$Y$2:$Y$884,Trades!$I$2:$I$884,$A42),0)</f>
        <v>0.755012216650092</v>
      </c>
      <c r="G42" s="47" t="n">
        <f aca="false">IFERROR(SUMIFS(Trades!$X$2:$X$884,Trades!$I$2:$I$884,$A42,Trades!$X$2:$X$884,"&gt;0")/-SUMIFS(Trades!$X$2:$X$884,Trades!$I$2:$I$884,$A42,Trades!$X$2:$X$884,"&lt;0"),"-")</f>
        <v>3.90394809715959</v>
      </c>
      <c r="H42" s="2"/>
    </row>
    <row r="43" customFormat="false" ht="15" hidden="false" customHeight="false" outlineLevel="0" collapsed="false">
      <c r="A43" s="2" t="n">
        <v>9</v>
      </c>
      <c r="B43" s="2" t="n">
        <f aca="false">COUNTIFS(Trades!$I$2:$I$884,$A43)</f>
        <v>27</v>
      </c>
      <c r="C43" s="40" t="n">
        <f aca="false">IFERROR(COUNTIFS(Trades!$I$2:$I$884,$A43,Trades!$Z$2:$Z$884,"Win")/B43,0)</f>
        <v>0.444444444444444</v>
      </c>
      <c r="D43" s="39" t="n">
        <f aca="false">SUMIFS(Trades!$X$2:$X$884,Trades!$I$2:$I$884,$A43)</f>
        <v>724.02</v>
      </c>
      <c r="E43" s="39" t="n">
        <f aca="false">IFERROR(D43/B43,0)</f>
        <v>26.8155555555556</v>
      </c>
      <c r="F43" s="46" t="n">
        <f aca="false">IFERROR(AVERAGEIFS(Trades!$Y$2:$Y$884,Trades!$I$2:$I$884,$A43),0)</f>
        <v>0.644177855857426</v>
      </c>
      <c r="G43" s="47" t="n">
        <f aca="false">IFERROR(SUMIFS(Trades!$X$2:$X$884,Trades!$I$2:$I$884,$A43,Trades!$X$2:$X$884,"&gt;0")/-SUMIFS(Trades!$X$2:$X$884,Trades!$I$2:$I$884,$A43,Trades!$X$2:$X$884,"&lt;0"),"-")</f>
        <v>2.32473377977824</v>
      </c>
      <c r="H43" s="2"/>
    </row>
    <row r="44" customFormat="false" ht="15" hidden="false" customHeight="false" outlineLevel="0" collapsed="false">
      <c r="A44" s="2" t="n">
        <v>10</v>
      </c>
      <c r="B44" s="2" t="n">
        <f aca="false">COUNTIFS(Trades!$I$2:$I$884,$A44)</f>
        <v>36</v>
      </c>
      <c r="C44" s="40" t="n">
        <f aca="false">IFERROR(COUNTIFS(Trades!$I$2:$I$884,$A44,Trades!$Z$2:$Z$884,"Win")/B44,0)</f>
        <v>0.305555555555556</v>
      </c>
      <c r="D44" s="39" t="n">
        <f aca="false">SUMIFS(Trades!$X$2:$X$884,Trades!$I$2:$I$884,$A44)</f>
        <v>578.49</v>
      </c>
      <c r="E44" s="39" t="n">
        <f aca="false">IFERROR(D44/B44,0)</f>
        <v>16.0691666666667</v>
      </c>
      <c r="F44" s="46" t="n">
        <f aca="false">IFERROR(AVERAGEIFS(Trades!$Y$2:$Y$884,Trades!$I$2:$I$884,$A44),0)</f>
        <v>0.127595552054465</v>
      </c>
      <c r="G44" s="47" t="n">
        <f aca="false">IFERROR(SUMIFS(Trades!$X$2:$X$884,Trades!$I$2:$I$884,$A44,Trades!$X$2:$X$884,"&gt;0")/-SUMIFS(Trades!$X$2:$X$884,Trades!$I$2:$I$884,$A44,Trades!$X$2:$X$884,"&lt;0"),"-")</f>
        <v>1.51116000424133</v>
      </c>
      <c r="H44" s="2"/>
    </row>
    <row r="45" customFormat="false" ht="15" hidden="false" customHeight="false" outlineLevel="0" collapsed="false">
      <c r="A45" s="2" t="n">
        <v>11</v>
      </c>
      <c r="B45" s="2" t="n">
        <f aca="false">COUNTIFS(Trades!$I$2:$I$884,$A45)</f>
        <v>34</v>
      </c>
      <c r="C45" s="40" t="n">
        <f aca="false">IFERROR(COUNTIFS(Trades!$I$2:$I$884,$A45,Trades!$Z$2:$Z$884,"Win")/B45,0)</f>
        <v>0.205882352941176</v>
      </c>
      <c r="D45" s="39" t="n">
        <f aca="false">SUMIFS(Trades!$X$2:$X$884,Trades!$I$2:$I$884,$A45)</f>
        <v>320.63</v>
      </c>
      <c r="E45" s="39" t="n">
        <f aca="false">IFERROR(D45/B45,0)</f>
        <v>9.43029411764706</v>
      </c>
      <c r="F45" s="46" t="n">
        <f aca="false">IFERROR(AVERAGEIFS(Trades!$Y$2:$Y$884,Trades!$I$2:$I$884,$A45),0)</f>
        <v>-0.0784123375604224</v>
      </c>
      <c r="G45" s="47" t="n">
        <f aca="false">IFERROR(SUMIFS(Trades!$X$2:$X$884,Trades!$I$2:$I$884,$A45,Trades!$X$2:$X$884,"&gt;0")/-SUMIFS(Trades!$X$2:$X$884,Trades!$I$2:$I$884,$A45,Trades!$X$2:$X$884,"&lt;0"),"-")</f>
        <v>1.30124206095682</v>
      </c>
      <c r="H45" s="2"/>
    </row>
    <row r="46" customFormat="false" ht="15" hidden="false" customHeight="false" outlineLevel="0" collapsed="false">
      <c r="A46" s="2" t="n">
        <v>12</v>
      </c>
      <c r="B46" s="2" t="n">
        <f aca="false">COUNTIFS(Trades!$I$2:$I$884,$A46)</f>
        <v>15</v>
      </c>
      <c r="C46" s="40" t="n">
        <f aca="false">IFERROR(COUNTIFS(Trades!$I$2:$I$884,$A46,Trades!$Z$2:$Z$884,"Win")/B46,0)</f>
        <v>0.533333333333333</v>
      </c>
      <c r="D46" s="39" t="n">
        <f aca="false">SUMIFS(Trades!$X$2:$X$884,Trades!$I$2:$I$884,$A46)</f>
        <v>785.44</v>
      </c>
      <c r="E46" s="39" t="n">
        <f aca="false">IFERROR(D46/B46,0)</f>
        <v>52.3626666666667</v>
      </c>
      <c r="F46" s="46" t="n">
        <f aca="false">IFERROR(AVERAGEIFS(Trades!$Y$2:$Y$884,Trades!$I$2:$I$884,$A46),0)</f>
        <v>0.934300938627436</v>
      </c>
      <c r="G46" s="47" t="n">
        <f aca="false">IFERROR(SUMIFS(Trades!$X$2:$X$884,Trades!$I$2:$I$884,$A46,Trades!$X$2:$X$884,"&gt;0")/-SUMIFS(Trades!$X$2:$X$884,Trades!$I$2:$I$884,$A46,Trades!$X$2:$X$884,"&lt;0"),"-")</f>
        <v>4.42657708751418</v>
      </c>
      <c r="H46" s="2"/>
    </row>
    <row r="47" customFormat="false" ht="15" hidden="false" customHeight="false" outlineLevel="0" collapsed="false">
      <c r="A47" s="2" t="n">
        <v>13</v>
      </c>
      <c r="B47" s="2" t="n">
        <f aca="false">COUNTIFS(Trades!$I$2:$I$884,$A47)</f>
        <v>10</v>
      </c>
      <c r="C47" s="40" t="n">
        <f aca="false">IFERROR(COUNTIFS(Trades!$I$2:$I$884,$A47,Trades!$Z$2:$Z$884,"Win")/B47,0)</f>
        <v>0.7</v>
      </c>
      <c r="D47" s="39" t="n">
        <f aca="false">SUMIFS(Trades!$X$2:$X$884,Trades!$I$2:$I$884,$A47)</f>
        <v>746.38</v>
      </c>
      <c r="E47" s="39" t="n">
        <f aca="false">IFERROR(D47/B47,0)</f>
        <v>74.638</v>
      </c>
      <c r="F47" s="46" t="n">
        <f aca="false">IFERROR(AVERAGEIFS(Trades!$Y$2:$Y$884,Trades!$I$2:$I$884,$A47),0)</f>
        <v>1.31265241320038</v>
      </c>
      <c r="G47" s="47" t="n">
        <f aca="false">IFERROR(SUMIFS(Trades!$X$2:$X$884,Trades!$I$2:$I$884,$A47,Trades!$X$2:$X$884,"&gt;0")/-SUMIFS(Trades!$X$2:$X$884,Trades!$I$2:$I$884,$A47,Trades!$X$2:$X$884,"&lt;0"),"-")</f>
        <v>11.3750347511815</v>
      </c>
      <c r="H47" s="2"/>
    </row>
    <row r="48" customFormat="false" ht="15" hidden="false" customHeight="false" outlineLevel="0" collapsed="false">
      <c r="A48" s="2" t="n">
        <v>14</v>
      </c>
      <c r="B48" s="2" t="n">
        <f aca="false">COUNTIFS(Trades!$I$2:$I$884,$A48)</f>
        <v>28</v>
      </c>
      <c r="C48" s="40" t="n">
        <f aca="false">IFERROR(COUNTIFS(Trades!$I$2:$I$884,$A48,Trades!$Z$2:$Z$884,"Win")/B48,0)</f>
        <v>0.321428571428571</v>
      </c>
      <c r="D48" s="39" t="n">
        <f aca="false">SUMIFS(Trades!$X$2:$X$884,Trades!$I$2:$I$884,$A48)</f>
        <v>218.91</v>
      </c>
      <c r="E48" s="39" t="n">
        <f aca="false">IFERROR(D48/B48,0)</f>
        <v>7.81821428571428</v>
      </c>
      <c r="F48" s="46" t="n">
        <f aca="false">IFERROR(AVERAGEIFS(Trades!$Y$2:$Y$884,Trades!$I$2:$I$884,$A48),0)</f>
        <v>0.153050966664938</v>
      </c>
      <c r="G48" s="47" t="n">
        <f aca="false">IFERROR(SUMIFS(Trades!$X$2:$X$884,Trades!$I$2:$I$884,$A48,Trades!$X$2:$X$884,"&gt;0")/-SUMIFS(Trades!$X$2:$X$884,Trades!$I$2:$I$884,$A48,Trades!$X$2:$X$884,"&lt;0"),"-")</f>
        <v>1.15666082227073</v>
      </c>
      <c r="H48" s="2"/>
    </row>
    <row r="49" customFormat="false" ht="15" hidden="false" customHeight="false" outlineLevel="0" collapsed="false">
      <c r="A49" s="2" t="n">
        <v>15</v>
      </c>
      <c r="B49" s="2" t="n">
        <f aca="false">COUNTIFS(Trades!$I$2:$I$884,$A49)</f>
        <v>55</v>
      </c>
      <c r="C49" s="40" t="n">
        <f aca="false">IFERROR(COUNTIFS(Trades!$I$2:$I$884,$A49,Trades!$Z$2:$Z$884,"Win")/B49,0)</f>
        <v>0.290909090909091</v>
      </c>
      <c r="D49" s="39" t="n">
        <f aca="false">SUMIFS(Trades!$X$2:$X$884,Trades!$I$2:$I$884,$A49)</f>
        <v>-137.37</v>
      </c>
      <c r="E49" s="39" t="n">
        <f aca="false">IFERROR(D49/B49,0)</f>
        <v>-2.49763636363636</v>
      </c>
      <c r="F49" s="46" t="n">
        <f aca="false">IFERROR(AVERAGEIFS(Trades!$Y$2:$Y$884,Trades!$I$2:$I$884,$A49),0)</f>
        <v>0.0719674518234773</v>
      </c>
      <c r="G49" s="47" t="n">
        <f aca="false">IFERROR(SUMIFS(Trades!$X$2:$X$884,Trades!$I$2:$I$884,$A49,Trades!$X$2:$X$884,"&gt;0")/-SUMIFS(Trades!$X$2:$X$884,Trades!$I$2:$I$884,$A49,Trades!$X$2:$X$884,"&lt;0"),"-")</f>
        <v>0.967395561125313</v>
      </c>
      <c r="H49" s="2"/>
    </row>
    <row r="50" customFormat="false" ht="15" hidden="false" customHeight="false" outlineLevel="0" collapsed="false">
      <c r="A50" s="2" t="n">
        <v>16</v>
      </c>
      <c r="B50" s="2" t="n">
        <f aca="false">COUNTIFS(Trades!$I$2:$I$884,$A50)</f>
        <v>105</v>
      </c>
      <c r="C50" s="40" t="n">
        <f aca="false">IFERROR(COUNTIFS(Trades!$I$2:$I$884,$A50,Trades!$Z$2:$Z$884,"Win")/B50,0)</f>
        <v>0.266666666666667</v>
      </c>
      <c r="D50" s="39" t="n">
        <f aca="false">SUMIFS(Trades!$X$2:$X$884,Trades!$I$2:$I$884,$A50)</f>
        <v>1989.46</v>
      </c>
      <c r="E50" s="39" t="n">
        <f aca="false">IFERROR(D50/B50,0)</f>
        <v>18.9472380952381</v>
      </c>
      <c r="F50" s="46" t="n">
        <f aca="false">IFERROR(AVERAGEIFS(Trades!$Y$2:$Y$884,Trades!$I$2:$I$884,$A50),0)</f>
        <v>0.141153693297416</v>
      </c>
      <c r="G50" s="47" t="n">
        <f aca="false">IFERROR(SUMIFS(Trades!$X$2:$X$884,Trades!$I$2:$I$884,$A50,Trades!$X$2:$X$884,"&gt;0")/-SUMIFS(Trades!$X$2:$X$884,Trades!$I$2:$I$884,$A50,Trades!$X$2:$X$884,"&lt;0"),"-")</f>
        <v>1.31949445149272</v>
      </c>
      <c r="H50" s="2"/>
    </row>
    <row r="51" customFormat="false" ht="15" hidden="false" customHeight="false" outlineLevel="0" collapsed="false">
      <c r="A51" s="2" t="n">
        <v>17</v>
      </c>
      <c r="B51" s="2" t="n">
        <f aca="false">COUNTIFS(Trades!$I$2:$I$884,$A51)</f>
        <v>75</v>
      </c>
      <c r="C51" s="40" t="n">
        <f aca="false">IFERROR(COUNTIFS(Trades!$I$2:$I$884,$A51,Trades!$Z$2:$Z$884,"Win")/B51,0)</f>
        <v>0.253333333333333</v>
      </c>
      <c r="D51" s="39" t="n">
        <f aca="false">SUMIFS(Trades!$X$2:$X$884,Trades!$I$2:$I$884,$A51)</f>
        <v>-374.02</v>
      </c>
      <c r="E51" s="39" t="n">
        <f aca="false">IFERROR(D51/B51,0)</f>
        <v>-4.98693333333333</v>
      </c>
      <c r="F51" s="46" t="n">
        <f aca="false">IFERROR(AVERAGEIFS(Trades!$Y$2:$Y$884,Trades!$I$2:$I$884,$A51),0)</f>
        <v>-0.0134916941436993</v>
      </c>
      <c r="G51" s="47" t="n">
        <f aca="false">IFERROR(SUMIFS(Trades!$X$2:$X$884,Trades!$I$2:$I$884,$A51,Trades!$X$2:$X$884,"&gt;0")/-SUMIFS(Trades!$X$2:$X$884,Trades!$I$2:$I$884,$A51,Trades!$X$2:$X$884,"&lt;0"),"-")</f>
        <v>0.946210022809182</v>
      </c>
      <c r="H51" s="2"/>
    </row>
    <row r="52" customFormat="false" ht="15" hidden="false" customHeight="false" outlineLevel="0" collapsed="false">
      <c r="A52" s="2" t="n">
        <v>18</v>
      </c>
      <c r="B52" s="2" t="n">
        <f aca="false">COUNTIFS(Trades!$I$2:$I$884,$A52)</f>
        <v>37</v>
      </c>
      <c r="C52" s="40" t="n">
        <f aca="false">IFERROR(COUNTIFS(Trades!$I$2:$I$884,$A52,Trades!$Z$2:$Z$884,"Win")/B52,0)</f>
        <v>0.297297297297297</v>
      </c>
      <c r="D52" s="39" t="n">
        <f aca="false">SUMIFS(Trades!$X$2:$X$884,Trades!$I$2:$I$884,$A52)</f>
        <v>353.88</v>
      </c>
      <c r="E52" s="39" t="n">
        <f aca="false">IFERROR(D52/B52,0)</f>
        <v>9.56432432432433</v>
      </c>
      <c r="F52" s="46" t="n">
        <f aca="false">IFERROR(AVERAGEIFS(Trades!$Y$2:$Y$884,Trades!$I$2:$I$884,$A52),0)</f>
        <v>0.0586889423865827</v>
      </c>
      <c r="G52" s="47" t="n">
        <f aca="false">IFERROR(SUMIFS(Trades!$X$2:$X$884,Trades!$I$2:$I$884,$A52,Trades!$X$2:$X$884,"&gt;0")/-SUMIFS(Trades!$X$2:$X$884,Trades!$I$2:$I$884,$A52,Trades!$X$2:$X$884,"&lt;0"),"-")</f>
        <v>1.13499811167443</v>
      </c>
      <c r="H52" s="2"/>
    </row>
    <row r="53" customFormat="false" ht="15" hidden="false" customHeight="false" outlineLevel="0" collapsed="false">
      <c r="A53" s="2" t="n">
        <v>19</v>
      </c>
      <c r="B53" s="2" t="n">
        <f aca="false">COUNTIFS(Trades!$I$2:$I$884,$A53)</f>
        <v>25</v>
      </c>
      <c r="C53" s="40" t="n">
        <f aca="false">IFERROR(COUNTIFS(Trades!$I$2:$I$884,$A53,Trades!$Z$2:$Z$884,"Win")/B53,0)</f>
        <v>0.24</v>
      </c>
      <c r="D53" s="39" t="n">
        <f aca="false">SUMIFS(Trades!$X$2:$X$884,Trades!$I$2:$I$884,$A53)</f>
        <v>196.2</v>
      </c>
      <c r="E53" s="39" t="n">
        <f aca="false">IFERROR(D53/B53,0)</f>
        <v>7.848</v>
      </c>
      <c r="F53" s="46" t="n">
        <f aca="false">IFERROR(AVERAGEIFS(Trades!$Y$2:$Y$884,Trades!$I$2:$I$884,$A53),0)</f>
        <v>0.103522597151982</v>
      </c>
      <c r="G53" s="47" t="n">
        <f aca="false">IFERROR(SUMIFS(Trades!$X$2:$X$884,Trades!$I$2:$I$884,$A53,Trades!$X$2:$X$884,"&gt;0")/-SUMIFS(Trades!$X$2:$X$884,Trades!$I$2:$I$884,$A53,Trades!$X$2:$X$884,"&lt;0"),"-")</f>
        <v>1.17808840882273</v>
      </c>
      <c r="H53" s="2"/>
    </row>
    <row r="54" customFormat="false" ht="15" hidden="false" customHeight="false" outlineLevel="0" collapsed="false">
      <c r="A54" s="2" t="n">
        <v>20</v>
      </c>
      <c r="B54" s="2" t="n">
        <f aca="false">COUNTIFS(Trades!$I$2:$I$884,$A54)</f>
        <v>20</v>
      </c>
      <c r="C54" s="40" t="n">
        <f aca="false">IFERROR(COUNTIFS(Trades!$I$2:$I$884,$A54,Trades!$Z$2:$Z$884,"Win")/B54,0)</f>
        <v>0.3</v>
      </c>
      <c r="D54" s="39" t="n">
        <f aca="false">SUMIFS(Trades!$X$2:$X$884,Trades!$I$2:$I$884,$A54)</f>
        <v>438.63</v>
      </c>
      <c r="E54" s="39" t="n">
        <f aca="false">IFERROR(D54/B54,0)</f>
        <v>21.9315</v>
      </c>
      <c r="F54" s="46" t="n">
        <f aca="false">IFERROR(AVERAGEIFS(Trades!$Y$2:$Y$884,Trades!$I$2:$I$884,$A54),0)</f>
        <v>0.111914692841322</v>
      </c>
      <c r="G54" s="47" t="n">
        <f aca="false">IFERROR(SUMIFS(Trades!$X$2:$X$884,Trades!$I$2:$I$884,$A54,Trades!$X$2:$X$884,"&gt;0")/-SUMIFS(Trades!$X$2:$X$884,Trades!$I$2:$I$884,$A54,Trades!$X$2:$X$884,"&lt;0"),"-")</f>
        <v>1.31884363483052</v>
      </c>
      <c r="H54" s="2"/>
    </row>
    <row r="55" customFormat="false" ht="15" hidden="false" customHeight="false" outlineLevel="0" collapsed="false">
      <c r="A55" s="2" t="n">
        <v>21</v>
      </c>
      <c r="B55" s="2" t="n">
        <f aca="false">COUNTIFS(Trades!$I$2:$I$884,$A55)</f>
        <v>20</v>
      </c>
      <c r="C55" s="40" t="n">
        <f aca="false">IFERROR(COUNTIFS(Trades!$I$2:$I$884,$A55,Trades!$Z$2:$Z$884,"Win")/B55,0)</f>
        <v>0.3</v>
      </c>
      <c r="D55" s="39" t="n">
        <f aca="false">SUMIFS(Trades!$X$2:$X$884,Trades!$I$2:$I$884,$A55)</f>
        <v>61.1600000000001</v>
      </c>
      <c r="E55" s="39" t="n">
        <f aca="false">IFERROR(D55/B55,0)</f>
        <v>3.058</v>
      </c>
      <c r="F55" s="46" t="n">
        <f aca="false">IFERROR(AVERAGEIFS(Trades!$Y$2:$Y$884,Trades!$I$2:$I$884,$A55),0)</f>
        <v>0.0386193178285903</v>
      </c>
      <c r="G55" s="47" t="n">
        <f aca="false">IFERROR(SUMIFS(Trades!$X$2:$X$884,Trades!$I$2:$I$884,$A55,Trades!$X$2:$X$884,"&gt;0")/-SUMIFS(Trades!$X$2:$X$884,Trades!$I$2:$I$884,$A55,Trades!$X$2:$X$884,"&lt;0"),"-")</f>
        <v>1.03935320726065</v>
      </c>
      <c r="H55" s="2"/>
    </row>
    <row r="56" customFormat="false" ht="15" hidden="false" customHeight="false" outlineLevel="0" collapsed="false">
      <c r="A56" s="2" t="n">
        <v>22</v>
      </c>
      <c r="B56" s="2" t="n">
        <f aca="false">COUNTIFS(Trades!$I$2:$I$884,$A56)</f>
        <v>17</v>
      </c>
      <c r="C56" s="40" t="n">
        <f aca="false">IFERROR(COUNTIFS(Trades!$I$2:$I$884,$A56,Trades!$Z$2:$Z$884,"Win")/B56,0)</f>
        <v>0.235294117647059</v>
      </c>
      <c r="D56" s="39" t="n">
        <f aca="false">SUMIFS(Trades!$X$2:$X$884,Trades!$I$2:$I$884,$A56)</f>
        <v>-95.25</v>
      </c>
      <c r="E56" s="39" t="n">
        <f aca="false">IFERROR(D56/B56,0)</f>
        <v>-5.60294117647059</v>
      </c>
      <c r="F56" s="46" t="n">
        <f aca="false">IFERROR(AVERAGEIFS(Trades!$Y$2:$Y$884,Trades!$I$2:$I$884,$A56),0)</f>
        <v>0.0519046479986823</v>
      </c>
      <c r="G56" s="47" t="n">
        <f aca="false">IFERROR(SUMIFS(Trades!$X$2:$X$884,Trades!$I$2:$I$884,$A56,Trades!$X$2:$X$884,"&gt;0")/-SUMIFS(Trades!$X$2:$X$884,Trades!$I$2:$I$884,$A56,Trades!$X$2:$X$884,"&lt;0"),"-")</f>
        <v>0.898446579169021</v>
      </c>
      <c r="H56" s="2"/>
    </row>
    <row r="57" customFormat="false" ht="15" hidden="false" customHeight="false" outlineLevel="0" collapsed="false">
      <c r="A57" s="2" t="n">
        <v>23</v>
      </c>
      <c r="B57" s="2" t="n">
        <f aca="false">COUNTIFS(Trades!$I$2:$I$884,$A57)</f>
        <v>9</v>
      </c>
      <c r="C57" s="40" t="n">
        <f aca="false">IFERROR(COUNTIFS(Trades!$I$2:$I$884,$A57,Trades!$Z$2:$Z$884,"Win")/B57,0)</f>
        <v>0.444444444444444</v>
      </c>
      <c r="D57" s="39" t="n">
        <f aca="false">SUMIFS(Trades!$X$2:$X$884,Trades!$I$2:$I$884,$A57)</f>
        <v>244.93</v>
      </c>
      <c r="E57" s="39" t="n">
        <f aca="false">IFERROR(D57/B57,0)</f>
        <v>27.2144444444444</v>
      </c>
      <c r="F57" s="46" t="n">
        <f aca="false">IFERROR(AVERAGEIFS(Trades!$Y$2:$Y$884,Trades!$I$2:$I$884,$A57),0)</f>
        <v>0.276351503292836</v>
      </c>
      <c r="G57" s="47" t="n">
        <f aca="false">IFERROR(SUMIFS(Trades!$X$2:$X$884,Trades!$I$2:$I$884,$A57,Trades!$X$2:$X$884,"&gt;0")/-SUMIFS(Trades!$X$2:$X$884,Trades!$I$2:$I$884,$A57,Trades!$X$2:$X$884,"&lt;0"),"-")</f>
        <v>1.22573985493221</v>
      </c>
      <c r="H57" s="2"/>
    </row>
    <row r="58" customFormat="false" ht="15" hidden="false" customHeight="false" outlineLevel="0" collapsed="false">
      <c r="A58" s="33" t="s">
        <v>249</v>
      </c>
      <c r="B58" s="33" t="n">
        <f aca="false">SUM(B35:B57)</f>
        <v>883</v>
      </c>
      <c r="C58" s="37"/>
      <c r="D58" s="48" t="n">
        <f aca="false">SUM(D35:D57)</f>
        <v>17717.69</v>
      </c>
      <c r="E58" s="37"/>
      <c r="F58" s="37"/>
      <c r="G58" s="37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3" t="s">
        <v>264</v>
      </c>
      <c r="B60" s="2"/>
      <c r="C60" s="2"/>
      <c r="D60" s="2"/>
      <c r="E60" s="2"/>
      <c r="F60" s="2"/>
      <c r="G60" s="2"/>
      <c r="H60" s="4" t="s">
        <v>265</v>
      </c>
    </row>
    <row r="61" customFormat="false" ht="31.5" hidden="false" customHeight="true" outlineLevel="0" collapsed="false">
      <c r="A61" s="26" t="s">
        <v>266</v>
      </c>
      <c r="B61" s="26" t="s">
        <v>7</v>
      </c>
      <c r="C61" s="26" t="s">
        <v>61</v>
      </c>
      <c r="D61" s="26" t="s">
        <v>42</v>
      </c>
      <c r="E61" s="26" t="s">
        <v>247</v>
      </c>
      <c r="F61" s="26" t="s">
        <v>248</v>
      </c>
      <c r="G61" s="26" t="s">
        <v>50</v>
      </c>
      <c r="H61" s="2"/>
    </row>
    <row r="62" customFormat="false" ht="15" hidden="false" customHeight="false" outlineLevel="0" collapsed="false">
      <c r="A62" s="2" t="s">
        <v>267</v>
      </c>
      <c r="B62" s="2" t="n">
        <f aca="false">COUNTIFS(Trades!$AB$2:$AB$884,$A62)</f>
        <v>20</v>
      </c>
      <c r="C62" s="40" t="n">
        <f aca="false">IFERROR(COUNTIFS(Trades!$AB$2:$AB$884,$A62,Trades!$Z$2:$Z$884,"Win")/B62,0)</f>
        <v>0.3</v>
      </c>
      <c r="D62" s="39" t="n">
        <f aca="false">SUMIFS(Trades!$X$2:$X$884,Trades!$AB$2:$AB$884,$A62)</f>
        <v>-768.22</v>
      </c>
      <c r="E62" s="39" t="n">
        <f aca="false">IFERROR(D62/B62,0)</f>
        <v>-38.411</v>
      </c>
      <c r="F62" s="46" t="n">
        <f aca="false">IFERROR(AVERAGEIFS(Trades!$Y$2:$Y$884,Trades!$AB$2:$AB$884,$A62),0)</f>
        <v>-0.132017097041427</v>
      </c>
      <c r="G62" s="47" t="n">
        <f aca="false">IFERROR(SUMIFS(Trades!$X$2:$X$884,Trades!$AB$2:$AB$884,$A62,Trades!$X$2:$X$884,"&gt;0")/-SUMIFS(Trades!$X$2:$X$884,Trades!$AB$2:$AB$884,$A62,Trades!$X$2:$X$884,"&lt;0"),"-")</f>
        <v>0.51907498528841</v>
      </c>
      <c r="H62" s="2"/>
    </row>
    <row r="63" customFormat="false" ht="15" hidden="false" customHeight="false" outlineLevel="0" collapsed="false">
      <c r="A63" s="2" t="s">
        <v>268</v>
      </c>
      <c r="B63" s="2" t="n">
        <f aca="false">COUNTIFS(Trades!$AB$2:$AB$884,$A63)</f>
        <v>381</v>
      </c>
      <c r="C63" s="40" t="n">
        <f aca="false">IFERROR(COUNTIFS(Trades!$AB$2:$AB$884,$A63,Trades!$Z$2:$Z$884,"Win")/B63,0)</f>
        <v>0.26246719160105</v>
      </c>
      <c r="D63" s="39" t="n">
        <f aca="false">SUMIFS(Trades!$X$2:$X$884,Trades!$AB$2:$AB$884,$A63)</f>
        <v>-6020.47</v>
      </c>
      <c r="E63" s="39" t="n">
        <f aca="false">IFERROR(D63/B63,0)</f>
        <v>-15.8017585301837</v>
      </c>
      <c r="F63" s="46" t="n">
        <f aca="false">IFERROR(AVERAGEIFS(Trades!$Y$2:$Y$884,Trades!$AB$2:$AB$884,$A63),0)</f>
        <v>-0.0452972771773817</v>
      </c>
      <c r="G63" s="47" t="n">
        <f aca="false">IFERROR(SUMIFS(Trades!$X$2:$X$884,Trades!$AB$2:$AB$884,$A63,Trades!$X$2:$X$884,"&gt;0")/-SUMIFS(Trades!$X$2:$X$884,Trades!$AB$2:$AB$884,$A63,Trades!$X$2:$X$884,"&lt;0"),"-")</f>
        <v>0.737539208014456</v>
      </c>
      <c r="H63" s="2"/>
    </row>
    <row r="64" customFormat="false" ht="15" hidden="false" customHeight="false" outlineLevel="0" collapsed="false">
      <c r="A64" s="2" t="s">
        <v>269</v>
      </c>
      <c r="B64" s="2" t="n">
        <f aca="false">COUNTIFS(Trades!$AB$2:$AB$884,$A64)</f>
        <v>388</v>
      </c>
      <c r="C64" s="40" t="n">
        <f aca="false">IFERROR(COUNTIFS(Trades!$AB$2:$AB$884,$A64,Trades!$Z$2:$Z$884,"Win")/B64,0)</f>
        <v>0.319587628865979</v>
      </c>
      <c r="D64" s="39" t="n">
        <f aca="false">SUMIFS(Trades!$X$2:$X$884,Trades!$AB$2:$AB$884,$A64)</f>
        <v>6317.53</v>
      </c>
      <c r="E64" s="39" t="n">
        <f aca="false">IFERROR(D64/B64,0)</f>
        <v>16.282293814433</v>
      </c>
      <c r="F64" s="46" t="n">
        <f aca="false">IFERROR(AVERAGEIFS(Trades!$Y$2:$Y$884,Trades!$AB$2:$AB$884,$A64),0)</f>
        <v>0.281424063296804</v>
      </c>
      <c r="G64" s="47" t="n">
        <f aca="false">IFERROR(SUMIFS(Trades!$X$2:$X$884,Trades!$AB$2:$AB$884,$A64,Trades!$X$2:$X$884,"&gt;0")/-SUMIFS(Trades!$X$2:$X$884,Trades!$AB$2:$AB$884,$A64,Trades!$X$2:$X$884,"&lt;0"),"-")</f>
        <v>1.33958879714376</v>
      </c>
      <c r="H64" s="2"/>
    </row>
    <row r="65" customFormat="false" ht="15" hidden="false" customHeight="false" outlineLevel="0" collapsed="false">
      <c r="A65" s="2" t="s">
        <v>270</v>
      </c>
      <c r="B65" s="2" t="n">
        <f aca="false">COUNTIFS(Trades!$AB$2:$AB$884,$A65)</f>
        <v>64</v>
      </c>
      <c r="C65" s="40" t="n">
        <f aca="false">IFERROR(COUNTIFS(Trades!$AB$2:$AB$884,$A65,Trades!$Z$2:$Z$884,"Win")/B65,0)</f>
        <v>0.484375</v>
      </c>
      <c r="D65" s="39" t="n">
        <f aca="false">SUMIFS(Trades!$X$2:$X$884,Trades!$AB$2:$AB$884,$A65)</f>
        <v>8738.45</v>
      </c>
      <c r="E65" s="39" t="n">
        <f aca="false">IFERROR(D65/B65,0)</f>
        <v>136.53828125</v>
      </c>
      <c r="F65" s="46" t="n">
        <f aca="false">IFERROR(AVERAGEIFS(Trades!$Y$2:$Y$884,Trades!$AB$2:$AB$884,$A65),0)</f>
        <v>0.782587050078699</v>
      </c>
      <c r="G65" s="47" t="n">
        <f aca="false">IFERROR(SUMIFS(Trades!$X$2:$X$884,Trades!$AB$2:$AB$884,$A65,Trades!$X$2:$X$884,"&gt;0")/-SUMIFS(Trades!$X$2:$X$884,Trades!$AB$2:$AB$884,$A65,Trades!$X$2:$X$884,"&lt;0"),"-")</f>
        <v>4.48792978198568</v>
      </c>
      <c r="H65" s="2"/>
    </row>
    <row r="66" customFormat="false" ht="15" hidden="false" customHeight="false" outlineLevel="0" collapsed="false">
      <c r="A66" s="2" t="s">
        <v>271</v>
      </c>
      <c r="B66" s="2" t="n">
        <f aca="false">COUNTIFS(Trades!$AB$2:$AB$884,$A66)</f>
        <v>30</v>
      </c>
      <c r="C66" s="40" t="n">
        <f aca="false">IFERROR(COUNTIFS(Trades!$AB$2:$AB$884,$A66,Trades!$Z$2:$Z$884,"Win")/B66,0)</f>
        <v>0.7</v>
      </c>
      <c r="D66" s="39" t="n">
        <f aca="false">SUMIFS(Trades!$X$2:$X$884,Trades!$AB$2:$AB$884,$A66)</f>
        <v>9450.4</v>
      </c>
      <c r="E66" s="39" t="n">
        <f aca="false">IFERROR(D66/B66,0)</f>
        <v>315.013333333333</v>
      </c>
      <c r="F66" s="46" t="n">
        <f aca="false">IFERROR(AVERAGEIFS(Trades!$Y$2:$Y$884,Trades!$AB$2:$AB$884,$A66),0)</f>
        <v>1.24299800622787</v>
      </c>
      <c r="G66" s="47" t="n">
        <f aca="false">IFERROR(SUMIFS(Trades!$X$2:$X$884,Trades!$AB$2:$AB$884,$A66,Trades!$X$2:$X$884,"&gt;0")/-SUMIFS(Trades!$X$2:$X$884,Trades!$AB$2:$AB$884,$A66,Trades!$X$2:$X$884,"&lt;0"),"-")</f>
        <v>10.7218335939429</v>
      </c>
      <c r="H66" s="2"/>
    </row>
    <row r="67" customFormat="false" ht="15" hidden="false" customHeight="false" outlineLevel="0" collapsed="false">
      <c r="A67" s="33" t="s">
        <v>249</v>
      </c>
      <c r="B67" s="33" t="n">
        <f aca="false">SUM(B62:B66)</f>
        <v>883</v>
      </c>
      <c r="C67" s="37"/>
      <c r="D67" s="48" t="n">
        <f aca="false">SUM(D62:D66)</f>
        <v>17717.69</v>
      </c>
      <c r="E67" s="37"/>
      <c r="F67" s="37"/>
      <c r="G67" s="37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26.85" hidden="false" customHeight="false" outlineLevel="0" collapsed="false">
      <c r="A69" s="3" t="s">
        <v>272</v>
      </c>
      <c r="B69" s="2"/>
      <c r="C69" s="2"/>
      <c r="D69" s="2"/>
      <c r="E69" s="2"/>
      <c r="F69" s="2"/>
      <c r="G69" s="2"/>
      <c r="H69" s="4" t="s">
        <v>273</v>
      </c>
    </row>
    <row r="70" customFormat="false" ht="31.5" hidden="false" customHeight="true" outlineLevel="0" collapsed="false">
      <c r="A70" s="26" t="s">
        <v>274</v>
      </c>
      <c r="B70" s="26" t="s">
        <v>7</v>
      </c>
      <c r="C70" s="26" t="s">
        <v>61</v>
      </c>
      <c r="D70" s="26" t="s">
        <v>42</v>
      </c>
      <c r="E70" s="26" t="s">
        <v>247</v>
      </c>
      <c r="F70" s="26" t="s">
        <v>248</v>
      </c>
      <c r="G70" s="26" t="s">
        <v>50</v>
      </c>
      <c r="H70" s="2"/>
    </row>
    <row r="71" customFormat="false" ht="15" hidden="false" customHeight="false" outlineLevel="0" collapsed="false">
      <c r="A71" s="2" t="s">
        <v>275</v>
      </c>
      <c r="B71" s="2" t="n">
        <f aca="false">COUNTIFS(Trades!$AC$2:$AC$884,$A71)</f>
        <v>196</v>
      </c>
      <c r="C71" s="40" t="n">
        <f aca="false">IFERROR(COUNTIFS(Trades!$AC$2:$AC$884,$A71,Trades!$Z$2:$Z$884,"Win")/B71,0)</f>
        <v>0.306122448979592</v>
      </c>
      <c r="D71" s="39" t="n">
        <f aca="false">SUMIFS(Trades!$X$2:$X$884,Trades!$AC$2:$AC$884,$A71)</f>
        <v>929.14</v>
      </c>
      <c r="E71" s="39" t="n">
        <f aca="false">IFERROR(D71/B71,0)</f>
        <v>4.74051020408163</v>
      </c>
      <c r="F71" s="46" t="n">
        <f aca="false">IFERROR(AVERAGEIFS(Trades!$Y$2:$Y$884,Trades!$AC$2:$AC$884,$A71),0)</f>
        <v>0.163600648614785</v>
      </c>
      <c r="G71" s="47" t="n">
        <f aca="false">IFERROR(SUMIFS(Trades!$X$2:$X$884,Trades!$AC$2:$AC$884,$A71,Trades!$X$2:$X$884,"&gt;0")/-SUMIFS(Trades!$X$2:$X$884,Trades!$AC$2:$AC$884,$A71,Trades!$X$2:$X$884,"&lt;0"),"-")</f>
        <v>1.26625287632999</v>
      </c>
      <c r="H71" s="2"/>
    </row>
    <row r="72" customFormat="false" ht="15" hidden="false" customHeight="false" outlineLevel="0" collapsed="false">
      <c r="A72" s="2" t="s">
        <v>276</v>
      </c>
      <c r="B72" s="2" t="n">
        <f aca="false">COUNTIFS(Trades!$AC$2:$AC$884,$A72)</f>
        <v>260</v>
      </c>
      <c r="C72" s="40" t="n">
        <f aca="false">IFERROR(COUNTIFS(Trades!$AC$2:$AC$884,$A72,Trades!$Z$2:$Z$884,"Win")/B72,0)</f>
        <v>0.369230769230769</v>
      </c>
      <c r="D72" s="39" t="n">
        <f aca="false">SUMIFS(Trades!$X$2:$X$884,Trades!$AC$2:$AC$884,$A72)</f>
        <v>5646.29</v>
      </c>
      <c r="E72" s="39" t="n">
        <f aca="false">IFERROR(D72/B72,0)</f>
        <v>21.7165</v>
      </c>
      <c r="F72" s="46" t="n">
        <f aca="false">IFERROR(AVERAGEIFS(Trades!$Y$2:$Y$884,Trades!$AC$2:$AC$884,$A72),0)</f>
        <v>0.338824590304404</v>
      </c>
      <c r="G72" s="47" t="n">
        <f aca="false">IFERROR(SUMIFS(Trades!$X$2:$X$884,Trades!$AC$2:$AC$884,$A72,Trades!$X$2:$X$884,"&gt;0")/-SUMIFS(Trades!$X$2:$X$884,Trades!$AC$2:$AC$884,$A72,Trades!$X$2:$X$884,"&lt;0"),"-")</f>
        <v>1.74334858308923</v>
      </c>
      <c r="H72" s="2"/>
    </row>
    <row r="73" customFormat="false" ht="15" hidden="false" customHeight="false" outlineLevel="0" collapsed="false">
      <c r="A73" s="2" t="s">
        <v>277</v>
      </c>
      <c r="B73" s="2" t="n">
        <f aca="false">COUNTIFS(Trades!$AC$2:$AC$884,$A73)</f>
        <v>278</v>
      </c>
      <c r="C73" s="40" t="n">
        <f aca="false">IFERROR(COUNTIFS(Trades!$AC$2:$AC$884,$A73,Trades!$Z$2:$Z$884,"Win")/B73,0)</f>
        <v>0.29136690647482</v>
      </c>
      <c r="D73" s="39" t="n">
        <f aca="false">SUMIFS(Trades!$X$2:$X$884,Trades!$AC$2:$AC$884,$A73)</f>
        <v>5133.07</v>
      </c>
      <c r="E73" s="39" t="n">
        <f aca="false">IFERROR(D73/B73,0)</f>
        <v>18.4642805755396</v>
      </c>
      <c r="F73" s="46" t="n">
        <f aca="false">IFERROR(AVERAGEIFS(Trades!$Y$2:$Y$884,Trades!$AC$2:$AC$884,$A73),0)</f>
        <v>0.121791630599242</v>
      </c>
      <c r="G73" s="47" t="n">
        <f aca="false">IFERROR(SUMIFS(Trades!$X$2:$X$884,Trades!$AC$2:$AC$884,$A73,Trades!$X$2:$X$884,"&gt;0")/-SUMIFS(Trades!$X$2:$X$884,Trades!$AC$2:$AC$884,$A73,Trades!$X$2:$X$884,"&lt;0"),"-")</f>
        <v>1.29747891075407</v>
      </c>
      <c r="H73" s="2"/>
    </row>
    <row r="74" customFormat="false" ht="15" hidden="false" customHeight="false" outlineLevel="0" collapsed="false">
      <c r="A74" s="2" t="s">
        <v>278</v>
      </c>
      <c r="B74" s="2" t="n">
        <f aca="false">COUNTIFS(Trades!$AC$2:$AC$884,$A74)</f>
        <v>128</v>
      </c>
      <c r="C74" s="40" t="n">
        <f aca="false">IFERROR(COUNTIFS(Trades!$AC$2:$AC$884,$A74,Trades!$Z$2:$Z$884,"Win")/B74,0)</f>
        <v>0.2890625</v>
      </c>
      <c r="D74" s="39" t="n">
        <f aca="false">SUMIFS(Trades!$X$2:$X$884,Trades!$AC$2:$AC$884,$A74)</f>
        <v>3503.72</v>
      </c>
      <c r="E74" s="39" t="n">
        <f aca="false">IFERROR(D74/B74,0)</f>
        <v>27.3728125</v>
      </c>
      <c r="F74" s="46" t="n">
        <f aca="false">IFERROR(AVERAGEIFS(Trades!$Y$2:$Y$884,Trades!$AC$2:$AC$884,$A74),0)</f>
        <v>0.124344931856499</v>
      </c>
      <c r="G74" s="47" t="n">
        <f aca="false">IFERROR(SUMIFS(Trades!$X$2:$X$884,Trades!$AC$2:$AC$884,$A74,Trades!$X$2:$X$884,"&gt;0")/-SUMIFS(Trades!$X$2:$X$884,Trades!$AC$2:$AC$884,$A74,Trades!$X$2:$X$884,"&lt;0"),"-")</f>
        <v>1.24036738535672</v>
      </c>
      <c r="H74" s="2"/>
    </row>
    <row r="75" customFormat="false" ht="15" hidden="false" customHeight="false" outlineLevel="0" collapsed="false">
      <c r="A75" s="2" t="s">
        <v>279</v>
      </c>
      <c r="B75" s="2" t="n">
        <f aca="false">COUNTIFS(Trades!$AC$2:$AC$884,$A75)</f>
        <v>21</v>
      </c>
      <c r="C75" s="40" t="n">
        <f aca="false">IFERROR(COUNTIFS(Trades!$AC$2:$AC$884,$A75,Trades!$Z$2:$Z$884,"Win")/B75,0)</f>
        <v>0.380952380952381</v>
      </c>
      <c r="D75" s="39" t="n">
        <f aca="false">SUMIFS(Trades!$X$2:$X$884,Trades!$AC$2:$AC$884,$A75)</f>
        <v>2505.47</v>
      </c>
      <c r="E75" s="39" t="n">
        <f aca="false">IFERROR(D75/B75,0)</f>
        <v>119.308095238095</v>
      </c>
      <c r="F75" s="46" t="n">
        <f aca="false">IFERROR(AVERAGEIFS(Trades!$Y$2:$Y$884,Trades!$AC$2:$AC$884,$A75),0)</f>
        <v>0.320718962559902</v>
      </c>
      <c r="G75" s="47" t="n">
        <f aca="false">IFERROR(SUMIFS(Trades!$X$2:$X$884,Trades!$AC$2:$AC$884,$A75,Trades!$X$2:$X$884,"&gt;0")/-SUMIFS(Trades!$X$2:$X$884,Trades!$AC$2:$AC$884,$A75,Trades!$X$2:$X$884,"&lt;0"),"-")</f>
        <v>1.6772236067488</v>
      </c>
      <c r="H75" s="2"/>
    </row>
    <row r="76" customFormat="false" ht="15" hidden="false" customHeight="false" outlineLevel="0" collapsed="false">
      <c r="A76" s="33" t="s">
        <v>249</v>
      </c>
      <c r="B76" s="33" t="n">
        <f aca="false">SUM(B71:B75)</f>
        <v>883</v>
      </c>
      <c r="C76" s="37"/>
      <c r="D76" s="48" t="n">
        <f aca="false">SUM(D71:D75)</f>
        <v>17717.69</v>
      </c>
      <c r="E76" s="37"/>
      <c r="F76" s="37"/>
      <c r="G76" s="37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3" t="s">
        <v>280</v>
      </c>
      <c r="B78" s="2"/>
      <c r="C78" s="2"/>
      <c r="D78" s="2"/>
      <c r="E78" s="2"/>
      <c r="F78" s="2"/>
      <c r="G78" s="2"/>
      <c r="H78" s="4" t="s">
        <v>281</v>
      </c>
    </row>
    <row r="79" customFormat="false" ht="31.5" hidden="false" customHeight="true" outlineLevel="0" collapsed="false">
      <c r="A79" s="26" t="s">
        <v>282</v>
      </c>
      <c r="B79" s="26" t="s">
        <v>7</v>
      </c>
      <c r="C79" s="26" t="s">
        <v>61</v>
      </c>
      <c r="D79" s="26" t="s">
        <v>42</v>
      </c>
      <c r="E79" s="26" t="s">
        <v>247</v>
      </c>
      <c r="F79" s="26" t="s">
        <v>248</v>
      </c>
      <c r="G79" s="26" t="s">
        <v>50</v>
      </c>
      <c r="H79" s="2"/>
    </row>
    <row r="80" customFormat="false" ht="15" hidden="false" customHeight="false" outlineLevel="0" collapsed="false">
      <c r="A80" s="2" t="n">
        <v>2023</v>
      </c>
      <c r="B80" s="2" t="n">
        <f aca="false">COUNTIFS(Trades!$G$2:$G$884,$A80)</f>
        <v>194</v>
      </c>
      <c r="C80" s="40" t="n">
        <f aca="false">IFERROR(COUNTIFS(Trades!$G$2:$G$884,$A80,Trades!$Z$2:$Z$884,"Win")/B80,0)</f>
        <v>0.335051546391753</v>
      </c>
      <c r="D80" s="39" t="n">
        <f aca="false">SUMIFS(Trades!$X$2:$X$884,Trades!$G$2:$G$884,$A80)</f>
        <v>4466.65</v>
      </c>
      <c r="E80" s="39" t="n">
        <f aca="false">IFERROR(D80/B80,0)</f>
        <v>23.023969072165</v>
      </c>
      <c r="F80" s="46" t="n">
        <f aca="false">IFERROR(AVERAGEIFS(Trades!$Y$2:$Y$884,Trades!$G$2:$G$884,$A80),0)</f>
        <v>0.202313959574145</v>
      </c>
      <c r="G80" s="47" t="n">
        <f aca="false">IFERROR(SUMIFS(Trades!$X$2:$X$884,Trades!$G$2:$G$884,$A80,Trades!$X$2:$X$884,"&gt;0")/-SUMIFS(Trades!$X$2:$X$884,Trades!$G$2:$G$884,$A80,Trades!$X$2:$X$884,"&lt;0"),"-")</f>
        <v>1.52976625360559</v>
      </c>
      <c r="H80" s="2"/>
    </row>
    <row r="81" customFormat="false" ht="15" hidden="false" customHeight="false" outlineLevel="0" collapsed="false">
      <c r="A81" s="2" t="n">
        <v>2024</v>
      </c>
      <c r="B81" s="2" t="n">
        <f aca="false">COUNTIFS(Trades!$G$2:$G$884,$A81)</f>
        <v>244</v>
      </c>
      <c r="C81" s="40" t="n">
        <f aca="false">IFERROR(COUNTIFS(Trades!$G$2:$G$884,$A81,Trades!$Z$2:$Z$884,"Win")/B81,0)</f>
        <v>0.299180327868852</v>
      </c>
      <c r="D81" s="39" t="n">
        <f aca="false">SUMIFS(Trades!$X$2:$X$884,Trades!$G$2:$G$884,$A81)</f>
        <v>2375.02</v>
      </c>
      <c r="E81" s="39" t="n">
        <f aca="false">IFERROR(D81/B81,0)</f>
        <v>9.73368852459016</v>
      </c>
      <c r="F81" s="46" t="n">
        <f aca="false">IFERROR(AVERAGEIFS(Trades!$Y$2:$Y$884,Trades!$G$2:$G$884,$A81),0)</f>
        <v>0.173865100584429</v>
      </c>
      <c r="G81" s="47" t="n">
        <f aca="false">IFERROR(SUMIFS(Trades!$X$2:$X$884,Trades!$G$2:$G$884,$A81,Trades!$X$2:$X$884,"&gt;0")/-SUMIFS(Trades!$X$2:$X$884,Trades!$G$2:$G$884,$A81,Trades!$X$2:$X$884,"&lt;0"),"-")</f>
        <v>1.2109107894835</v>
      </c>
      <c r="H81" s="2"/>
    </row>
    <row r="82" customFormat="false" ht="15" hidden="false" customHeight="false" outlineLevel="0" collapsed="false">
      <c r="A82" s="2" t="n">
        <v>2025</v>
      </c>
      <c r="B82" s="2" t="n">
        <f aca="false">COUNTIFS(Trades!$G$2:$G$884,$A82)</f>
        <v>257</v>
      </c>
      <c r="C82" s="40" t="n">
        <f aca="false">IFERROR(COUNTIFS(Trades!$G$2:$G$884,$A82,Trades!$Z$2:$Z$884,"Win")/B82,0)</f>
        <v>0.326848249027237</v>
      </c>
      <c r="D82" s="39" t="n">
        <f aca="false">SUMIFS(Trades!$X$2:$X$884,Trades!$G$2:$G$884,$A82)</f>
        <v>7225.36</v>
      </c>
      <c r="E82" s="39" t="n">
        <f aca="false">IFERROR(D82/B82,0)</f>
        <v>28.1142412451362</v>
      </c>
      <c r="F82" s="46" t="n">
        <f aca="false">IFERROR(AVERAGEIFS(Trades!$Y$2:$Y$884,Trades!$G$2:$G$884,$A82),0)</f>
        <v>0.205209037222261</v>
      </c>
      <c r="G82" s="47" t="n">
        <f aca="false">IFERROR(SUMIFS(Trades!$X$2:$X$884,Trades!$G$2:$G$884,$A82,Trades!$X$2:$X$884,"&gt;0")/-SUMIFS(Trades!$X$2:$X$884,Trades!$G$2:$G$884,$A82,Trades!$X$2:$X$884,"&lt;0"),"-")</f>
        <v>1.48007664897282</v>
      </c>
      <c r="H82" s="2"/>
    </row>
    <row r="83" customFormat="false" ht="15" hidden="false" customHeight="false" outlineLevel="0" collapsed="false">
      <c r="A83" s="2" t="n">
        <v>2026</v>
      </c>
      <c r="B83" s="2" t="n">
        <f aca="false">COUNTIFS(Trades!$G$2:$G$884,$A83)</f>
        <v>188</v>
      </c>
      <c r="C83" s="40" t="n">
        <f aca="false">IFERROR(COUNTIFS(Trades!$G$2:$G$884,$A83,Trades!$Z$2:$Z$884,"Win")/B83,0)</f>
        <v>0.319148936170213</v>
      </c>
      <c r="D83" s="39" t="n">
        <f aca="false">SUMIFS(Trades!$X$2:$X$884,Trades!$G$2:$G$884,$A83)</f>
        <v>3650.66</v>
      </c>
      <c r="E83" s="39" t="n">
        <f aca="false">IFERROR(D83/B83,0)</f>
        <v>19.4184042553192</v>
      </c>
      <c r="F83" s="46" t="n">
        <f aca="false">IFERROR(AVERAGEIFS(Trades!$Y$2:$Y$884,Trades!$G$2:$G$884,$A83),0)</f>
        <v>0.224780468827213</v>
      </c>
      <c r="G83" s="47" t="n">
        <f aca="false">IFERROR(SUMIFS(Trades!$X$2:$X$884,Trades!$G$2:$G$884,$A83,Trades!$X$2:$X$884,"&gt;0")/-SUMIFS(Trades!$X$2:$X$884,Trades!$G$2:$G$884,$A83,Trades!$X$2:$X$884,"&lt;0"),"-")</f>
        <v>1.307443417479</v>
      </c>
      <c r="H83" s="2"/>
    </row>
    <row r="84" customFormat="false" ht="15" hidden="false" customHeight="false" outlineLevel="0" collapsed="false">
      <c r="A84" s="33" t="s">
        <v>249</v>
      </c>
      <c r="B84" s="33" t="n">
        <f aca="false">SUM(B80:B83)</f>
        <v>883</v>
      </c>
      <c r="C84" s="37"/>
      <c r="D84" s="48" t="n">
        <f aca="false">SUM(D80:D83)</f>
        <v>17717.69</v>
      </c>
      <c r="E84" s="37"/>
      <c r="F84" s="37"/>
      <c r="G84" s="37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3" t="s">
        <v>283</v>
      </c>
      <c r="B86" s="2"/>
      <c r="C86" s="2"/>
      <c r="D86" s="2"/>
      <c r="E86" s="2"/>
      <c r="F86" s="2"/>
      <c r="G86" s="2"/>
      <c r="H86" s="4" t="s">
        <v>284</v>
      </c>
    </row>
    <row r="87" customFormat="false" ht="31.5" hidden="false" customHeight="true" outlineLevel="0" collapsed="false">
      <c r="A87" s="26" t="s">
        <v>285</v>
      </c>
      <c r="B87" s="26" t="s">
        <v>7</v>
      </c>
      <c r="C87" s="26" t="s">
        <v>286</v>
      </c>
      <c r="D87" s="26" t="s">
        <v>42</v>
      </c>
      <c r="E87" s="2"/>
      <c r="F87" s="2"/>
      <c r="G87" s="2"/>
      <c r="H87" s="2"/>
    </row>
    <row r="88" customFormat="false" ht="15" hidden="false" customHeight="false" outlineLevel="0" collapsed="false">
      <c r="A88" s="2" t="s">
        <v>287</v>
      </c>
      <c r="B88" s="2" t="n">
        <f aca="false">COUNTIFS(Trades!$Y$2:$Y$884,"&gt;=-99",Trades!$Y$2:$Y$884,"&lt;-1.05")</f>
        <v>53</v>
      </c>
      <c r="C88" s="40" t="n">
        <f aca="false">IFERROR(B88/Summary!$C$20,0)</f>
        <v>0.0600226500566251</v>
      </c>
      <c r="D88" s="39" t="n">
        <f aca="false">SUMIFS(Trades!$X$2:$X$884,Trades!$Y$2:$Y$884,"&gt;=-99",Trades!$Y$2:$Y$884,"&lt;-1.05")</f>
        <v>-5518.95</v>
      </c>
      <c r="E88" s="2"/>
      <c r="F88" s="2"/>
      <c r="G88" s="2"/>
      <c r="H88" s="2"/>
    </row>
    <row r="89" customFormat="false" ht="15" hidden="false" customHeight="false" outlineLevel="0" collapsed="false">
      <c r="A89" s="2" t="s">
        <v>288</v>
      </c>
      <c r="B89" s="2" t="n">
        <f aca="false">COUNTIFS(Trades!$Y$2:$Y$884,"&gt;=-1.05",Trades!$Y$2:$Y$884,"&lt;-0.95")</f>
        <v>334</v>
      </c>
      <c r="C89" s="40" t="n">
        <f aca="false">IFERROR(B89/Summary!$C$20,0)</f>
        <v>0.378255945639864</v>
      </c>
      <c r="D89" s="39" t="n">
        <f aca="false">SUMIFS(Trades!$X$2:$X$884,Trades!$Y$2:$Y$884,"&gt;=-1.05",Trades!$Y$2:$Y$884,"&lt;-0.95")</f>
        <v>-40637.85</v>
      </c>
      <c r="E89" s="2"/>
      <c r="F89" s="2"/>
      <c r="G89" s="2"/>
      <c r="H89" s="2"/>
    </row>
    <row r="90" customFormat="false" ht="15" hidden="false" customHeight="false" outlineLevel="0" collapsed="false">
      <c r="A90" s="2" t="s">
        <v>289</v>
      </c>
      <c r="B90" s="2" t="n">
        <f aca="false">COUNTIFS(Trades!$Y$2:$Y$884,"&gt;=-0.95",Trades!$Y$2:$Y$884,"&lt;-0.05")</f>
        <v>28</v>
      </c>
      <c r="C90" s="40" t="n">
        <f aca="false">IFERROR(B90/Summary!$C$20,0)</f>
        <v>0.0317100792751982</v>
      </c>
      <c r="D90" s="39" t="n">
        <f aca="false">SUMIFS(Trades!$X$2:$X$884,Trades!$Y$2:$Y$884,"&gt;=-0.95",Trades!$Y$2:$Y$884,"&lt;-0.05")</f>
        <v>-195.55</v>
      </c>
      <c r="E90" s="2"/>
      <c r="F90" s="2"/>
      <c r="G90" s="2"/>
      <c r="H90" s="2"/>
    </row>
    <row r="91" customFormat="false" ht="15" hidden="false" customHeight="false" outlineLevel="0" collapsed="false">
      <c r="A91" s="2" t="s">
        <v>290</v>
      </c>
      <c r="B91" s="2" t="n">
        <f aca="false">COUNTIFS(Trades!$Y$2:$Y$884,"&gt;=-0.05",Trades!$Y$2:$Y$884,"&lt;0.05")</f>
        <v>186</v>
      </c>
      <c r="C91" s="40" t="n">
        <f aca="false">IFERROR(B91/Summary!$C$20,0)</f>
        <v>0.210645526613817</v>
      </c>
      <c r="D91" s="39" t="n">
        <f aca="false">SUMIFS(Trades!$X$2:$X$884,Trades!$Y$2:$Y$884,"&gt;=-0.05",Trades!$Y$2:$Y$884,"&lt;0.05")</f>
        <v>-264.47</v>
      </c>
      <c r="E91" s="2"/>
      <c r="F91" s="2"/>
      <c r="G91" s="2"/>
      <c r="H91" s="2"/>
    </row>
    <row r="92" customFormat="false" ht="15" hidden="false" customHeight="false" outlineLevel="0" collapsed="false">
      <c r="A92" s="2" t="s">
        <v>291</v>
      </c>
      <c r="B92" s="2" t="n">
        <f aca="false">COUNTIFS(Trades!$Y$2:$Y$884,"&gt;=0.05",Trades!$Y$2:$Y$884,"&lt;1")</f>
        <v>0</v>
      </c>
      <c r="C92" s="40" t="n">
        <f aca="false">IFERROR(B92/Summary!$C$20,0)</f>
        <v>0</v>
      </c>
      <c r="D92" s="39" t="n">
        <f aca="false">SUMIFS(Trades!$X$2:$X$884,Trades!$Y$2:$Y$884,"&gt;=0.05",Trades!$Y$2:$Y$884,"&lt;1")</f>
        <v>0</v>
      </c>
      <c r="E92" s="2"/>
      <c r="F92" s="2"/>
      <c r="G92" s="2"/>
      <c r="H92" s="2"/>
    </row>
    <row r="93" customFormat="false" ht="15" hidden="false" customHeight="false" outlineLevel="0" collapsed="false">
      <c r="A93" s="2" t="s">
        <v>292</v>
      </c>
      <c r="B93" s="2" t="n">
        <f aca="false">COUNTIFS(Trades!$Y$2:$Y$884,"&gt;=1",Trades!$Y$2:$Y$884,"&lt;2")</f>
        <v>40</v>
      </c>
      <c r="C93" s="40" t="n">
        <f aca="false">IFERROR(B93/Summary!$C$20,0)</f>
        <v>0.0453001132502831</v>
      </c>
      <c r="D93" s="39" t="n">
        <f aca="false">SUMIFS(Trades!$X$2:$X$884,Trades!$Y$2:$Y$884,"&gt;=1",Trades!$Y$2:$Y$884,"&lt;2")</f>
        <v>10803.32</v>
      </c>
      <c r="E93" s="2"/>
      <c r="F93" s="2"/>
      <c r="G93" s="2"/>
      <c r="H93" s="2"/>
    </row>
    <row r="94" customFormat="false" ht="15" hidden="false" customHeight="false" outlineLevel="0" collapsed="false">
      <c r="A94" s="2" t="s">
        <v>293</v>
      </c>
      <c r="B94" s="2" t="n">
        <f aca="false">COUNTIFS(Trades!$Y$2:$Y$884,"&gt;=2",Trades!$Y$2:$Y$884,"&lt;3")</f>
        <v>239</v>
      </c>
      <c r="C94" s="40" t="n">
        <f aca="false">IFERROR(B94/Summary!$C$20,0)</f>
        <v>0.270668176670442</v>
      </c>
      <c r="D94" s="39" t="n">
        <f aca="false">SUMIFS(Trades!$X$2:$X$884,Trades!$Y$2:$Y$884,"&gt;=2",Trades!$Y$2:$Y$884,"&lt;3")</f>
        <v>52817.3</v>
      </c>
      <c r="E94" s="2"/>
      <c r="F94" s="2"/>
      <c r="G94" s="2"/>
      <c r="H94" s="2"/>
    </row>
    <row r="95" customFormat="false" ht="15" hidden="false" customHeight="false" outlineLevel="0" collapsed="false">
      <c r="A95" s="2" t="s">
        <v>294</v>
      </c>
      <c r="B95" s="2" t="n">
        <f aca="false">COUNTIFS(Trades!$Y$2:$Y$884,"&gt;=3",Trades!$Y$2:$Y$884,"&lt;99")</f>
        <v>3</v>
      </c>
      <c r="C95" s="40" t="n">
        <f aca="false">IFERROR(B95/Summary!$C$20,0)</f>
        <v>0.00339750849377123</v>
      </c>
      <c r="D95" s="39" t="n">
        <f aca="false">SUMIFS(Trades!$X$2:$X$884,Trades!$Y$2:$Y$884,"&gt;=3",Trades!$Y$2:$Y$884,"&lt;99")</f>
        <v>713.89</v>
      </c>
      <c r="E95" s="2"/>
      <c r="F95" s="2"/>
      <c r="G95" s="2"/>
      <c r="H95" s="2"/>
    </row>
  </sheetData>
  <conditionalFormatting sqref="D5:D6">
    <cfRule type="cellIs" priority="2" operator="lessThan" aboveAverage="0" equalAverage="0" bottom="0" percent="0" rank="0" text="" dxfId="0">
      <formula>0</formula>
    </cfRule>
  </conditionalFormatting>
  <conditionalFormatting sqref="D11:D12">
    <cfRule type="cellIs" priority="3" operator="lessThan" aboveAverage="0" equalAverage="0" bottom="0" percent="0" rank="0" text="" dxfId="0">
      <formula>0</formula>
    </cfRule>
  </conditionalFormatting>
  <conditionalFormatting sqref="D17:D21">
    <cfRule type="cellIs" priority="4" operator="lessThan" aboveAverage="0" equalAverage="0" bottom="0" percent="0" rank="0" text="" dxfId="0">
      <formula>0</formula>
    </cfRule>
  </conditionalFormatting>
  <conditionalFormatting sqref="D26:D30">
    <cfRule type="cellIs" priority="5" operator="lessThan" aboveAverage="0" equalAverage="0" bottom="0" percent="0" rank="0" text="" dxfId="0">
      <formula>0</formula>
    </cfRule>
  </conditionalFormatting>
  <conditionalFormatting sqref="D35:D57">
    <cfRule type="cellIs" priority="6" operator="lessThan" aboveAverage="0" equalAverage="0" bottom="0" percent="0" rank="0" text="" dxfId="0">
      <formula>0</formula>
    </cfRule>
  </conditionalFormatting>
  <conditionalFormatting sqref="D62:D66">
    <cfRule type="cellIs" priority="7" operator="lessThan" aboveAverage="0" equalAverage="0" bottom="0" percent="0" rank="0" text="" dxfId="0">
      <formula>0</formula>
    </cfRule>
  </conditionalFormatting>
  <conditionalFormatting sqref="D71:D75">
    <cfRule type="cellIs" priority="8" operator="lessThan" aboveAverage="0" equalAverage="0" bottom="0" percent="0" rank="0" text="" dxfId="0">
      <formula>0</formula>
    </cfRule>
  </conditionalFormatting>
  <conditionalFormatting sqref="D80:D83">
    <cfRule type="cellIs" priority="9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295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296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26" t="s">
        <v>204</v>
      </c>
      <c r="B4" s="26" t="s">
        <v>297</v>
      </c>
      <c r="C4" s="26" t="s">
        <v>298</v>
      </c>
      <c r="D4" s="26" t="s">
        <v>299</v>
      </c>
      <c r="E4" s="26" t="s">
        <v>300</v>
      </c>
      <c r="F4" s="26" t="s">
        <v>301</v>
      </c>
      <c r="G4" s="26" t="s">
        <v>7</v>
      </c>
      <c r="H4" s="26" t="s">
        <v>302</v>
      </c>
    </row>
    <row r="5" customFormat="false" ht="15" hidden="false" customHeight="false" outlineLevel="0" collapsed="false">
      <c r="A5" s="49" t="n">
        <v>1</v>
      </c>
      <c r="B5" s="50" t="n">
        <v>46100.0670601852</v>
      </c>
      <c r="C5" s="50" t="n">
        <v>46125.8207523148</v>
      </c>
      <c r="D5" s="50" t="n">
        <v>46266.504375</v>
      </c>
      <c r="E5" s="45" t="n">
        <v>2246.72</v>
      </c>
      <c r="F5" s="51" t="n">
        <v>0.0192235951079904</v>
      </c>
      <c r="G5" s="49" t="n">
        <v>112</v>
      </c>
      <c r="H5" s="49" t="n">
        <v>166</v>
      </c>
    </row>
    <row r="6" customFormat="false" ht="15" hidden="false" customHeight="false" outlineLevel="0" collapsed="false">
      <c r="A6" s="49" t="n">
        <v>2</v>
      </c>
      <c r="B6" s="50" t="n">
        <v>45352.2509953704</v>
      </c>
      <c r="C6" s="50" t="n">
        <v>45595.1562731482</v>
      </c>
      <c r="D6" s="50" t="n">
        <v>45656.6506597222</v>
      </c>
      <c r="E6" s="45" t="n">
        <v>1529.96</v>
      </c>
      <c r="F6" s="51" t="n">
        <v>0.014353841193017</v>
      </c>
      <c r="G6" s="49" t="n">
        <v>200</v>
      </c>
      <c r="H6" s="49" t="n">
        <v>304</v>
      </c>
    </row>
    <row r="7" customFormat="false" ht="15" hidden="false" customHeight="false" outlineLevel="0" collapsed="false">
      <c r="A7" s="49" t="n">
        <v>3</v>
      </c>
      <c r="B7" s="50" t="n">
        <v>45993.7088194444</v>
      </c>
      <c r="C7" s="50" t="n">
        <v>46035.651087963</v>
      </c>
      <c r="D7" s="50" t="n">
        <v>46055.0485532407</v>
      </c>
      <c r="E7" s="45" t="n">
        <v>1114.46</v>
      </c>
      <c r="F7" s="51" t="n">
        <v>0.00969932746304993</v>
      </c>
      <c r="G7" s="49" t="n">
        <v>41</v>
      </c>
      <c r="H7" s="49" t="n">
        <v>61</v>
      </c>
    </row>
    <row r="8" customFormat="false" ht="15" hidden="false" customHeight="false" outlineLevel="0" collapsed="false">
      <c r="A8" s="49" t="n">
        <v>4</v>
      </c>
      <c r="B8" s="50" t="n">
        <v>45726.7396064815</v>
      </c>
      <c r="C8" s="50" t="n">
        <v>45735.9254513889</v>
      </c>
      <c r="D8" s="50" t="n">
        <v>45747.1039699074</v>
      </c>
      <c r="E8" s="45" t="n">
        <v>1113.69</v>
      </c>
      <c r="F8" s="51" t="n">
        <v>0.0102478158898978</v>
      </c>
      <c r="G8" s="49" t="n">
        <v>14</v>
      </c>
      <c r="H8" s="49" t="n">
        <v>20</v>
      </c>
    </row>
    <row r="9" customFormat="false" ht="15" hidden="false" customHeight="false" outlineLevel="0" collapsed="false">
      <c r="A9" s="49" t="n">
        <v>5</v>
      </c>
      <c r="B9" s="50" t="n">
        <v>45022.5437731482</v>
      </c>
      <c r="C9" s="50" t="n">
        <v>45047.2655902778</v>
      </c>
      <c r="D9" s="50" t="n">
        <v>45105.7357291667</v>
      </c>
      <c r="E9" s="45" t="n">
        <v>1108.29</v>
      </c>
      <c r="F9" s="51" t="n">
        <v>0.011058092275788</v>
      </c>
      <c r="G9" s="49" t="n">
        <v>59</v>
      </c>
      <c r="H9" s="49" t="n">
        <v>83</v>
      </c>
    </row>
    <row r="10" customFormat="false" ht="15" hidden="false" customHeight="false" outlineLevel="0" collapsed="false">
      <c r="A10" s="49" t="n">
        <v>6</v>
      </c>
      <c r="B10" s="50" t="n">
        <v>45806.0836805556</v>
      </c>
      <c r="C10" s="50" t="n">
        <v>45819.1088425926</v>
      </c>
      <c r="D10" s="50" t="n">
        <v>45826.0752199074</v>
      </c>
      <c r="E10" s="45" t="n">
        <v>1073.25</v>
      </c>
      <c r="F10" s="51" t="n">
        <v>0.00957724655031741</v>
      </c>
      <c r="G10" s="49" t="n">
        <v>14</v>
      </c>
      <c r="H10" s="49" t="n">
        <v>19</v>
      </c>
    </row>
    <row r="11" customFormat="false" ht="15" hidden="false" customHeight="false" outlineLevel="0" collapsed="false">
      <c r="A11" s="49" t="n">
        <v>7</v>
      </c>
      <c r="B11" s="50" t="n">
        <v>46065.7549074074</v>
      </c>
      <c r="C11" s="50" t="n">
        <v>46084.5031365741</v>
      </c>
      <c r="D11" s="50" t="n">
        <v>46093.0899652778</v>
      </c>
      <c r="E11" s="45" t="n">
        <v>1066.13</v>
      </c>
      <c r="F11" s="51" t="n">
        <v>0.00915314145846015</v>
      </c>
      <c r="G11" s="49" t="n">
        <v>18</v>
      </c>
      <c r="H11" s="49" t="n">
        <v>27</v>
      </c>
    </row>
    <row r="12" customFormat="false" ht="15" hidden="false" customHeight="false" outlineLevel="0" collapsed="false">
      <c r="A12" s="49" t="n">
        <v>8</v>
      </c>
      <c r="B12" s="50" t="n">
        <v>45688.1672453704</v>
      </c>
      <c r="C12" s="50" t="n">
        <v>45700.6583101852</v>
      </c>
      <c r="D12" s="50" t="n">
        <v>45715.7087152778</v>
      </c>
      <c r="E12" s="45" t="n">
        <v>1015.48</v>
      </c>
      <c r="F12" s="51" t="n">
        <v>0.00941267635791288</v>
      </c>
      <c r="G12" s="49" t="n">
        <v>18</v>
      </c>
      <c r="H12" s="49" t="n">
        <v>27</v>
      </c>
    </row>
    <row r="13" customFormat="false" ht="15" hidden="false" customHeight="false" outlineLevel="0" collapsed="false">
      <c r="A13" s="49" t="n">
        <v>9</v>
      </c>
      <c r="B13" s="50" t="n">
        <v>45778.4916319445</v>
      </c>
      <c r="C13" s="50" t="n">
        <v>45784.8969328704</v>
      </c>
      <c r="D13" s="50" t="n">
        <v>45806.0836805556</v>
      </c>
      <c r="E13" s="45" t="n">
        <v>914.5</v>
      </c>
      <c r="F13" s="51" t="n">
        <v>0.0081693288822625</v>
      </c>
      <c r="G13" s="49" t="n">
        <v>20</v>
      </c>
      <c r="H13" s="49" t="n">
        <v>27</v>
      </c>
    </row>
    <row r="14" customFormat="false" ht="15" hidden="false" customHeight="false" outlineLevel="0" collapsed="false">
      <c r="A14" s="49" t="n">
        <v>10</v>
      </c>
      <c r="B14" s="50" t="n">
        <v>45891.7236111111</v>
      </c>
      <c r="C14" s="50" t="n">
        <v>45923.4797685185</v>
      </c>
      <c r="D14" s="50" t="n">
        <v>45940.7628356482</v>
      </c>
      <c r="E14" s="45" t="n">
        <v>759.87</v>
      </c>
      <c r="F14" s="51" t="n">
        <v>0.00671266986733212</v>
      </c>
      <c r="G14" s="49" t="n">
        <v>35</v>
      </c>
      <c r="H14" s="49" t="n">
        <v>49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7.35" hidden="false" customHeight="false" outlineLevel="0" collapsed="false">
      <c r="A17" s="1" t="s">
        <v>303</v>
      </c>
      <c r="B17" s="2"/>
      <c r="C17" s="2"/>
      <c r="D17" s="2"/>
      <c r="E17" s="2"/>
      <c r="F17" s="2"/>
      <c r="G17" s="2"/>
      <c r="H17" s="2"/>
    </row>
    <row r="18" customFormat="false" ht="31.5" hidden="false" customHeight="true" outlineLevel="0" collapsed="false">
      <c r="A18" s="26"/>
      <c r="B18" s="26" t="s">
        <v>304</v>
      </c>
      <c r="C18" s="26" t="s">
        <v>7</v>
      </c>
      <c r="D18" s="26" t="s">
        <v>305</v>
      </c>
      <c r="E18" s="26" t="s">
        <v>306</v>
      </c>
      <c r="F18" s="2"/>
      <c r="G18" s="2"/>
      <c r="H18" s="2"/>
    </row>
    <row r="19" customFormat="false" ht="15" hidden="false" customHeight="false" outlineLevel="0" collapsed="false">
      <c r="A19" s="49"/>
      <c r="B19" s="49" t="s">
        <v>307</v>
      </c>
      <c r="C19" s="49" t="n">
        <v>4</v>
      </c>
      <c r="D19" s="45" t="n">
        <v>501.58</v>
      </c>
      <c r="E19" s="50" t="n">
        <v>45296.3078125</v>
      </c>
      <c r="F19" s="2"/>
      <c r="G19" s="2"/>
      <c r="H19" s="2"/>
    </row>
    <row r="20" customFormat="false" ht="15" hidden="false" customHeight="false" outlineLevel="0" collapsed="false">
      <c r="A20" s="49"/>
      <c r="B20" s="49" t="s">
        <v>308</v>
      </c>
      <c r="C20" s="49" t="n">
        <v>13</v>
      </c>
      <c r="D20" s="45" t="n">
        <v>-1066.13</v>
      </c>
      <c r="E20" s="50" t="n">
        <v>46066.3209259259</v>
      </c>
      <c r="F20" s="2"/>
      <c r="G20" s="2"/>
      <c r="H20" s="2"/>
    </row>
    <row r="21" customFormat="false" ht="15" hidden="false" customHeight="false" outlineLevel="0" collapsed="false">
      <c r="A21" s="2"/>
      <c r="B21" s="49" t="s">
        <v>309</v>
      </c>
      <c r="C21" s="49" t="n">
        <v>14</v>
      </c>
      <c r="D21" s="45" t="n">
        <v>-741.52</v>
      </c>
      <c r="E21" s="52" t="n">
        <v>46003</v>
      </c>
      <c r="F21" s="2"/>
      <c r="G21" s="2"/>
      <c r="H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310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311</v>
      </c>
      <c r="B3" s="49" t="s">
        <v>312</v>
      </c>
    </row>
    <row r="4" customFormat="false" ht="15" hidden="false" customHeight="false" outlineLevel="0" collapsed="false">
      <c r="A4" s="2" t="s">
        <v>313</v>
      </c>
      <c r="B4" s="49" t="n">
        <v>1190694</v>
      </c>
    </row>
    <row r="5" customFormat="false" ht="15" hidden="false" customHeight="false" outlineLevel="0" collapsed="false">
      <c r="A5" s="2" t="s">
        <v>314</v>
      </c>
      <c r="B5" s="49" t="n">
        <v>238532808</v>
      </c>
    </row>
    <row r="6" customFormat="false" ht="15" hidden="false" customHeight="false" outlineLevel="0" collapsed="false">
      <c r="A6" s="2" t="s">
        <v>315</v>
      </c>
      <c r="B6" s="49" t="n">
        <v>1</v>
      </c>
    </row>
    <row r="7" customFormat="false" ht="15" hidden="false" customHeight="false" outlineLevel="0" collapsed="false">
      <c r="A7" s="2" t="s">
        <v>316</v>
      </c>
      <c r="B7" s="49" t="n">
        <v>17717.69</v>
      </c>
    </row>
    <row r="8" customFormat="false" ht="15" hidden="false" customHeight="false" outlineLevel="0" collapsed="false">
      <c r="A8" s="2" t="s">
        <v>317</v>
      </c>
      <c r="B8" s="49" t="n">
        <v>883.95</v>
      </c>
    </row>
    <row r="9" customFormat="false" ht="15" hidden="false" customHeight="false" outlineLevel="0" collapsed="false">
      <c r="A9" s="2" t="s">
        <v>318</v>
      </c>
      <c r="B9" s="49" t="n">
        <v>883.95</v>
      </c>
    </row>
    <row r="10" customFormat="false" ht="15" hidden="false" customHeight="false" outlineLevel="0" collapsed="false">
      <c r="A10" s="2" t="s">
        <v>319</v>
      </c>
      <c r="B10" s="49" t="n">
        <v>64334.51</v>
      </c>
    </row>
    <row r="11" customFormat="false" ht="15" hidden="false" customHeight="false" outlineLevel="0" collapsed="false">
      <c r="A11" s="2" t="s">
        <v>320</v>
      </c>
      <c r="B11" s="49" t="s">
        <v>90</v>
      </c>
    </row>
    <row r="12" customFormat="false" ht="15" hidden="false" customHeight="false" outlineLevel="0" collapsed="false">
      <c r="A12" s="2" t="s">
        <v>321</v>
      </c>
      <c r="B12" s="49" t="s">
        <v>93</v>
      </c>
    </row>
    <row r="13" customFormat="false" ht="15" hidden="false" customHeight="false" outlineLevel="0" collapsed="false">
      <c r="A13" s="2" t="s">
        <v>322</v>
      </c>
      <c r="B13" s="49" t="n">
        <v>-46616.82</v>
      </c>
    </row>
    <row r="14" customFormat="false" ht="15" hidden="false" customHeight="false" outlineLevel="0" collapsed="false">
      <c r="A14" s="2" t="s">
        <v>323</v>
      </c>
      <c r="B14" s="49" t="s">
        <v>324</v>
      </c>
    </row>
    <row r="15" customFormat="false" ht="15" hidden="false" customHeight="false" outlineLevel="0" collapsed="false">
      <c r="A15" s="2" t="s">
        <v>325</v>
      </c>
      <c r="B15" s="49" t="s">
        <v>326</v>
      </c>
    </row>
    <row r="16" customFormat="false" ht="15" hidden="false" customHeight="false" outlineLevel="0" collapsed="false">
      <c r="A16" s="2" t="s">
        <v>327</v>
      </c>
      <c r="B16" s="49" t="n">
        <v>1.380071</v>
      </c>
    </row>
    <row r="17" customFormat="false" ht="15" hidden="false" customHeight="false" outlineLevel="0" collapsed="false">
      <c r="A17" s="2" t="s">
        <v>328</v>
      </c>
      <c r="B17" s="49" t="n">
        <v>20.065334</v>
      </c>
    </row>
    <row r="18" customFormat="false" ht="15" hidden="false" customHeight="false" outlineLevel="0" collapsed="false">
      <c r="A18" s="2" t="s">
        <v>329</v>
      </c>
      <c r="B18" s="49" t="s">
        <v>330</v>
      </c>
    </row>
    <row r="19" customFormat="false" ht="15" hidden="false" customHeight="false" outlineLevel="0" collapsed="false">
      <c r="A19" s="2" t="s">
        <v>331</v>
      </c>
      <c r="B19" s="49" t="n">
        <v>7.172922</v>
      </c>
    </row>
    <row r="20" customFormat="false" ht="15" hidden="false" customHeight="false" outlineLevel="0" collapsed="false">
      <c r="A20" s="2" t="s">
        <v>332</v>
      </c>
      <c r="B20" s="49" t="n">
        <v>10.95045</v>
      </c>
    </row>
    <row r="21" customFormat="false" ht="15" hidden="false" customHeight="false" outlineLevel="0" collapsed="false">
      <c r="A21" s="2" t="s">
        <v>333</v>
      </c>
      <c r="B21" s="49" t="s">
        <v>119</v>
      </c>
    </row>
    <row r="22" customFormat="false" ht="15" hidden="false" customHeight="false" outlineLevel="0" collapsed="false">
      <c r="A22" s="2" t="s">
        <v>334</v>
      </c>
      <c r="B22" s="49" t="s">
        <v>335</v>
      </c>
    </row>
    <row r="23" customFormat="false" ht="15" hidden="false" customHeight="false" outlineLevel="0" collapsed="false">
      <c r="A23" s="2" t="s">
        <v>336</v>
      </c>
      <c r="B23" s="49" t="n">
        <v>0.977318</v>
      </c>
    </row>
    <row r="24" customFormat="false" ht="15" hidden="false" customHeight="false" outlineLevel="0" collapsed="false">
      <c r="A24" s="2" t="s">
        <v>337</v>
      </c>
      <c r="B24" s="49" t="s">
        <v>338</v>
      </c>
    </row>
    <row r="25" customFormat="false" ht="15" hidden="false" customHeight="false" outlineLevel="0" collapsed="false">
      <c r="A25" s="2" t="s">
        <v>339</v>
      </c>
      <c r="B25" s="49" t="s">
        <v>335</v>
      </c>
    </row>
    <row r="26" customFormat="false" ht="15" hidden="false" customHeight="false" outlineLevel="0" collapsed="false">
      <c r="A26" s="2" t="s">
        <v>340</v>
      </c>
      <c r="B26" s="49" t="n">
        <v>1131.349841</v>
      </c>
    </row>
    <row r="27" customFormat="false" ht="15" hidden="false" customHeight="false" outlineLevel="0" collapsed="false">
      <c r="A27" s="2" t="s">
        <v>341</v>
      </c>
      <c r="B27" s="49" t="n">
        <v>0.731117</v>
      </c>
    </row>
    <row r="28" customFormat="false" ht="15" hidden="false" customHeight="false" outlineLevel="0" collapsed="false">
      <c r="A28" s="2" t="s">
        <v>342</v>
      </c>
      <c r="B28" s="49" t="n">
        <v>0.407321</v>
      </c>
    </row>
    <row r="29" customFormat="false" ht="15" hidden="false" customHeight="false" outlineLevel="0" collapsed="false">
      <c r="A29" s="2" t="s">
        <v>343</v>
      </c>
      <c r="B29" s="49" t="n">
        <v>-0.102358</v>
      </c>
    </row>
    <row r="30" customFormat="false" ht="15" hidden="false" customHeight="false" outlineLevel="0" collapsed="false">
      <c r="A30" s="2" t="s">
        <v>344</v>
      </c>
      <c r="B30" s="49" t="s">
        <v>345</v>
      </c>
    </row>
    <row r="31" customFormat="false" ht="15" hidden="false" customHeight="false" outlineLevel="0" collapsed="false">
      <c r="A31" s="2" t="s">
        <v>346</v>
      </c>
      <c r="B31" s="49" t="s">
        <v>347</v>
      </c>
    </row>
    <row r="32" customFormat="false" ht="15" hidden="false" customHeight="false" outlineLevel="0" collapsed="false">
      <c r="A32" s="2" t="s">
        <v>348</v>
      </c>
      <c r="B32" s="49" t="s">
        <v>114</v>
      </c>
    </row>
    <row r="33" customFormat="false" ht="15" hidden="false" customHeight="false" outlineLevel="0" collapsed="false">
      <c r="A33" s="2" t="s">
        <v>349</v>
      </c>
      <c r="B33" s="49" t="n">
        <v>883</v>
      </c>
    </row>
    <row r="34" customFormat="false" ht="15" hidden="false" customHeight="false" outlineLevel="0" collapsed="false">
      <c r="A34" s="2" t="s">
        <v>350</v>
      </c>
      <c r="B34" s="49" t="s">
        <v>74</v>
      </c>
    </row>
    <row r="35" customFormat="false" ht="15" hidden="false" customHeight="false" outlineLevel="0" collapsed="false">
      <c r="A35" s="2" t="s">
        <v>351</v>
      </c>
      <c r="B35" s="49" t="s">
        <v>71</v>
      </c>
    </row>
    <row r="36" customFormat="false" ht="15" hidden="false" customHeight="false" outlineLevel="0" collapsed="false">
      <c r="A36" s="2" t="s">
        <v>352</v>
      </c>
      <c r="B36" s="49" t="n">
        <v>1766</v>
      </c>
    </row>
    <row r="37" customFormat="false" ht="15" hidden="false" customHeight="false" outlineLevel="0" collapsed="false">
      <c r="A37" s="2" t="s">
        <v>353</v>
      </c>
      <c r="B37" s="49" t="s">
        <v>57</v>
      </c>
    </row>
    <row r="38" customFormat="false" ht="15" hidden="false" customHeight="false" outlineLevel="0" collapsed="false">
      <c r="A38" s="2" t="s">
        <v>354</v>
      </c>
      <c r="B38" s="49" t="s">
        <v>59</v>
      </c>
    </row>
    <row r="39" customFormat="false" ht="15" hidden="false" customHeight="false" outlineLevel="0" collapsed="false">
      <c r="A39" s="2" t="s">
        <v>355</v>
      </c>
      <c r="B39" s="49" t="n">
        <v>1033.59</v>
      </c>
    </row>
    <row r="40" customFormat="false" ht="15" hidden="false" customHeight="false" outlineLevel="0" collapsed="false">
      <c r="A40" s="2" t="s">
        <v>356</v>
      </c>
      <c r="B40" s="49" t="n">
        <v>-568.08</v>
      </c>
    </row>
    <row r="41" customFormat="false" ht="15" hidden="false" customHeight="false" outlineLevel="0" collapsed="false">
      <c r="A41" s="2" t="s">
        <v>357</v>
      </c>
      <c r="B41" s="49" t="n">
        <v>221.843138</v>
      </c>
    </row>
    <row r="42" customFormat="false" ht="15" hidden="false" customHeight="false" outlineLevel="0" collapsed="false">
      <c r="A42" s="2" t="s">
        <v>358</v>
      </c>
      <c r="B42" s="49" t="n">
        <v>-78.611838</v>
      </c>
    </row>
    <row r="43" customFormat="false" ht="15" hidden="false" customHeight="false" outlineLevel="0" collapsed="false">
      <c r="A43" s="2" t="s">
        <v>359</v>
      </c>
      <c r="B43" s="49" t="s">
        <v>360</v>
      </c>
    </row>
    <row r="44" customFormat="false" ht="15" hidden="false" customHeight="false" outlineLevel="0" collapsed="false">
      <c r="A44" s="2" t="s">
        <v>361</v>
      </c>
      <c r="B44" s="49" t="s">
        <v>362</v>
      </c>
    </row>
    <row r="45" customFormat="false" ht="15" hidden="false" customHeight="false" outlineLevel="0" collapsed="false">
      <c r="A45" s="2" t="s">
        <v>363</v>
      </c>
      <c r="B45" s="49" t="s">
        <v>364</v>
      </c>
    </row>
    <row r="46" customFormat="false" ht="15" hidden="false" customHeight="false" outlineLevel="0" collapsed="false">
      <c r="A46" s="2" t="s">
        <v>365</v>
      </c>
      <c r="B46" s="49" t="s">
        <v>366</v>
      </c>
    </row>
    <row r="47" customFormat="false" ht="15" hidden="false" customHeight="false" outlineLevel="0" collapsed="false">
      <c r="A47" s="2" t="s">
        <v>367</v>
      </c>
      <c r="B47" s="49" t="n">
        <v>1</v>
      </c>
    </row>
    <row r="48" customFormat="false" ht="15" hidden="false" customHeight="false" outlineLevel="0" collapsed="false">
      <c r="A48" s="2" t="s">
        <v>368</v>
      </c>
      <c r="B48" s="4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369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370</v>
      </c>
      <c r="B3" s="2" t="s">
        <v>371</v>
      </c>
    </row>
    <row r="4" customFormat="false" ht="15" hidden="false" customHeight="false" outlineLevel="0" collapsed="false">
      <c r="A4" s="3" t="s">
        <v>372</v>
      </c>
      <c r="B4" s="2" t="s">
        <v>373</v>
      </c>
    </row>
    <row r="5" customFormat="false" ht="15" hidden="false" customHeight="false" outlineLevel="0" collapsed="false">
      <c r="A5" s="3" t="s">
        <v>374</v>
      </c>
      <c r="B5" s="2" t="s">
        <v>375</v>
      </c>
    </row>
    <row r="6" customFormat="false" ht="15" hidden="false" customHeight="false" outlineLevel="0" collapsed="false">
      <c r="A6" s="3" t="s">
        <v>376</v>
      </c>
      <c r="B6" s="2" t="s">
        <v>377</v>
      </c>
    </row>
    <row r="7" customFormat="false" ht="15" hidden="false" customHeight="false" outlineLevel="0" collapsed="false">
      <c r="A7" s="3" t="s">
        <v>378</v>
      </c>
      <c r="B7" s="2" t="s">
        <v>379</v>
      </c>
    </row>
    <row r="8" customFormat="false" ht="15" hidden="false" customHeight="false" outlineLevel="0" collapsed="false">
      <c r="A8" s="3" t="s">
        <v>380</v>
      </c>
      <c r="B8" s="2" t="n">
        <v>100000</v>
      </c>
    </row>
    <row r="9" customFormat="false" ht="15" hidden="false" customHeight="false" outlineLevel="0" collapsed="false">
      <c r="A9" s="3" t="s">
        <v>381</v>
      </c>
      <c r="B9" s="2" t="s">
        <v>382</v>
      </c>
    </row>
    <row r="10" customFormat="false" ht="15" hidden="false" customHeight="false" outlineLevel="0" collapsed="false">
      <c r="A10" s="3" t="s">
        <v>383</v>
      </c>
      <c r="B10" s="2" t="s">
        <v>312</v>
      </c>
    </row>
    <row r="11" customFormat="false" ht="15" hidden="false" customHeight="false" outlineLevel="0" collapsed="false">
      <c r="A11" s="2"/>
      <c r="B11" s="2"/>
    </row>
    <row r="12" customFormat="false" ht="31.5" hidden="false" customHeight="true" outlineLevel="0" collapsed="false">
      <c r="A12" s="26" t="s">
        <v>384</v>
      </c>
      <c r="B12" s="26" t="s">
        <v>37</v>
      </c>
    </row>
    <row r="13" customFormat="false" ht="15" hidden="false" customHeight="false" outlineLevel="0" collapsed="false">
      <c r="A13" s="3" t="s">
        <v>385</v>
      </c>
      <c r="B13" s="2"/>
    </row>
    <row r="14" customFormat="false" ht="15" hidden="false" customHeight="false" outlineLevel="0" collapsed="false">
      <c r="A14" s="2" t="s">
        <v>386</v>
      </c>
      <c r="B14" s="49" t="s">
        <v>387</v>
      </c>
    </row>
    <row r="15" customFormat="false" ht="15" hidden="false" customHeight="false" outlineLevel="0" collapsed="false">
      <c r="A15" s="2" t="s">
        <v>388</v>
      </c>
      <c r="B15" s="49" t="s">
        <v>387</v>
      </c>
    </row>
    <row r="16" customFormat="false" ht="15" hidden="false" customHeight="false" outlineLevel="0" collapsed="false">
      <c r="A16" s="3" t="s">
        <v>389</v>
      </c>
      <c r="B16" s="2"/>
    </row>
    <row r="17" customFormat="false" ht="15" hidden="false" customHeight="false" outlineLevel="0" collapsed="false">
      <c r="A17" s="2" t="s">
        <v>390</v>
      </c>
      <c r="B17" s="49" t="s">
        <v>391</v>
      </c>
    </row>
    <row r="18" customFormat="false" ht="15" hidden="false" customHeight="false" outlineLevel="0" collapsed="false">
      <c r="A18" s="2" t="s">
        <v>392</v>
      </c>
      <c r="B18" s="49" t="s">
        <v>393</v>
      </c>
    </row>
    <row r="19" customFormat="false" ht="15" hidden="false" customHeight="false" outlineLevel="0" collapsed="false">
      <c r="A19" s="2" t="s">
        <v>394</v>
      </c>
      <c r="B19" s="49" t="s">
        <v>395</v>
      </c>
    </row>
    <row r="20" customFormat="false" ht="15" hidden="false" customHeight="false" outlineLevel="0" collapsed="false">
      <c r="A20" s="2" t="s">
        <v>396</v>
      </c>
      <c r="B20" s="49" t="s">
        <v>397</v>
      </c>
    </row>
    <row r="21" customFormat="false" ht="15" hidden="false" customHeight="false" outlineLevel="0" collapsed="false">
      <c r="A21" s="3" t="s">
        <v>398</v>
      </c>
      <c r="B21" s="2"/>
    </row>
    <row r="22" customFormat="false" ht="15" hidden="false" customHeight="false" outlineLevel="0" collapsed="false">
      <c r="A22" s="2" t="s">
        <v>399</v>
      </c>
      <c r="B22" s="49" t="s">
        <v>387</v>
      </c>
    </row>
    <row r="23" customFormat="false" ht="15" hidden="false" customHeight="false" outlineLevel="0" collapsed="false">
      <c r="A23" s="2" t="s">
        <v>400</v>
      </c>
      <c r="B23" s="49" t="s">
        <v>401</v>
      </c>
    </row>
    <row r="24" customFormat="false" ht="15" hidden="false" customHeight="false" outlineLevel="0" collapsed="false">
      <c r="A24" s="2" t="s">
        <v>402</v>
      </c>
      <c r="B24" s="49" t="s">
        <v>403</v>
      </c>
    </row>
    <row r="25" customFormat="false" ht="15" hidden="false" customHeight="false" outlineLevel="0" collapsed="false">
      <c r="A25" s="2" t="s">
        <v>404</v>
      </c>
      <c r="B25" s="49" t="s">
        <v>405</v>
      </c>
    </row>
    <row r="26" customFormat="false" ht="15" hidden="false" customHeight="false" outlineLevel="0" collapsed="false">
      <c r="A26" s="2" t="s">
        <v>406</v>
      </c>
      <c r="B26" s="49" t="s">
        <v>407</v>
      </c>
    </row>
    <row r="27" customFormat="false" ht="15" hidden="false" customHeight="false" outlineLevel="0" collapsed="false">
      <c r="A27" s="3" t="s">
        <v>408</v>
      </c>
      <c r="B27" s="2"/>
    </row>
    <row r="28" customFormat="false" ht="15" hidden="false" customHeight="false" outlineLevel="0" collapsed="false">
      <c r="A28" s="2" t="s">
        <v>409</v>
      </c>
      <c r="B28" s="49" t="s">
        <v>391</v>
      </c>
    </row>
    <row r="29" customFormat="false" ht="15" hidden="false" customHeight="false" outlineLevel="0" collapsed="false">
      <c r="A29" s="2" t="s">
        <v>410</v>
      </c>
      <c r="B29" s="49" t="s">
        <v>411</v>
      </c>
    </row>
    <row r="30" customFormat="false" ht="15" hidden="false" customHeight="false" outlineLevel="0" collapsed="false">
      <c r="A30" s="2" t="s">
        <v>412</v>
      </c>
      <c r="B30" s="49" t="s">
        <v>413</v>
      </c>
    </row>
    <row r="31" customFormat="false" ht="15" hidden="false" customHeight="false" outlineLevel="0" collapsed="false">
      <c r="A31" s="2" t="s">
        <v>414</v>
      </c>
      <c r="B31" s="49" t="s">
        <v>415</v>
      </c>
    </row>
    <row r="32" customFormat="false" ht="15" hidden="false" customHeight="false" outlineLevel="0" collapsed="false">
      <c r="A32" s="3" t="s">
        <v>416</v>
      </c>
      <c r="B32" s="2"/>
    </row>
    <row r="33" customFormat="false" ht="15" hidden="false" customHeight="false" outlineLevel="0" collapsed="false">
      <c r="A33" s="2" t="s">
        <v>417</v>
      </c>
      <c r="B33" s="49" t="s">
        <v>418</v>
      </c>
    </row>
    <row r="34" customFormat="false" ht="15" hidden="false" customHeight="false" outlineLevel="0" collapsed="false">
      <c r="A34" s="2" t="s">
        <v>419</v>
      </c>
      <c r="B34" s="49" t="s">
        <v>420</v>
      </c>
    </row>
    <row r="35" customFormat="false" ht="15" hidden="false" customHeight="false" outlineLevel="0" collapsed="false">
      <c r="A35" s="2" t="s">
        <v>421</v>
      </c>
      <c r="B35" s="49" t="s">
        <v>422</v>
      </c>
    </row>
    <row r="36" customFormat="false" ht="15" hidden="false" customHeight="false" outlineLevel="0" collapsed="false">
      <c r="A36" s="3" t="s">
        <v>423</v>
      </c>
      <c r="B36" s="2"/>
    </row>
    <row r="37" customFormat="false" ht="15" hidden="false" customHeight="false" outlineLevel="0" collapsed="false">
      <c r="A37" s="2" t="s">
        <v>424</v>
      </c>
      <c r="B37" s="49" t="s">
        <v>338</v>
      </c>
    </row>
    <row r="38" customFormat="false" ht="15" hidden="false" customHeight="false" outlineLevel="0" collapsed="false">
      <c r="A38" s="2" t="s">
        <v>425</v>
      </c>
      <c r="B38" s="49" t="s">
        <v>403</v>
      </c>
    </row>
    <row r="39" customFormat="false" ht="15" hidden="false" customHeight="false" outlineLevel="0" collapsed="false">
      <c r="A39" s="2" t="s">
        <v>426</v>
      </c>
      <c r="B39" s="49" t="s">
        <v>427</v>
      </c>
    </row>
    <row r="40" customFormat="false" ht="15" hidden="false" customHeight="false" outlineLevel="0" collapsed="false">
      <c r="A40" s="2" t="s">
        <v>428</v>
      </c>
      <c r="B40" s="49" t="s">
        <v>429</v>
      </c>
    </row>
    <row r="41" customFormat="false" ht="15" hidden="false" customHeight="false" outlineLevel="0" collapsed="false">
      <c r="A41" s="3" t="s">
        <v>430</v>
      </c>
      <c r="B41" s="2"/>
    </row>
    <row r="42" customFormat="false" ht="15" hidden="false" customHeight="false" outlineLevel="0" collapsed="false">
      <c r="A42" s="2" t="s">
        <v>431</v>
      </c>
      <c r="B42" s="49" t="s">
        <v>432</v>
      </c>
    </row>
    <row r="43" customFormat="false" ht="15" hidden="false" customHeight="false" outlineLevel="0" collapsed="false">
      <c r="A43" s="2" t="s">
        <v>433</v>
      </c>
      <c r="B43" s="49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2026-10-15T15:36:59Z</dcterms:created>
  <dc:creator>openpyxl</dc:creator>
  <dc:description/>
  <dc:language>en-US</dc:language>
  <cp:lastModifiedBy/>
  <dcterms:modified xsi:type="dcterms:W3CDTF">2026-10-15T15:37:04Z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